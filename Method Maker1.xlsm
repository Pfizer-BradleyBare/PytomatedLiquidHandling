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4085E493-2140-4395-A20C-6F68BAC33758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Worklist" sheetId="3" r:id="rId1"/>
    <sheet name="TestLog" sheetId="101" r:id="rId2"/>
    <sheet name="PrepList" sheetId="99" r:id="rId3"/>
    <sheet name="Method" sheetId="14" r:id="rId4"/>
    <sheet name="Solutions" sheetId="17" r:id="rId5"/>
    <sheet name="Method Notes" sheetId="2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3" i="14" l="1"/>
  <c r="C112" i="14"/>
  <c r="G95" i="14"/>
  <c r="G83" i="14"/>
  <c r="G75" i="14"/>
  <c r="G74" i="14"/>
  <c r="C69" i="14"/>
  <c r="C49" i="14"/>
  <c r="C33" i="14"/>
  <c r="G22" i="14"/>
  <c r="G20" i="14"/>
  <c r="C25" i="14"/>
  <c r="C24" i="14"/>
  <c r="C22" i="14"/>
  <c r="C20" i="14"/>
  <c r="E9" i="14"/>
  <c r="A6" i="3"/>
  <c r="A5" i="3"/>
  <c r="A4" i="3"/>
  <c r="A3" i="3"/>
  <c r="A2" i="3" l="1"/>
</calcChain>
</file>

<file path=xl/sharedStrings.xml><?xml version="1.0" encoding="utf-8"?>
<sst xmlns="http://schemas.openxmlformats.org/spreadsheetml/2006/main" count="2602" uniqueCount="534">
  <si>
    <t>Name</t>
  </si>
  <si>
    <t>Description</t>
  </si>
  <si>
    <t>Blank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</si>
  <si>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</si>
  <si>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</si>
  <si>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</si>
  <si>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</si>
  <si>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</si>
  <si>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</si>
  <si>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</si>
  <si>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</si>
  <si>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</si>
  <si>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</si>
  <si>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</si>
  <si>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</si>
  <si>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</si>
  <si>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</si>
  <si>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</si>
  <si>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</si>
  <si>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</si>
  <si>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</si>
  <si>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</si>
  <si>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</si>
  <si>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</si>
  <si>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</si>
  <si>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</si>
  <si>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</si>
  <si>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</si>
  <si>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</si>
  <si>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</si>
  <si>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</si>
  <si>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</si>
  <si>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</si>
  <si>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</si>
  <si>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</si>
  <si>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</si>
  <si>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</si>
  <si>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</si>
  <si>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</si>
  <si>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</si>
  <si>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</si>
  <si>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</si>
  <si>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</si>
  <si>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</si>
  <si>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</si>
  <si>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Plate Name</t>
  </si>
  <si>
    <t>Continue Here?</t>
  </si>
  <si>
    <t>Starting Concentration (mg/mL)</t>
  </si>
  <si>
    <t>Target Concentration (mg/mL)</t>
  </si>
  <si>
    <t>Target Volume (uL)</t>
  </si>
  <si>
    <t>Max Source Volume (uL)</t>
  </si>
  <si>
    <t>Temp (C)</t>
  </si>
  <si>
    <t>Time (min)</t>
  </si>
  <si>
    <t>Shake (rpm)</t>
  </si>
  <si>
    <t>Equilibration Buffer</t>
  </si>
  <si>
    <t>Wait On User</t>
  </si>
  <si>
    <t>Subject</t>
  </si>
  <si>
    <t>Message</t>
  </si>
  <si>
    <t>Volume</t>
  </si>
  <si>
    <t>Volume Route</t>
  </si>
  <si>
    <t>High Volume</t>
  </si>
  <si>
    <t>Low Volume</t>
  </si>
  <si>
    <t>Concentration (mg/mL)</t>
  </si>
  <si>
    <t>Dilute - (Click Here to Update)</t>
  </si>
  <si>
    <t>7.6M GnHCl in 50mM Tris pH 7.9</t>
  </si>
  <si>
    <t>7.6M GnHCl in 50mM Tris pH 7.9 - (Click Here to Update)</t>
  </si>
  <si>
    <t>No</t>
  </si>
  <si>
    <t>0.5M TCEP</t>
  </si>
  <si>
    <t>0.5M TCEP - (Click Here to Update)</t>
  </si>
  <si>
    <t>Merge Plates - (Click Here to Update)</t>
  </si>
  <si>
    <t>Incubate - (Click Here to Update)</t>
  </si>
  <si>
    <t>0.2M CAA</t>
  </si>
  <si>
    <t>Alkylant</t>
  </si>
  <si>
    <t>0.2M CAA - (Click Here to Update)</t>
  </si>
  <si>
    <t>Reductant</t>
  </si>
  <si>
    <t>The max volume here is going to be 200uL. 
This pathway only includes IMCS sizeX desalting</t>
  </si>
  <si>
    <t>The Max volume here is going to be 600uL. 
This pathway includes Anji's original method, 
Nap5 desalting, and IMCS desalting</t>
  </si>
  <si>
    <t>LV Desalting Plate</t>
  </si>
  <si>
    <t>LV Desalting Plate - (Click Here to Update)</t>
  </si>
  <si>
    <t>1.5M GnHCl in 50mM Tris pH 7.9</t>
  </si>
  <si>
    <t>HV Digestion</t>
  </si>
  <si>
    <t>LV Digestion</t>
  </si>
  <si>
    <t>Preload Liquid - (Click Here to Update)</t>
  </si>
  <si>
    <t>1mg/mL LysC</t>
  </si>
  <si>
    <t>1mg/mL LysC - (Click Here to Update)</t>
  </si>
  <si>
    <t>1mg/mL Trypsin</t>
  </si>
  <si>
    <t>1mg/mL Trypsin - (Click Here to Update)</t>
  </si>
  <si>
    <t>Enzyme</t>
  </si>
  <si>
    <t>Cold</t>
  </si>
  <si>
    <t>The NAP5 DESALTING MUST BE 1.5M GnHCL in 50mM Tris pH 7.9</t>
  </si>
  <si>
    <t>10% TFA</t>
  </si>
  <si>
    <t>Quench</t>
  </si>
  <si>
    <t>10% TFA - (Click Here to Update)</t>
  </si>
  <si>
    <t>Notify - (Click Here to Update)</t>
  </si>
  <si>
    <t>Time to do NAP5 Desalting</t>
  </si>
  <si>
    <t>NAP5 Desalting Must be 1.5M GnHCl in 50mM Tris pH 7.9</t>
  </si>
  <si>
    <t>Did you do it?</t>
  </si>
  <si>
    <t>Please load the Nap5 Solution Now</t>
  </si>
  <si>
    <t>Low Volume - (Click Here to Update)</t>
  </si>
  <si>
    <t>Waste Plate</t>
  </si>
  <si>
    <t>IMCS SizeX Desalt - (Click Here to Update)</t>
  </si>
  <si>
    <t>LV Desalting Waste</t>
  </si>
  <si>
    <t>1.5M GnHCl in 50mM Tris pH 7.9 - (Click Here to Update)</t>
  </si>
  <si>
    <t>Elution Method</t>
  </si>
  <si>
    <t>IMCS SizeX Desalt</t>
  </si>
  <si>
    <t>Notify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</si>
  <si>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</si>
  <si>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</si>
  <si>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</si>
  <si>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</si>
  <si>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</si>
  <si>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</si>
  <si>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</si>
  <si>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Split Plate</t>
  </si>
  <si>
    <t>Excel Location (Row,Col): (7,3)</t>
  </si>
  <si>
    <t xml:space="preserve">Plate Choice: Volume Route (Worklist Column) </t>
  </si>
  <si>
    <t>Plate Name 1: High Volume</t>
  </si>
  <si>
    <t>Plate Name 2: Low Volume</t>
  </si>
  <si>
    <t>Step Title: Dilute</t>
  </si>
  <si>
    <t>Excel Location (Row,Col): (18,1)</t>
  </si>
  <si>
    <t>Source: Sample</t>
  </si>
  <si>
    <t>Diluent: 7.6M GnHCl in 50mM Tris pH 7.9</t>
  </si>
  <si>
    <t xml:space="preserve">Starting Concentration (mg/mL): Concentration (mg/mL) (Worklist Column) </t>
  </si>
  <si>
    <t>Target Concentration (mg/mL): 1.0</t>
  </si>
  <si>
    <t>Target Volume (uL): 79.0</t>
  </si>
  <si>
    <t>Max Source Volume (uL): 79.0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</si>
  <si>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</si>
  <si>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</si>
  <si>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</si>
  <si>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</si>
  <si>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</si>
  <si>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</si>
  <si>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</si>
  <si>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</si>
  <si>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</si>
  <si>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##3.4##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</si>
  <si>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</si>
  <si>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</si>
  <si>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</si>
  <si>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</si>
  <si>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</si>
  <si>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</si>
  <si>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</si>
  <si>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</si>
  <si>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</si>
  <si>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</si>
  <si>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</si>
  <si>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</si>
  <si>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##3.5##</t>
  </si>
  <si>
    <t>##3.6##</t>
  </si>
  <si>
    <t>Excel Location (Row,Col): (18,5)</t>
  </si>
  <si>
    <t>Target Volume (uL): 166.36</t>
  </si>
  <si>
    <t>Max Source Volume (uL): 166.36</t>
  </si>
  <si>
    <t>##4.1##</t>
  </si>
  <si>
    <t>##4.2##</t>
  </si>
  <si>
    <t>##4.3##</t>
  </si>
  <si>
    <t>##4.4##</t>
  </si>
  <si>
    <t>##4.5##</t>
  </si>
  <si>
    <t>##4.6##</t>
  </si>
  <si>
    <t>Step Title: Liquid Transfer</t>
  </si>
  <si>
    <t>Excel Location (Row,Col): (28,1)</t>
  </si>
  <si>
    <t>Source: 0.5M TCEP</t>
  </si>
  <si>
    <t>Liquid Type: Reductant</t>
  </si>
  <si>
    <t>Storage Condition: Ambient</t>
  </si>
  <si>
    <t>Volume (uL): 1.53</t>
  </si>
  <si>
    <t>Mix?: Yes</t>
  </si>
  <si>
    <t>##5.1##</t>
  </si>
  <si>
    <t>##5.2##</t>
  </si>
  <si>
    <t>##5.3##</t>
  </si>
  <si>
    <t>Excel Location (Row,Col): (28,5)</t>
  </si>
  <si>
    <t>Volume (uL): 3.11</t>
  </si>
  <si>
    <t>##6.1##</t>
  </si>
  <si>
    <t>##6.2##</t>
  </si>
  <si>
    <t>##6.3##</t>
  </si>
  <si>
    <t>Step Title: Incubate</t>
  </si>
  <si>
    <t>Excel Location (Row,Col): (37,1)</t>
  </si>
  <si>
    <t>Temp (C): 37.0</t>
  </si>
  <si>
    <t>Time (min): 30.0</t>
  </si>
  <si>
    <t>Shake (rpm): 0.0</t>
  </si>
  <si>
    <t>Labware</t>
  </si>
  <si>
    <t>GetSequenceStrings</t>
  </si>
  <si>
    <t>[PlateNames]</t>
  </si>
  <si>
    <t>High Volum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</si>
  <si>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</si>
  <si>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</si>
  <si>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</si>
  <si>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</si>
  <si>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</si>
  <si>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</si>
  <si>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##7.4##</t>
  </si>
  <si>
    <t>Lid</t>
  </si>
  <si>
    <t>##7.5##</t>
  </si>
  <si>
    <t>GetReservationLidSequenceString</t>
  </si>
  <si>
    <t>##7.6##</t>
  </si>
  <si>
    <t>GetReservationLidTransportType</t>
  </si>
  <si>
    <t>##7.7##</t>
  </si>
  <si>
    <t>##7.8##</t>
  </si>
  <si>
    <t>##7.9##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</si>
  <si>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</si>
  <si>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</si>
  <si>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</si>
  <si>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</si>
  <si>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</si>
  <si>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</si>
  <si>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</si>
  <si>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</si>
  <si>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##7.10##</t>
  </si>
  <si>
    <t>##7.11##</t>
  </si>
  <si>
    <t>StartReservation</t>
  </si>
  <si>
    <t>##7.12##</t>
  </si>
  <si>
    <t>Excel Location (Row,Col): (37,5)</t>
  </si>
  <si>
    <t>Low Volum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</si>
  <si>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</si>
  <si>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</si>
  <si>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</si>
  <si>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</si>
  <si>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</si>
  <si>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</si>
  <si>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</si>
  <si>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</si>
  <si>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</si>
  <si>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</si>
  <si>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</si>
  <si>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</si>
  <si>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Timer</t>
  </si>
  <si>
    <t>Start</t>
  </si>
  <si>
    <t>[WaitTime]</t>
  </si>
  <si>
    <t>##8.13##</t>
  </si>
  <si>
    <t>Wai</t>
  </si>
  <si>
    <t>##8.14##</t>
  </si>
  <si>
    <t>EndReservation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</si>
  <si>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</si>
  <si>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</si>
  <si>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</si>
  <si>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</si>
  <si>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</si>
  <si>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</si>
  <si>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</si>
  <si>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</si>
  <si>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</si>
  <si>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Afte</t>
  </si>
  <si>
    <t>##8.24##</t>
  </si>
  <si>
    <t>##8.25##</t>
  </si>
  <si>
    <t>ReleaseReservation</t>
  </si>
  <si>
    <t>##8.27##</t>
  </si>
  <si>
    <t>Excel Location (Row,Col): (44,1)</t>
  </si>
  <si>
    <t>Source: 0.2M CAA</t>
  </si>
  <si>
    <t>Liquid Type: Alkylant</t>
  </si>
  <si>
    <t>Volume (uL): 19.8825</t>
  </si>
  <si>
    <t>##9.1##</t>
  </si>
  <si>
    <t>##9.2##</t>
  </si>
  <si>
    <t>##9.3##</t>
  </si>
  <si>
    <t>Excel Location (Row,Col): (53,1)</t>
  </si>
  <si>
    <t>Temp (C): Ambient</t>
  </si>
  <si>
    <t>GetLidSequenceStrings</t>
  </si>
  <si>
    <t>##10.1##</t>
  </si>
  <si>
    <t>##10.2##</t>
  </si>
  <si>
    <t>##10.3##</t>
  </si>
  <si>
    <t>##10.4##</t>
  </si>
  <si>
    <t>##10.5##</t>
  </si>
  <si>
    <t>##10.6##</t>
  </si>
  <si>
    <t>##10.7##</t>
  </si>
  <si>
    <t>##10.8##</t>
  </si>
  <si>
    <t>##10.9##</t>
  </si>
  <si>
    <t>##10.10##</t>
  </si>
  <si>
    <t>##10.11##</t>
  </si>
  <si>
    <t>##10.12##</t>
  </si>
  <si>
    <t>##10.13##</t>
  </si>
  <si>
    <t>##10.14##</t>
  </si>
  <si>
    <t>##10.15##</t>
  </si>
  <si>
    <t>##10.16##</t>
  </si>
  <si>
    <t>##10.17##</t>
  </si>
  <si>
    <t>##10.18##</t>
  </si>
  <si>
    <t>##10.20##</t>
  </si>
  <si>
    <t>Excel Location (Row,Col): (44,5)</t>
  </si>
  <si>
    <t>Volume (uL): 40.1</t>
  </si>
  <si>
    <t>##11.1##</t>
  </si>
  <si>
    <t>##11.2##</t>
  </si>
  <si>
    <t>##11.3##</t>
  </si>
  <si>
    <t>Excel Location (Row,Col): (53,5)</t>
  </si>
  <si>
    <t>##12.1##</t>
  </si>
  <si>
    <t>##12.2##</t>
  </si>
  <si>
    <t>##12.3##</t>
  </si>
  <si>
    <t>##12.4##</t>
  </si>
  <si>
    <t>##12.5##</t>
  </si>
  <si>
    <t>##12.7##</t>
  </si>
  <si>
    <t>##12.8##</t>
  </si>
  <si>
    <t>##12.9##</t>
  </si>
  <si>
    <t>##12.10##</t>
  </si>
  <si>
    <t>##12.11##</t>
  </si>
  <si>
    <t>##12.12##</t>
  </si>
  <si>
    <t>Step Title: Notify</t>
  </si>
  <si>
    <t>Excel Location (Row,Col): (60,1)</t>
  </si>
  <si>
    <t>Wait On User: No</t>
  </si>
  <si>
    <t>Subject: Time to do NAP5 Desalting</t>
  </si>
  <si>
    <t>Message: NAP5 Desalting Must be 1.5M GnHCl in 50mM Tris pH 7.9</t>
  </si>
  <si>
    <t>SendMessage</t>
  </si>
  <si>
    <t>[Subject]</t>
  </si>
  <si>
    <t>[Body]</t>
  </si>
  <si>
    <t>[WaitForUser]</t>
  </si>
  <si>
    <t>N</t>
  </si>
  <si>
    <t>##13.1##</t>
  </si>
  <si>
    <t>Step Title: Merge Plates</t>
  </si>
  <si>
    <t>Excel Location (Row,Col): (67,1)</t>
  </si>
  <si>
    <t>Plate Name: LV Desalting Plate</t>
  </si>
  <si>
    <t>Continue Here?: Yes</t>
  </si>
  <si>
    <t>##14.1##</t>
  </si>
  <si>
    <t>##14.2##</t>
  </si>
  <si>
    <t>##14.3##</t>
  </si>
  <si>
    <t>##14.4##</t>
  </si>
  <si>
    <t>##14.5##</t>
  </si>
  <si>
    <t>##14.6##</t>
  </si>
  <si>
    <t>##14.7##</t>
  </si>
  <si>
    <t>Step Title: Plate</t>
  </si>
  <si>
    <t>Excel Location (Row,Col): (60,5)</t>
  </si>
  <si>
    <t>Name: LV Desalting Waste</t>
  </si>
  <si>
    <t>Type: 96 Well PCR Plate</t>
  </si>
  <si>
    <t>Excel Location (Row,Col): (66,5)</t>
  </si>
  <si>
    <t>Name: LV Desalting Plate</t>
  </si>
  <si>
    <t>Step Title: IMCS SizeX Desalt</t>
  </si>
  <si>
    <t>Excel Location (Row,Col): (72,5)</t>
  </si>
  <si>
    <t>Source: Low Volume</t>
  </si>
  <si>
    <t>Waste Plate: LV Desalting Waste</t>
  </si>
  <si>
    <t>Equilibration Buffer: 1.5M GnHCl in 50mM Tris pH 7.9</t>
  </si>
  <si>
    <t>Performing Desalting Equilibration</t>
  </si>
  <si>
    <t>Excel Location (Row,Col): (81,5)</t>
  </si>
  <si>
    <t>Plate Name: High Volume</t>
  </si>
  <si>
    <t>Excel Location (Row,Col): (73,1)</t>
  </si>
  <si>
    <t>Wait On User: Yes</t>
  </si>
  <si>
    <t>Subject: Did you do it?</t>
  </si>
  <si>
    <t>Message: Please load the Nap5 Solution Now</t>
  </si>
  <si>
    <t>Ye</t>
  </si>
  <si>
    <t>##19.1##</t>
  </si>
  <si>
    <t>Excel Location (Row,Col): (80,1)</t>
  </si>
  <si>
    <t>Name: HV Digestion</t>
  </si>
  <si>
    <t>Step Title: Preload Liquid</t>
  </si>
  <si>
    <t>Excel Location (Row,Col): (86,1)</t>
  </si>
  <si>
    <t>Volume: 600.0</t>
  </si>
  <si>
    <t>Excel Location (Row,Col): (87,5)</t>
  </si>
  <si>
    <t>Name: LV Digestion</t>
  </si>
  <si>
    <t>Excel Location (Row,Col): (91,1)</t>
  </si>
  <si>
    <t>Source: 1mg/mL LysC</t>
  </si>
  <si>
    <t>Liquid Type: Enzyme</t>
  </si>
  <si>
    <t>Storage Condition: Cold</t>
  </si>
  <si>
    <t>Volume (uL): 1.58</t>
  </si>
  <si>
    <t>##23.1##</t>
  </si>
  <si>
    <t>##23.2##</t>
  </si>
  <si>
    <t>##23.3##</t>
  </si>
  <si>
    <t>Excel Location (Row,Col): (93,5)</t>
  </si>
  <si>
    <t>Source: LV Desalting Plate</t>
  </si>
  <si>
    <t>Liquid Type: Plate</t>
  </si>
  <si>
    <t>Volume (uL): 180.0</t>
  </si>
  <si>
    <t>Mix?: No</t>
  </si>
  <si>
    <t>##24.1##</t>
  </si>
  <si>
    <t>##24.2##</t>
  </si>
  <si>
    <t>##24.3##</t>
  </si>
  <si>
    <t>Excel Location (Row,Col): (100,1)</t>
  </si>
  <si>
    <t>Source: 1mg/mL Trypsin</t>
  </si>
  <si>
    <t>Volume (uL): 15.8</t>
  </si>
  <si>
    <t>##25.1##</t>
  </si>
  <si>
    <t>##25.2##</t>
  </si>
  <si>
    <t>##25.3##</t>
  </si>
  <si>
    <t>Excel Location (Row,Col): (102,5)</t>
  </si>
  <si>
    <t>##26.1##</t>
  </si>
  <si>
    <t>##26.2##</t>
  </si>
  <si>
    <t>##26.3##</t>
  </si>
  <si>
    <t>Excel Location (Row,Col): (109,1)</t>
  </si>
  <si>
    <t>Time (min): 1080.0</t>
  </si>
  <si>
    <t>HV Digestio</t>
  </si>
  <si>
    <t>##27.1##</t>
  </si>
  <si>
    <t>##27.2##</t>
  </si>
  <si>
    <t>##27.3##</t>
  </si>
  <si>
    <t>##27.4##</t>
  </si>
  <si>
    <t>##27.5##</t>
  </si>
  <si>
    <t>##27.6##</t>
  </si>
  <si>
    <t>##27.7##</t>
  </si>
  <si>
    <t>##27.8##</t>
  </si>
  <si>
    <t>##27.9##</t>
  </si>
  <si>
    <t>##27.10##</t>
  </si>
  <si>
    <t>##27.11##</t>
  </si>
  <si>
    <t>##27.12##</t>
  </si>
  <si>
    <t>Excel Location (Row,Col): (111,5)</t>
  </si>
  <si>
    <t>##28.1##</t>
  </si>
  <si>
    <t>##28.2##</t>
  </si>
  <si>
    <t>##28.3##</t>
  </si>
  <si>
    <t>Excel Location (Row,Col): (120,5)</t>
  </si>
  <si>
    <t>LV Digestio</t>
  </si>
  <si>
    <t>##29.1##</t>
  </si>
  <si>
    <t>##29.2##</t>
  </si>
  <si>
    <t>##29.3##</t>
  </si>
  <si>
    <t>##29.4##</t>
  </si>
  <si>
    <t>##29.5##</t>
  </si>
  <si>
    <t>##29.6##</t>
  </si>
  <si>
    <t>##29.7##</t>
  </si>
  <si>
    <t>##29.8##</t>
  </si>
  <si>
    <t>##29.9##</t>
  </si>
  <si>
    <t>##29.10##</t>
  </si>
  <si>
    <t>##29.11##</t>
  </si>
  <si>
    <t>##29.12##</t>
  </si>
  <si>
    <t>##29.13##</t>
  </si>
  <si>
    <t>##29.14##</t>
  </si>
  <si>
    <t>##29.15##</t>
  </si>
  <si>
    <t>##29.16##</t>
  </si>
  <si>
    <t>##29.17##</t>
  </si>
  <si>
    <t>##29.18##</t>
  </si>
  <si>
    <t>##29.19##</t>
  </si>
  <si>
    <t>##29.20##</t>
  </si>
  <si>
    <t>##29.21##</t>
  </si>
  <si>
    <t>##29.22##</t>
  </si>
  <si>
    <t>##29.23##</t>
  </si>
  <si>
    <t>##29.24##</t>
  </si>
  <si>
    <t>##29.25##</t>
  </si>
  <si>
    <t>##29.27##</t>
  </si>
  <si>
    <t>Excel Location (Row,Col): (116,1)</t>
  </si>
  <si>
    <t>Source: 10% TFA</t>
  </si>
  <si>
    <t>Liquid Type: Quench</t>
  </si>
  <si>
    <t>Volume (uL): 6.0</t>
  </si>
  <si>
    <t>##30.1##</t>
  </si>
  <si>
    <t>##30.2##</t>
  </si>
  <si>
    <t>##30.3##</t>
  </si>
  <si>
    <t>Step Title: Finish</t>
  </si>
  <si>
    <t>Excel Location (Row,Col): (125,1)</t>
  </si>
  <si>
    <t>HV Digestion plate deactivated</t>
  </si>
  <si>
    <t>##31.1##</t>
  </si>
  <si>
    <t>##31.2##</t>
  </si>
  <si>
    <t>##31.3##</t>
  </si>
  <si>
    <t>##31.4##</t>
  </si>
  <si>
    <t>##31.5##</t>
  </si>
  <si>
    <t>##31.6##</t>
  </si>
  <si>
    <t>##31.7##</t>
  </si>
  <si>
    <t>##31.8##</t>
  </si>
  <si>
    <t>##31.9##</t>
  </si>
  <si>
    <t>##31.10##</t>
  </si>
  <si>
    <t>##31.11##</t>
  </si>
  <si>
    <t>##31.12##</t>
  </si>
  <si>
    <t>##31.13##</t>
  </si>
  <si>
    <t>##31.15##</t>
  </si>
  <si>
    <t>Excel Location (Row,Col): (127,5)</t>
  </si>
  <si>
    <t>Volume (uL): 2.0</t>
  </si>
  <si>
    <t>##32.1##</t>
  </si>
  <si>
    <t>##32.2##</t>
  </si>
  <si>
    <t>##32.3##</t>
  </si>
  <si>
    <t>Excel Location (Row,Col): (136,5)</t>
  </si>
  <si>
    <t>LV Digestion plate deactivated</t>
  </si>
  <si>
    <t>PreRun</t>
  </si>
  <si>
    <t>Samples</t>
  </si>
  <si>
    <t>[SampleNumber]</t>
  </si>
  <si>
    <t>[Name]</t>
  </si>
  <si>
    <t>[LabwareSequence]</t>
  </si>
  <si>
    <t>Carrier14_Pos1_96WellPCRPlate1200uL_1mLChannel</t>
  </si>
  <si>
    <t>Carrier14_Pos2_96WellPCRPlate1200uL_1mLChannel</t>
  </si>
  <si>
    <t>Carrier14_Pos3_96WellPCRPlate200uL_1mLChannel</t>
  </si>
  <si>
    <t>Carrier14_Pos4_96WellPCRPlate200uL_1mLChannel</t>
  </si>
  <si>
    <t>Carrier38_Pos3_96WellPCRPlate200uL_1mLChannel</t>
  </si>
  <si>
    <t>E1</t>
  </si>
  <si>
    <t>E2</t>
  </si>
  <si>
    <t>F1</t>
  </si>
  <si>
    <t>F4</t>
  </si>
  <si>
    <t>F7</t>
  </si>
  <si>
    <t>R2</t>
  </si>
  <si>
    <t>[LidSequence]</t>
  </si>
  <si>
    <t>Carrier14_Pos3_Lid_200uL</t>
  </si>
  <si>
    <t>Carrier14_Pos4_Lid_200uL</t>
  </si>
  <si>
    <t>[LoadingLocation]</t>
  </si>
  <si>
    <t>Carrier14_Pos1</t>
  </si>
  <si>
    <t>Carrier14_Pos2</t>
  </si>
  <si>
    <t>Carrier14_Pos3</t>
  </si>
  <si>
    <t>Carrier14_Pos4</t>
  </si>
  <si>
    <t>Carrier14_Pos5</t>
  </si>
  <si>
    <t>Carrier38_Pos3</t>
  </si>
  <si>
    <t>Carrier38_Pos4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</si>
  <si>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</si>
  <si>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</si>
  <si>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</si>
  <si>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</si>
  <si>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</si>
  <si>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</si>
  <si>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</si>
  <si>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1200uL DeepWell 96 Well PCR Plate</t>
  </si>
  <si>
    <t>200uL Biorad 96 Well PCR Plate</t>
  </si>
  <si>
    <t>Hamilton 1.5mL FlipTube</t>
  </si>
  <si>
    <t>60mL Reagent Reservio</t>
  </si>
  <si>
    <t>HV Digestion: 1200uL DeepWell 96 Well PCR Plate</t>
  </si>
  <si>
    <t>A2: 673.38uL</t>
  </si>
  <si>
    <t>Sample: 200uL Biorad 96 Well PCR Plate</t>
  </si>
  <si>
    <t>A1: 115.29113924050634uL</t>
  </si>
  <si>
    <t>A2: 60.0uL</t>
  </si>
  <si>
    <t>Reagent Lot</t>
  </si>
  <si>
    <t>Reagent Volume</t>
  </si>
  <si>
    <t>Diluent Lot</t>
  </si>
  <si>
    <t>Diluent Volume</t>
  </si>
  <si>
    <t>Heate</t>
  </si>
  <si>
    <t>Notif</t>
  </si>
  <si>
    <t>##17.2##</t>
  </si>
  <si>
    <t>T5</t>
  </si>
  <si>
    <t>Carrier38_Pos1</t>
  </si>
  <si>
    <t>200mL Reagent Trough</t>
  </si>
  <si>
    <t>Water</t>
  </si>
  <si>
    <t>A3: 115.29113924050634uL</t>
  </si>
  <si>
    <t>A4: 115.29113924050634uL</t>
  </si>
  <si>
    <t>A5: 115.29113924050634uL</t>
  </si>
  <si>
    <t>Minimum Volume: 157.9uL</t>
  </si>
  <si>
    <t>Minimum Volume: 229.0uL</t>
  </si>
  <si>
    <t>Minimum Volume: 164.0uL</t>
  </si>
  <si>
    <t>Minimum Volume: 330.28uL</t>
  </si>
  <si>
    <t>Minimum Volume: 163.97uL</t>
  </si>
  <si>
    <t>Minimum Volume: 2773.28uL</t>
  </si>
  <si>
    <t>[Parents]</t>
  </si>
  <si>
    <t>LV Desalting Plate(72, 5)</t>
  </si>
  <si>
    <t>[Waste]</t>
  </si>
  <si>
    <t>[Buffer]</t>
  </si>
  <si>
    <t>[Method]</t>
  </si>
  <si>
    <t>[Positions]</t>
  </si>
  <si>
    <t>1,3,4,</t>
  </si>
  <si>
    <t>Time</t>
  </si>
  <si>
    <t>Transpor</t>
  </si>
  <si>
    <t>StatusUpdat</t>
  </si>
  <si>
    <t>Li</t>
  </si>
  <si>
    <t>EN</t>
  </si>
  <si>
    <t>Equilibrate</t>
  </si>
  <si>
    <t>[Parent]</t>
  </si>
  <si>
    <t>LV Desalting Plate(72, 5</t>
  </si>
  <si>
    <t>Process</t>
  </si>
  <si>
    <t>##12.13##</t>
  </si>
  <si>
    <t>##12.14##</t>
  </si>
  <si>
    <t>Equilibration already performed. Skipping Equilibration</t>
  </si>
  <si>
    <t>HCP/Proteomics</t>
  </si>
  <si>
    <t>Elution Method: HCP/Proteomics</t>
  </si>
  <si>
    <t>Carrier14_Pos5_96WellPCRPlate200uL_1mLChannel</t>
  </si>
  <si>
    <t>Carrier38_Pos1_96WellPCRPlate2000uL_1mLChannel</t>
  </si>
  <si>
    <t>2000uL Corning 96 Well PCR Plate</t>
  </si>
  <si>
    <t>Minimum Volume: 14000.0uL</t>
  </si>
  <si>
    <t>100 + 100</t>
  </si>
  <si>
    <t>Volume: 100 + 100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</si>
</sst>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0CBCB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0" xfId="0" applyNumberFormat="1"/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8" fillId="0" borderId="18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/>
    </xf>
    <xf numFmtId="0" fontId="2" fillId="2" borderId="21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7" borderId="21" xfId="0" applyFont="1" applyFill="1" applyBorder="1" applyAlignment="1">
      <alignment horizontal="left" vertical="center"/>
    </xf>
    <xf numFmtId="0" fontId="2" fillId="7" borderId="22" xfId="0" applyFont="1" applyFill="1" applyBorder="1" applyAlignment="1">
      <alignment horizontal="left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left" vertical="center"/>
    </xf>
    <xf numFmtId="0" fontId="2" fillId="4" borderId="22" xfId="0" applyFont="1" applyFill="1" applyBorder="1" applyAlignment="1">
      <alignment horizontal="left" vertical="center"/>
    </xf>
    <xf numFmtId="0" fontId="1" fillId="4" borderId="24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  <xf numFmtId="0" fontId="2" fillId="9" borderId="21" xfId="0" applyFont="1" applyFill="1" applyBorder="1" applyAlignment="1">
      <alignment horizontal="left" vertical="center"/>
    </xf>
    <xf numFmtId="0" fontId="2" fillId="9" borderId="22" xfId="0" applyFont="1" applyFill="1" applyBorder="1" applyAlignment="1">
      <alignment horizontal="left" vertical="center"/>
    </xf>
    <xf numFmtId="0" fontId="1" fillId="9" borderId="24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 wrapText="1"/>
    </xf>
    <xf numFmtId="0" fontId="2" fillId="9" borderId="23" xfId="0" applyFont="1" applyFill="1" applyBorder="1" applyAlignment="1">
      <alignment horizontal="center" vertical="center" wrapText="1"/>
    </xf>
    <xf numFmtId="0" fontId="2" fillId="11" borderId="21" xfId="0" applyFont="1" applyFill="1" applyBorder="1" applyAlignment="1">
      <alignment horizontal="left" vertical="center"/>
    </xf>
    <xf numFmtId="0" fontId="2" fillId="11" borderId="22" xfId="0" applyFont="1" applyFill="1" applyBorder="1" applyAlignment="1">
      <alignment horizontal="left" vertical="center"/>
    </xf>
    <xf numFmtId="0" fontId="1" fillId="11" borderId="24" xfId="0" applyFont="1" applyFill="1" applyBorder="1" applyAlignment="1">
      <alignment horizontal="center" vertical="center"/>
    </xf>
    <xf numFmtId="0" fontId="1" fillId="11" borderId="25" xfId="0" applyFont="1" applyFill="1" applyBorder="1" applyAlignment="1">
      <alignment horizontal="center" vertical="center"/>
    </xf>
    <xf numFmtId="0" fontId="2" fillId="11" borderId="26" xfId="0" applyFont="1" applyFill="1" applyBorder="1" applyAlignment="1">
      <alignment horizontal="center" vertical="center" wrapText="1"/>
    </xf>
    <xf numFmtId="0" fontId="2" fillId="11" borderId="23" xfId="0" applyFont="1" applyFill="1" applyBorder="1" applyAlignment="1">
      <alignment horizontal="center" vertical="center" wrapText="1"/>
    </xf>
    <xf numFmtId="0" fontId="2" fillId="8" borderId="21" xfId="0" applyFont="1" applyFill="1" applyBorder="1" applyAlignment="1">
      <alignment horizontal="left" vertical="center"/>
    </xf>
    <xf numFmtId="0" fontId="2" fillId="8" borderId="22" xfId="0" applyFont="1" applyFill="1" applyBorder="1" applyAlignment="1">
      <alignment horizontal="left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2" fillId="8" borderId="26" xfId="0" applyFont="1" applyFill="1" applyBorder="1" applyAlignment="1">
      <alignment horizontal="center" vertical="center" wrapText="1"/>
    </xf>
    <xf numFmtId="0" fontId="2" fillId="8" borderId="23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left" vertical="center"/>
    </xf>
    <xf numFmtId="0" fontId="2" fillId="6" borderId="22" xfId="0" applyFont="1" applyFill="1" applyBorder="1" applyAlignment="1">
      <alignment horizontal="left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2" fillId="10" borderId="22" xfId="0" applyFont="1" applyFill="1" applyBorder="1" applyAlignment="1">
      <alignment horizontal="left" vertical="center"/>
    </xf>
    <xf numFmtId="0" fontId="1" fillId="10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2" fillId="10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0</xdr:row>
          <xdr:rowOff>95250</xdr:rowOff>
        </xdr:from>
        <xdr:to>
          <xdr:col>17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6</xdr:row>
          <xdr:rowOff>66675</xdr:rowOff>
        </xdr:from>
        <xdr:to>
          <xdr:col>17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6"/>
  <sheetViews>
    <sheetView tabSelected="1" workbookViewId="0">
      <selection activeCell="J14" sqref="J14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2" bestFit="1" customWidth="1"/>
    <col min="4" max="4" width="15.140625" bestFit="1" customWidth="1"/>
  </cols>
  <sheetData>
    <row r="1" spans="1:4" x14ac:dyDescent="0.25">
      <c r="A1" t="s">
        <v>3</v>
      </c>
      <c r="B1" t="s">
        <v>1</v>
      </c>
      <c r="C1" t="s">
        <v>62</v>
      </c>
      <c r="D1" t="s">
        <v>59</v>
      </c>
    </row>
    <row r="2" spans="1:4" x14ac:dyDescent="0.25">
      <c r="A2">
        <f t="shared" ref="A2:A6" si="0">ROW(A1)</f>
        <v>1</v>
      </c>
      <c r="B2" t="s">
        <v>2</v>
      </c>
      <c r="C2">
        <v>1.58</v>
      </c>
      <c r="D2" t="s">
        <v>61</v>
      </c>
    </row>
    <row r="3" spans="1:4" x14ac:dyDescent="0.25">
      <c r="A3">
        <f t="shared" si="0"/>
        <v>2</v>
      </c>
      <c r="B3" t="s">
        <v>2</v>
      </c>
      <c r="C3">
        <v>1.58</v>
      </c>
      <c r="D3" t="s">
        <v>60</v>
      </c>
    </row>
    <row r="4" spans="1:4" x14ac:dyDescent="0.25">
      <c r="A4">
        <f t="shared" si="0"/>
        <v>3</v>
      </c>
      <c r="B4" t="s">
        <v>2</v>
      </c>
      <c r="C4">
        <v>1.58</v>
      </c>
      <c r="D4" t="s">
        <v>61</v>
      </c>
    </row>
    <row r="5" spans="1:4" x14ac:dyDescent="0.25">
      <c r="A5">
        <f t="shared" si="0"/>
        <v>4</v>
      </c>
      <c r="B5" t="s">
        <v>2</v>
      </c>
      <c r="C5">
        <v>1.58</v>
      </c>
      <c r="D5" t="s">
        <v>61</v>
      </c>
    </row>
    <row r="6" spans="1:4" x14ac:dyDescent="0.25">
      <c r="A6">
        <f t="shared" si="0"/>
        <v>5</v>
      </c>
      <c r="B6" t="s">
        <v>2</v>
      </c>
      <c r="C6">
        <v>1.58</v>
      </c>
      <c r="D6" t="s">
        <v>61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14</xdr:col>
                    <xdr:colOff>257175</xdr:colOff>
                    <xdr:row>0</xdr:row>
                    <xdr:rowOff>95250</xdr:rowOff>
                  </from>
                  <to>
                    <xdr:col>17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14</xdr:col>
                    <xdr:colOff>238125</xdr:colOff>
                    <xdr:row>6</xdr:row>
                    <xdr:rowOff>66675</xdr:rowOff>
                  </from>
                  <to>
                    <xdr:col>17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516B1-CABB-4B9B-9560-ACA6EF6447A9}">
  <dimension ref="B3:AQ1616"/>
  <sheetViews>
    <sheetView workbookViewId="0"/>
  </sheetViews>
  <sheetFormatPr defaultRowHeight="15" x14ac:dyDescent="0.25"/>
  <sheetData>
    <row r="3" spans="4:5" x14ac:dyDescent="0.25">
      <c r="D3" t="s">
        <v>106</v>
      </c>
      <c r="E3" t="s">
        <v>107</v>
      </c>
    </row>
    <row r="4" spans="4:5" x14ac:dyDescent="0.25">
      <c r="D4" t="s">
        <v>108</v>
      </c>
      <c r="E4" t="s">
        <v>109</v>
      </c>
    </row>
    <row r="5" spans="4:5" x14ac:dyDescent="0.25">
      <c r="D5" t="s">
        <v>110</v>
      </c>
      <c r="E5" t="s">
        <v>60</v>
      </c>
    </row>
    <row r="6" spans="4:5" x14ac:dyDescent="0.25">
      <c r="D6" t="s">
        <v>111</v>
      </c>
      <c r="E6">
        <v>37</v>
      </c>
    </row>
    <row r="7" spans="4:5" x14ac:dyDescent="0.25">
      <c r="D7" t="s">
        <v>112</v>
      </c>
      <c r="E7">
        <v>0</v>
      </c>
    </row>
    <row r="9" spans="4:5" x14ac:dyDescent="0.25">
      <c r="D9" t="s">
        <v>106</v>
      </c>
      <c r="E9" t="s">
        <v>107</v>
      </c>
    </row>
    <row r="10" spans="4:5" x14ac:dyDescent="0.25">
      <c r="D10" t="s">
        <v>108</v>
      </c>
      <c r="E10" t="s">
        <v>109</v>
      </c>
    </row>
    <row r="11" spans="4:5" x14ac:dyDescent="0.25">
      <c r="D11" t="s">
        <v>110</v>
      </c>
      <c r="E11" t="s">
        <v>61</v>
      </c>
    </row>
    <row r="12" spans="4:5" x14ac:dyDescent="0.25">
      <c r="D12" t="s">
        <v>111</v>
      </c>
      <c r="E12">
        <v>37</v>
      </c>
    </row>
    <row r="13" spans="4:5" x14ac:dyDescent="0.25">
      <c r="D13" t="s">
        <v>112</v>
      </c>
      <c r="E13">
        <v>0</v>
      </c>
    </row>
    <row r="18" spans="2:3" x14ac:dyDescent="0.25">
      <c r="B18" t="s">
        <v>113</v>
      </c>
    </row>
    <row r="19" spans="2:3" x14ac:dyDescent="0.25">
      <c r="B19" t="s">
        <v>114</v>
      </c>
    </row>
    <row r="20" spans="2:3" x14ac:dyDescent="0.25">
      <c r="B20" t="s">
        <v>115</v>
      </c>
    </row>
    <row r="21" spans="2:3" x14ac:dyDescent="0.25">
      <c r="B21" t="s">
        <v>116</v>
      </c>
    </row>
    <row r="22" spans="2:3" x14ac:dyDescent="0.25">
      <c r="B22" t="s">
        <v>117</v>
      </c>
    </row>
    <row r="24" spans="2:3" x14ac:dyDescent="0.25">
      <c r="C24" t="s">
        <v>25</v>
      </c>
    </row>
    <row r="29" spans="2:3" x14ac:dyDescent="0.25">
      <c r="B29" t="s">
        <v>118</v>
      </c>
    </row>
    <row r="30" spans="2:3" x14ac:dyDescent="0.25">
      <c r="B30" t="s">
        <v>119</v>
      </c>
    </row>
    <row r="31" spans="2:3" x14ac:dyDescent="0.25">
      <c r="B31" t="s">
        <v>120</v>
      </c>
    </row>
    <row r="32" spans="2:3" x14ac:dyDescent="0.25">
      <c r="B32" t="s">
        <v>121</v>
      </c>
    </row>
    <row r="33" spans="2:5" x14ac:dyDescent="0.25">
      <c r="B33" t="s">
        <v>122</v>
      </c>
    </row>
    <row r="34" spans="2:5" x14ac:dyDescent="0.25">
      <c r="B34" t="s">
        <v>123</v>
      </c>
    </row>
    <row r="35" spans="2:5" x14ac:dyDescent="0.25">
      <c r="B35" t="s">
        <v>124</v>
      </c>
    </row>
    <row r="36" spans="2:5" x14ac:dyDescent="0.25">
      <c r="B36" t="s">
        <v>125</v>
      </c>
    </row>
    <row r="38" spans="2:5" x14ac:dyDescent="0.25">
      <c r="C38" t="s">
        <v>25</v>
      </c>
    </row>
    <row r="40" spans="2:5" x14ac:dyDescent="0.25">
      <c r="D40" t="s">
        <v>106</v>
      </c>
      <c r="E40" t="s">
        <v>126</v>
      </c>
    </row>
    <row r="41" spans="2:5" x14ac:dyDescent="0.25">
      <c r="D41" t="s">
        <v>108</v>
      </c>
      <c r="E41" t="s">
        <v>127</v>
      </c>
    </row>
    <row r="42" spans="2:5" x14ac:dyDescent="0.25">
      <c r="D42" t="s">
        <v>128</v>
      </c>
      <c r="E42">
        <v>50</v>
      </c>
    </row>
    <row r="43" spans="2:5" x14ac:dyDescent="0.25">
      <c r="D43" t="s">
        <v>129</v>
      </c>
      <c r="E43" t="s">
        <v>130</v>
      </c>
    </row>
    <row r="44" spans="2:5" x14ac:dyDescent="0.25">
      <c r="D44" t="s">
        <v>131</v>
      </c>
    </row>
    <row r="46" spans="2:5" x14ac:dyDescent="0.25">
      <c r="D46" t="s">
        <v>106</v>
      </c>
      <c r="E46" t="s">
        <v>126</v>
      </c>
    </row>
    <row r="47" spans="2:5" x14ac:dyDescent="0.25">
      <c r="D47" t="s">
        <v>108</v>
      </c>
      <c r="E47" t="s">
        <v>132</v>
      </c>
    </row>
    <row r="48" spans="2:5" x14ac:dyDescent="0.25">
      <c r="D48" t="s">
        <v>128</v>
      </c>
      <c r="E48">
        <v>50</v>
      </c>
    </row>
    <row r="49" spans="4:5" x14ac:dyDescent="0.25">
      <c r="D49" t="s">
        <v>133</v>
      </c>
    </row>
    <row r="51" spans="4:5" x14ac:dyDescent="0.25">
      <c r="D51" t="s">
        <v>106</v>
      </c>
      <c r="E51" t="s">
        <v>126</v>
      </c>
    </row>
    <row r="52" spans="4:5" x14ac:dyDescent="0.25">
      <c r="D52" t="s">
        <v>108</v>
      </c>
      <c r="E52" t="s">
        <v>127</v>
      </c>
    </row>
    <row r="53" spans="4:5" x14ac:dyDescent="0.25">
      <c r="D53" t="s">
        <v>128</v>
      </c>
      <c r="E53">
        <v>29</v>
      </c>
    </row>
    <row r="54" spans="4:5" x14ac:dyDescent="0.25">
      <c r="D54" t="s">
        <v>129</v>
      </c>
      <c r="E54" t="s">
        <v>130</v>
      </c>
    </row>
    <row r="55" spans="4:5" x14ac:dyDescent="0.25">
      <c r="D55" t="s">
        <v>134</v>
      </c>
    </row>
    <row r="57" spans="4:5" x14ac:dyDescent="0.25">
      <c r="D57" t="s">
        <v>106</v>
      </c>
      <c r="E57" t="s">
        <v>126</v>
      </c>
    </row>
    <row r="58" spans="4:5" x14ac:dyDescent="0.25">
      <c r="D58" t="s">
        <v>108</v>
      </c>
      <c r="E58" t="s">
        <v>132</v>
      </c>
    </row>
    <row r="59" spans="4:5" x14ac:dyDescent="0.25">
      <c r="D59" t="s">
        <v>128</v>
      </c>
      <c r="E59">
        <v>29</v>
      </c>
    </row>
    <row r="60" spans="4:5" x14ac:dyDescent="0.25">
      <c r="D60" t="s">
        <v>135</v>
      </c>
    </row>
    <row r="62" spans="4:5" x14ac:dyDescent="0.25">
      <c r="D62" t="s">
        <v>106</v>
      </c>
      <c r="E62" t="s">
        <v>126</v>
      </c>
    </row>
    <row r="63" spans="4:5" x14ac:dyDescent="0.25">
      <c r="D63" t="s">
        <v>108</v>
      </c>
      <c r="E63" t="s">
        <v>136</v>
      </c>
    </row>
    <row r="64" spans="4:5" x14ac:dyDescent="0.25">
      <c r="D64" t="s">
        <v>137</v>
      </c>
      <c r="E64" t="s">
        <v>60</v>
      </c>
    </row>
    <row r="65" spans="4:5" x14ac:dyDescent="0.25">
      <c r="D65" t="s">
        <v>138</v>
      </c>
      <c r="E65">
        <v>2</v>
      </c>
    </row>
    <row r="66" spans="4:5" x14ac:dyDescent="0.25">
      <c r="D66" t="s">
        <v>139</v>
      </c>
      <c r="E66" t="s">
        <v>9</v>
      </c>
    </row>
    <row r="67" spans="4:5" x14ac:dyDescent="0.25">
      <c r="D67" t="s">
        <v>140</v>
      </c>
      <c r="E67">
        <v>2</v>
      </c>
    </row>
    <row r="68" spans="4:5" x14ac:dyDescent="0.25">
      <c r="D68" t="s">
        <v>128</v>
      </c>
      <c r="E68">
        <v>50</v>
      </c>
    </row>
    <row r="69" spans="4:5" x14ac:dyDescent="0.25">
      <c r="D69" t="s">
        <v>141</v>
      </c>
      <c r="E69">
        <v>0</v>
      </c>
    </row>
    <row r="70" spans="4:5" x14ac:dyDescent="0.25">
      <c r="D70" t="s">
        <v>142</v>
      </c>
      <c r="E70" t="s">
        <v>66</v>
      </c>
    </row>
    <row r="71" spans="4:5" x14ac:dyDescent="0.25">
      <c r="D71" t="s">
        <v>143</v>
      </c>
    </row>
    <row r="72" spans="4:5" x14ac:dyDescent="0.25">
      <c r="D72" t="s">
        <v>144</v>
      </c>
    </row>
    <row r="73" spans="4:5" x14ac:dyDescent="0.25">
      <c r="D73" t="s">
        <v>145</v>
      </c>
      <c r="E73">
        <v>0</v>
      </c>
    </row>
    <row r="74" spans="4:5" x14ac:dyDescent="0.25">
      <c r="D74" t="s">
        <v>146</v>
      </c>
      <c r="E74" t="s">
        <v>147</v>
      </c>
    </row>
    <row r="75" spans="4:5" x14ac:dyDescent="0.25">
      <c r="D75" t="s">
        <v>148</v>
      </c>
    </row>
    <row r="77" spans="4:5" x14ac:dyDescent="0.25">
      <c r="D77" t="s">
        <v>106</v>
      </c>
      <c r="E77" t="s">
        <v>126</v>
      </c>
    </row>
    <row r="78" spans="4:5" x14ac:dyDescent="0.25">
      <c r="D78" t="s">
        <v>108</v>
      </c>
      <c r="E78" t="s">
        <v>136</v>
      </c>
    </row>
    <row r="79" spans="4:5" x14ac:dyDescent="0.25">
      <c r="D79" t="s">
        <v>137</v>
      </c>
      <c r="E79" t="s">
        <v>60</v>
      </c>
    </row>
    <row r="80" spans="4:5" x14ac:dyDescent="0.25">
      <c r="D80" t="s">
        <v>138</v>
      </c>
      <c r="E80">
        <v>2</v>
      </c>
    </row>
    <row r="81" spans="2:5" x14ac:dyDescent="0.25">
      <c r="D81" t="s">
        <v>139</v>
      </c>
      <c r="E81" t="s">
        <v>64</v>
      </c>
    </row>
    <row r="82" spans="2:5" x14ac:dyDescent="0.25">
      <c r="D82" t="s">
        <v>140</v>
      </c>
      <c r="E82">
        <v>2</v>
      </c>
    </row>
    <row r="83" spans="2:5" x14ac:dyDescent="0.25">
      <c r="D83" t="s">
        <v>128</v>
      </c>
      <c r="E83">
        <v>29</v>
      </c>
    </row>
    <row r="84" spans="2:5" x14ac:dyDescent="0.25">
      <c r="D84" t="s">
        <v>141</v>
      </c>
      <c r="E84">
        <v>50</v>
      </c>
    </row>
    <row r="85" spans="2:5" x14ac:dyDescent="0.25">
      <c r="D85" t="s">
        <v>142</v>
      </c>
      <c r="E85" t="s">
        <v>23</v>
      </c>
    </row>
    <row r="86" spans="2:5" x14ac:dyDescent="0.25">
      <c r="D86" t="s">
        <v>143</v>
      </c>
    </row>
    <row r="87" spans="2:5" x14ac:dyDescent="0.25">
      <c r="D87" t="s">
        <v>144</v>
      </c>
    </row>
    <row r="88" spans="2:5" x14ac:dyDescent="0.25">
      <c r="D88" t="s">
        <v>145</v>
      </c>
      <c r="E88">
        <v>0</v>
      </c>
    </row>
    <row r="89" spans="2:5" x14ac:dyDescent="0.25">
      <c r="D89" t="s">
        <v>146</v>
      </c>
      <c r="E89" t="s">
        <v>147</v>
      </c>
    </row>
    <row r="90" spans="2:5" x14ac:dyDescent="0.25">
      <c r="D90" t="s">
        <v>149</v>
      </c>
    </row>
    <row r="95" spans="2:5" x14ac:dyDescent="0.25">
      <c r="B95" t="s">
        <v>118</v>
      </c>
    </row>
    <row r="96" spans="2:5" x14ac:dyDescent="0.25">
      <c r="B96" t="s">
        <v>150</v>
      </c>
    </row>
    <row r="97" spans="2:8" x14ac:dyDescent="0.25">
      <c r="B97" t="s">
        <v>120</v>
      </c>
    </row>
    <row r="98" spans="2:8" x14ac:dyDescent="0.25">
      <c r="B98" t="s">
        <v>121</v>
      </c>
    </row>
    <row r="99" spans="2:8" x14ac:dyDescent="0.25">
      <c r="B99" t="s">
        <v>122</v>
      </c>
    </row>
    <row r="100" spans="2:8" x14ac:dyDescent="0.25">
      <c r="B100" t="s">
        <v>123</v>
      </c>
    </row>
    <row r="101" spans="2:8" x14ac:dyDescent="0.25">
      <c r="B101" t="s">
        <v>151</v>
      </c>
    </row>
    <row r="102" spans="2:8" x14ac:dyDescent="0.25">
      <c r="B102" t="s">
        <v>152</v>
      </c>
    </row>
    <row r="104" spans="2:8" x14ac:dyDescent="0.25">
      <c r="C104" t="s">
        <v>25</v>
      </c>
    </row>
    <row r="106" spans="2:8" x14ac:dyDescent="0.25">
      <c r="D106" t="s">
        <v>106</v>
      </c>
      <c r="E106" t="s">
        <v>126</v>
      </c>
    </row>
    <row r="107" spans="2:8" x14ac:dyDescent="0.25">
      <c r="D107" t="s">
        <v>108</v>
      </c>
      <c r="E107" t="s">
        <v>127</v>
      </c>
    </row>
    <row r="108" spans="2:8" x14ac:dyDescent="0.25">
      <c r="D108" t="s">
        <v>128</v>
      </c>
      <c r="E108">
        <v>105.291139240506</v>
      </c>
      <c r="F108">
        <v>105.291139240506</v>
      </c>
      <c r="G108">
        <v>105.291139240506</v>
      </c>
      <c r="H108">
        <v>105.291139240506</v>
      </c>
    </row>
    <row r="109" spans="2:8" x14ac:dyDescent="0.25">
      <c r="D109" t="s">
        <v>129</v>
      </c>
      <c r="E109" t="s">
        <v>497</v>
      </c>
      <c r="F109" t="s">
        <v>497</v>
      </c>
      <c r="G109" t="s">
        <v>497</v>
      </c>
      <c r="H109" t="s">
        <v>130</v>
      </c>
    </row>
    <row r="110" spans="2:8" x14ac:dyDescent="0.25">
      <c r="D110" t="s">
        <v>153</v>
      </c>
    </row>
    <row r="112" spans="2:8" x14ac:dyDescent="0.25">
      <c r="D112" t="s">
        <v>106</v>
      </c>
      <c r="E112" t="s">
        <v>126</v>
      </c>
    </row>
    <row r="113" spans="4:8" x14ac:dyDescent="0.25">
      <c r="D113" t="s">
        <v>108</v>
      </c>
      <c r="E113" t="s">
        <v>132</v>
      </c>
    </row>
    <row r="114" spans="4:8" x14ac:dyDescent="0.25">
      <c r="D114" t="s">
        <v>128</v>
      </c>
      <c r="E114">
        <v>105.291139240506</v>
      </c>
      <c r="F114">
        <v>105.291139240506</v>
      </c>
      <c r="G114">
        <v>105.291139240506</v>
      </c>
      <c r="H114">
        <v>105.291139240506</v>
      </c>
    </row>
    <row r="115" spans="4:8" x14ac:dyDescent="0.25">
      <c r="D115" t="s">
        <v>154</v>
      </c>
    </row>
    <row r="117" spans="4:8" x14ac:dyDescent="0.25">
      <c r="D117" t="s">
        <v>106</v>
      </c>
      <c r="E117" t="s">
        <v>126</v>
      </c>
    </row>
    <row r="118" spans="4:8" x14ac:dyDescent="0.25">
      <c r="D118" t="s">
        <v>108</v>
      </c>
      <c r="E118" t="s">
        <v>127</v>
      </c>
    </row>
    <row r="119" spans="4:8" x14ac:dyDescent="0.25">
      <c r="D119" t="s">
        <v>128</v>
      </c>
      <c r="E119">
        <v>61.068860759493603</v>
      </c>
      <c r="F119">
        <v>61.068860759493603</v>
      </c>
      <c r="G119">
        <v>61.068860759493603</v>
      </c>
      <c r="H119">
        <v>61.068860759493603</v>
      </c>
    </row>
    <row r="120" spans="4:8" x14ac:dyDescent="0.25">
      <c r="D120" t="s">
        <v>129</v>
      </c>
      <c r="E120" t="s">
        <v>497</v>
      </c>
      <c r="F120" t="s">
        <v>497</v>
      </c>
      <c r="G120" t="s">
        <v>497</v>
      </c>
      <c r="H120" t="s">
        <v>130</v>
      </c>
    </row>
    <row r="121" spans="4:8" x14ac:dyDescent="0.25">
      <c r="D121" t="s">
        <v>155</v>
      </c>
    </row>
    <row r="123" spans="4:8" x14ac:dyDescent="0.25">
      <c r="D123" t="s">
        <v>106</v>
      </c>
      <c r="E123" t="s">
        <v>126</v>
      </c>
    </row>
    <row r="124" spans="4:8" x14ac:dyDescent="0.25">
      <c r="D124" t="s">
        <v>108</v>
      </c>
      <c r="E124" t="s">
        <v>132</v>
      </c>
    </row>
    <row r="125" spans="4:8" x14ac:dyDescent="0.25">
      <c r="D125" t="s">
        <v>128</v>
      </c>
      <c r="E125">
        <v>61.068860759493603</v>
      </c>
      <c r="F125">
        <v>61.068860759493603</v>
      </c>
      <c r="G125">
        <v>61.068860759493603</v>
      </c>
      <c r="H125">
        <v>61.068860759493603</v>
      </c>
    </row>
    <row r="126" spans="4:8" x14ac:dyDescent="0.25">
      <c r="D126" t="s">
        <v>156</v>
      </c>
    </row>
    <row r="128" spans="4:8" x14ac:dyDescent="0.25">
      <c r="D128" t="s">
        <v>106</v>
      </c>
      <c r="E128" t="s">
        <v>126</v>
      </c>
    </row>
    <row r="129" spans="4:8" x14ac:dyDescent="0.25">
      <c r="D129" t="s">
        <v>108</v>
      </c>
      <c r="E129" t="s">
        <v>136</v>
      </c>
    </row>
    <row r="130" spans="4:8" x14ac:dyDescent="0.25">
      <c r="D130" t="s">
        <v>137</v>
      </c>
      <c r="E130" t="s">
        <v>61</v>
      </c>
      <c r="F130" t="s">
        <v>61</v>
      </c>
      <c r="G130" t="s">
        <v>61</v>
      </c>
      <c r="H130" t="s">
        <v>61</v>
      </c>
    </row>
    <row r="131" spans="4:8" x14ac:dyDescent="0.25">
      <c r="D131" t="s">
        <v>138</v>
      </c>
      <c r="E131">
        <v>1</v>
      </c>
      <c r="F131">
        <v>3</v>
      </c>
      <c r="G131">
        <v>4</v>
      </c>
      <c r="H131">
        <v>5</v>
      </c>
    </row>
    <row r="132" spans="4:8" x14ac:dyDescent="0.25">
      <c r="D132" t="s">
        <v>139</v>
      </c>
      <c r="E132" t="s">
        <v>9</v>
      </c>
      <c r="F132" t="s">
        <v>9</v>
      </c>
      <c r="G132" t="s">
        <v>9</v>
      </c>
      <c r="H132" t="s">
        <v>9</v>
      </c>
    </row>
    <row r="133" spans="4:8" x14ac:dyDescent="0.25">
      <c r="D133" t="s">
        <v>140</v>
      </c>
      <c r="E133">
        <v>1</v>
      </c>
      <c r="F133">
        <v>3</v>
      </c>
      <c r="G133">
        <v>4</v>
      </c>
      <c r="H133">
        <v>5</v>
      </c>
    </row>
    <row r="134" spans="4:8" x14ac:dyDescent="0.25">
      <c r="D134" t="s">
        <v>128</v>
      </c>
      <c r="E134">
        <v>105.291139240506</v>
      </c>
      <c r="F134">
        <v>105.291139240506</v>
      </c>
      <c r="G134">
        <v>105.291139240506</v>
      </c>
      <c r="H134">
        <v>105.291139240506</v>
      </c>
    </row>
    <row r="135" spans="4:8" x14ac:dyDescent="0.25">
      <c r="D135" t="s">
        <v>141</v>
      </c>
      <c r="E135">
        <v>0</v>
      </c>
      <c r="F135">
        <v>0</v>
      </c>
      <c r="G135">
        <v>0</v>
      </c>
      <c r="H135">
        <v>0</v>
      </c>
    </row>
    <row r="136" spans="4:8" x14ac:dyDescent="0.25">
      <c r="D136" t="s">
        <v>142</v>
      </c>
      <c r="E136" t="s">
        <v>66</v>
      </c>
      <c r="F136" t="s">
        <v>66</v>
      </c>
      <c r="G136" t="s">
        <v>66</v>
      </c>
      <c r="H136" t="s">
        <v>66</v>
      </c>
    </row>
    <row r="137" spans="4:8" x14ac:dyDescent="0.25">
      <c r="D137" t="s">
        <v>143</v>
      </c>
    </row>
    <row r="138" spans="4:8" x14ac:dyDescent="0.25">
      <c r="D138" t="s">
        <v>144</v>
      </c>
    </row>
    <row r="139" spans="4:8" x14ac:dyDescent="0.25">
      <c r="D139" t="s">
        <v>145</v>
      </c>
      <c r="E139">
        <v>0</v>
      </c>
    </row>
    <row r="140" spans="4:8" x14ac:dyDescent="0.25">
      <c r="D140" t="s">
        <v>146</v>
      </c>
      <c r="E140" t="s">
        <v>147</v>
      </c>
    </row>
    <row r="141" spans="4:8" x14ac:dyDescent="0.25">
      <c r="D141" t="s">
        <v>157</v>
      </c>
    </row>
    <row r="143" spans="4:8" x14ac:dyDescent="0.25">
      <c r="D143" t="s">
        <v>106</v>
      </c>
      <c r="E143" t="s">
        <v>126</v>
      </c>
    </row>
    <row r="144" spans="4:8" x14ac:dyDescent="0.25">
      <c r="D144" t="s">
        <v>108</v>
      </c>
      <c r="E144" t="s">
        <v>136</v>
      </c>
    </row>
    <row r="145" spans="4:8" x14ac:dyDescent="0.25">
      <c r="D145" t="s">
        <v>137</v>
      </c>
      <c r="E145" t="s">
        <v>61</v>
      </c>
      <c r="F145" t="s">
        <v>61</v>
      </c>
      <c r="G145" t="s">
        <v>61</v>
      </c>
      <c r="H145" t="s">
        <v>61</v>
      </c>
    </row>
    <row r="146" spans="4:8" x14ac:dyDescent="0.25">
      <c r="D146" t="s">
        <v>138</v>
      </c>
      <c r="E146">
        <v>1</v>
      </c>
      <c r="F146">
        <v>3</v>
      </c>
      <c r="G146">
        <v>4</v>
      </c>
      <c r="H146">
        <v>5</v>
      </c>
    </row>
    <row r="147" spans="4:8" x14ac:dyDescent="0.25">
      <c r="D147" t="s">
        <v>139</v>
      </c>
      <c r="E147" t="s">
        <v>64</v>
      </c>
      <c r="F147" t="s">
        <v>64</v>
      </c>
      <c r="G147" t="s">
        <v>64</v>
      </c>
      <c r="H147" t="s">
        <v>64</v>
      </c>
    </row>
    <row r="148" spans="4:8" x14ac:dyDescent="0.25">
      <c r="D148" t="s">
        <v>140</v>
      </c>
      <c r="E148">
        <v>1</v>
      </c>
      <c r="F148">
        <v>3</v>
      </c>
      <c r="G148">
        <v>4</v>
      </c>
      <c r="H148">
        <v>5</v>
      </c>
    </row>
    <row r="149" spans="4:8" x14ac:dyDescent="0.25">
      <c r="D149" t="s">
        <v>128</v>
      </c>
      <c r="E149">
        <v>61.068860759493603</v>
      </c>
      <c r="F149">
        <v>61.068860759493603</v>
      </c>
      <c r="G149">
        <v>61.068860759493603</v>
      </c>
      <c r="H149">
        <v>61.068860759493603</v>
      </c>
    </row>
    <row r="150" spans="4:8" x14ac:dyDescent="0.25">
      <c r="D150" t="s">
        <v>141</v>
      </c>
      <c r="E150">
        <v>105.291139240506</v>
      </c>
      <c r="F150">
        <v>105.291139240506</v>
      </c>
      <c r="G150">
        <v>105.291139240506</v>
      </c>
      <c r="H150">
        <v>105.291139240506</v>
      </c>
    </row>
    <row r="151" spans="4:8" x14ac:dyDescent="0.25">
      <c r="D151" t="s">
        <v>142</v>
      </c>
      <c r="E151" t="s">
        <v>23</v>
      </c>
      <c r="F151" t="s">
        <v>23</v>
      </c>
      <c r="G151" t="s">
        <v>23</v>
      </c>
      <c r="H151" t="s">
        <v>23</v>
      </c>
    </row>
    <row r="152" spans="4:8" x14ac:dyDescent="0.25">
      <c r="D152" t="s">
        <v>143</v>
      </c>
    </row>
    <row r="153" spans="4:8" x14ac:dyDescent="0.25">
      <c r="D153" t="s">
        <v>144</v>
      </c>
    </row>
    <row r="154" spans="4:8" x14ac:dyDescent="0.25">
      <c r="D154" t="s">
        <v>145</v>
      </c>
      <c r="E154">
        <v>0</v>
      </c>
    </row>
    <row r="155" spans="4:8" x14ac:dyDescent="0.25">
      <c r="D155" t="s">
        <v>146</v>
      </c>
      <c r="E155" t="s">
        <v>147</v>
      </c>
    </row>
    <row r="156" spans="4:8" x14ac:dyDescent="0.25">
      <c r="D156" t="s">
        <v>158</v>
      </c>
    </row>
    <row r="161" spans="2:5" x14ac:dyDescent="0.25">
      <c r="B161" t="s">
        <v>159</v>
      </c>
    </row>
    <row r="162" spans="2:5" x14ac:dyDescent="0.25">
      <c r="B162" t="s">
        <v>160</v>
      </c>
    </row>
    <row r="163" spans="2:5" x14ac:dyDescent="0.25">
      <c r="B163" t="s">
        <v>161</v>
      </c>
    </row>
    <row r="164" spans="2:5" x14ac:dyDescent="0.25">
      <c r="B164" t="s">
        <v>162</v>
      </c>
    </row>
    <row r="165" spans="2:5" x14ac:dyDescent="0.25">
      <c r="B165" t="s">
        <v>163</v>
      </c>
    </row>
    <row r="166" spans="2:5" x14ac:dyDescent="0.25">
      <c r="B166" t="s">
        <v>164</v>
      </c>
    </row>
    <row r="167" spans="2:5" x14ac:dyDescent="0.25">
      <c r="B167" t="s">
        <v>165</v>
      </c>
    </row>
    <row r="169" spans="2:5" x14ac:dyDescent="0.25">
      <c r="C169" t="s">
        <v>25</v>
      </c>
    </row>
    <row r="171" spans="2:5" x14ac:dyDescent="0.25">
      <c r="D171" t="s">
        <v>106</v>
      </c>
      <c r="E171" t="s">
        <v>126</v>
      </c>
    </row>
    <row r="172" spans="2:5" x14ac:dyDescent="0.25">
      <c r="D172" t="s">
        <v>108</v>
      </c>
      <c r="E172" t="s">
        <v>127</v>
      </c>
    </row>
    <row r="173" spans="2:5" x14ac:dyDescent="0.25">
      <c r="D173" t="s">
        <v>128</v>
      </c>
      <c r="E173">
        <v>1.53</v>
      </c>
    </row>
    <row r="174" spans="2:5" x14ac:dyDescent="0.25">
      <c r="D174" t="s">
        <v>129</v>
      </c>
      <c r="E174" t="s">
        <v>130</v>
      </c>
    </row>
    <row r="175" spans="2:5" x14ac:dyDescent="0.25">
      <c r="D175" t="s">
        <v>166</v>
      </c>
    </row>
    <row r="177" spans="4:5" x14ac:dyDescent="0.25">
      <c r="D177" t="s">
        <v>106</v>
      </c>
      <c r="E177" t="s">
        <v>126</v>
      </c>
    </row>
    <row r="178" spans="4:5" x14ac:dyDescent="0.25">
      <c r="D178" t="s">
        <v>108</v>
      </c>
      <c r="E178" t="s">
        <v>132</v>
      </c>
    </row>
    <row r="179" spans="4:5" x14ac:dyDescent="0.25">
      <c r="D179" t="s">
        <v>128</v>
      </c>
      <c r="E179">
        <v>1.5</v>
      </c>
    </row>
    <row r="180" spans="4:5" x14ac:dyDescent="0.25">
      <c r="D180" t="s">
        <v>167</v>
      </c>
    </row>
    <row r="182" spans="4:5" x14ac:dyDescent="0.25">
      <c r="D182" t="s">
        <v>106</v>
      </c>
      <c r="E182" t="s">
        <v>126</v>
      </c>
    </row>
    <row r="183" spans="4:5" x14ac:dyDescent="0.25">
      <c r="D183" t="s">
        <v>108</v>
      </c>
      <c r="E183" t="s">
        <v>136</v>
      </c>
    </row>
    <row r="184" spans="4:5" x14ac:dyDescent="0.25">
      <c r="D184" t="s">
        <v>137</v>
      </c>
      <c r="E184" t="s">
        <v>60</v>
      </c>
    </row>
    <row r="185" spans="4:5" x14ac:dyDescent="0.25">
      <c r="D185" t="s">
        <v>138</v>
      </c>
      <c r="E185">
        <v>2</v>
      </c>
    </row>
    <row r="186" spans="4:5" x14ac:dyDescent="0.25">
      <c r="D186" t="s">
        <v>139</v>
      </c>
      <c r="E186" t="s">
        <v>67</v>
      </c>
    </row>
    <row r="187" spans="4:5" x14ac:dyDescent="0.25">
      <c r="D187" t="s">
        <v>140</v>
      </c>
      <c r="E187">
        <v>2</v>
      </c>
    </row>
    <row r="188" spans="4:5" x14ac:dyDescent="0.25">
      <c r="D188" t="s">
        <v>128</v>
      </c>
      <c r="E188">
        <v>1.53</v>
      </c>
    </row>
    <row r="189" spans="4:5" x14ac:dyDescent="0.25">
      <c r="D189" t="s">
        <v>141</v>
      </c>
      <c r="E189">
        <v>79</v>
      </c>
    </row>
    <row r="190" spans="4:5" x14ac:dyDescent="0.25">
      <c r="D190" t="s">
        <v>142</v>
      </c>
      <c r="E190" t="s">
        <v>23</v>
      </c>
    </row>
    <row r="191" spans="4:5" x14ac:dyDescent="0.25">
      <c r="D191" t="s">
        <v>143</v>
      </c>
    </row>
    <row r="192" spans="4:5" x14ac:dyDescent="0.25">
      <c r="D192" t="s">
        <v>144</v>
      </c>
    </row>
    <row r="193" spans="2:5" x14ac:dyDescent="0.25">
      <c r="D193" t="s">
        <v>145</v>
      </c>
      <c r="E193">
        <v>0</v>
      </c>
    </row>
    <row r="194" spans="2:5" x14ac:dyDescent="0.25">
      <c r="D194" t="s">
        <v>146</v>
      </c>
      <c r="E194" t="s">
        <v>147</v>
      </c>
    </row>
    <row r="195" spans="2:5" x14ac:dyDescent="0.25">
      <c r="D195" t="s">
        <v>168</v>
      </c>
    </row>
    <row r="200" spans="2:5" x14ac:dyDescent="0.25">
      <c r="B200" t="s">
        <v>159</v>
      </c>
    </row>
    <row r="201" spans="2:5" x14ac:dyDescent="0.25">
      <c r="B201" t="s">
        <v>169</v>
      </c>
    </row>
    <row r="202" spans="2:5" x14ac:dyDescent="0.25">
      <c r="B202" t="s">
        <v>161</v>
      </c>
    </row>
    <row r="203" spans="2:5" x14ac:dyDescent="0.25">
      <c r="B203" t="s">
        <v>162</v>
      </c>
    </row>
    <row r="204" spans="2:5" x14ac:dyDescent="0.25">
      <c r="B204" t="s">
        <v>163</v>
      </c>
    </row>
    <row r="205" spans="2:5" x14ac:dyDescent="0.25">
      <c r="B205" t="s">
        <v>170</v>
      </c>
    </row>
    <row r="206" spans="2:5" x14ac:dyDescent="0.25">
      <c r="B206" t="s">
        <v>165</v>
      </c>
    </row>
    <row r="208" spans="2:5" x14ac:dyDescent="0.25">
      <c r="C208" t="s">
        <v>25</v>
      </c>
    </row>
    <row r="210" spans="4:8" x14ac:dyDescent="0.25">
      <c r="D210" t="s">
        <v>106</v>
      </c>
      <c r="E210" t="s">
        <v>126</v>
      </c>
    </row>
    <row r="211" spans="4:8" x14ac:dyDescent="0.25">
      <c r="D211" t="s">
        <v>108</v>
      </c>
      <c r="E211" t="s">
        <v>127</v>
      </c>
    </row>
    <row r="212" spans="4:8" x14ac:dyDescent="0.25">
      <c r="D212" t="s">
        <v>128</v>
      </c>
      <c r="E212">
        <v>3.11</v>
      </c>
      <c r="F212">
        <v>3.11</v>
      </c>
      <c r="G212">
        <v>3.11</v>
      </c>
      <c r="H212">
        <v>3.11</v>
      </c>
    </row>
    <row r="213" spans="4:8" x14ac:dyDescent="0.25">
      <c r="D213" t="s">
        <v>129</v>
      </c>
      <c r="E213" t="s">
        <v>497</v>
      </c>
      <c r="F213" t="s">
        <v>497</v>
      </c>
      <c r="G213" t="s">
        <v>497</v>
      </c>
      <c r="H213" t="s">
        <v>130</v>
      </c>
    </row>
    <row r="214" spans="4:8" x14ac:dyDescent="0.25">
      <c r="D214" t="s">
        <v>171</v>
      </c>
    </row>
    <row r="216" spans="4:8" x14ac:dyDescent="0.25">
      <c r="D216" t="s">
        <v>106</v>
      </c>
      <c r="E216" t="s">
        <v>126</v>
      </c>
    </row>
    <row r="217" spans="4:8" x14ac:dyDescent="0.25">
      <c r="D217" t="s">
        <v>108</v>
      </c>
      <c r="E217" t="s">
        <v>132</v>
      </c>
    </row>
    <row r="218" spans="4:8" x14ac:dyDescent="0.25">
      <c r="D218" t="s">
        <v>128</v>
      </c>
      <c r="E218">
        <v>3.11</v>
      </c>
      <c r="F218">
        <v>3.11</v>
      </c>
      <c r="G218">
        <v>3.11</v>
      </c>
      <c r="H218">
        <v>3.1</v>
      </c>
    </row>
    <row r="219" spans="4:8" x14ac:dyDescent="0.25">
      <c r="D219" t="s">
        <v>172</v>
      </c>
    </row>
    <row r="221" spans="4:8" x14ac:dyDescent="0.25">
      <c r="D221" t="s">
        <v>106</v>
      </c>
      <c r="E221" t="s">
        <v>126</v>
      </c>
    </row>
    <row r="222" spans="4:8" x14ac:dyDescent="0.25">
      <c r="D222" t="s">
        <v>108</v>
      </c>
      <c r="E222" t="s">
        <v>136</v>
      </c>
    </row>
    <row r="223" spans="4:8" x14ac:dyDescent="0.25">
      <c r="D223" t="s">
        <v>137</v>
      </c>
      <c r="E223" t="s">
        <v>61</v>
      </c>
      <c r="F223" t="s">
        <v>61</v>
      </c>
      <c r="G223" t="s">
        <v>61</v>
      </c>
      <c r="H223" t="s">
        <v>61</v>
      </c>
    </row>
    <row r="224" spans="4:8" x14ac:dyDescent="0.25">
      <c r="D224" t="s">
        <v>138</v>
      </c>
      <c r="E224">
        <v>1</v>
      </c>
      <c r="F224">
        <v>3</v>
      </c>
      <c r="G224">
        <v>4</v>
      </c>
      <c r="H224">
        <v>5</v>
      </c>
    </row>
    <row r="225" spans="2:8" x14ac:dyDescent="0.25">
      <c r="D225" t="s">
        <v>139</v>
      </c>
      <c r="E225" t="s">
        <v>67</v>
      </c>
      <c r="F225" t="s">
        <v>67</v>
      </c>
      <c r="G225" t="s">
        <v>67</v>
      </c>
      <c r="H225" t="s">
        <v>67</v>
      </c>
    </row>
    <row r="226" spans="2:8" x14ac:dyDescent="0.25">
      <c r="D226" t="s">
        <v>140</v>
      </c>
      <c r="E226">
        <v>1</v>
      </c>
      <c r="F226">
        <v>3</v>
      </c>
      <c r="G226">
        <v>4</v>
      </c>
      <c r="H226">
        <v>5</v>
      </c>
    </row>
    <row r="227" spans="2:8" x14ac:dyDescent="0.25">
      <c r="D227" t="s">
        <v>128</v>
      </c>
      <c r="E227">
        <v>3.11</v>
      </c>
      <c r="F227">
        <v>3.11</v>
      </c>
      <c r="G227">
        <v>3.11</v>
      </c>
      <c r="H227">
        <v>3.11</v>
      </c>
    </row>
    <row r="228" spans="2:8" x14ac:dyDescent="0.25">
      <c r="D228" t="s">
        <v>141</v>
      </c>
      <c r="E228">
        <v>166.36</v>
      </c>
      <c r="F228">
        <v>166.36</v>
      </c>
      <c r="G228">
        <v>166.36</v>
      </c>
      <c r="H228">
        <v>166.36</v>
      </c>
    </row>
    <row r="229" spans="2:8" x14ac:dyDescent="0.25">
      <c r="D229" t="s">
        <v>142</v>
      </c>
      <c r="E229" t="s">
        <v>23</v>
      </c>
      <c r="F229" t="s">
        <v>23</v>
      </c>
      <c r="G229" t="s">
        <v>23</v>
      </c>
      <c r="H229" t="s">
        <v>23</v>
      </c>
    </row>
    <row r="230" spans="2:8" x14ac:dyDescent="0.25">
      <c r="D230" t="s">
        <v>143</v>
      </c>
    </row>
    <row r="231" spans="2:8" x14ac:dyDescent="0.25">
      <c r="D231" t="s">
        <v>144</v>
      </c>
    </row>
    <row r="232" spans="2:8" x14ac:dyDescent="0.25">
      <c r="D232" t="s">
        <v>145</v>
      </c>
      <c r="E232">
        <v>0</v>
      </c>
    </row>
    <row r="233" spans="2:8" x14ac:dyDescent="0.25">
      <c r="D233" t="s">
        <v>146</v>
      </c>
      <c r="E233" t="s">
        <v>147</v>
      </c>
    </row>
    <row r="234" spans="2:8" x14ac:dyDescent="0.25">
      <c r="D234" t="s">
        <v>173</v>
      </c>
    </row>
    <row r="239" spans="2:8" x14ac:dyDescent="0.25">
      <c r="B239" t="s">
        <v>174</v>
      </c>
    </row>
    <row r="240" spans="2:8" x14ac:dyDescent="0.25">
      <c r="B240" t="s">
        <v>175</v>
      </c>
    </row>
    <row r="241" spans="2:5" x14ac:dyDescent="0.25">
      <c r="B241" t="s">
        <v>176</v>
      </c>
    </row>
    <row r="242" spans="2:5" x14ac:dyDescent="0.25">
      <c r="B242" t="s">
        <v>177</v>
      </c>
    </row>
    <row r="243" spans="2:5" x14ac:dyDescent="0.25">
      <c r="B243" t="s">
        <v>178</v>
      </c>
    </row>
    <row r="245" spans="2:5" x14ac:dyDescent="0.25">
      <c r="C245" t="s">
        <v>25</v>
      </c>
    </row>
    <row r="247" spans="2:5" x14ac:dyDescent="0.25">
      <c r="D247" t="s">
        <v>106</v>
      </c>
      <c r="E247" t="s">
        <v>179</v>
      </c>
    </row>
    <row r="248" spans="2:5" x14ac:dyDescent="0.25">
      <c r="D248" t="s">
        <v>108</v>
      </c>
      <c r="E248" t="s">
        <v>180</v>
      </c>
    </row>
    <row r="249" spans="2:5" x14ac:dyDescent="0.25">
      <c r="D249" t="s">
        <v>181</v>
      </c>
      <c r="E249" t="s">
        <v>182</v>
      </c>
    </row>
    <row r="250" spans="2:5" x14ac:dyDescent="0.25">
      <c r="D250" t="s">
        <v>183</v>
      </c>
    </row>
    <row r="252" spans="2:5" x14ac:dyDescent="0.25">
      <c r="D252" t="s">
        <v>106</v>
      </c>
      <c r="E252" t="s">
        <v>179</v>
      </c>
    </row>
    <row r="253" spans="2:5" x14ac:dyDescent="0.25">
      <c r="D253" t="s">
        <v>108</v>
      </c>
      <c r="E253" t="s">
        <v>184</v>
      </c>
    </row>
    <row r="254" spans="2:5" x14ac:dyDescent="0.25">
      <c r="D254" t="s">
        <v>181</v>
      </c>
      <c r="E254" t="s">
        <v>182</v>
      </c>
    </row>
    <row r="255" spans="2:5" x14ac:dyDescent="0.25">
      <c r="D255" t="s">
        <v>185</v>
      </c>
    </row>
    <row r="257" spans="4:5" x14ac:dyDescent="0.25">
      <c r="D257" t="s">
        <v>106</v>
      </c>
      <c r="E257" t="s">
        <v>107</v>
      </c>
    </row>
    <row r="258" spans="4:5" x14ac:dyDescent="0.25">
      <c r="D258" t="s">
        <v>108</v>
      </c>
      <c r="E258" t="s">
        <v>186</v>
      </c>
    </row>
    <row r="259" spans="4:5" x14ac:dyDescent="0.25">
      <c r="D259" t="s">
        <v>110</v>
      </c>
      <c r="E259" t="s">
        <v>182</v>
      </c>
    </row>
    <row r="260" spans="4:5" x14ac:dyDescent="0.25">
      <c r="D260" t="s">
        <v>187</v>
      </c>
    </row>
    <row r="262" spans="4:5" x14ac:dyDescent="0.25">
      <c r="D262" t="s">
        <v>106</v>
      </c>
      <c r="E262" t="s">
        <v>107</v>
      </c>
    </row>
    <row r="263" spans="4:5" x14ac:dyDescent="0.25">
      <c r="D263" t="s">
        <v>108</v>
      </c>
      <c r="E263" t="s">
        <v>188</v>
      </c>
    </row>
    <row r="264" spans="4:5" x14ac:dyDescent="0.25">
      <c r="D264" t="s">
        <v>110</v>
      </c>
      <c r="E264" t="s">
        <v>182</v>
      </c>
    </row>
    <row r="265" spans="4:5" x14ac:dyDescent="0.25">
      <c r="D265" t="s">
        <v>189</v>
      </c>
    </row>
    <row r="267" spans="4:5" x14ac:dyDescent="0.25">
      <c r="D267" t="s">
        <v>106</v>
      </c>
      <c r="E267" t="s">
        <v>190</v>
      </c>
    </row>
    <row r="268" spans="4:5" x14ac:dyDescent="0.25">
      <c r="D268" t="s">
        <v>108</v>
      </c>
      <c r="E268" t="s">
        <v>109</v>
      </c>
    </row>
    <row r="269" spans="4:5" x14ac:dyDescent="0.25">
      <c r="D269" t="s">
        <v>110</v>
      </c>
      <c r="E269" t="s">
        <v>182</v>
      </c>
    </row>
    <row r="270" spans="4:5" x14ac:dyDescent="0.25">
      <c r="D270" t="s">
        <v>191</v>
      </c>
    </row>
    <row r="272" spans="4:5" x14ac:dyDescent="0.25">
      <c r="D272" t="s">
        <v>106</v>
      </c>
      <c r="E272" t="s">
        <v>190</v>
      </c>
    </row>
    <row r="273" spans="4:5" x14ac:dyDescent="0.25">
      <c r="D273" t="s">
        <v>108</v>
      </c>
      <c r="E273" t="s">
        <v>192</v>
      </c>
    </row>
    <row r="274" spans="4:5" x14ac:dyDescent="0.25">
      <c r="D274" t="s">
        <v>110</v>
      </c>
      <c r="E274" t="s">
        <v>182</v>
      </c>
    </row>
    <row r="275" spans="4:5" x14ac:dyDescent="0.25">
      <c r="D275" t="s">
        <v>193</v>
      </c>
    </row>
    <row r="277" spans="4:5" x14ac:dyDescent="0.25">
      <c r="D277" t="s">
        <v>106</v>
      </c>
      <c r="E277" t="s">
        <v>190</v>
      </c>
    </row>
    <row r="278" spans="4:5" x14ac:dyDescent="0.25">
      <c r="D278" t="s">
        <v>108</v>
      </c>
      <c r="E278" t="s">
        <v>194</v>
      </c>
    </row>
    <row r="279" spans="4:5" x14ac:dyDescent="0.25">
      <c r="D279" t="s">
        <v>110</v>
      </c>
      <c r="E279" t="s">
        <v>182</v>
      </c>
    </row>
    <row r="280" spans="4:5" x14ac:dyDescent="0.25">
      <c r="D280" t="s">
        <v>195</v>
      </c>
    </row>
    <row r="282" spans="4:5" x14ac:dyDescent="0.25">
      <c r="D282" t="s">
        <v>106</v>
      </c>
      <c r="E282" t="s">
        <v>107</v>
      </c>
    </row>
    <row r="283" spans="4:5" x14ac:dyDescent="0.25">
      <c r="D283" t="s">
        <v>108</v>
      </c>
      <c r="E283" t="s">
        <v>192</v>
      </c>
    </row>
    <row r="284" spans="4:5" x14ac:dyDescent="0.25">
      <c r="D284" t="s">
        <v>110</v>
      </c>
      <c r="E284" t="s">
        <v>182</v>
      </c>
    </row>
    <row r="285" spans="4:5" x14ac:dyDescent="0.25">
      <c r="D285" t="s">
        <v>196</v>
      </c>
    </row>
    <row r="287" spans="4:5" x14ac:dyDescent="0.25">
      <c r="D287" t="s">
        <v>106</v>
      </c>
      <c r="E287" t="s">
        <v>107</v>
      </c>
    </row>
    <row r="288" spans="4:5" x14ac:dyDescent="0.25">
      <c r="D288" t="s">
        <v>108</v>
      </c>
      <c r="E288" t="s">
        <v>194</v>
      </c>
    </row>
    <row r="289" spans="4:5" x14ac:dyDescent="0.25">
      <c r="D289" t="s">
        <v>110</v>
      </c>
      <c r="E289" t="s">
        <v>182</v>
      </c>
    </row>
    <row r="290" spans="4:5" x14ac:dyDescent="0.25">
      <c r="D290" t="s">
        <v>197</v>
      </c>
    </row>
    <row r="292" spans="4:5" x14ac:dyDescent="0.25">
      <c r="D292" t="s">
        <v>106</v>
      </c>
      <c r="E292" t="s">
        <v>198</v>
      </c>
    </row>
    <row r="293" spans="4:5" x14ac:dyDescent="0.25">
      <c r="D293" t="s">
        <v>108</v>
      </c>
      <c r="E293" t="s">
        <v>199</v>
      </c>
    </row>
    <row r="294" spans="4:5" x14ac:dyDescent="0.25">
      <c r="D294" t="s">
        <v>200</v>
      </c>
    </row>
    <row r="295" spans="4:5" x14ac:dyDescent="0.25">
      <c r="D295" t="s">
        <v>201</v>
      </c>
    </row>
    <row r="296" spans="4:5" x14ac:dyDescent="0.25">
      <c r="D296" t="s">
        <v>202</v>
      </c>
    </row>
    <row r="297" spans="4:5" x14ac:dyDescent="0.25">
      <c r="D297" t="s">
        <v>203</v>
      </c>
    </row>
    <row r="298" spans="4:5" x14ac:dyDescent="0.25">
      <c r="D298" t="s">
        <v>204</v>
      </c>
      <c r="E298" t="b">
        <v>0</v>
      </c>
    </row>
    <row r="299" spans="4:5" x14ac:dyDescent="0.25">
      <c r="D299" t="s">
        <v>205</v>
      </c>
      <c r="E299" t="s">
        <v>147</v>
      </c>
    </row>
    <row r="300" spans="4:5" x14ac:dyDescent="0.25">
      <c r="D300" t="s">
        <v>206</v>
      </c>
    </row>
    <row r="302" spans="4:5" x14ac:dyDescent="0.25">
      <c r="D302" t="s">
        <v>106</v>
      </c>
      <c r="E302" t="s">
        <v>198</v>
      </c>
    </row>
    <row r="303" spans="4:5" x14ac:dyDescent="0.25">
      <c r="D303" t="s">
        <v>108</v>
      </c>
      <c r="E303" t="s">
        <v>199</v>
      </c>
    </row>
    <row r="304" spans="4:5" x14ac:dyDescent="0.25">
      <c r="D304" t="s">
        <v>200</v>
      </c>
    </row>
    <row r="305" spans="4:5" x14ac:dyDescent="0.25">
      <c r="D305" t="s">
        <v>201</v>
      </c>
    </row>
    <row r="306" spans="4:5" x14ac:dyDescent="0.25">
      <c r="D306" t="s">
        <v>202</v>
      </c>
    </row>
    <row r="307" spans="4:5" x14ac:dyDescent="0.25">
      <c r="D307" t="s">
        <v>203</v>
      </c>
    </row>
    <row r="308" spans="4:5" x14ac:dyDescent="0.25">
      <c r="D308" t="s">
        <v>204</v>
      </c>
      <c r="E308" t="b">
        <v>1</v>
      </c>
    </row>
    <row r="309" spans="4:5" x14ac:dyDescent="0.25">
      <c r="D309" t="s">
        <v>205</v>
      </c>
      <c r="E309" t="s">
        <v>147</v>
      </c>
    </row>
    <row r="310" spans="4:5" x14ac:dyDescent="0.25">
      <c r="D310" t="s">
        <v>207</v>
      </c>
    </row>
    <row r="312" spans="4:5" x14ac:dyDescent="0.25">
      <c r="D312" t="s">
        <v>106</v>
      </c>
      <c r="E312" t="s">
        <v>107</v>
      </c>
    </row>
    <row r="313" spans="4:5" x14ac:dyDescent="0.25">
      <c r="D313" t="s">
        <v>108</v>
      </c>
      <c r="E313" t="s">
        <v>208</v>
      </c>
    </row>
    <row r="314" spans="4:5" x14ac:dyDescent="0.25">
      <c r="D314" t="s">
        <v>110</v>
      </c>
      <c r="E314" t="s">
        <v>60</v>
      </c>
    </row>
    <row r="315" spans="4:5" x14ac:dyDescent="0.25">
      <c r="D315" t="s">
        <v>111</v>
      </c>
      <c r="E315">
        <v>37</v>
      </c>
    </row>
    <row r="316" spans="4:5" x14ac:dyDescent="0.25">
      <c r="D316" t="s">
        <v>112</v>
      </c>
      <c r="E316">
        <v>0</v>
      </c>
    </row>
    <row r="317" spans="4:5" x14ac:dyDescent="0.25">
      <c r="D317" t="s">
        <v>209</v>
      </c>
    </row>
    <row r="322" spans="2:5" x14ac:dyDescent="0.25">
      <c r="B322" t="s">
        <v>174</v>
      </c>
    </row>
    <row r="323" spans="2:5" x14ac:dyDescent="0.25">
      <c r="B323" t="s">
        <v>210</v>
      </c>
    </row>
    <row r="324" spans="2:5" x14ac:dyDescent="0.25">
      <c r="B324" t="s">
        <v>176</v>
      </c>
    </row>
    <row r="325" spans="2:5" x14ac:dyDescent="0.25">
      <c r="B325" t="s">
        <v>177</v>
      </c>
    </row>
    <row r="326" spans="2:5" x14ac:dyDescent="0.25">
      <c r="B326" t="s">
        <v>178</v>
      </c>
    </row>
    <row r="328" spans="2:5" x14ac:dyDescent="0.25">
      <c r="C328" t="s">
        <v>25</v>
      </c>
    </row>
    <row r="330" spans="2:5" x14ac:dyDescent="0.25">
      <c r="D330" t="s">
        <v>106</v>
      </c>
      <c r="E330" t="s">
        <v>179</v>
      </c>
    </row>
    <row r="331" spans="2:5" x14ac:dyDescent="0.25">
      <c r="D331" t="s">
        <v>108</v>
      </c>
      <c r="E331" t="s">
        <v>180</v>
      </c>
    </row>
    <row r="332" spans="2:5" x14ac:dyDescent="0.25">
      <c r="D332" t="s">
        <v>181</v>
      </c>
      <c r="E332" t="s">
        <v>211</v>
      </c>
    </row>
    <row r="333" spans="2:5" x14ac:dyDescent="0.25">
      <c r="D333" t="s">
        <v>212</v>
      </c>
    </row>
    <row r="335" spans="2:5" x14ac:dyDescent="0.25">
      <c r="D335" t="s">
        <v>106</v>
      </c>
      <c r="E335" t="s">
        <v>179</v>
      </c>
    </row>
    <row r="336" spans="2:5" x14ac:dyDescent="0.25">
      <c r="D336" t="s">
        <v>108</v>
      </c>
      <c r="E336" t="s">
        <v>184</v>
      </c>
    </row>
    <row r="337" spans="4:5" x14ac:dyDescent="0.25">
      <c r="D337" t="s">
        <v>181</v>
      </c>
      <c r="E337" t="s">
        <v>211</v>
      </c>
    </row>
    <row r="338" spans="4:5" x14ac:dyDescent="0.25">
      <c r="D338" t="s">
        <v>213</v>
      </c>
    </row>
    <row r="340" spans="4:5" x14ac:dyDescent="0.25">
      <c r="D340" t="s">
        <v>106</v>
      </c>
      <c r="E340" t="s">
        <v>107</v>
      </c>
    </row>
    <row r="341" spans="4:5" x14ac:dyDescent="0.25">
      <c r="D341" t="s">
        <v>108</v>
      </c>
      <c r="E341" t="s">
        <v>186</v>
      </c>
    </row>
    <row r="342" spans="4:5" x14ac:dyDescent="0.25">
      <c r="D342" t="s">
        <v>110</v>
      </c>
      <c r="E342" t="s">
        <v>211</v>
      </c>
    </row>
    <row r="343" spans="4:5" x14ac:dyDescent="0.25">
      <c r="D343" t="s">
        <v>214</v>
      </c>
    </row>
    <row r="345" spans="4:5" x14ac:dyDescent="0.25">
      <c r="D345" t="s">
        <v>106</v>
      </c>
      <c r="E345" t="s">
        <v>107</v>
      </c>
    </row>
    <row r="346" spans="4:5" x14ac:dyDescent="0.25">
      <c r="D346" t="s">
        <v>108</v>
      </c>
      <c r="E346" t="s">
        <v>188</v>
      </c>
    </row>
    <row r="347" spans="4:5" x14ac:dyDescent="0.25">
      <c r="D347" t="s">
        <v>110</v>
      </c>
      <c r="E347" t="s">
        <v>211</v>
      </c>
    </row>
    <row r="348" spans="4:5" x14ac:dyDescent="0.25">
      <c r="D348" t="s">
        <v>215</v>
      </c>
    </row>
    <row r="350" spans="4:5" x14ac:dyDescent="0.25">
      <c r="D350" t="s">
        <v>106</v>
      </c>
      <c r="E350" t="s">
        <v>190</v>
      </c>
    </row>
    <row r="351" spans="4:5" x14ac:dyDescent="0.25">
      <c r="D351" t="s">
        <v>108</v>
      </c>
      <c r="E351" t="s">
        <v>109</v>
      </c>
    </row>
    <row r="352" spans="4:5" x14ac:dyDescent="0.25">
      <c r="D352" t="s">
        <v>110</v>
      </c>
      <c r="E352" t="s">
        <v>211</v>
      </c>
    </row>
    <row r="353" spans="4:5" x14ac:dyDescent="0.25">
      <c r="D353" t="s">
        <v>216</v>
      </c>
    </row>
    <row r="355" spans="4:5" x14ac:dyDescent="0.25">
      <c r="D355" t="s">
        <v>106</v>
      </c>
      <c r="E355" t="s">
        <v>190</v>
      </c>
    </row>
    <row r="356" spans="4:5" x14ac:dyDescent="0.25">
      <c r="D356" t="s">
        <v>108</v>
      </c>
      <c r="E356" t="s">
        <v>192</v>
      </c>
    </row>
    <row r="357" spans="4:5" x14ac:dyDescent="0.25">
      <c r="D357" t="s">
        <v>110</v>
      </c>
      <c r="E357" t="s">
        <v>211</v>
      </c>
    </row>
    <row r="358" spans="4:5" x14ac:dyDescent="0.25">
      <c r="D358" t="s">
        <v>217</v>
      </c>
    </row>
    <row r="360" spans="4:5" x14ac:dyDescent="0.25">
      <c r="D360" t="s">
        <v>106</v>
      </c>
      <c r="E360" t="s">
        <v>190</v>
      </c>
    </row>
    <row r="361" spans="4:5" x14ac:dyDescent="0.25">
      <c r="D361" t="s">
        <v>108</v>
      </c>
      <c r="E361" t="s">
        <v>194</v>
      </c>
    </row>
    <row r="362" spans="4:5" x14ac:dyDescent="0.25">
      <c r="D362" t="s">
        <v>110</v>
      </c>
      <c r="E362" t="s">
        <v>211</v>
      </c>
    </row>
    <row r="363" spans="4:5" x14ac:dyDescent="0.25">
      <c r="D363" t="s">
        <v>218</v>
      </c>
    </row>
    <row r="365" spans="4:5" x14ac:dyDescent="0.25">
      <c r="D365" t="s">
        <v>106</v>
      </c>
      <c r="E365" t="s">
        <v>107</v>
      </c>
    </row>
    <row r="366" spans="4:5" x14ac:dyDescent="0.25">
      <c r="D366" t="s">
        <v>108</v>
      </c>
      <c r="E366" t="s">
        <v>192</v>
      </c>
    </row>
    <row r="367" spans="4:5" x14ac:dyDescent="0.25">
      <c r="D367" t="s">
        <v>110</v>
      </c>
      <c r="E367" t="s">
        <v>211</v>
      </c>
    </row>
    <row r="368" spans="4:5" x14ac:dyDescent="0.25">
      <c r="D368" t="s">
        <v>219</v>
      </c>
    </row>
    <row r="370" spans="4:5" x14ac:dyDescent="0.25">
      <c r="D370" t="s">
        <v>106</v>
      </c>
      <c r="E370" t="s">
        <v>107</v>
      </c>
    </row>
    <row r="371" spans="4:5" x14ac:dyDescent="0.25">
      <c r="D371" t="s">
        <v>108</v>
      </c>
      <c r="E371" t="s">
        <v>194</v>
      </c>
    </row>
    <row r="372" spans="4:5" x14ac:dyDescent="0.25">
      <c r="D372" t="s">
        <v>110</v>
      </c>
      <c r="E372" t="s">
        <v>211</v>
      </c>
    </row>
    <row r="373" spans="4:5" x14ac:dyDescent="0.25">
      <c r="D373" t="s">
        <v>220</v>
      </c>
    </row>
    <row r="375" spans="4:5" x14ac:dyDescent="0.25">
      <c r="D375" t="s">
        <v>106</v>
      </c>
      <c r="E375" t="s">
        <v>198</v>
      </c>
    </row>
    <row r="376" spans="4:5" x14ac:dyDescent="0.25">
      <c r="D376" t="s">
        <v>108</v>
      </c>
      <c r="E376" t="s">
        <v>199</v>
      </c>
    </row>
    <row r="377" spans="4:5" x14ac:dyDescent="0.25">
      <c r="D377" t="s">
        <v>200</v>
      </c>
    </row>
    <row r="378" spans="4:5" x14ac:dyDescent="0.25">
      <c r="D378" t="s">
        <v>201</v>
      </c>
    </row>
    <row r="379" spans="4:5" x14ac:dyDescent="0.25">
      <c r="D379" t="s">
        <v>202</v>
      </c>
    </row>
    <row r="380" spans="4:5" x14ac:dyDescent="0.25">
      <c r="D380" t="s">
        <v>203</v>
      </c>
    </row>
    <row r="381" spans="4:5" x14ac:dyDescent="0.25">
      <c r="D381" t="s">
        <v>204</v>
      </c>
      <c r="E381" t="b">
        <v>0</v>
      </c>
    </row>
    <row r="382" spans="4:5" x14ac:dyDescent="0.25">
      <c r="D382" t="s">
        <v>205</v>
      </c>
      <c r="E382" t="s">
        <v>147</v>
      </c>
    </row>
    <row r="383" spans="4:5" x14ac:dyDescent="0.25">
      <c r="D383" t="s">
        <v>221</v>
      </c>
    </row>
    <row r="385" spans="4:5" x14ac:dyDescent="0.25">
      <c r="D385" t="s">
        <v>106</v>
      </c>
      <c r="E385" t="s">
        <v>198</v>
      </c>
    </row>
    <row r="386" spans="4:5" x14ac:dyDescent="0.25">
      <c r="D386" t="s">
        <v>108</v>
      </c>
      <c r="E386" t="s">
        <v>199</v>
      </c>
    </row>
    <row r="387" spans="4:5" x14ac:dyDescent="0.25">
      <c r="D387" t="s">
        <v>200</v>
      </c>
    </row>
    <row r="388" spans="4:5" x14ac:dyDescent="0.25">
      <c r="D388" t="s">
        <v>201</v>
      </c>
    </row>
    <row r="389" spans="4:5" x14ac:dyDescent="0.25">
      <c r="D389" t="s">
        <v>202</v>
      </c>
    </row>
    <row r="390" spans="4:5" x14ac:dyDescent="0.25">
      <c r="D390" t="s">
        <v>203</v>
      </c>
    </row>
    <row r="391" spans="4:5" x14ac:dyDescent="0.25">
      <c r="D391" t="s">
        <v>204</v>
      </c>
      <c r="E391" t="b">
        <v>1</v>
      </c>
    </row>
    <row r="392" spans="4:5" x14ac:dyDescent="0.25">
      <c r="D392" t="s">
        <v>205</v>
      </c>
      <c r="E392" t="s">
        <v>147</v>
      </c>
    </row>
    <row r="393" spans="4:5" x14ac:dyDescent="0.25">
      <c r="D393" t="s">
        <v>222</v>
      </c>
    </row>
    <row r="395" spans="4:5" x14ac:dyDescent="0.25">
      <c r="D395" t="s">
        <v>106</v>
      </c>
      <c r="E395" t="s">
        <v>107</v>
      </c>
    </row>
    <row r="396" spans="4:5" x14ac:dyDescent="0.25">
      <c r="D396" t="s">
        <v>108</v>
      </c>
      <c r="E396" t="s">
        <v>208</v>
      </c>
    </row>
    <row r="397" spans="4:5" x14ac:dyDescent="0.25">
      <c r="D397" t="s">
        <v>110</v>
      </c>
      <c r="E397" t="s">
        <v>61</v>
      </c>
    </row>
    <row r="398" spans="4:5" x14ac:dyDescent="0.25">
      <c r="D398" t="s">
        <v>111</v>
      </c>
      <c r="E398">
        <v>37</v>
      </c>
    </row>
    <row r="399" spans="4:5" x14ac:dyDescent="0.25">
      <c r="D399" t="s">
        <v>112</v>
      </c>
      <c r="E399">
        <v>0</v>
      </c>
    </row>
    <row r="400" spans="4:5" x14ac:dyDescent="0.25">
      <c r="D400" t="s">
        <v>223</v>
      </c>
    </row>
    <row r="402" spans="4:5" x14ac:dyDescent="0.25">
      <c r="D402" t="s">
        <v>106</v>
      </c>
      <c r="E402" t="s">
        <v>224</v>
      </c>
    </row>
    <row r="403" spans="4:5" x14ac:dyDescent="0.25">
      <c r="D403" t="s">
        <v>108</v>
      </c>
      <c r="E403" t="s">
        <v>225</v>
      </c>
    </row>
    <row r="404" spans="4:5" x14ac:dyDescent="0.25">
      <c r="D404" t="s">
        <v>226</v>
      </c>
      <c r="E404">
        <v>1798.9</v>
      </c>
    </row>
    <row r="405" spans="4:5" x14ac:dyDescent="0.25">
      <c r="D405" t="s">
        <v>227</v>
      </c>
    </row>
    <row r="407" spans="4:5" x14ac:dyDescent="0.25">
      <c r="D407" t="s">
        <v>106</v>
      </c>
      <c r="E407" t="s">
        <v>224</v>
      </c>
    </row>
    <row r="408" spans="4:5" x14ac:dyDescent="0.25">
      <c r="D408" t="s">
        <v>108</v>
      </c>
      <c r="E408" t="s">
        <v>228</v>
      </c>
    </row>
    <row r="409" spans="4:5" x14ac:dyDescent="0.25">
      <c r="D409" t="s">
        <v>229</v>
      </c>
    </row>
    <row r="411" spans="4:5" x14ac:dyDescent="0.25">
      <c r="D411" t="s">
        <v>106</v>
      </c>
      <c r="E411" t="s">
        <v>107</v>
      </c>
    </row>
    <row r="412" spans="4:5" x14ac:dyDescent="0.25">
      <c r="D412" t="s">
        <v>108</v>
      </c>
      <c r="E412" t="s">
        <v>230</v>
      </c>
    </row>
    <row r="413" spans="4:5" x14ac:dyDescent="0.25">
      <c r="D413" t="s">
        <v>110</v>
      </c>
      <c r="E413" t="s">
        <v>182</v>
      </c>
    </row>
    <row r="414" spans="4:5" x14ac:dyDescent="0.25">
      <c r="D414" t="s">
        <v>231</v>
      </c>
    </row>
    <row r="416" spans="4:5" x14ac:dyDescent="0.25">
      <c r="D416" t="s">
        <v>106</v>
      </c>
      <c r="E416" t="s">
        <v>190</v>
      </c>
    </row>
    <row r="417" spans="4:5" x14ac:dyDescent="0.25">
      <c r="D417" t="s">
        <v>108</v>
      </c>
      <c r="E417" t="s">
        <v>192</v>
      </c>
    </row>
    <row r="418" spans="4:5" x14ac:dyDescent="0.25">
      <c r="D418" t="s">
        <v>110</v>
      </c>
      <c r="E418" t="s">
        <v>182</v>
      </c>
    </row>
    <row r="419" spans="4:5" x14ac:dyDescent="0.25">
      <c r="D419" t="s">
        <v>232</v>
      </c>
    </row>
    <row r="421" spans="4:5" x14ac:dyDescent="0.25">
      <c r="D421" t="s">
        <v>106</v>
      </c>
      <c r="E421" t="s">
        <v>190</v>
      </c>
    </row>
    <row r="422" spans="4:5" x14ac:dyDescent="0.25">
      <c r="D422" t="s">
        <v>108</v>
      </c>
      <c r="E422" t="s">
        <v>194</v>
      </c>
    </row>
    <row r="423" spans="4:5" x14ac:dyDescent="0.25">
      <c r="D423" t="s">
        <v>110</v>
      </c>
      <c r="E423" t="s">
        <v>182</v>
      </c>
    </row>
    <row r="424" spans="4:5" x14ac:dyDescent="0.25">
      <c r="D424" t="s">
        <v>233</v>
      </c>
    </row>
    <row r="426" spans="4:5" x14ac:dyDescent="0.25">
      <c r="D426" t="s">
        <v>106</v>
      </c>
      <c r="E426" t="s">
        <v>107</v>
      </c>
    </row>
    <row r="427" spans="4:5" x14ac:dyDescent="0.25">
      <c r="D427" t="s">
        <v>108</v>
      </c>
      <c r="E427" t="s">
        <v>192</v>
      </c>
    </row>
    <row r="428" spans="4:5" x14ac:dyDescent="0.25">
      <c r="D428" t="s">
        <v>110</v>
      </c>
      <c r="E428" t="s">
        <v>182</v>
      </c>
    </row>
    <row r="429" spans="4:5" x14ac:dyDescent="0.25">
      <c r="D429" t="s">
        <v>234</v>
      </c>
    </row>
    <row r="431" spans="4:5" x14ac:dyDescent="0.25">
      <c r="D431" t="s">
        <v>106</v>
      </c>
      <c r="E431" t="s">
        <v>107</v>
      </c>
    </row>
    <row r="432" spans="4:5" x14ac:dyDescent="0.25">
      <c r="D432" t="s">
        <v>108</v>
      </c>
      <c r="E432" t="s">
        <v>194</v>
      </c>
    </row>
    <row r="433" spans="4:5" x14ac:dyDescent="0.25">
      <c r="D433" t="s">
        <v>110</v>
      </c>
      <c r="E433" t="s">
        <v>182</v>
      </c>
    </row>
    <row r="434" spans="4:5" x14ac:dyDescent="0.25">
      <c r="D434" t="s">
        <v>235</v>
      </c>
    </row>
    <row r="436" spans="4:5" x14ac:dyDescent="0.25">
      <c r="D436" t="s">
        <v>106</v>
      </c>
      <c r="E436" t="s">
        <v>179</v>
      </c>
    </row>
    <row r="437" spans="4:5" x14ac:dyDescent="0.25">
      <c r="D437" t="s">
        <v>108</v>
      </c>
      <c r="E437" t="s">
        <v>180</v>
      </c>
    </row>
    <row r="438" spans="4:5" x14ac:dyDescent="0.25">
      <c r="D438" t="s">
        <v>181</v>
      </c>
      <c r="E438" t="s">
        <v>182</v>
      </c>
    </row>
    <row r="439" spans="4:5" x14ac:dyDescent="0.25">
      <c r="D439" t="s">
        <v>236</v>
      </c>
    </row>
    <row r="441" spans="4:5" x14ac:dyDescent="0.25">
      <c r="D441" t="s">
        <v>106</v>
      </c>
      <c r="E441" t="s">
        <v>179</v>
      </c>
    </row>
    <row r="442" spans="4:5" x14ac:dyDescent="0.25">
      <c r="D442" t="s">
        <v>108</v>
      </c>
      <c r="E442" t="s">
        <v>184</v>
      </c>
    </row>
    <row r="443" spans="4:5" x14ac:dyDescent="0.25">
      <c r="D443" t="s">
        <v>181</v>
      </c>
      <c r="E443" t="s">
        <v>182</v>
      </c>
    </row>
    <row r="444" spans="4:5" x14ac:dyDescent="0.25">
      <c r="D444" t="s">
        <v>237</v>
      </c>
    </row>
    <row r="446" spans="4:5" x14ac:dyDescent="0.25">
      <c r="D446" t="s">
        <v>106</v>
      </c>
      <c r="E446" t="s">
        <v>107</v>
      </c>
    </row>
    <row r="447" spans="4:5" x14ac:dyDescent="0.25">
      <c r="D447" t="s">
        <v>108</v>
      </c>
      <c r="E447" t="s">
        <v>186</v>
      </c>
    </row>
    <row r="448" spans="4:5" x14ac:dyDescent="0.25">
      <c r="D448" t="s">
        <v>110</v>
      </c>
      <c r="E448" t="s">
        <v>182</v>
      </c>
    </row>
    <row r="449" spans="4:5" x14ac:dyDescent="0.25">
      <c r="D449" t="s">
        <v>238</v>
      </c>
    </row>
    <row r="451" spans="4:5" x14ac:dyDescent="0.25">
      <c r="D451" t="s">
        <v>106</v>
      </c>
      <c r="E451" t="s">
        <v>107</v>
      </c>
    </row>
    <row r="452" spans="4:5" x14ac:dyDescent="0.25">
      <c r="D452" t="s">
        <v>108</v>
      </c>
      <c r="E452" t="s">
        <v>188</v>
      </c>
    </row>
    <row r="453" spans="4:5" x14ac:dyDescent="0.25">
      <c r="D453" t="s">
        <v>110</v>
      </c>
      <c r="E453" t="s">
        <v>182</v>
      </c>
    </row>
    <row r="454" spans="4:5" x14ac:dyDescent="0.25">
      <c r="D454" t="s">
        <v>239</v>
      </c>
    </row>
    <row r="456" spans="4:5" x14ac:dyDescent="0.25">
      <c r="D456" t="s">
        <v>106</v>
      </c>
      <c r="E456" t="s">
        <v>198</v>
      </c>
    </row>
    <row r="457" spans="4:5" x14ac:dyDescent="0.25">
      <c r="D457" t="s">
        <v>108</v>
      </c>
      <c r="E457" t="s">
        <v>199</v>
      </c>
    </row>
    <row r="458" spans="4:5" x14ac:dyDescent="0.25">
      <c r="D458" t="s">
        <v>200</v>
      </c>
    </row>
    <row r="459" spans="4:5" x14ac:dyDescent="0.25">
      <c r="D459" t="s">
        <v>201</v>
      </c>
    </row>
    <row r="460" spans="4:5" x14ac:dyDescent="0.25">
      <c r="D460" t="s">
        <v>202</v>
      </c>
    </row>
    <row r="461" spans="4:5" x14ac:dyDescent="0.25">
      <c r="D461" t="s">
        <v>203</v>
      </c>
    </row>
    <row r="462" spans="4:5" x14ac:dyDescent="0.25">
      <c r="D462" t="s">
        <v>204</v>
      </c>
      <c r="E462" t="b">
        <v>0</v>
      </c>
    </row>
    <row r="463" spans="4:5" x14ac:dyDescent="0.25">
      <c r="D463" t="s">
        <v>205</v>
      </c>
      <c r="E463" t="s">
        <v>240</v>
      </c>
    </row>
    <row r="464" spans="4:5" x14ac:dyDescent="0.25">
      <c r="D464" t="s">
        <v>241</v>
      </c>
    </row>
    <row r="466" spans="4:5" x14ac:dyDescent="0.25">
      <c r="D466" t="s">
        <v>106</v>
      </c>
      <c r="E466" t="s">
        <v>198</v>
      </c>
    </row>
    <row r="467" spans="4:5" x14ac:dyDescent="0.25">
      <c r="D467" t="s">
        <v>108</v>
      </c>
      <c r="E467" t="s">
        <v>199</v>
      </c>
    </row>
    <row r="468" spans="4:5" x14ac:dyDescent="0.25">
      <c r="D468" t="s">
        <v>200</v>
      </c>
    </row>
    <row r="469" spans="4:5" x14ac:dyDescent="0.25">
      <c r="D469" t="s">
        <v>201</v>
      </c>
    </row>
    <row r="470" spans="4:5" x14ac:dyDescent="0.25">
      <c r="D470" t="s">
        <v>202</v>
      </c>
    </row>
    <row r="471" spans="4:5" x14ac:dyDescent="0.25">
      <c r="D471" t="s">
        <v>203</v>
      </c>
    </row>
    <row r="472" spans="4:5" x14ac:dyDescent="0.25">
      <c r="D472" t="s">
        <v>204</v>
      </c>
      <c r="E472" t="b">
        <v>1</v>
      </c>
    </row>
    <row r="473" spans="4:5" x14ac:dyDescent="0.25">
      <c r="D473" t="s">
        <v>205</v>
      </c>
      <c r="E473" t="s">
        <v>240</v>
      </c>
    </row>
    <row r="474" spans="4:5" x14ac:dyDescent="0.25">
      <c r="D474" t="s">
        <v>242</v>
      </c>
    </row>
    <row r="476" spans="4:5" x14ac:dyDescent="0.25">
      <c r="D476" t="s">
        <v>106</v>
      </c>
      <c r="E476" t="s">
        <v>107</v>
      </c>
    </row>
    <row r="477" spans="4:5" x14ac:dyDescent="0.25">
      <c r="D477" t="s">
        <v>108</v>
      </c>
      <c r="E477" t="s">
        <v>243</v>
      </c>
    </row>
    <row r="478" spans="4:5" x14ac:dyDescent="0.25">
      <c r="D478" t="s">
        <v>110</v>
      </c>
      <c r="E478" t="s">
        <v>182</v>
      </c>
    </row>
    <row r="480" spans="4:5" x14ac:dyDescent="0.25">
      <c r="D480" t="s">
        <v>106</v>
      </c>
      <c r="E480" t="s">
        <v>190</v>
      </c>
    </row>
    <row r="481" spans="2:5" x14ac:dyDescent="0.25">
      <c r="D481" t="s">
        <v>108</v>
      </c>
      <c r="E481" t="s">
        <v>243</v>
      </c>
    </row>
    <row r="482" spans="2:5" x14ac:dyDescent="0.25">
      <c r="D482" t="s">
        <v>110</v>
      </c>
      <c r="E482" t="s">
        <v>182</v>
      </c>
    </row>
    <row r="483" spans="2:5" x14ac:dyDescent="0.25">
      <c r="D483" t="s">
        <v>244</v>
      </c>
    </row>
    <row r="485" spans="2:5" x14ac:dyDescent="0.25">
      <c r="D485" t="s">
        <v>106</v>
      </c>
      <c r="E485" t="s">
        <v>107</v>
      </c>
    </row>
    <row r="486" spans="2:5" x14ac:dyDescent="0.25">
      <c r="D486" t="s">
        <v>108</v>
      </c>
      <c r="E486" t="s">
        <v>109</v>
      </c>
    </row>
    <row r="487" spans="2:5" x14ac:dyDescent="0.25">
      <c r="D487" t="s">
        <v>110</v>
      </c>
      <c r="E487" t="s">
        <v>80</v>
      </c>
    </row>
    <row r="488" spans="2:5" x14ac:dyDescent="0.25">
      <c r="D488" t="s">
        <v>111</v>
      </c>
      <c r="E488">
        <v>37</v>
      </c>
    </row>
    <row r="489" spans="2:5" x14ac:dyDescent="0.25">
      <c r="D489" t="s">
        <v>112</v>
      </c>
      <c r="E489">
        <v>0</v>
      </c>
    </row>
    <row r="494" spans="2:5" x14ac:dyDescent="0.25">
      <c r="B494" t="s">
        <v>159</v>
      </c>
    </row>
    <row r="495" spans="2:5" x14ac:dyDescent="0.25">
      <c r="B495" t="s">
        <v>245</v>
      </c>
    </row>
    <row r="496" spans="2:5" x14ac:dyDescent="0.25">
      <c r="B496" t="s">
        <v>246</v>
      </c>
    </row>
    <row r="497" spans="2:5" x14ac:dyDescent="0.25">
      <c r="B497" t="s">
        <v>247</v>
      </c>
    </row>
    <row r="498" spans="2:5" x14ac:dyDescent="0.25">
      <c r="B498" t="s">
        <v>163</v>
      </c>
    </row>
    <row r="499" spans="2:5" x14ac:dyDescent="0.25">
      <c r="B499" t="s">
        <v>248</v>
      </c>
    </row>
    <row r="500" spans="2:5" x14ac:dyDescent="0.25">
      <c r="B500" t="s">
        <v>165</v>
      </c>
    </row>
    <row r="502" spans="2:5" x14ac:dyDescent="0.25">
      <c r="C502" t="s">
        <v>25</v>
      </c>
    </row>
    <row r="504" spans="2:5" x14ac:dyDescent="0.25">
      <c r="D504" t="s">
        <v>106</v>
      </c>
      <c r="E504" t="s">
        <v>126</v>
      </c>
    </row>
    <row r="505" spans="2:5" x14ac:dyDescent="0.25">
      <c r="D505" t="s">
        <v>108</v>
      </c>
      <c r="E505" t="s">
        <v>127</v>
      </c>
    </row>
    <row r="506" spans="2:5" x14ac:dyDescent="0.25">
      <c r="D506" t="s">
        <v>128</v>
      </c>
      <c r="E506">
        <v>19.8825</v>
      </c>
    </row>
    <row r="507" spans="2:5" x14ac:dyDescent="0.25">
      <c r="D507" t="s">
        <v>129</v>
      </c>
      <c r="E507" t="s">
        <v>130</v>
      </c>
    </row>
    <row r="508" spans="2:5" x14ac:dyDescent="0.25">
      <c r="D508" t="s">
        <v>249</v>
      </c>
    </row>
    <row r="510" spans="2:5" x14ac:dyDescent="0.25">
      <c r="D510" t="s">
        <v>106</v>
      </c>
      <c r="E510" t="s">
        <v>126</v>
      </c>
    </row>
    <row r="511" spans="2:5" x14ac:dyDescent="0.25">
      <c r="D511" t="s">
        <v>108</v>
      </c>
      <c r="E511" t="s">
        <v>132</v>
      </c>
    </row>
    <row r="512" spans="2:5" x14ac:dyDescent="0.25">
      <c r="D512" t="s">
        <v>128</v>
      </c>
      <c r="E512">
        <v>19.882000000000001</v>
      </c>
    </row>
    <row r="513" spans="4:5" x14ac:dyDescent="0.25">
      <c r="D513" t="s">
        <v>250</v>
      </c>
    </row>
    <row r="515" spans="4:5" x14ac:dyDescent="0.25">
      <c r="D515" t="s">
        <v>106</v>
      </c>
      <c r="E515" t="s">
        <v>126</v>
      </c>
    </row>
    <row r="516" spans="4:5" x14ac:dyDescent="0.25">
      <c r="D516" t="s">
        <v>108</v>
      </c>
      <c r="E516" t="s">
        <v>136</v>
      </c>
    </row>
    <row r="517" spans="4:5" x14ac:dyDescent="0.25">
      <c r="D517" t="s">
        <v>137</v>
      </c>
      <c r="E517" t="s">
        <v>60</v>
      </c>
    </row>
    <row r="518" spans="4:5" x14ac:dyDescent="0.25">
      <c r="D518" t="s">
        <v>138</v>
      </c>
      <c r="E518">
        <v>2</v>
      </c>
    </row>
    <row r="519" spans="4:5" x14ac:dyDescent="0.25">
      <c r="D519" t="s">
        <v>139</v>
      </c>
      <c r="E519" t="s">
        <v>71</v>
      </c>
    </row>
    <row r="520" spans="4:5" x14ac:dyDescent="0.25">
      <c r="D520" t="s">
        <v>140</v>
      </c>
      <c r="E520">
        <v>2</v>
      </c>
    </row>
    <row r="521" spans="4:5" x14ac:dyDescent="0.25">
      <c r="D521" t="s">
        <v>128</v>
      </c>
      <c r="E521">
        <v>19.8825</v>
      </c>
    </row>
    <row r="522" spans="4:5" x14ac:dyDescent="0.25">
      <c r="D522" t="s">
        <v>141</v>
      </c>
      <c r="E522">
        <v>80.53</v>
      </c>
    </row>
    <row r="523" spans="4:5" x14ac:dyDescent="0.25">
      <c r="D523" t="s">
        <v>142</v>
      </c>
      <c r="E523" t="s">
        <v>23</v>
      </c>
    </row>
    <row r="524" spans="4:5" x14ac:dyDescent="0.25">
      <c r="D524" t="s">
        <v>143</v>
      </c>
    </row>
    <row r="525" spans="4:5" x14ac:dyDescent="0.25">
      <c r="D525" t="s">
        <v>144</v>
      </c>
    </row>
    <row r="526" spans="4:5" x14ac:dyDescent="0.25">
      <c r="D526" t="s">
        <v>145</v>
      </c>
      <c r="E526">
        <v>0</v>
      </c>
    </row>
    <row r="527" spans="4:5" x14ac:dyDescent="0.25">
      <c r="D527" t="s">
        <v>146</v>
      </c>
      <c r="E527" t="s">
        <v>147</v>
      </c>
    </row>
    <row r="528" spans="4:5" x14ac:dyDescent="0.25">
      <c r="D528" t="s">
        <v>251</v>
      </c>
    </row>
    <row r="533" spans="2:5" x14ac:dyDescent="0.25">
      <c r="B533" t="s">
        <v>174</v>
      </c>
    </row>
    <row r="534" spans="2:5" x14ac:dyDescent="0.25">
      <c r="B534" t="s">
        <v>252</v>
      </c>
    </row>
    <row r="535" spans="2:5" x14ac:dyDescent="0.25">
      <c r="B535" t="s">
        <v>253</v>
      </c>
    </row>
    <row r="536" spans="2:5" x14ac:dyDescent="0.25">
      <c r="B536" t="s">
        <v>177</v>
      </c>
    </row>
    <row r="537" spans="2:5" x14ac:dyDescent="0.25">
      <c r="B537" t="s">
        <v>178</v>
      </c>
    </row>
    <row r="539" spans="2:5" x14ac:dyDescent="0.25">
      <c r="C539" t="s">
        <v>25</v>
      </c>
    </row>
    <row r="541" spans="2:5" x14ac:dyDescent="0.25">
      <c r="D541" t="s">
        <v>106</v>
      </c>
      <c r="E541" t="s">
        <v>179</v>
      </c>
    </row>
    <row r="542" spans="2:5" x14ac:dyDescent="0.25">
      <c r="D542" t="s">
        <v>108</v>
      </c>
      <c r="E542" t="s">
        <v>254</v>
      </c>
    </row>
    <row r="543" spans="2:5" x14ac:dyDescent="0.25">
      <c r="D543" t="s">
        <v>181</v>
      </c>
      <c r="E543" t="s">
        <v>182</v>
      </c>
    </row>
    <row r="544" spans="2:5" x14ac:dyDescent="0.25">
      <c r="D544" t="s">
        <v>255</v>
      </c>
    </row>
    <row r="546" spans="4:5" x14ac:dyDescent="0.25">
      <c r="D546" t="s">
        <v>106</v>
      </c>
      <c r="E546" t="s">
        <v>190</v>
      </c>
    </row>
    <row r="547" spans="4:5" x14ac:dyDescent="0.25">
      <c r="D547" t="s">
        <v>108</v>
      </c>
      <c r="E547" t="s">
        <v>109</v>
      </c>
    </row>
    <row r="548" spans="4:5" x14ac:dyDescent="0.25">
      <c r="D548" t="s">
        <v>110</v>
      </c>
      <c r="E548" t="s">
        <v>182</v>
      </c>
    </row>
    <row r="549" spans="4:5" x14ac:dyDescent="0.25">
      <c r="D549" t="s">
        <v>256</v>
      </c>
    </row>
    <row r="551" spans="4:5" x14ac:dyDescent="0.25">
      <c r="D551" t="s">
        <v>106</v>
      </c>
      <c r="E551" t="s">
        <v>190</v>
      </c>
    </row>
    <row r="552" spans="4:5" x14ac:dyDescent="0.25">
      <c r="D552" t="s">
        <v>108</v>
      </c>
      <c r="E552" t="s">
        <v>192</v>
      </c>
    </row>
    <row r="553" spans="4:5" x14ac:dyDescent="0.25">
      <c r="D553" t="s">
        <v>110</v>
      </c>
      <c r="E553" t="s">
        <v>182</v>
      </c>
    </row>
    <row r="554" spans="4:5" x14ac:dyDescent="0.25">
      <c r="D554" t="s">
        <v>257</v>
      </c>
    </row>
    <row r="556" spans="4:5" x14ac:dyDescent="0.25">
      <c r="D556" t="s">
        <v>106</v>
      </c>
      <c r="E556" t="s">
        <v>190</v>
      </c>
    </row>
    <row r="557" spans="4:5" x14ac:dyDescent="0.25">
      <c r="D557" t="s">
        <v>108</v>
      </c>
      <c r="E557" t="s">
        <v>194</v>
      </c>
    </row>
    <row r="558" spans="4:5" x14ac:dyDescent="0.25">
      <c r="D558" t="s">
        <v>110</v>
      </c>
      <c r="E558" t="s">
        <v>182</v>
      </c>
    </row>
    <row r="559" spans="4:5" x14ac:dyDescent="0.25">
      <c r="D559" t="s">
        <v>258</v>
      </c>
    </row>
    <row r="561" spans="4:5" x14ac:dyDescent="0.25">
      <c r="D561" t="s">
        <v>106</v>
      </c>
      <c r="E561" t="s">
        <v>198</v>
      </c>
    </row>
    <row r="562" spans="4:5" x14ac:dyDescent="0.25">
      <c r="D562" t="s">
        <v>108</v>
      </c>
      <c r="E562" t="s">
        <v>199</v>
      </c>
    </row>
    <row r="563" spans="4:5" x14ac:dyDescent="0.25">
      <c r="D563" t="s">
        <v>200</v>
      </c>
    </row>
    <row r="564" spans="4:5" x14ac:dyDescent="0.25">
      <c r="D564" t="s">
        <v>201</v>
      </c>
    </row>
    <row r="565" spans="4:5" x14ac:dyDescent="0.25">
      <c r="D565" t="s">
        <v>202</v>
      </c>
    </row>
    <row r="566" spans="4:5" x14ac:dyDescent="0.25">
      <c r="D566" t="s">
        <v>203</v>
      </c>
    </row>
    <row r="567" spans="4:5" x14ac:dyDescent="0.25">
      <c r="D567" t="s">
        <v>204</v>
      </c>
      <c r="E567" t="b">
        <v>1</v>
      </c>
    </row>
    <row r="568" spans="4:5" x14ac:dyDescent="0.25">
      <c r="D568" t="s">
        <v>205</v>
      </c>
      <c r="E568" t="s">
        <v>240</v>
      </c>
    </row>
    <row r="569" spans="4:5" x14ac:dyDescent="0.25">
      <c r="D569" t="s">
        <v>259</v>
      </c>
    </row>
    <row r="571" spans="4:5" x14ac:dyDescent="0.25">
      <c r="D571" t="s">
        <v>106</v>
      </c>
      <c r="E571" t="s">
        <v>224</v>
      </c>
    </row>
    <row r="572" spans="4:5" x14ac:dyDescent="0.25">
      <c r="D572" t="s">
        <v>108</v>
      </c>
      <c r="E572" t="s">
        <v>225</v>
      </c>
    </row>
    <row r="573" spans="4:5" x14ac:dyDescent="0.25">
      <c r="D573" t="s">
        <v>226</v>
      </c>
      <c r="E573">
        <v>1798.2</v>
      </c>
    </row>
    <row r="574" spans="4:5" x14ac:dyDescent="0.25">
      <c r="D574" t="s">
        <v>260</v>
      </c>
    </row>
    <row r="576" spans="4:5" x14ac:dyDescent="0.25">
      <c r="D576" t="s">
        <v>106</v>
      </c>
      <c r="E576" t="s">
        <v>224</v>
      </c>
    </row>
    <row r="577" spans="4:5" x14ac:dyDescent="0.25">
      <c r="D577" t="s">
        <v>108</v>
      </c>
      <c r="E577" t="s">
        <v>228</v>
      </c>
    </row>
    <row r="578" spans="4:5" x14ac:dyDescent="0.25">
      <c r="D578" t="s">
        <v>261</v>
      </c>
    </row>
    <row r="580" spans="4:5" x14ac:dyDescent="0.25">
      <c r="D580" t="s">
        <v>106</v>
      </c>
      <c r="E580" t="s">
        <v>107</v>
      </c>
    </row>
    <row r="581" spans="4:5" x14ac:dyDescent="0.25">
      <c r="D581" t="s">
        <v>108</v>
      </c>
      <c r="E581" t="s">
        <v>230</v>
      </c>
    </row>
    <row r="582" spans="4:5" x14ac:dyDescent="0.25">
      <c r="D582" t="s">
        <v>110</v>
      </c>
      <c r="E582" t="s">
        <v>211</v>
      </c>
    </row>
    <row r="583" spans="4:5" x14ac:dyDescent="0.25">
      <c r="D583" t="s">
        <v>262</v>
      </c>
    </row>
    <row r="585" spans="4:5" x14ac:dyDescent="0.25">
      <c r="D585" t="s">
        <v>106</v>
      </c>
      <c r="E585" t="s">
        <v>190</v>
      </c>
    </row>
    <row r="586" spans="4:5" x14ac:dyDescent="0.25">
      <c r="D586" t="s">
        <v>108</v>
      </c>
      <c r="E586" t="s">
        <v>192</v>
      </c>
    </row>
    <row r="587" spans="4:5" x14ac:dyDescent="0.25">
      <c r="D587" t="s">
        <v>110</v>
      </c>
      <c r="E587" t="s">
        <v>211</v>
      </c>
    </row>
    <row r="588" spans="4:5" x14ac:dyDescent="0.25">
      <c r="D588" t="s">
        <v>263</v>
      </c>
    </row>
    <row r="590" spans="4:5" x14ac:dyDescent="0.25">
      <c r="D590" t="s">
        <v>106</v>
      </c>
      <c r="E590" t="s">
        <v>190</v>
      </c>
    </row>
    <row r="591" spans="4:5" x14ac:dyDescent="0.25">
      <c r="D591" t="s">
        <v>108</v>
      </c>
      <c r="E591" t="s">
        <v>194</v>
      </c>
    </row>
    <row r="592" spans="4:5" x14ac:dyDescent="0.25">
      <c r="D592" t="s">
        <v>110</v>
      </c>
      <c r="E592" t="s">
        <v>211</v>
      </c>
    </row>
    <row r="593" spans="4:5" x14ac:dyDescent="0.25">
      <c r="D593" t="s">
        <v>264</v>
      </c>
    </row>
    <row r="595" spans="4:5" x14ac:dyDescent="0.25">
      <c r="D595" t="s">
        <v>106</v>
      </c>
      <c r="E595" t="s">
        <v>107</v>
      </c>
    </row>
    <row r="596" spans="4:5" x14ac:dyDescent="0.25">
      <c r="D596" t="s">
        <v>108</v>
      </c>
      <c r="E596" t="s">
        <v>192</v>
      </c>
    </row>
    <row r="597" spans="4:5" x14ac:dyDescent="0.25">
      <c r="D597" t="s">
        <v>110</v>
      </c>
      <c r="E597" t="s">
        <v>211</v>
      </c>
    </row>
    <row r="598" spans="4:5" x14ac:dyDescent="0.25">
      <c r="D598" t="s">
        <v>265</v>
      </c>
    </row>
    <row r="600" spans="4:5" x14ac:dyDescent="0.25">
      <c r="D600" t="s">
        <v>106</v>
      </c>
      <c r="E600" t="s">
        <v>107</v>
      </c>
    </row>
    <row r="601" spans="4:5" x14ac:dyDescent="0.25">
      <c r="D601" t="s">
        <v>108</v>
      </c>
      <c r="E601" t="s">
        <v>194</v>
      </c>
    </row>
    <row r="602" spans="4:5" x14ac:dyDescent="0.25">
      <c r="D602" t="s">
        <v>110</v>
      </c>
      <c r="E602" t="s">
        <v>211</v>
      </c>
    </row>
    <row r="603" spans="4:5" x14ac:dyDescent="0.25">
      <c r="D603" t="s">
        <v>266</v>
      </c>
    </row>
    <row r="605" spans="4:5" x14ac:dyDescent="0.25">
      <c r="D605" t="s">
        <v>106</v>
      </c>
      <c r="E605" t="s">
        <v>179</v>
      </c>
    </row>
    <row r="606" spans="4:5" x14ac:dyDescent="0.25">
      <c r="D606" t="s">
        <v>108</v>
      </c>
      <c r="E606" t="s">
        <v>180</v>
      </c>
    </row>
    <row r="607" spans="4:5" x14ac:dyDescent="0.25">
      <c r="D607" t="s">
        <v>181</v>
      </c>
      <c r="E607" t="s">
        <v>211</v>
      </c>
    </row>
    <row r="608" spans="4:5" x14ac:dyDescent="0.25">
      <c r="D608" t="s">
        <v>267</v>
      </c>
    </row>
    <row r="610" spans="4:5" x14ac:dyDescent="0.25">
      <c r="D610" t="s">
        <v>106</v>
      </c>
      <c r="E610" t="s">
        <v>179</v>
      </c>
    </row>
    <row r="611" spans="4:5" x14ac:dyDescent="0.25">
      <c r="D611" t="s">
        <v>108</v>
      </c>
      <c r="E611" t="s">
        <v>184</v>
      </c>
    </row>
    <row r="612" spans="4:5" x14ac:dyDescent="0.25">
      <c r="D612" t="s">
        <v>181</v>
      </c>
      <c r="E612" t="s">
        <v>211</v>
      </c>
    </row>
    <row r="613" spans="4:5" x14ac:dyDescent="0.25">
      <c r="D613" t="s">
        <v>268</v>
      </c>
    </row>
    <row r="615" spans="4:5" x14ac:dyDescent="0.25">
      <c r="D615" t="s">
        <v>106</v>
      </c>
      <c r="E615" t="s">
        <v>107</v>
      </c>
    </row>
    <row r="616" spans="4:5" x14ac:dyDescent="0.25">
      <c r="D616" t="s">
        <v>108</v>
      </c>
      <c r="E616" t="s">
        <v>186</v>
      </c>
    </row>
    <row r="617" spans="4:5" x14ac:dyDescent="0.25">
      <c r="D617" t="s">
        <v>110</v>
      </c>
      <c r="E617" t="s">
        <v>211</v>
      </c>
    </row>
    <row r="618" spans="4:5" x14ac:dyDescent="0.25">
      <c r="D618" t="s">
        <v>269</v>
      </c>
    </row>
    <row r="620" spans="4:5" x14ac:dyDescent="0.25">
      <c r="D620" t="s">
        <v>106</v>
      </c>
      <c r="E620" t="s">
        <v>107</v>
      </c>
    </row>
    <row r="621" spans="4:5" x14ac:dyDescent="0.25">
      <c r="D621" t="s">
        <v>108</v>
      </c>
      <c r="E621" t="s">
        <v>188</v>
      </c>
    </row>
    <row r="622" spans="4:5" x14ac:dyDescent="0.25">
      <c r="D622" t="s">
        <v>110</v>
      </c>
      <c r="E622" t="s">
        <v>211</v>
      </c>
    </row>
    <row r="623" spans="4:5" x14ac:dyDescent="0.25">
      <c r="D623" t="s">
        <v>270</v>
      </c>
    </row>
    <row r="625" spans="4:5" x14ac:dyDescent="0.25">
      <c r="D625" t="s">
        <v>106</v>
      </c>
      <c r="E625" t="s">
        <v>198</v>
      </c>
    </row>
    <row r="626" spans="4:5" x14ac:dyDescent="0.25">
      <c r="D626" t="s">
        <v>108</v>
      </c>
      <c r="E626" t="s">
        <v>199</v>
      </c>
    </row>
    <row r="627" spans="4:5" x14ac:dyDescent="0.25">
      <c r="D627" t="s">
        <v>200</v>
      </c>
    </row>
    <row r="628" spans="4:5" x14ac:dyDescent="0.25">
      <c r="D628" t="s">
        <v>201</v>
      </c>
    </row>
    <row r="629" spans="4:5" x14ac:dyDescent="0.25">
      <c r="D629" t="s">
        <v>202</v>
      </c>
    </row>
    <row r="630" spans="4:5" x14ac:dyDescent="0.25">
      <c r="D630" t="s">
        <v>203</v>
      </c>
    </row>
    <row r="631" spans="4:5" x14ac:dyDescent="0.25">
      <c r="D631" t="s">
        <v>204</v>
      </c>
      <c r="E631" t="b">
        <v>0</v>
      </c>
    </row>
    <row r="632" spans="4:5" x14ac:dyDescent="0.25">
      <c r="D632" t="s">
        <v>205</v>
      </c>
      <c r="E632" t="s">
        <v>240</v>
      </c>
    </row>
    <row r="633" spans="4:5" x14ac:dyDescent="0.25">
      <c r="D633" t="s">
        <v>271</v>
      </c>
    </row>
    <row r="635" spans="4:5" x14ac:dyDescent="0.25">
      <c r="D635" t="s">
        <v>106</v>
      </c>
      <c r="E635" t="s">
        <v>198</v>
      </c>
    </row>
    <row r="636" spans="4:5" x14ac:dyDescent="0.25">
      <c r="D636" t="s">
        <v>108</v>
      </c>
      <c r="E636" t="s">
        <v>199</v>
      </c>
    </row>
    <row r="637" spans="4:5" x14ac:dyDescent="0.25">
      <c r="D637" t="s">
        <v>200</v>
      </c>
    </row>
    <row r="638" spans="4:5" x14ac:dyDescent="0.25">
      <c r="D638" t="s">
        <v>201</v>
      </c>
    </row>
    <row r="639" spans="4:5" x14ac:dyDescent="0.25">
      <c r="D639" t="s">
        <v>202</v>
      </c>
    </row>
    <row r="640" spans="4:5" x14ac:dyDescent="0.25">
      <c r="D640" t="s">
        <v>203</v>
      </c>
    </row>
    <row r="641" spans="4:5" x14ac:dyDescent="0.25">
      <c r="D641" t="s">
        <v>204</v>
      </c>
      <c r="E641" t="b">
        <v>1</v>
      </c>
    </row>
    <row r="642" spans="4:5" x14ac:dyDescent="0.25">
      <c r="D642" t="s">
        <v>205</v>
      </c>
      <c r="E642" t="s">
        <v>240</v>
      </c>
    </row>
    <row r="643" spans="4:5" x14ac:dyDescent="0.25">
      <c r="D643" t="s">
        <v>272</v>
      </c>
    </row>
    <row r="645" spans="4:5" x14ac:dyDescent="0.25">
      <c r="D645" t="s">
        <v>106</v>
      </c>
      <c r="E645" t="s">
        <v>107</v>
      </c>
    </row>
    <row r="646" spans="4:5" x14ac:dyDescent="0.25">
      <c r="D646" t="s">
        <v>108</v>
      </c>
      <c r="E646" t="s">
        <v>243</v>
      </c>
    </row>
    <row r="647" spans="4:5" x14ac:dyDescent="0.25">
      <c r="D647" t="s">
        <v>110</v>
      </c>
      <c r="E647" t="s">
        <v>211</v>
      </c>
    </row>
    <row r="649" spans="4:5" x14ac:dyDescent="0.25">
      <c r="D649" t="s">
        <v>106</v>
      </c>
      <c r="E649" t="s">
        <v>190</v>
      </c>
    </row>
    <row r="650" spans="4:5" x14ac:dyDescent="0.25">
      <c r="D650" t="s">
        <v>108</v>
      </c>
      <c r="E650" t="s">
        <v>243</v>
      </c>
    </row>
    <row r="651" spans="4:5" x14ac:dyDescent="0.25">
      <c r="D651" t="s">
        <v>110</v>
      </c>
      <c r="E651" t="s">
        <v>211</v>
      </c>
    </row>
    <row r="652" spans="4:5" x14ac:dyDescent="0.25">
      <c r="D652" t="s">
        <v>273</v>
      </c>
    </row>
    <row r="654" spans="4:5" x14ac:dyDescent="0.25">
      <c r="D654" t="s">
        <v>106</v>
      </c>
      <c r="E654" t="s">
        <v>107</v>
      </c>
    </row>
    <row r="655" spans="4:5" x14ac:dyDescent="0.25">
      <c r="D655" t="s">
        <v>108</v>
      </c>
      <c r="E655" t="s">
        <v>109</v>
      </c>
    </row>
    <row r="656" spans="4:5" x14ac:dyDescent="0.25">
      <c r="D656" t="s">
        <v>110</v>
      </c>
      <c r="E656" t="s">
        <v>81</v>
      </c>
    </row>
    <row r="657" spans="2:5" x14ac:dyDescent="0.25">
      <c r="D657" t="s">
        <v>111</v>
      </c>
      <c r="E657">
        <v>37</v>
      </c>
    </row>
    <row r="658" spans="2:5" x14ac:dyDescent="0.25">
      <c r="D658" t="s">
        <v>112</v>
      </c>
      <c r="E658">
        <v>0</v>
      </c>
    </row>
    <row r="663" spans="2:5" x14ac:dyDescent="0.25">
      <c r="B663" t="s">
        <v>159</v>
      </c>
    </row>
    <row r="664" spans="2:5" x14ac:dyDescent="0.25">
      <c r="B664" t="s">
        <v>274</v>
      </c>
    </row>
    <row r="665" spans="2:5" x14ac:dyDescent="0.25">
      <c r="B665" t="s">
        <v>246</v>
      </c>
    </row>
    <row r="666" spans="2:5" x14ac:dyDescent="0.25">
      <c r="B666" t="s">
        <v>247</v>
      </c>
    </row>
    <row r="667" spans="2:5" x14ac:dyDescent="0.25">
      <c r="B667" t="s">
        <v>163</v>
      </c>
    </row>
    <row r="668" spans="2:5" x14ac:dyDescent="0.25">
      <c r="B668" t="s">
        <v>275</v>
      </c>
    </row>
    <row r="669" spans="2:5" x14ac:dyDescent="0.25">
      <c r="B669" t="s">
        <v>165</v>
      </c>
    </row>
    <row r="671" spans="2:5" x14ac:dyDescent="0.25">
      <c r="C671" t="s">
        <v>25</v>
      </c>
    </row>
    <row r="673" spans="4:8" x14ac:dyDescent="0.25">
      <c r="D673" t="s">
        <v>106</v>
      </c>
      <c r="E673" t="s">
        <v>126</v>
      </c>
    </row>
    <row r="674" spans="4:8" x14ac:dyDescent="0.25">
      <c r="D674" t="s">
        <v>108</v>
      </c>
      <c r="E674" t="s">
        <v>127</v>
      </c>
    </row>
    <row r="675" spans="4:8" x14ac:dyDescent="0.25">
      <c r="D675" t="s">
        <v>128</v>
      </c>
      <c r="E675">
        <v>40.1</v>
      </c>
      <c r="F675">
        <v>40.1</v>
      </c>
      <c r="G675">
        <v>40.1</v>
      </c>
      <c r="H675">
        <v>40.1</v>
      </c>
    </row>
    <row r="676" spans="4:8" x14ac:dyDescent="0.25">
      <c r="D676" t="s">
        <v>129</v>
      </c>
      <c r="E676" t="s">
        <v>497</v>
      </c>
      <c r="F676" t="s">
        <v>497</v>
      </c>
      <c r="G676" t="s">
        <v>497</v>
      </c>
      <c r="H676" t="s">
        <v>130</v>
      </c>
    </row>
    <row r="677" spans="4:8" x14ac:dyDescent="0.25">
      <c r="D677" t="s">
        <v>276</v>
      </c>
    </row>
    <row r="679" spans="4:8" x14ac:dyDescent="0.25">
      <c r="D679" t="s">
        <v>106</v>
      </c>
      <c r="E679" t="s">
        <v>126</v>
      </c>
    </row>
    <row r="680" spans="4:8" x14ac:dyDescent="0.25">
      <c r="D680" t="s">
        <v>108</v>
      </c>
      <c r="E680" t="s">
        <v>132</v>
      </c>
    </row>
    <row r="681" spans="4:8" x14ac:dyDescent="0.25">
      <c r="D681" t="s">
        <v>128</v>
      </c>
      <c r="E681">
        <v>40.1</v>
      </c>
      <c r="F681">
        <v>40.1</v>
      </c>
      <c r="G681">
        <v>40.1</v>
      </c>
      <c r="H681">
        <v>40</v>
      </c>
    </row>
    <row r="682" spans="4:8" x14ac:dyDescent="0.25">
      <c r="D682" t="s">
        <v>277</v>
      </c>
    </row>
    <row r="684" spans="4:8" x14ac:dyDescent="0.25">
      <c r="D684" t="s">
        <v>106</v>
      </c>
      <c r="E684" t="s">
        <v>126</v>
      </c>
    </row>
    <row r="685" spans="4:8" x14ac:dyDescent="0.25">
      <c r="D685" t="s">
        <v>108</v>
      </c>
      <c r="E685" t="s">
        <v>136</v>
      </c>
    </row>
    <row r="686" spans="4:8" x14ac:dyDescent="0.25">
      <c r="D686" t="s">
        <v>137</v>
      </c>
      <c r="E686" t="s">
        <v>61</v>
      </c>
      <c r="F686" t="s">
        <v>61</v>
      </c>
      <c r="G686" t="s">
        <v>61</v>
      </c>
      <c r="H686" t="s">
        <v>61</v>
      </c>
    </row>
    <row r="687" spans="4:8" x14ac:dyDescent="0.25">
      <c r="D687" t="s">
        <v>138</v>
      </c>
      <c r="E687">
        <v>1</v>
      </c>
      <c r="F687">
        <v>3</v>
      </c>
      <c r="G687">
        <v>4</v>
      </c>
      <c r="H687">
        <v>5</v>
      </c>
    </row>
    <row r="688" spans="4:8" x14ac:dyDescent="0.25">
      <c r="D688" t="s">
        <v>139</v>
      </c>
      <c r="E688" t="s">
        <v>71</v>
      </c>
      <c r="F688" t="s">
        <v>71</v>
      </c>
      <c r="G688" t="s">
        <v>71</v>
      </c>
      <c r="H688" t="s">
        <v>71</v>
      </c>
    </row>
    <row r="689" spans="2:8" x14ac:dyDescent="0.25">
      <c r="D689" t="s">
        <v>140</v>
      </c>
      <c r="E689">
        <v>1</v>
      </c>
      <c r="F689">
        <v>3</v>
      </c>
      <c r="G689">
        <v>4</v>
      </c>
      <c r="H689">
        <v>5</v>
      </c>
    </row>
    <row r="690" spans="2:8" x14ac:dyDescent="0.25">
      <c r="D690" t="s">
        <v>128</v>
      </c>
      <c r="E690">
        <v>40.1</v>
      </c>
      <c r="F690">
        <v>40.1</v>
      </c>
      <c r="G690">
        <v>40.1</v>
      </c>
      <c r="H690">
        <v>40.1</v>
      </c>
    </row>
    <row r="691" spans="2:8" x14ac:dyDescent="0.25">
      <c r="D691" t="s">
        <v>141</v>
      </c>
      <c r="E691">
        <v>169.47</v>
      </c>
      <c r="F691">
        <v>169.47</v>
      </c>
      <c r="G691">
        <v>169.47</v>
      </c>
      <c r="H691">
        <v>169.47</v>
      </c>
    </row>
    <row r="692" spans="2:8" x14ac:dyDescent="0.25">
      <c r="D692" t="s">
        <v>142</v>
      </c>
      <c r="E692" t="s">
        <v>23</v>
      </c>
      <c r="F692" t="s">
        <v>23</v>
      </c>
      <c r="G692" t="s">
        <v>23</v>
      </c>
      <c r="H692" t="s">
        <v>23</v>
      </c>
    </row>
    <row r="693" spans="2:8" x14ac:dyDescent="0.25">
      <c r="D693" t="s">
        <v>143</v>
      </c>
    </row>
    <row r="694" spans="2:8" x14ac:dyDescent="0.25">
      <c r="D694" t="s">
        <v>144</v>
      </c>
    </row>
    <row r="695" spans="2:8" x14ac:dyDescent="0.25">
      <c r="D695" t="s">
        <v>145</v>
      </c>
      <c r="E695">
        <v>0</v>
      </c>
    </row>
    <row r="696" spans="2:8" x14ac:dyDescent="0.25">
      <c r="D696" t="s">
        <v>146</v>
      </c>
      <c r="E696" t="s">
        <v>147</v>
      </c>
    </row>
    <row r="697" spans="2:8" x14ac:dyDescent="0.25">
      <c r="D697" t="s">
        <v>278</v>
      </c>
    </row>
    <row r="702" spans="2:8" x14ac:dyDescent="0.25">
      <c r="B702" t="s">
        <v>174</v>
      </c>
    </row>
    <row r="703" spans="2:8" x14ac:dyDescent="0.25">
      <c r="B703" t="s">
        <v>279</v>
      </c>
    </row>
    <row r="704" spans="2:8" x14ac:dyDescent="0.25">
      <c r="B704" t="s">
        <v>253</v>
      </c>
    </row>
    <row r="705" spans="2:5" x14ac:dyDescent="0.25">
      <c r="B705" t="s">
        <v>177</v>
      </c>
    </row>
    <row r="706" spans="2:5" x14ac:dyDescent="0.25">
      <c r="B706" t="s">
        <v>178</v>
      </c>
    </row>
    <row r="708" spans="2:5" x14ac:dyDescent="0.25">
      <c r="C708" t="s">
        <v>25</v>
      </c>
    </row>
    <row r="710" spans="2:5" x14ac:dyDescent="0.25">
      <c r="D710" t="s">
        <v>106</v>
      </c>
      <c r="E710" t="s">
        <v>179</v>
      </c>
    </row>
    <row r="711" spans="2:5" x14ac:dyDescent="0.25">
      <c r="D711" t="s">
        <v>108</v>
      </c>
      <c r="E711" t="s">
        <v>254</v>
      </c>
    </row>
    <row r="712" spans="2:5" x14ac:dyDescent="0.25">
      <c r="D712" t="s">
        <v>181</v>
      </c>
      <c r="E712" t="s">
        <v>211</v>
      </c>
    </row>
    <row r="713" spans="2:5" x14ac:dyDescent="0.25">
      <c r="D713" t="s">
        <v>280</v>
      </c>
    </row>
    <row r="715" spans="2:5" x14ac:dyDescent="0.25">
      <c r="D715" t="s">
        <v>106</v>
      </c>
      <c r="E715" t="s">
        <v>190</v>
      </c>
    </row>
    <row r="716" spans="2:5" x14ac:dyDescent="0.25">
      <c r="D716" t="s">
        <v>108</v>
      </c>
      <c r="E716" t="s">
        <v>109</v>
      </c>
    </row>
    <row r="717" spans="2:5" x14ac:dyDescent="0.25">
      <c r="D717" t="s">
        <v>110</v>
      </c>
      <c r="E717" t="s">
        <v>211</v>
      </c>
    </row>
    <row r="718" spans="2:5" x14ac:dyDescent="0.25">
      <c r="D718" t="s">
        <v>281</v>
      </c>
    </row>
    <row r="720" spans="2:5" x14ac:dyDescent="0.25">
      <c r="D720" t="s">
        <v>106</v>
      </c>
      <c r="E720" t="s">
        <v>190</v>
      </c>
    </row>
    <row r="721" spans="4:5" x14ac:dyDescent="0.25">
      <c r="D721" t="s">
        <v>108</v>
      </c>
      <c r="E721" t="s">
        <v>192</v>
      </c>
    </row>
    <row r="722" spans="4:5" x14ac:dyDescent="0.25">
      <c r="D722" t="s">
        <v>110</v>
      </c>
      <c r="E722" t="s">
        <v>211</v>
      </c>
    </row>
    <row r="723" spans="4:5" x14ac:dyDescent="0.25">
      <c r="D723" t="s">
        <v>282</v>
      </c>
    </row>
    <row r="725" spans="4:5" x14ac:dyDescent="0.25">
      <c r="D725" t="s">
        <v>106</v>
      </c>
      <c r="E725" t="s">
        <v>190</v>
      </c>
    </row>
    <row r="726" spans="4:5" x14ac:dyDescent="0.25">
      <c r="D726" t="s">
        <v>108</v>
      </c>
      <c r="E726" t="s">
        <v>194</v>
      </c>
    </row>
    <row r="727" spans="4:5" x14ac:dyDescent="0.25">
      <c r="D727" t="s">
        <v>110</v>
      </c>
      <c r="E727" t="s">
        <v>211</v>
      </c>
    </row>
    <row r="728" spans="4:5" x14ac:dyDescent="0.25">
      <c r="D728" t="s">
        <v>283</v>
      </c>
    </row>
    <row r="730" spans="4:5" x14ac:dyDescent="0.25">
      <c r="D730" t="s">
        <v>106</v>
      </c>
      <c r="E730" t="s">
        <v>198</v>
      </c>
    </row>
    <row r="731" spans="4:5" x14ac:dyDescent="0.25">
      <c r="D731" t="s">
        <v>108</v>
      </c>
      <c r="E731" t="s">
        <v>199</v>
      </c>
    </row>
    <row r="732" spans="4:5" x14ac:dyDescent="0.25">
      <c r="D732" t="s">
        <v>200</v>
      </c>
    </row>
    <row r="733" spans="4:5" x14ac:dyDescent="0.25">
      <c r="D733" t="s">
        <v>201</v>
      </c>
    </row>
    <row r="734" spans="4:5" x14ac:dyDescent="0.25">
      <c r="D734" t="s">
        <v>202</v>
      </c>
    </row>
    <row r="735" spans="4:5" x14ac:dyDescent="0.25">
      <c r="D735" t="s">
        <v>203</v>
      </c>
    </row>
    <row r="736" spans="4:5" x14ac:dyDescent="0.25">
      <c r="D736" t="s">
        <v>204</v>
      </c>
      <c r="E736" t="b">
        <v>1</v>
      </c>
    </row>
    <row r="737" spans="3:5" x14ac:dyDescent="0.25">
      <c r="D737" t="s">
        <v>205</v>
      </c>
      <c r="E737" t="s">
        <v>240</v>
      </c>
    </row>
    <row r="738" spans="3:5" x14ac:dyDescent="0.25">
      <c r="D738" t="s">
        <v>284</v>
      </c>
    </row>
    <row r="739" spans="3:5" x14ac:dyDescent="0.25">
      <c r="C739" t="s">
        <v>324</v>
      </c>
    </row>
    <row r="742" spans="3:5" x14ac:dyDescent="0.25">
      <c r="D742" t="s">
        <v>106</v>
      </c>
      <c r="E742" t="s">
        <v>104</v>
      </c>
    </row>
    <row r="743" spans="3:5" x14ac:dyDescent="0.25">
      <c r="D743" t="s">
        <v>108</v>
      </c>
      <c r="E743" t="s">
        <v>519</v>
      </c>
    </row>
    <row r="744" spans="3:5" x14ac:dyDescent="0.25">
      <c r="D744" t="s">
        <v>520</v>
      </c>
      <c r="E744" t="s">
        <v>521</v>
      </c>
    </row>
    <row r="745" spans="3:5" x14ac:dyDescent="0.25">
      <c r="D745" t="s">
        <v>285</v>
      </c>
    </row>
    <row r="747" spans="3:5" x14ac:dyDescent="0.25">
      <c r="D747" t="s">
        <v>106</v>
      </c>
      <c r="E747" t="s">
        <v>224</v>
      </c>
    </row>
    <row r="748" spans="3:5" x14ac:dyDescent="0.25">
      <c r="D748" t="s">
        <v>108</v>
      </c>
      <c r="E748" t="s">
        <v>225</v>
      </c>
    </row>
    <row r="749" spans="3:5" x14ac:dyDescent="0.25">
      <c r="D749" t="s">
        <v>226</v>
      </c>
      <c r="E749">
        <v>1798.4</v>
      </c>
    </row>
    <row r="750" spans="3:5" x14ac:dyDescent="0.25">
      <c r="D750" t="s">
        <v>286</v>
      </c>
    </row>
    <row r="752" spans="3:5" x14ac:dyDescent="0.25">
      <c r="D752" t="s">
        <v>106</v>
      </c>
      <c r="E752" t="s">
        <v>224</v>
      </c>
    </row>
    <row r="753" spans="4:5" x14ac:dyDescent="0.25">
      <c r="D753" t="s">
        <v>108</v>
      </c>
      <c r="E753" t="s">
        <v>228</v>
      </c>
    </row>
    <row r="754" spans="4:5" x14ac:dyDescent="0.25">
      <c r="D754" t="s">
        <v>287</v>
      </c>
    </row>
    <row r="756" spans="4:5" x14ac:dyDescent="0.25">
      <c r="D756" t="s">
        <v>106</v>
      </c>
      <c r="E756" t="s">
        <v>190</v>
      </c>
    </row>
    <row r="757" spans="4:5" x14ac:dyDescent="0.25">
      <c r="D757" t="s">
        <v>108</v>
      </c>
      <c r="E757" t="s">
        <v>192</v>
      </c>
    </row>
    <row r="758" spans="4:5" x14ac:dyDescent="0.25">
      <c r="D758" t="s">
        <v>110</v>
      </c>
      <c r="E758" t="s">
        <v>182</v>
      </c>
    </row>
    <row r="759" spans="4:5" x14ac:dyDescent="0.25">
      <c r="D759" t="s">
        <v>288</v>
      </c>
    </row>
    <row r="761" spans="4:5" x14ac:dyDescent="0.25">
      <c r="D761" t="s">
        <v>106</v>
      </c>
      <c r="E761" t="s">
        <v>190</v>
      </c>
    </row>
    <row r="762" spans="4:5" x14ac:dyDescent="0.25">
      <c r="D762" t="s">
        <v>108</v>
      </c>
      <c r="E762" t="s">
        <v>194</v>
      </c>
    </row>
    <row r="763" spans="4:5" x14ac:dyDescent="0.25">
      <c r="D763" t="s">
        <v>110</v>
      </c>
      <c r="E763" t="s">
        <v>182</v>
      </c>
    </row>
    <row r="764" spans="4:5" x14ac:dyDescent="0.25">
      <c r="D764" t="s">
        <v>289</v>
      </c>
    </row>
    <row r="766" spans="4:5" x14ac:dyDescent="0.25">
      <c r="D766" t="s">
        <v>106</v>
      </c>
      <c r="E766" t="s">
        <v>179</v>
      </c>
    </row>
    <row r="767" spans="4:5" x14ac:dyDescent="0.25">
      <c r="D767" t="s">
        <v>108</v>
      </c>
      <c r="E767" t="s">
        <v>254</v>
      </c>
    </row>
    <row r="768" spans="4:5" x14ac:dyDescent="0.25">
      <c r="D768" t="s">
        <v>181</v>
      </c>
      <c r="E768" t="s">
        <v>182</v>
      </c>
    </row>
    <row r="769" spans="4:5" x14ac:dyDescent="0.25">
      <c r="D769" t="s">
        <v>290</v>
      </c>
    </row>
    <row r="771" spans="4:5" x14ac:dyDescent="0.25">
      <c r="D771" t="s">
        <v>106</v>
      </c>
      <c r="E771" t="s">
        <v>198</v>
      </c>
    </row>
    <row r="772" spans="4:5" x14ac:dyDescent="0.25">
      <c r="D772" t="s">
        <v>108</v>
      </c>
      <c r="E772" t="s">
        <v>199</v>
      </c>
    </row>
    <row r="773" spans="4:5" x14ac:dyDescent="0.25">
      <c r="D773" t="s">
        <v>200</v>
      </c>
    </row>
    <row r="774" spans="4:5" x14ac:dyDescent="0.25">
      <c r="D774" t="s">
        <v>201</v>
      </c>
    </row>
    <row r="775" spans="4:5" x14ac:dyDescent="0.25">
      <c r="D775" t="s">
        <v>202</v>
      </c>
    </row>
    <row r="776" spans="4:5" x14ac:dyDescent="0.25">
      <c r="D776" t="s">
        <v>203</v>
      </c>
    </row>
    <row r="777" spans="4:5" x14ac:dyDescent="0.25">
      <c r="D777" t="s">
        <v>204</v>
      </c>
      <c r="E777" t="b">
        <v>1</v>
      </c>
    </row>
    <row r="778" spans="4:5" x14ac:dyDescent="0.25">
      <c r="D778" t="s">
        <v>205</v>
      </c>
      <c r="E778" t="s">
        <v>240</v>
      </c>
    </row>
    <row r="779" spans="4:5" x14ac:dyDescent="0.25">
      <c r="D779" t="s">
        <v>523</v>
      </c>
    </row>
    <row r="781" spans="4:5" x14ac:dyDescent="0.25">
      <c r="D781" t="s">
        <v>106</v>
      </c>
      <c r="E781" t="s">
        <v>190</v>
      </c>
    </row>
    <row r="782" spans="4:5" x14ac:dyDescent="0.25">
      <c r="D782" t="s">
        <v>108</v>
      </c>
      <c r="E782" t="s">
        <v>243</v>
      </c>
    </row>
    <row r="783" spans="4:5" x14ac:dyDescent="0.25">
      <c r="D783" t="s">
        <v>110</v>
      </c>
      <c r="E783" t="s">
        <v>182</v>
      </c>
    </row>
    <row r="784" spans="4:5" x14ac:dyDescent="0.25">
      <c r="D784" t="s">
        <v>524</v>
      </c>
    </row>
    <row r="789" spans="2:5" x14ac:dyDescent="0.25">
      <c r="B789" t="s">
        <v>291</v>
      </c>
    </row>
    <row r="790" spans="2:5" x14ac:dyDescent="0.25">
      <c r="B790" t="s">
        <v>292</v>
      </c>
    </row>
    <row r="791" spans="2:5" x14ac:dyDescent="0.25">
      <c r="B791" t="s">
        <v>293</v>
      </c>
    </row>
    <row r="792" spans="2:5" x14ac:dyDescent="0.25">
      <c r="B792" t="s">
        <v>294</v>
      </c>
    </row>
    <row r="793" spans="2:5" x14ac:dyDescent="0.25">
      <c r="B793" t="s">
        <v>295</v>
      </c>
    </row>
    <row r="796" spans="2:5" x14ac:dyDescent="0.25">
      <c r="D796" t="s">
        <v>106</v>
      </c>
      <c r="E796" t="s">
        <v>105</v>
      </c>
    </row>
    <row r="797" spans="2:5" x14ac:dyDescent="0.25">
      <c r="D797" t="s">
        <v>108</v>
      </c>
      <c r="E797" t="s">
        <v>296</v>
      </c>
    </row>
    <row r="798" spans="2:5" x14ac:dyDescent="0.25">
      <c r="D798" t="s">
        <v>297</v>
      </c>
      <c r="E798" t="s">
        <v>94</v>
      </c>
    </row>
    <row r="799" spans="2:5" x14ac:dyDescent="0.25">
      <c r="D799" t="s">
        <v>298</v>
      </c>
      <c r="E799" t="s">
        <v>95</v>
      </c>
    </row>
    <row r="800" spans="2:5" x14ac:dyDescent="0.25">
      <c r="D800" t="s">
        <v>299</v>
      </c>
      <c r="E800" t="s">
        <v>300</v>
      </c>
    </row>
    <row r="801" spans="2:5" x14ac:dyDescent="0.25">
      <c r="D801" t="s">
        <v>301</v>
      </c>
    </row>
    <row r="806" spans="2:5" x14ac:dyDescent="0.25">
      <c r="B806" t="s">
        <v>302</v>
      </c>
    </row>
    <row r="807" spans="2:5" x14ac:dyDescent="0.25">
      <c r="B807" t="s">
        <v>303</v>
      </c>
    </row>
    <row r="808" spans="2:5" x14ac:dyDescent="0.25">
      <c r="B808" t="s">
        <v>304</v>
      </c>
    </row>
    <row r="809" spans="2:5" x14ac:dyDescent="0.25">
      <c r="B809" t="s">
        <v>305</v>
      </c>
    </row>
    <row r="811" spans="2:5" x14ac:dyDescent="0.25">
      <c r="C811" t="s">
        <v>525</v>
      </c>
    </row>
    <row r="813" spans="2:5" x14ac:dyDescent="0.25">
      <c r="D813" t="s">
        <v>106</v>
      </c>
      <c r="E813" t="s">
        <v>224</v>
      </c>
    </row>
    <row r="814" spans="2:5" x14ac:dyDescent="0.25">
      <c r="D814" t="s">
        <v>108</v>
      </c>
      <c r="E814" t="s">
        <v>225</v>
      </c>
    </row>
    <row r="815" spans="2:5" x14ac:dyDescent="0.25">
      <c r="D815" t="s">
        <v>226</v>
      </c>
      <c r="E815">
        <v>1799</v>
      </c>
    </row>
    <row r="816" spans="2:5" x14ac:dyDescent="0.25">
      <c r="D816" t="s">
        <v>306</v>
      </c>
    </row>
    <row r="818" spans="4:5" x14ac:dyDescent="0.25">
      <c r="D818" t="s">
        <v>106</v>
      </c>
      <c r="E818" t="s">
        <v>224</v>
      </c>
    </row>
    <row r="819" spans="4:5" x14ac:dyDescent="0.25">
      <c r="D819" t="s">
        <v>108</v>
      </c>
      <c r="E819" t="s">
        <v>228</v>
      </c>
    </row>
    <row r="820" spans="4:5" x14ac:dyDescent="0.25">
      <c r="D820" t="s">
        <v>307</v>
      </c>
    </row>
    <row r="822" spans="4:5" x14ac:dyDescent="0.25">
      <c r="D822" t="s">
        <v>106</v>
      </c>
      <c r="E822" t="s">
        <v>190</v>
      </c>
    </row>
    <row r="823" spans="4:5" x14ac:dyDescent="0.25">
      <c r="D823" t="s">
        <v>108</v>
      </c>
      <c r="E823" t="s">
        <v>192</v>
      </c>
    </row>
    <row r="824" spans="4:5" x14ac:dyDescent="0.25">
      <c r="D824" t="s">
        <v>110</v>
      </c>
      <c r="E824" t="s">
        <v>211</v>
      </c>
    </row>
    <row r="825" spans="4:5" x14ac:dyDescent="0.25">
      <c r="D825" t="s">
        <v>308</v>
      </c>
    </row>
    <row r="827" spans="4:5" x14ac:dyDescent="0.25">
      <c r="D827" t="s">
        <v>106</v>
      </c>
      <c r="E827" t="s">
        <v>190</v>
      </c>
    </row>
    <row r="828" spans="4:5" x14ac:dyDescent="0.25">
      <c r="D828" t="s">
        <v>108</v>
      </c>
      <c r="E828" t="s">
        <v>194</v>
      </c>
    </row>
    <row r="829" spans="4:5" x14ac:dyDescent="0.25">
      <c r="D829" t="s">
        <v>110</v>
      </c>
      <c r="E829" t="s">
        <v>211</v>
      </c>
    </row>
    <row r="830" spans="4:5" x14ac:dyDescent="0.25">
      <c r="D830" t="s">
        <v>309</v>
      </c>
    </row>
    <row r="832" spans="4:5" x14ac:dyDescent="0.25">
      <c r="D832" t="s">
        <v>106</v>
      </c>
      <c r="E832" t="s">
        <v>179</v>
      </c>
    </row>
    <row r="833" spans="4:5" x14ac:dyDescent="0.25">
      <c r="D833" t="s">
        <v>108</v>
      </c>
      <c r="E833" t="s">
        <v>254</v>
      </c>
    </row>
    <row r="834" spans="4:5" x14ac:dyDescent="0.25">
      <c r="D834" t="s">
        <v>181</v>
      </c>
      <c r="E834" t="s">
        <v>211</v>
      </c>
    </row>
    <row r="835" spans="4:5" x14ac:dyDescent="0.25">
      <c r="D835" t="s">
        <v>310</v>
      </c>
    </row>
    <row r="837" spans="4:5" x14ac:dyDescent="0.25">
      <c r="D837" t="s">
        <v>106</v>
      </c>
      <c r="E837" t="s">
        <v>198</v>
      </c>
    </row>
    <row r="838" spans="4:5" x14ac:dyDescent="0.25">
      <c r="D838" t="s">
        <v>108</v>
      </c>
      <c r="E838" t="s">
        <v>199</v>
      </c>
    </row>
    <row r="839" spans="4:5" x14ac:dyDescent="0.25">
      <c r="D839" t="s">
        <v>200</v>
      </c>
    </row>
    <row r="840" spans="4:5" x14ac:dyDescent="0.25">
      <c r="D840" t="s">
        <v>201</v>
      </c>
    </row>
    <row r="841" spans="4:5" x14ac:dyDescent="0.25">
      <c r="D841" t="s">
        <v>202</v>
      </c>
    </row>
    <row r="842" spans="4:5" x14ac:dyDescent="0.25">
      <c r="D842" t="s">
        <v>203</v>
      </c>
    </row>
    <row r="843" spans="4:5" x14ac:dyDescent="0.25">
      <c r="D843" t="s">
        <v>204</v>
      </c>
      <c r="E843" t="b">
        <v>1</v>
      </c>
    </row>
    <row r="844" spans="4:5" x14ac:dyDescent="0.25">
      <c r="D844" t="s">
        <v>205</v>
      </c>
      <c r="E844" t="s">
        <v>240</v>
      </c>
    </row>
    <row r="845" spans="4:5" x14ac:dyDescent="0.25">
      <c r="D845" t="s">
        <v>311</v>
      </c>
    </row>
    <row r="847" spans="4:5" x14ac:dyDescent="0.25">
      <c r="D847" t="s">
        <v>106</v>
      </c>
      <c r="E847" t="s">
        <v>190</v>
      </c>
    </row>
    <row r="848" spans="4:5" x14ac:dyDescent="0.25">
      <c r="D848" t="s">
        <v>108</v>
      </c>
      <c r="E848" t="s">
        <v>243</v>
      </c>
    </row>
    <row r="849" spans="2:5" x14ac:dyDescent="0.25">
      <c r="D849" t="s">
        <v>110</v>
      </c>
      <c r="E849" t="s">
        <v>211</v>
      </c>
    </row>
    <row r="850" spans="2:5" x14ac:dyDescent="0.25">
      <c r="D850" t="s">
        <v>312</v>
      </c>
    </row>
    <row r="855" spans="2:5" x14ac:dyDescent="0.25">
      <c r="B855" t="s">
        <v>313</v>
      </c>
    </row>
    <row r="856" spans="2:5" x14ac:dyDescent="0.25">
      <c r="B856" t="s">
        <v>314</v>
      </c>
    </row>
    <row r="857" spans="2:5" x14ac:dyDescent="0.25">
      <c r="B857" t="s">
        <v>315</v>
      </c>
    </row>
    <row r="858" spans="2:5" x14ac:dyDescent="0.25">
      <c r="B858" t="s">
        <v>316</v>
      </c>
    </row>
    <row r="860" spans="2:5" x14ac:dyDescent="0.25">
      <c r="C860" t="s">
        <v>25</v>
      </c>
    </row>
    <row r="865" spans="2:3" x14ac:dyDescent="0.25">
      <c r="B865" t="s">
        <v>313</v>
      </c>
    </row>
    <row r="866" spans="2:3" x14ac:dyDescent="0.25">
      <c r="B866" t="s">
        <v>317</v>
      </c>
    </row>
    <row r="867" spans="2:3" x14ac:dyDescent="0.25">
      <c r="B867" t="s">
        <v>318</v>
      </c>
    </row>
    <row r="868" spans="2:3" x14ac:dyDescent="0.25">
      <c r="B868" t="s">
        <v>316</v>
      </c>
    </row>
    <row r="870" spans="2:3" x14ac:dyDescent="0.25">
      <c r="C870" t="s">
        <v>25</v>
      </c>
    </row>
    <row r="875" spans="2:3" x14ac:dyDescent="0.25">
      <c r="B875" t="s">
        <v>319</v>
      </c>
    </row>
    <row r="876" spans="2:3" x14ac:dyDescent="0.25">
      <c r="B876" t="s">
        <v>320</v>
      </c>
    </row>
    <row r="877" spans="2:3" x14ac:dyDescent="0.25">
      <c r="B877" t="s">
        <v>321</v>
      </c>
    </row>
    <row r="878" spans="2:3" x14ac:dyDescent="0.25">
      <c r="B878" t="s">
        <v>322</v>
      </c>
    </row>
    <row r="879" spans="2:3" x14ac:dyDescent="0.25">
      <c r="B879" t="s">
        <v>323</v>
      </c>
    </row>
    <row r="880" spans="2:3" x14ac:dyDescent="0.25">
      <c r="B880" t="s">
        <v>533</v>
      </c>
    </row>
    <row r="881" spans="2:5" x14ac:dyDescent="0.25">
      <c r="B881" t="s">
        <v>527</v>
      </c>
    </row>
    <row r="883" spans="2:5" x14ac:dyDescent="0.25">
      <c r="C883" t="s">
        <v>525</v>
      </c>
    </row>
    <row r="887" spans="2:5" x14ac:dyDescent="0.25">
      <c r="D887" t="s">
        <v>106</v>
      </c>
      <c r="E887" t="s">
        <v>104</v>
      </c>
    </row>
    <row r="888" spans="2:5" x14ac:dyDescent="0.25">
      <c r="D888" t="s">
        <v>108</v>
      </c>
      <c r="E888" t="s">
        <v>522</v>
      </c>
    </row>
    <row r="889" spans="2:5" x14ac:dyDescent="0.25">
      <c r="D889" t="s">
        <v>520</v>
      </c>
      <c r="E889" t="s">
        <v>521</v>
      </c>
    </row>
    <row r="890" spans="2:5" x14ac:dyDescent="0.25">
      <c r="D890" t="s">
        <v>493</v>
      </c>
    </row>
    <row r="891" spans="2:5" x14ac:dyDescent="0.25">
      <c r="C891" t="s">
        <v>25</v>
      </c>
    </row>
    <row r="896" spans="2:5" x14ac:dyDescent="0.25">
      <c r="B896" t="s">
        <v>302</v>
      </c>
    </row>
    <row r="897" spans="2:3" x14ac:dyDescent="0.25">
      <c r="B897" t="s">
        <v>325</v>
      </c>
    </row>
    <row r="898" spans="2:3" x14ac:dyDescent="0.25">
      <c r="B898" t="s">
        <v>326</v>
      </c>
    </row>
    <row r="899" spans="2:3" x14ac:dyDescent="0.25">
      <c r="B899" t="s">
        <v>305</v>
      </c>
    </row>
    <row r="905" spans="2:3" x14ac:dyDescent="0.25">
      <c r="B905" t="s">
        <v>291</v>
      </c>
    </row>
    <row r="906" spans="2:3" x14ac:dyDescent="0.25">
      <c r="B906" t="s">
        <v>327</v>
      </c>
    </row>
    <row r="907" spans="2:3" x14ac:dyDescent="0.25">
      <c r="B907" t="s">
        <v>328</v>
      </c>
    </row>
    <row r="908" spans="2:3" x14ac:dyDescent="0.25">
      <c r="B908" t="s">
        <v>329</v>
      </c>
    </row>
    <row r="909" spans="2:3" x14ac:dyDescent="0.25">
      <c r="B909" t="s">
        <v>330</v>
      </c>
    </row>
    <row r="911" spans="2:3" x14ac:dyDescent="0.25">
      <c r="C911" t="s">
        <v>25</v>
      </c>
    </row>
    <row r="913" spans="2:5" x14ac:dyDescent="0.25">
      <c r="D913" t="s">
        <v>106</v>
      </c>
      <c r="E913" t="s">
        <v>105</v>
      </c>
    </row>
    <row r="914" spans="2:5" x14ac:dyDescent="0.25">
      <c r="D914" t="s">
        <v>108</v>
      </c>
      <c r="E914" t="s">
        <v>296</v>
      </c>
    </row>
    <row r="915" spans="2:5" x14ac:dyDescent="0.25">
      <c r="D915" t="s">
        <v>297</v>
      </c>
      <c r="E915" t="s">
        <v>96</v>
      </c>
    </row>
    <row r="916" spans="2:5" x14ac:dyDescent="0.25">
      <c r="D916" t="s">
        <v>298</v>
      </c>
      <c r="E916" t="s">
        <v>97</v>
      </c>
    </row>
    <row r="917" spans="2:5" x14ac:dyDescent="0.25">
      <c r="D917" t="s">
        <v>299</v>
      </c>
      <c r="E917" t="s">
        <v>331</v>
      </c>
    </row>
    <row r="918" spans="2:5" x14ac:dyDescent="0.25">
      <c r="D918" t="s">
        <v>332</v>
      </c>
    </row>
    <row r="923" spans="2:5" x14ac:dyDescent="0.25">
      <c r="B923" t="s">
        <v>313</v>
      </c>
    </row>
    <row r="924" spans="2:5" x14ac:dyDescent="0.25">
      <c r="B924" t="s">
        <v>333</v>
      </c>
    </row>
    <row r="925" spans="2:5" x14ac:dyDescent="0.25">
      <c r="B925" t="s">
        <v>334</v>
      </c>
    </row>
    <row r="926" spans="2:5" x14ac:dyDescent="0.25">
      <c r="B926" t="s">
        <v>316</v>
      </c>
    </row>
    <row r="928" spans="2:5" x14ac:dyDescent="0.25">
      <c r="C928" t="s">
        <v>25</v>
      </c>
    </row>
    <row r="933" spans="2:2" x14ac:dyDescent="0.25">
      <c r="B933" t="s">
        <v>335</v>
      </c>
    </row>
    <row r="934" spans="2:2" x14ac:dyDescent="0.25">
      <c r="B934" t="s">
        <v>336</v>
      </c>
    </row>
    <row r="935" spans="2:2" x14ac:dyDescent="0.25">
      <c r="B935" t="s">
        <v>337</v>
      </c>
    </row>
    <row r="940" spans="2:2" x14ac:dyDescent="0.25">
      <c r="B940" t="s">
        <v>313</v>
      </c>
    </row>
    <row r="941" spans="2:2" x14ac:dyDescent="0.25">
      <c r="B941" t="s">
        <v>338</v>
      </c>
    </row>
    <row r="942" spans="2:2" x14ac:dyDescent="0.25">
      <c r="B942" t="s">
        <v>339</v>
      </c>
    </row>
    <row r="943" spans="2:2" x14ac:dyDescent="0.25">
      <c r="B943" t="s">
        <v>316</v>
      </c>
    </row>
    <row r="945" spans="2:5" x14ac:dyDescent="0.25">
      <c r="C945" t="s">
        <v>25</v>
      </c>
    </row>
    <row r="950" spans="2:5" x14ac:dyDescent="0.25">
      <c r="B950" t="s">
        <v>159</v>
      </c>
    </row>
    <row r="951" spans="2:5" x14ac:dyDescent="0.25">
      <c r="B951" t="s">
        <v>340</v>
      </c>
    </row>
    <row r="952" spans="2:5" x14ac:dyDescent="0.25">
      <c r="B952" t="s">
        <v>341</v>
      </c>
    </row>
    <row r="953" spans="2:5" x14ac:dyDescent="0.25">
      <c r="B953" t="s">
        <v>342</v>
      </c>
    </row>
    <row r="954" spans="2:5" x14ac:dyDescent="0.25">
      <c r="B954" t="s">
        <v>343</v>
      </c>
    </row>
    <row r="955" spans="2:5" x14ac:dyDescent="0.25">
      <c r="B955" t="s">
        <v>344</v>
      </c>
    </row>
    <row r="956" spans="2:5" x14ac:dyDescent="0.25">
      <c r="B956" t="s">
        <v>165</v>
      </c>
    </row>
    <row r="958" spans="2:5" x14ac:dyDescent="0.25">
      <c r="C958" t="s">
        <v>25</v>
      </c>
    </row>
    <row r="960" spans="2:5" x14ac:dyDescent="0.25">
      <c r="D960" t="s">
        <v>106</v>
      </c>
      <c r="E960" t="s">
        <v>126</v>
      </c>
    </row>
    <row r="961" spans="4:5" x14ac:dyDescent="0.25">
      <c r="D961" t="s">
        <v>108</v>
      </c>
      <c r="E961" t="s">
        <v>127</v>
      </c>
    </row>
    <row r="962" spans="4:5" x14ac:dyDescent="0.25">
      <c r="D962" t="s">
        <v>128</v>
      </c>
      <c r="E962">
        <v>1.58</v>
      </c>
    </row>
    <row r="963" spans="4:5" x14ac:dyDescent="0.25">
      <c r="D963" t="s">
        <v>129</v>
      </c>
      <c r="E963" t="s">
        <v>130</v>
      </c>
    </row>
    <row r="964" spans="4:5" x14ac:dyDescent="0.25">
      <c r="D964" t="s">
        <v>345</v>
      </c>
    </row>
    <row r="966" spans="4:5" x14ac:dyDescent="0.25">
      <c r="D966" t="s">
        <v>106</v>
      </c>
      <c r="E966" t="s">
        <v>126</v>
      </c>
    </row>
    <row r="967" spans="4:5" x14ac:dyDescent="0.25">
      <c r="D967" t="s">
        <v>108</v>
      </c>
      <c r="E967" t="s">
        <v>132</v>
      </c>
    </row>
    <row r="968" spans="4:5" x14ac:dyDescent="0.25">
      <c r="D968" t="s">
        <v>128</v>
      </c>
      <c r="E968">
        <v>1.5</v>
      </c>
    </row>
    <row r="969" spans="4:5" x14ac:dyDescent="0.25">
      <c r="D969" t="s">
        <v>346</v>
      </c>
    </row>
    <row r="971" spans="4:5" x14ac:dyDescent="0.25">
      <c r="D971" t="s">
        <v>106</v>
      </c>
      <c r="E971" t="s">
        <v>126</v>
      </c>
    </row>
    <row r="972" spans="4:5" x14ac:dyDescent="0.25">
      <c r="D972" t="s">
        <v>108</v>
      </c>
      <c r="E972" t="s">
        <v>136</v>
      </c>
    </row>
    <row r="973" spans="4:5" x14ac:dyDescent="0.25">
      <c r="D973" t="s">
        <v>137</v>
      </c>
      <c r="E973" t="s">
        <v>80</v>
      </c>
    </row>
    <row r="974" spans="4:5" x14ac:dyDescent="0.25">
      <c r="D974" t="s">
        <v>138</v>
      </c>
      <c r="E974">
        <v>2</v>
      </c>
    </row>
    <row r="975" spans="4:5" x14ac:dyDescent="0.25">
      <c r="D975" t="s">
        <v>139</v>
      </c>
      <c r="E975" t="s">
        <v>83</v>
      </c>
    </row>
    <row r="976" spans="4:5" x14ac:dyDescent="0.25">
      <c r="D976" t="s">
        <v>140</v>
      </c>
      <c r="E976">
        <v>2</v>
      </c>
    </row>
    <row r="977" spans="2:5" x14ac:dyDescent="0.25">
      <c r="D977" t="s">
        <v>128</v>
      </c>
      <c r="E977">
        <v>1.58</v>
      </c>
    </row>
    <row r="978" spans="2:5" x14ac:dyDescent="0.25">
      <c r="D978" t="s">
        <v>141</v>
      </c>
      <c r="E978">
        <v>600</v>
      </c>
    </row>
    <row r="979" spans="2:5" x14ac:dyDescent="0.25">
      <c r="D979" t="s">
        <v>142</v>
      </c>
      <c r="E979" t="s">
        <v>23</v>
      </c>
    </row>
    <row r="980" spans="2:5" x14ac:dyDescent="0.25">
      <c r="D980" t="s">
        <v>143</v>
      </c>
    </row>
    <row r="981" spans="2:5" x14ac:dyDescent="0.25">
      <c r="D981" t="s">
        <v>144</v>
      </c>
    </row>
    <row r="982" spans="2:5" x14ac:dyDescent="0.25">
      <c r="D982" t="s">
        <v>145</v>
      </c>
      <c r="E982">
        <v>0</v>
      </c>
    </row>
    <row r="983" spans="2:5" x14ac:dyDescent="0.25">
      <c r="D983" t="s">
        <v>146</v>
      </c>
      <c r="E983" t="s">
        <v>147</v>
      </c>
    </row>
    <row r="984" spans="2:5" x14ac:dyDescent="0.25">
      <c r="D984" t="s">
        <v>347</v>
      </c>
    </row>
    <row r="989" spans="2:5" x14ac:dyDescent="0.25">
      <c r="B989" t="s">
        <v>159</v>
      </c>
    </row>
    <row r="990" spans="2:5" x14ac:dyDescent="0.25">
      <c r="B990" t="s">
        <v>348</v>
      </c>
    </row>
    <row r="991" spans="2:5" x14ac:dyDescent="0.25">
      <c r="B991" t="s">
        <v>349</v>
      </c>
    </row>
    <row r="992" spans="2:5" x14ac:dyDescent="0.25">
      <c r="B992" t="s">
        <v>350</v>
      </c>
    </row>
    <row r="993" spans="2:8" x14ac:dyDescent="0.25">
      <c r="B993" t="s">
        <v>163</v>
      </c>
    </row>
    <row r="994" spans="2:8" x14ac:dyDescent="0.25">
      <c r="B994" t="s">
        <v>351</v>
      </c>
    </row>
    <row r="995" spans="2:8" x14ac:dyDescent="0.25">
      <c r="B995" t="s">
        <v>352</v>
      </c>
    </row>
    <row r="997" spans="2:8" x14ac:dyDescent="0.25">
      <c r="C997" t="s">
        <v>25</v>
      </c>
    </row>
    <row r="999" spans="2:8" x14ac:dyDescent="0.25">
      <c r="D999" t="s">
        <v>106</v>
      </c>
      <c r="E999" t="s">
        <v>126</v>
      </c>
    </row>
    <row r="1000" spans="2:8" x14ac:dyDescent="0.25">
      <c r="D1000" t="s">
        <v>108</v>
      </c>
      <c r="E1000" t="s">
        <v>127</v>
      </c>
    </row>
    <row r="1001" spans="2:8" x14ac:dyDescent="0.25">
      <c r="D1001" t="s">
        <v>128</v>
      </c>
      <c r="E1001">
        <v>180</v>
      </c>
      <c r="F1001">
        <v>180</v>
      </c>
      <c r="G1001">
        <v>180</v>
      </c>
      <c r="H1001">
        <v>180</v>
      </c>
    </row>
    <row r="1002" spans="2:8" x14ac:dyDescent="0.25">
      <c r="D1002" t="s">
        <v>129</v>
      </c>
      <c r="E1002" t="s">
        <v>497</v>
      </c>
      <c r="F1002" t="s">
        <v>497</v>
      </c>
      <c r="G1002" t="s">
        <v>497</v>
      </c>
      <c r="H1002" t="s">
        <v>130</v>
      </c>
    </row>
    <row r="1003" spans="2:8" x14ac:dyDescent="0.25">
      <c r="D1003" t="s">
        <v>353</v>
      </c>
    </row>
    <row r="1005" spans="2:8" x14ac:dyDescent="0.25">
      <c r="D1005" t="s">
        <v>106</v>
      </c>
      <c r="E1005" t="s">
        <v>126</v>
      </c>
    </row>
    <row r="1006" spans="2:8" x14ac:dyDescent="0.25">
      <c r="D1006" t="s">
        <v>108</v>
      </c>
      <c r="E1006" t="s">
        <v>132</v>
      </c>
    </row>
    <row r="1007" spans="2:8" x14ac:dyDescent="0.25">
      <c r="D1007" t="s">
        <v>128</v>
      </c>
      <c r="E1007">
        <v>180</v>
      </c>
      <c r="F1007">
        <v>180</v>
      </c>
      <c r="G1007">
        <v>180</v>
      </c>
      <c r="H1007">
        <v>180</v>
      </c>
    </row>
    <row r="1008" spans="2:8" x14ac:dyDescent="0.25">
      <c r="D1008" t="s">
        <v>354</v>
      </c>
    </row>
    <row r="1010" spans="4:8" x14ac:dyDescent="0.25">
      <c r="D1010" t="s">
        <v>106</v>
      </c>
      <c r="E1010" t="s">
        <v>126</v>
      </c>
    </row>
    <row r="1011" spans="4:8" x14ac:dyDescent="0.25">
      <c r="D1011" t="s">
        <v>108</v>
      </c>
      <c r="E1011" t="s">
        <v>136</v>
      </c>
    </row>
    <row r="1012" spans="4:8" x14ac:dyDescent="0.25">
      <c r="D1012" t="s">
        <v>137</v>
      </c>
      <c r="E1012" t="s">
        <v>81</v>
      </c>
      <c r="F1012" t="s">
        <v>81</v>
      </c>
      <c r="G1012" t="s">
        <v>81</v>
      </c>
      <c r="H1012" t="s">
        <v>81</v>
      </c>
    </row>
    <row r="1013" spans="4:8" x14ac:dyDescent="0.25">
      <c r="D1013" t="s">
        <v>138</v>
      </c>
      <c r="E1013">
        <v>1</v>
      </c>
      <c r="F1013">
        <v>3</v>
      </c>
      <c r="G1013">
        <v>4</v>
      </c>
      <c r="H1013">
        <v>5</v>
      </c>
    </row>
    <row r="1014" spans="4:8" x14ac:dyDescent="0.25">
      <c r="D1014" t="s">
        <v>139</v>
      </c>
      <c r="E1014" t="s">
        <v>77</v>
      </c>
      <c r="F1014" t="s">
        <v>77</v>
      </c>
      <c r="G1014" t="s">
        <v>77</v>
      </c>
      <c r="H1014" t="s">
        <v>77</v>
      </c>
    </row>
    <row r="1015" spans="4:8" x14ac:dyDescent="0.25">
      <c r="D1015" t="s">
        <v>140</v>
      </c>
      <c r="E1015">
        <v>1</v>
      </c>
      <c r="F1015">
        <v>3</v>
      </c>
      <c r="G1015">
        <v>4</v>
      </c>
      <c r="H1015">
        <v>5</v>
      </c>
    </row>
    <row r="1016" spans="4:8" x14ac:dyDescent="0.25">
      <c r="D1016" t="s">
        <v>128</v>
      </c>
      <c r="E1016">
        <v>180</v>
      </c>
      <c r="F1016">
        <v>180</v>
      </c>
      <c r="G1016">
        <v>180</v>
      </c>
      <c r="H1016">
        <v>180</v>
      </c>
    </row>
    <row r="1017" spans="4:8" x14ac:dyDescent="0.25">
      <c r="D1017" t="s">
        <v>141</v>
      </c>
      <c r="E1017">
        <v>0</v>
      </c>
      <c r="F1017">
        <v>0</v>
      </c>
      <c r="G1017">
        <v>0</v>
      </c>
      <c r="H1017">
        <v>0</v>
      </c>
    </row>
    <row r="1018" spans="4:8" x14ac:dyDescent="0.25">
      <c r="D1018" t="s">
        <v>142</v>
      </c>
      <c r="E1018" t="s">
        <v>66</v>
      </c>
      <c r="F1018" t="s">
        <v>66</v>
      </c>
      <c r="G1018" t="s">
        <v>66</v>
      </c>
      <c r="H1018" t="s">
        <v>66</v>
      </c>
    </row>
    <row r="1019" spans="4:8" x14ac:dyDescent="0.25">
      <c r="D1019" t="s">
        <v>143</v>
      </c>
    </row>
    <row r="1020" spans="4:8" x14ac:dyDescent="0.25">
      <c r="D1020" t="s">
        <v>144</v>
      </c>
    </row>
    <row r="1021" spans="4:8" x14ac:dyDescent="0.25">
      <c r="D1021" t="s">
        <v>145</v>
      </c>
      <c r="E1021">
        <v>0</v>
      </c>
    </row>
    <row r="1022" spans="4:8" x14ac:dyDescent="0.25">
      <c r="D1022" t="s">
        <v>146</v>
      </c>
      <c r="E1022" t="s">
        <v>147</v>
      </c>
    </row>
    <row r="1023" spans="4:8" x14ac:dyDescent="0.25">
      <c r="D1023" t="s">
        <v>355</v>
      </c>
    </row>
    <row r="1028" spans="2:5" x14ac:dyDescent="0.25">
      <c r="B1028" t="s">
        <v>159</v>
      </c>
    </row>
    <row r="1029" spans="2:5" x14ac:dyDescent="0.25">
      <c r="B1029" t="s">
        <v>356</v>
      </c>
    </row>
    <row r="1030" spans="2:5" x14ac:dyDescent="0.25">
      <c r="B1030" t="s">
        <v>357</v>
      </c>
    </row>
    <row r="1031" spans="2:5" x14ac:dyDescent="0.25">
      <c r="B1031" t="s">
        <v>342</v>
      </c>
    </row>
    <row r="1032" spans="2:5" x14ac:dyDescent="0.25">
      <c r="B1032" t="s">
        <v>343</v>
      </c>
    </row>
    <row r="1033" spans="2:5" x14ac:dyDescent="0.25">
      <c r="B1033" t="s">
        <v>358</v>
      </c>
    </row>
    <row r="1034" spans="2:5" x14ac:dyDescent="0.25">
      <c r="B1034" t="s">
        <v>165</v>
      </c>
    </row>
    <row r="1036" spans="2:5" x14ac:dyDescent="0.25">
      <c r="C1036" t="s">
        <v>25</v>
      </c>
    </row>
    <row r="1038" spans="2:5" x14ac:dyDescent="0.25">
      <c r="D1038" t="s">
        <v>106</v>
      </c>
      <c r="E1038" t="s">
        <v>126</v>
      </c>
    </row>
    <row r="1039" spans="2:5" x14ac:dyDescent="0.25">
      <c r="D1039" t="s">
        <v>108</v>
      </c>
      <c r="E1039" t="s">
        <v>127</v>
      </c>
    </row>
    <row r="1040" spans="2:5" x14ac:dyDescent="0.25">
      <c r="D1040" t="s">
        <v>128</v>
      </c>
      <c r="E1040">
        <v>15.8</v>
      </c>
    </row>
    <row r="1041" spans="4:5" x14ac:dyDescent="0.25">
      <c r="D1041" t="s">
        <v>129</v>
      </c>
      <c r="E1041" t="s">
        <v>130</v>
      </c>
    </row>
    <row r="1042" spans="4:5" x14ac:dyDescent="0.25">
      <c r="D1042" t="s">
        <v>359</v>
      </c>
    </row>
    <row r="1044" spans="4:5" x14ac:dyDescent="0.25">
      <c r="D1044" t="s">
        <v>106</v>
      </c>
      <c r="E1044" t="s">
        <v>126</v>
      </c>
    </row>
    <row r="1045" spans="4:5" x14ac:dyDescent="0.25">
      <c r="D1045" t="s">
        <v>108</v>
      </c>
      <c r="E1045" t="s">
        <v>132</v>
      </c>
    </row>
    <row r="1046" spans="4:5" x14ac:dyDescent="0.25">
      <c r="D1046" t="s">
        <v>128</v>
      </c>
      <c r="E1046">
        <v>15</v>
      </c>
    </row>
    <row r="1047" spans="4:5" x14ac:dyDescent="0.25">
      <c r="D1047" t="s">
        <v>360</v>
      </c>
    </row>
    <row r="1049" spans="4:5" x14ac:dyDescent="0.25">
      <c r="D1049" t="s">
        <v>106</v>
      </c>
      <c r="E1049" t="s">
        <v>126</v>
      </c>
    </row>
    <row r="1050" spans="4:5" x14ac:dyDescent="0.25">
      <c r="D1050" t="s">
        <v>108</v>
      </c>
      <c r="E1050" t="s">
        <v>136</v>
      </c>
    </row>
    <row r="1051" spans="4:5" x14ac:dyDescent="0.25">
      <c r="D1051" t="s">
        <v>137</v>
      </c>
      <c r="E1051" t="s">
        <v>80</v>
      </c>
    </row>
    <row r="1052" spans="4:5" x14ac:dyDescent="0.25">
      <c r="D1052" t="s">
        <v>138</v>
      </c>
      <c r="E1052">
        <v>2</v>
      </c>
    </row>
    <row r="1053" spans="4:5" x14ac:dyDescent="0.25">
      <c r="D1053" t="s">
        <v>139</v>
      </c>
      <c r="E1053" t="s">
        <v>85</v>
      </c>
    </row>
    <row r="1054" spans="4:5" x14ac:dyDescent="0.25">
      <c r="D1054" t="s">
        <v>140</v>
      </c>
      <c r="E1054">
        <v>2</v>
      </c>
    </row>
    <row r="1055" spans="4:5" x14ac:dyDescent="0.25">
      <c r="D1055" t="s">
        <v>128</v>
      </c>
      <c r="E1055">
        <v>15.8</v>
      </c>
    </row>
    <row r="1056" spans="4:5" x14ac:dyDescent="0.25">
      <c r="D1056" t="s">
        <v>141</v>
      </c>
      <c r="E1056">
        <v>601.58000000000004</v>
      </c>
    </row>
    <row r="1057" spans="2:5" x14ac:dyDescent="0.25">
      <c r="D1057" t="s">
        <v>142</v>
      </c>
      <c r="E1057" t="s">
        <v>23</v>
      </c>
    </row>
    <row r="1058" spans="2:5" x14ac:dyDescent="0.25">
      <c r="D1058" t="s">
        <v>143</v>
      </c>
    </row>
    <row r="1059" spans="2:5" x14ac:dyDescent="0.25">
      <c r="D1059" t="s">
        <v>144</v>
      </c>
    </row>
    <row r="1060" spans="2:5" x14ac:dyDescent="0.25">
      <c r="D1060" t="s">
        <v>145</v>
      </c>
      <c r="E1060">
        <v>0</v>
      </c>
    </row>
    <row r="1061" spans="2:5" x14ac:dyDescent="0.25">
      <c r="D1061" t="s">
        <v>146</v>
      </c>
      <c r="E1061" t="s">
        <v>147</v>
      </c>
    </row>
    <row r="1062" spans="2:5" x14ac:dyDescent="0.25">
      <c r="D1062" t="s">
        <v>361</v>
      </c>
    </row>
    <row r="1067" spans="2:5" x14ac:dyDescent="0.25">
      <c r="B1067" t="s">
        <v>159</v>
      </c>
    </row>
    <row r="1068" spans="2:5" x14ac:dyDescent="0.25">
      <c r="B1068" t="s">
        <v>362</v>
      </c>
    </row>
    <row r="1069" spans="2:5" x14ac:dyDescent="0.25">
      <c r="B1069" t="s">
        <v>341</v>
      </c>
    </row>
    <row r="1070" spans="2:5" x14ac:dyDescent="0.25">
      <c r="B1070" t="s">
        <v>342</v>
      </c>
    </row>
    <row r="1071" spans="2:5" x14ac:dyDescent="0.25">
      <c r="B1071" t="s">
        <v>343</v>
      </c>
    </row>
    <row r="1072" spans="2:5" x14ac:dyDescent="0.25">
      <c r="B1072" t="s">
        <v>344</v>
      </c>
    </row>
    <row r="1073" spans="2:8" x14ac:dyDescent="0.25">
      <c r="B1073" t="s">
        <v>165</v>
      </c>
    </row>
    <row r="1075" spans="2:8" x14ac:dyDescent="0.25">
      <c r="C1075" t="s">
        <v>25</v>
      </c>
    </row>
    <row r="1077" spans="2:8" x14ac:dyDescent="0.25">
      <c r="D1077" t="s">
        <v>106</v>
      </c>
      <c r="E1077" t="s">
        <v>126</v>
      </c>
    </row>
    <row r="1078" spans="2:8" x14ac:dyDescent="0.25">
      <c r="D1078" t="s">
        <v>108</v>
      </c>
      <c r="E1078" t="s">
        <v>127</v>
      </c>
    </row>
    <row r="1079" spans="2:8" x14ac:dyDescent="0.25">
      <c r="D1079" t="s">
        <v>128</v>
      </c>
      <c r="E1079">
        <v>1.58</v>
      </c>
      <c r="F1079">
        <v>1.58</v>
      </c>
      <c r="G1079">
        <v>1.58</v>
      </c>
      <c r="H1079">
        <v>1.58</v>
      </c>
    </row>
    <row r="1080" spans="2:8" x14ac:dyDescent="0.25">
      <c r="D1080" t="s">
        <v>129</v>
      </c>
      <c r="E1080" t="s">
        <v>497</v>
      </c>
      <c r="F1080" t="s">
        <v>497</v>
      </c>
      <c r="G1080" t="s">
        <v>497</v>
      </c>
      <c r="H1080" t="s">
        <v>130</v>
      </c>
    </row>
    <row r="1081" spans="2:8" x14ac:dyDescent="0.25">
      <c r="D1081" t="s">
        <v>363</v>
      </c>
    </row>
    <row r="1083" spans="2:8" x14ac:dyDescent="0.25">
      <c r="D1083" t="s">
        <v>106</v>
      </c>
      <c r="E1083" t="s">
        <v>126</v>
      </c>
    </row>
    <row r="1084" spans="2:8" x14ac:dyDescent="0.25">
      <c r="D1084" t="s">
        <v>108</v>
      </c>
      <c r="E1084" t="s">
        <v>132</v>
      </c>
    </row>
    <row r="1085" spans="2:8" x14ac:dyDescent="0.25">
      <c r="D1085" t="s">
        <v>128</v>
      </c>
      <c r="E1085">
        <v>1.58</v>
      </c>
      <c r="F1085">
        <v>1.58</v>
      </c>
      <c r="G1085">
        <v>1.58</v>
      </c>
      <c r="H1085">
        <v>1.5</v>
      </c>
    </row>
    <row r="1086" spans="2:8" x14ac:dyDescent="0.25">
      <c r="D1086" t="s">
        <v>364</v>
      </c>
    </row>
    <row r="1088" spans="2:8" x14ac:dyDescent="0.25">
      <c r="D1088" t="s">
        <v>106</v>
      </c>
      <c r="E1088" t="s">
        <v>126</v>
      </c>
    </row>
    <row r="1089" spans="4:8" x14ac:dyDescent="0.25">
      <c r="D1089" t="s">
        <v>108</v>
      </c>
      <c r="E1089" t="s">
        <v>136</v>
      </c>
    </row>
    <row r="1090" spans="4:8" x14ac:dyDescent="0.25">
      <c r="D1090" t="s">
        <v>137</v>
      </c>
      <c r="E1090" t="s">
        <v>81</v>
      </c>
      <c r="F1090" t="s">
        <v>81</v>
      </c>
      <c r="G1090" t="s">
        <v>81</v>
      </c>
      <c r="H1090" t="s">
        <v>81</v>
      </c>
    </row>
    <row r="1091" spans="4:8" x14ac:dyDescent="0.25">
      <c r="D1091" t="s">
        <v>138</v>
      </c>
      <c r="E1091">
        <v>1</v>
      </c>
      <c r="F1091">
        <v>3</v>
      </c>
      <c r="G1091">
        <v>4</v>
      </c>
      <c r="H1091">
        <v>5</v>
      </c>
    </row>
    <row r="1092" spans="4:8" x14ac:dyDescent="0.25">
      <c r="D1092" t="s">
        <v>139</v>
      </c>
      <c r="E1092" t="s">
        <v>83</v>
      </c>
      <c r="F1092" t="s">
        <v>83</v>
      </c>
      <c r="G1092" t="s">
        <v>83</v>
      </c>
      <c r="H1092" t="s">
        <v>83</v>
      </c>
    </row>
    <row r="1093" spans="4:8" x14ac:dyDescent="0.25">
      <c r="D1093" t="s">
        <v>140</v>
      </c>
      <c r="E1093">
        <v>1</v>
      </c>
      <c r="F1093">
        <v>3</v>
      </c>
      <c r="G1093">
        <v>4</v>
      </c>
      <c r="H1093">
        <v>5</v>
      </c>
    </row>
    <row r="1094" spans="4:8" x14ac:dyDescent="0.25">
      <c r="D1094" t="s">
        <v>128</v>
      </c>
      <c r="E1094">
        <v>1.58</v>
      </c>
      <c r="F1094">
        <v>1.58</v>
      </c>
      <c r="G1094">
        <v>1.58</v>
      </c>
      <c r="H1094">
        <v>1.58</v>
      </c>
    </row>
    <row r="1095" spans="4:8" x14ac:dyDescent="0.25">
      <c r="D1095" t="s">
        <v>141</v>
      </c>
      <c r="E1095">
        <v>180</v>
      </c>
      <c r="F1095">
        <v>180</v>
      </c>
      <c r="G1095">
        <v>180</v>
      </c>
      <c r="H1095">
        <v>180</v>
      </c>
    </row>
    <row r="1096" spans="4:8" x14ac:dyDescent="0.25">
      <c r="D1096" t="s">
        <v>142</v>
      </c>
      <c r="E1096" t="s">
        <v>23</v>
      </c>
      <c r="F1096" t="s">
        <v>23</v>
      </c>
      <c r="G1096" t="s">
        <v>23</v>
      </c>
      <c r="H1096" t="s">
        <v>23</v>
      </c>
    </row>
    <row r="1097" spans="4:8" x14ac:dyDescent="0.25">
      <c r="D1097" t="s">
        <v>143</v>
      </c>
    </row>
    <row r="1098" spans="4:8" x14ac:dyDescent="0.25">
      <c r="D1098" t="s">
        <v>144</v>
      </c>
    </row>
    <row r="1099" spans="4:8" x14ac:dyDescent="0.25">
      <c r="D1099" t="s">
        <v>145</v>
      </c>
      <c r="E1099">
        <v>0</v>
      </c>
    </row>
    <row r="1100" spans="4:8" x14ac:dyDescent="0.25">
      <c r="D1100" t="s">
        <v>146</v>
      </c>
      <c r="E1100" t="s">
        <v>147</v>
      </c>
    </row>
    <row r="1101" spans="4:8" x14ac:dyDescent="0.25">
      <c r="D1101" t="s">
        <v>365</v>
      </c>
    </row>
    <row r="1106" spans="2:5" x14ac:dyDescent="0.25">
      <c r="B1106" t="s">
        <v>174</v>
      </c>
    </row>
    <row r="1107" spans="2:5" x14ac:dyDescent="0.25">
      <c r="B1107" t="s">
        <v>366</v>
      </c>
    </row>
    <row r="1108" spans="2:5" x14ac:dyDescent="0.25">
      <c r="B1108" t="s">
        <v>176</v>
      </c>
    </row>
    <row r="1109" spans="2:5" x14ac:dyDescent="0.25">
      <c r="B1109" t="s">
        <v>367</v>
      </c>
    </row>
    <row r="1110" spans="2:5" x14ac:dyDescent="0.25">
      <c r="B1110" t="s">
        <v>178</v>
      </c>
    </row>
    <row r="1112" spans="2:5" x14ac:dyDescent="0.25">
      <c r="C1112" t="s">
        <v>25</v>
      </c>
    </row>
    <row r="1114" spans="2:5" x14ac:dyDescent="0.25">
      <c r="D1114" t="s">
        <v>106</v>
      </c>
      <c r="E1114" t="s">
        <v>179</v>
      </c>
    </row>
    <row r="1115" spans="2:5" x14ac:dyDescent="0.25">
      <c r="D1115" t="s">
        <v>108</v>
      </c>
      <c r="E1115" t="s">
        <v>180</v>
      </c>
    </row>
    <row r="1116" spans="2:5" x14ac:dyDescent="0.25">
      <c r="D1116" t="s">
        <v>181</v>
      </c>
      <c r="E1116" t="s">
        <v>368</v>
      </c>
    </row>
    <row r="1117" spans="2:5" x14ac:dyDescent="0.25">
      <c r="D1117" t="s">
        <v>369</v>
      </c>
    </row>
    <row r="1119" spans="2:5" x14ac:dyDescent="0.25">
      <c r="D1119" t="s">
        <v>106</v>
      </c>
      <c r="E1119" t="s">
        <v>179</v>
      </c>
    </row>
    <row r="1120" spans="2:5" x14ac:dyDescent="0.25">
      <c r="D1120" t="s">
        <v>108</v>
      </c>
      <c r="E1120" t="s">
        <v>184</v>
      </c>
    </row>
    <row r="1121" spans="4:5" x14ac:dyDescent="0.25">
      <c r="D1121" t="s">
        <v>181</v>
      </c>
      <c r="E1121" t="s">
        <v>368</v>
      </c>
    </row>
    <row r="1122" spans="4:5" x14ac:dyDescent="0.25">
      <c r="D1122" t="s">
        <v>370</v>
      </c>
    </row>
    <row r="1124" spans="4:5" x14ac:dyDescent="0.25">
      <c r="D1124" t="s">
        <v>106</v>
      </c>
      <c r="E1124" t="s">
        <v>107</v>
      </c>
    </row>
    <row r="1125" spans="4:5" x14ac:dyDescent="0.25">
      <c r="D1125" t="s">
        <v>108</v>
      </c>
      <c r="E1125" t="s">
        <v>186</v>
      </c>
    </row>
    <row r="1126" spans="4:5" x14ac:dyDescent="0.25">
      <c r="D1126" t="s">
        <v>110</v>
      </c>
      <c r="E1126" t="s">
        <v>368</v>
      </c>
    </row>
    <row r="1127" spans="4:5" x14ac:dyDescent="0.25">
      <c r="D1127" t="s">
        <v>371</v>
      </c>
    </row>
    <row r="1129" spans="4:5" x14ac:dyDescent="0.25">
      <c r="D1129" t="s">
        <v>106</v>
      </c>
      <c r="E1129" t="s">
        <v>107</v>
      </c>
    </row>
    <row r="1130" spans="4:5" x14ac:dyDescent="0.25">
      <c r="D1130" t="s">
        <v>108</v>
      </c>
      <c r="E1130" t="s">
        <v>188</v>
      </c>
    </row>
    <row r="1131" spans="4:5" x14ac:dyDescent="0.25">
      <c r="D1131" t="s">
        <v>110</v>
      </c>
      <c r="E1131" t="s">
        <v>368</v>
      </c>
    </row>
    <row r="1132" spans="4:5" x14ac:dyDescent="0.25">
      <c r="D1132" t="s">
        <v>372</v>
      </c>
    </row>
    <row r="1134" spans="4:5" x14ac:dyDescent="0.25">
      <c r="D1134" t="s">
        <v>106</v>
      </c>
      <c r="E1134" t="s">
        <v>190</v>
      </c>
    </row>
    <row r="1135" spans="4:5" x14ac:dyDescent="0.25">
      <c r="D1135" t="s">
        <v>108</v>
      </c>
      <c r="E1135" t="s">
        <v>109</v>
      </c>
    </row>
    <row r="1136" spans="4:5" x14ac:dyDescent="0.25">
      <c r="D1136" t="s">
        <v>110</v>
      </c>
      <c r="E1136" t="s">
        <v>368</v>
      </c>
    </row>
    <row r="1137" spans="4:5" x14ac:dyDescent="0.25">
      <c r="D1137" t="s">
        <v>373</v>
      </c>
    </row>
    <row r="1139" spans="4:5" x14ac:dyDescent="0.25">
      <c r="D1139" t="s">
        <v>106</v>
      </c>
      <c r="E1139" t="s">
        <v>190</v>
      </c>
    </row>
    <row r="1140" spans="4:5" x14ac:dyDescent="0.25">
      <c r="D1140" t="s">
        <v>108</v>
      </c>
      <c r="E1140" t="s">
        <v>192</v>
      </c>
    </row>
    <row r="1141" spans="4:5" x14ac:dyDescent="0.25">
      <c r="D1141" t="s">
        <v>110</v>
      </c>
      <c r="E1141" t="s">
        <v>368</v>
      </c>
    </row>
    <row r="1142" spans="4:5" x14ac:dyDescent="0.25">
      <c r="D1142" t="s">
        <v>374</v>
      </c>
    </row>
    <row r="1144" spans="4:5" x14ac:dyDescent="0.25">
      <c r="D1144" t="s">
        <v>106</v>
      </c>
      <c r="E1144" t="s">
        <v>190</v>
      </c>
    </row>
    <row r="1145" spans="4:5" x14ac:dyDescent="0.25">
      <c r="D1145" t="s">
        <v>108</v>
      </c>
      <c r="E1145" t="s">
        <v>194</v>
      </c>
    </row>
    <row r="1146" spans="4:5" x14ac:dyDescent="0.25">
      <c r="D1146" t="s">
        <v>110</v>
      </c>
      <c r="E1146" t="s">
        <v>368</v>
      </c>
    </row>
    <row r="1147" spans="4:5" x14ac:dyDescent="0.25">
      <c r="D1147" t="s">
        <v>375</v>
      </c>
    </row>
    <row r="1149" spans="4:5" x14ac:dyDescent="0.25">
      <c r="D1149" t="s">
        <v>106</v>
      </c>
      <c r="E1149" t="s">
        <v>107</v>
      </c>
    </row>
    <row r="1150" spans="4:5" x14ac:dyDescent="0.25">
      <c r="D1150" t="s">
        <v>108</v>
      </c>
      <c r="E1150" t="s">
        <v>192</v>
      </c>
    </row>
    <row r="1151" spans="4:5" x14ac:dyDescent="0.25">
      <c r="D1151" t="s">
        <v>110</v>
      </c>
      <c r="E1151" t="s">
        <v>368</v>
      </c>
    </row>
    <row r="1152" spans="4:5" x14ac:dyDescent="0.25">
      <c r="D1152" t="s">
        <v>376</v>
      </c>
    </row>
    <row r="1154" spans="4:5" x14ac:dyDescent="0.25">
      <c r="D1154" t="s">
        <v>106</v>
      </c>
      <c r="E1154" t="s">
        <v>107</v>
      </c>
    </row>
    <row r="1155" spans="4:5" x14ac:dyDescent="0.25">
      <c r="D1155" t="s">
        <v>108</v>
      </c>
      <c r="E1155" t="s">
        <v>194</v>
      </c>
    </row>
    <row r="1156" spans="4:5" x14ac:dyDescent="0.25">
      <c r="D1156" t="s">
        <v>110</v>
      </c>
      <c r="E1156" t="s">
        <v>368</v>
      </c>
    </row>
    <row r="1157" spans="4:5" x14ac:dyDescent="0.25">
      <c r="D1157" t="s">
        <v>377</v>
      </c>
    </row>
    <row r="1159" spans="4:5" x14ac:dyDescent="0.25">
      <c r="D1159" t="s">
        <v>106</v>
      </c>
      <c r="E1159" t="s">
        <v>198</v>
      </c>
    </row>
    <row r="1160" spans="4:5" x14ac:dyDescent="0.25">
      <c r="D1160" t="s">
        <v>108</v>
      </c>
      <c r="E1160" t="s">
        <v>199</v>
      </c>
    </row>
    <row r="1161" spans="4:5" x14ac:dyDescent="0.25">
      <c r="D1161" t="s">
        <v>200</v>
      </c>
    </row>
    <row r="1162" spans="4:5" x14ac:dyDescent="0.25">
      <c r="D1162" t="s">
        <v>201</v>
      </c>
    </row>
    <row r="1163" spans="4:5" x14ac:dyDescent="0.25">
      <c r="D1163" t="s">
        <v>202</v>
      </c>
    </row>
    <row r="1164" spans="4:5" x14ac:dyDescent="0.25">
      <c r="D1164" t="s">
        <v>203</v>
      </c>
    </row>
    <row r="1165" spans="4:5" x14ac:dyDescent="0.25">
      <c r="D1165" t="s">
        <v>204</v>
      </c>
      <c r="E1165" t="b">
        <v>0</v>
      </c>
    </row>
    <row r="1166" spans="4:5" x14ac:dyDescent="0.25">
      <c r="D1166" t="s">
        <v>205</v>
      </c>
      <c r="E1166" t="s">
        <v>147</v>
      </c>
    </row>
    <row r="1167" spans="4:5" x14ac:dyDescent="0.25">
      <c r="D1167" t="s">
        <v>378</v>
      </c>
    </row>
    <row r="1169" spans="4:5" x14ac:dyDescent="0.25">
      <c r="D1169" t="s">
        <v>106</v>
      </c>
      <c r="E1169" t="s">
        <v>198</v>
      </c>
    </row>
    <row r="1170" spans="4:5" x14ac:dyDescent="0.25">
      <c r="D1170" t="s">
        <v>108</v>
      </c>
      <c r="E1170" t="s">
        <v>199</v>
      </c>
    </row>
    <row r="1171" spans="4:5" x14ac:dyDescent="0.25">
      <c r="D1171" t="s">
        <v>200</v>
      </c>
    </row>
    <row r="1172" spans="4:5" x14ac:dyDescent="0.25">
      <c r="D1172" t="s">
        <v>201</v>
      </c>
    </row>
    <row r="1173" spans="4:5" x14ac:dyDescent="0.25">
      <c r="D1173" t="s">
        <v>202</v>
      </c>
    </row>
    <row r="1174" spans="4:5" x14ac:dyDescent="0.25">
      <c r="D1174" t="s">
        <v>203</v>
      </c>
    </row>
    <row r="1175" spans="4:5" x14ac:dyDescent="0.25">
      <c r="D1175" t="s">
        <v>204</v>
      </c>
      <c r="E1175" t="b">
        <v>1</v>
      </c>
    </row>
    <row r="1176" spans="4:5" x14ac:dyDescent="0.25">
      <c r="D1176" t="s">
        <v>205</v>
      </c>
      <c r="E1176" t="s">
        <v>147</v>
      </c>
    </row>
    <row r="1177" spans="4:5" x14ac:dyDescent="0.25">
      <c r="D1177" t="s">
        <v>379</v>
      </c>
    </row>
    <row r="1179" spans="4:5" x14ac:dyDescent="0.25">
      <c r="D1179" t="s">
        <v>106</v>
      </c>
      <c r="E1179" t="s">
        <v>107</v>
      </c>
    </row>
    <row r="1180" spans="4:5" x14ac:dyDescent="0.25">
      <c r="D1180" t="s">
        <v>108</v>
      </c>
      <c r="E1180" t="s">
        <v>208</v>
      </c>
    </row>
    <row r="1181" spans="4:5" x14ac:dyDescent="0.25">
      <c r="D1181" t="s">
        <v>110</v>
      </c>
      <c r="E1181" t="s">
        <v>80</v>
      </c>
    </row>
    <row r="1182" spans="4:5" x14ac:dyDescent="0.25">
      <c r="D1182" t="s">
        <v>111</v>
      </c>
      <c r="E1182">
        <v>37</v>
      </c>
    </row>
    <row r="1183" spans="4:5" x14ac:dyDescent="0.25">
      <c r="D1183" t="s">
        <v>112</v>
      </c>
      <c r="E1183">
        <v>0</v>
      </c>
    </row>
    <row r="1184" spans="4:5" x14ac:dyDescent="0.25">
      <c r="D1184" t="s">
        <v>380</v>
      </c>
    </row>
    <row r="1189" spans="2:5" x14ac:dyDescent="0.25">
      <c r="B1189" t="s">
        <v>159</v>
      </c>
    </row>
    <row r="1190" spans="2:5" x14ac:dyDescent="0.25">
      <c r="B1190" t="s">
        <v>381</v>
      </c>
    </row>
    <row r="1191" spans="2:5" x14ac:dyDescent="0.25">
      <c r="B1191" t="s">
        <v>357</v>
      </c>
    </row>
    <row r="1192" spans="2:5" x14ac:dyDescent="0.25">
      <c r="B1192" t="s">
        <v>342</v>
      </c>
    </row>
    <row r="1193" spans="2:5" x14ac:dyDescent="0.25">
      <c r="B1193" t="s">
        <v>343</v>
      </c>
    </row>
    <row r="1194" spans="2:5" x14ac:dyDescent="0.25">
      <c r="B1194" t="s">
        <v>358</v>
      </c>
    </row>
    <row r="1195" spans="2:5" x14ac:dyDescent="0.25">
      <c r="B1195" t="s">
        <v>165</v>
      </c>
    </row>
    <row r="1197" spans="2:5" x14ac:dyDescent="0.25">
      <c r="C1197" t="s">
        <v>25</v>
      </c>
    </row>
    <row r="1199" spans="2:5" x14ac:dyDescent="0.25">
      <c r="D1199" t="s">
        <v>106</v>
      </c>
      <c r="E1199" t="s">
        <v>126</v>
      </c>
    </row>
    <row r="1200" spans="2:5" x14ac:dyDescent="0.25">
      <c r="D1200" t="s">
        <v>108</v>
      </c>
      <c r="E1200" t="s">
        <v>127</v>
      </c>
    </row>
    <row r="1201" spans="4:8" x14ac:dyDescent="0.25">
      <c r="D1201" t="s">
        <v>128</v>
      </c>
      <c r="E1201">
        <v>15.8</v>
      </c>
      <c r="F1201">
        <v>15.8</v>
      </c>
      <c r="G1201">
        <v>15.8</v>
      </c>
      <c r="H1201">
        <v>15.8</v>
      </c>
    </row>
    <row r="1202" spans="4:8" x14ac:dyDescent="0.25">
      <c r="D1202" t="s">
        <v>129</v>
      </c>
      <c r="E1202" t="s">
        <v>497</v>
      </c>
      <c r="F1202" t="s">
        <v>497</v>
      </c>
      <c r="G1202" t="s">
        <v>497</v>
      </c>
      <c r="H1202" t="s">
        <v>130</v>
      </c>
    </row>
    <row r="1203" spans="4:8" x14ac:dyDescent="0.25">
      <c r="D1203" t="s">
        <v>382</v>
      </c>
    </row>
    <row r="1205" spans="4:8" x14ac:dyDescent="0.25">
      <c r="D1205" t="s">
        <v>106</v>
      </c>
      <c r="E1205" t="s">
        <v>126</v>
      </c>
    </row>
    <row r="1206" spans="4:8" x14ac:dyDescent="0.25">
      <c r="D1206" t="s">
        <v>108</v>
      </c>
      <c r="E1206" t="s">
        <v>132</v>
      </c>
    </row>
    <row r="1207" spans="4:8" x14ac:dyDescent="0.25">
      <c r="D1207" t="s">
        <v>128</v>
      </c>
      <c r="E1207">
        <v>15.8</v>
      </c>
      <c r="F1207">
        <v>15.8</v>
      </c>
      <c r="G1207">
        <v>15.8</v>
      </c>
      <c r="H1207">
        <v>15</v>
      </c>
    </row>
    <row r="1208" spans="4:8" x14ac:dyDescent="0.25">
      <c r="D1208" t="s">
        <v>383</v>
      </c>
    </row>
    <row r="1210" spans="4:8" x14ac:dyDescent="0.25">
      <c r="D1210" t="s">
        <v>106</v>
      </c>
      <c r="E1210" t="s">
        <v>126</v>
      </c>
    </row>
    <row r="1211" spans="4:8" x14ac:dyDescent="0.25">
      <c r="D1211" t="s">
        <v>108</v>
      </c>
      <c r="E1211" t="s">
        <v>136</v>
      </c>
    </row>
    <row r="1212" spans="4:8" x14ac:dyDescent="0.25">
      <c r="D1212" t="s">
        <v>137</v>
      </c>
      <c r="E1212" t="s">
        <v>81</v>
      </c>
      <c r="F1212" t="s">
        <v>81</v>
      </c>
      <c r="G1212" t="s">
        <v>81</v>
      </c>
      <c r="H1212" t="s">
        <v>81</v>
      </c>
    </row>
    <row r="1213" spans="4:8" x14ac:dyDescent="0.25">
      <c r="D1213" t="s">
        <v>138</v>
      </c>
      <c r="E1213">
        <v>1</v>
      </c>
      <c r="F1213">
        <v>3</v>
      </c>
      <c r="G1213">
        <v>4</v>
      </c>
      <c r="H1213">
        <v>5</v>
      </c>
    </row>
    <row r="1214" spans="4:8" x14ac:dyDescent="0.25">
      <c r="D1214" t="s">
        <v>139</v>
      </c>
      <c r="E1214" t="s">
        <v>85</v>
      </c>
      <c r="F1214" t="s">
        <v>85</v>
      </c>
      <c r="G1214" t="s">
        <v>85</v>
      </c>
      <c r="H1214" t="s">
        <v>85</v>
      </c>
    </row>
    <row r="1215" spans="4:8" x14ac:dyDescent="0.25">
      <c r="D1215" t="s">
        <v>140</v>
      </c>
      <c r="E1215">
        <v>1</v>
      </c>
      <c r="F1215">
        <v>3</v>
      </c>
      <c r="G1215">
        <v>4</v>
      </c>
      <c r="H1215">
        <v>5</v>
      </c>
    </row>
    <row r="1216" spans="4:8" x14ac:dyDescent="0.25">
      <c r="D1216" t="s">
        <v>128</v>
      </c>
      <c r="E1216">
        <v>15.8</v>
      </c>
      <c r="F1216">
        <v>15.8</v>
      </c>
      <c r="G1216">
        <v>15.8</v>
      </c>
      <c r="H1216">
        <v>15.8</v>
      </c>
    </row>
    <row r="1217" spans="2:8" x14ac:dyDescent="0.25">
      <c r="D1217" t="s">
        <v>141</v>
      </c>
      <c r="E1217">
        <v>181.58</v>
      </c>
      <c r="F1217">
        <v>181.58</v>
      </c>
      <c r="G1217">
        <v>181.58</v>
      </c>
      <c r="H1217">
        <v>181.58</v>
      </c>
    </row>
    <row r="1218" spans="2:8" x14ac:dyDescent="0.25">
      <c r="D1218" t="s">
        <v>142</v>
      </c>
      <c r="E1218" t="s">
        <v>23</v>
      </c>
      <c r="F1218" t="s">
        <v>23</v>
      </c>
      <c r="G1218" t="s">
        <v>23</v>
      </c>
      <c r="H1218" t="s">
        <v>23</v>
      </c>
    </row>
    <row r="1219" spans="2:8" x14ac:dyDescent="0.25">
      <c r="D1219" t="s">
        <v>143</v>
      </c>
    </row>
    <row r="1220" spans="2:8" x14ac:dyDescent="0.25">
      <c r="D1220" t="s">
        <v>144</v>
      </c>
    </row>
    <row r="1221" spans="2:8" x14ac:dyDescent="0.25">
      <c r="D1221" t="s">
        <v>145</v>
      </c>
      <c r="E1221">
        <v>0</v>
      </c>
    </row>
    <row r="1222" spans="2:8" x14ac:dyDescent="0.25">
      <c r="D1222" t="s">
        <v>146</v>
      </c>
      <c r="E1222" t="s">
        <v>147</v>
      </c>
    </row>
    <row r="1223" spans="2:8" x14ac:dyDescent="0.25">
      <c r="D1223" t="s">
        <v>384</v>
      </c>
    </row>
    <row r="1228" spans="2:8" x14ac:dyDescent="0.25">
      <c r="B1228" t="s">
        <v>174</v>
      </c>
    </row>
    <row r="1229" spans="2:8" x14ac:dyDescent="0.25">
      <c r="B1229" t="s">
        <v>385</v>
      </c>
    </row>
    <row r="1230" spans="2:8" x14ac:dyDescent="0.25">
      <c r="B1230" t="s">
        <v>176</v>
      </c>
    </row>
    <row r="1231" spans="2:8" x14ac:dyDescent="0.25">
      <c r="B1231" t="s">
        <v>367</v>
      </c>
    </row>
    <row r="1232" spans="2:8" x14ac:dyDescent="0.25">
      <c r="B1232" t="s">
        <v>178</v>
      </c>
    </row>
    <row r="1234" spans="3:5" x14ac:dyDescent="0.25">
      <c r="C1234" t="s">
        <v>25</v>
      </c>
    </row>
    <row r="1236" spans="3:5" x14ac:dyDescent="0.25">
      <c r="D1236" t="s">
        <v>106</v>
      </c>
      <c r="E1236" t="s">
        <v>179</v>
      </c>
    </row>
    <row r="1237" spans="3:5" x14ac:dyDescent="0.25">
      <c r="D1237" t="s">
        <v>108</v>
      </c>
      <c r="E1237" t="s">
        <v>180</v>
      </c>
    </row>
    <row r="1238" spans="3:5" x14ac:dyDescent="0.25">
      <c r="D1238" t="s">
        <v>181</v>
      </c>
      <c r="E1238" t="s">
        <v>386</v>
      </c>
    </row>
    <row r="1239" spans="3:5" x14ac:dyDescent="0.25">
      <c r="D1239" t="s">
        <v>387</v>
      </c>
    </row>
    <row r="1241" spans="3:5" x14ac:dyDescent="0.25">
      <c r="D1241" t="s">
        <v>106</v>
      </c>
      <c r="E1241" t="s">
        <v>179</v>
      </c>
    </row>
    <row r="1242" spans="3:5" x14ac:dyDescent="0.25">
      <c r="D1242" t="s">
        <v>108</v>
      </c>
      <c r="E1242" t="s">
        <v>184</v>
      </c>
    </row>
    <row r="1243" spans="3:5" x14ac:dyDescent="0.25">
      <c r="D1243" t="s">
        <v>181</v>
      </c>
      <c r="E1243" t="s">
        <v>386</v>
      </c>
    </row>
    <row r="1244" spans="3:5" x14ac:dyDescent="0.25">
      <c r="D1244" t="s">
        <v>388</v>
      </c>
    </row>
    <row r="1246" spans="3:5" x14ac:dyDescent="0.25">
      <c r="D1246" t="s">
        <v>106</v>
      </c>
      <c r="E1246" t="s">
        <v>107</v>
      </c>
    </row>
    <row r="1247" spans="3:5" x14ac:dyDescent="0.25">
      <c r="D1247" t="s">
        <v>108</v>
      </c>
      <c r="E1247" t="s">
        <v>186</v>
      </c>
    </row>
    <row r="1248" spans="3:5" x14ac:dyDescent="0.25">
      <c r="D1248" t="s">
        <v>110</v>
      </c>
      <c r="E1248" t="s">
        <v>386</v>
      </c>
    </row>
    <row r="1249" spans="4:5" x14ac:dyDescent="0.25">
      <c r="D1249" t="s">
        <v>389</v>
      </c>
    </row>
    <row r="1251" spans="4:5" x14ac:dyDescent="0.25">
      <c r="D1251" t="s">
        <v>106</v>
      </c>
      <c r="E1251" t="s">
        <v>107</v>
      </c>
    </row>
    <row r="1252" spans="4:5" x14ac:dyDescent="0.25">
      <c r="D1252" t="s">
        <v>108</v>
      </c>
      <c r="E1252" t="s">
        <v>188</v>
      </c>
    </row>
    <row r="1253" spans="4:5" x14ac:dyDescent="0.25">
      <c r="D1253" t="s">
        <v>110</v>
      </c>
      <c r="E1253" t="s">
        <v>386</v>
      </c>
    </row>
    <row r="1254" spans="4:5" x14ac:dyDescent="0.25">
      <c r="D1254" t="s">
        <v>390</v>
      </c>
    </row>
    <row r="1256" spans="4:5" x14ac:dyDescent="0.25">
      <c r="D1256" t="s">
        <v>106</v>
      </c>
      <c r="E1256" t="s">
        <v>190</v>
      </c>
    </row>
    <row r="1257" spans="4:5" x14ac:dyDescent="0.25">
      <c r="D1257" t="s">
        <v>108</v>
      </c>
      <c r="E1257" t="s">
        <v>109</v>
      </c>
    </row>
    <row r="1258" spans="4:5" x14ac:dyDescent="0.25">
      <c r="D1258" t="s">
        <v>110</v>
      </c>
      <c r="E1258" t="s">
        <v>386</v>
      </c>
    </row>
    <row r="1259" spans="4:5" x14ac:dyDescent="0.25">
      <c r="D1259" t="s">
        <v>391</v>
      </c>
    </row>
    <row r="1261" spans="4:5" x14ac:dyDescent="0.25">
      <c r="D1261" t="s">
        <v>106</v>
      </c>
      <c r="E1261" t="s">
        <v>190</v>
      </c>
    </row>
    <row r="1262" spans="4:5" x14ac:dyDescent="0.25">
      <c r="D1262" t="s">
        <v>108</v>
      </c>
      <c r="E1262" t="s">
        <v>192</v>
      </c>
    </row>
    <row r="1263" spans="4:5" x14ac:dyDescent="0.25">
      <c r="D1263" t="s">
        <v>110</v>
      </c>
      <c r="E1263" t="s">
        <v>386</v>
      </c>
    </row>
    <row r="1264" spans="4:5" x14ac:dyDescent="0.25">
      <c r="D1264" t="s">
        <v>392</v>
      </c>
    </row>
    <row r="1266" spans="4:5" x14ac:dyDescent="0.25">
      <c r="D1266" t="s">
        <v>106</v>
      </c>
      <c r="E1266" t="s">
        <v>190</v>
      </c>
    </row>
    <row r="1267" spans="4:5" x14ac:dyDescent="0.25">
      <c r="D1267" t="s">
        <v>108</v>
      </c>
      <c r="E1267" t="s">
        <v>194</v>
      </c>
    </row>
    <row r="1268" spans="4:5" x14ac:dyDescent="0.25">
      <c r="D1268" t="s">
        <v>110</v>
      </c>
      <c r="E1268" t="s">
        <v>386</v>
      </c>
    </row>
    <row r="1269" spans="4:5" x14ac:dyDescent="0.25">
      <c r="D1269" t="s">
        <v>393</v>
      </c>
    </row>
    <row r="1271" spans="4:5" x14ac:dyDescent="0.25">
      <c r="D1271" t="s">
        <v>106</v>
      </c>
      <c r="E1271" t="s">
        <v>107</v>
      </c>
    </row>
    <row r="1272" spans="4:5" x14ac:dyDescent="0.25">
      <c r="D1272" t="s">
        <v>108</v>
      </c>
      <c r="E1272" t="s">
        <v>192</v>
      </c>
    </row>
    <row r="1273" spans="4:5" x14ac:dyDescent="0.25">
      <c r="D1273" t="s">
        <v>110</v>
      </c>
      <c r="E1273" t="s">
        <v>386</v>
      </c>
    </row>
    <row r="1274" spans="4:5" x14ac:dyDescent="0.25">
      <c r="D1274" t="s">
        <v>394</v>
      </c>
    </row>
    <row r="1276" spans="4:5" x14ac:dyDescent="0.25">
      <c r="D1276" t="s">
        <v>106</v>
      </c>
      <c r="E1276" t="s">
        <v>107</v>
      </c>
    </row>
    <row r="1277" spans="4:5" x14ac:dyDescent="0.25">
      <c r="D1277" t="s">
        <v>108</v>
      </c>
      <c r="E1277" t="s">
        <v>194</v>
      </c>
    </row>
    <row r="1278" spans="4:5" x14ac:dyDescent="0.25">
      <c r="D1278" t="s">
        <v>110</v>
      </c>
      <c r="E1278" t="s">
        <v>386</v>
      </c>
    </row>
    <row r="1279" spans="4:5" x14ac:dyDescent="0.25">
      <c r="D1279" t="s">
        <v>395</v>
      </c>
    </row>
    <row r="1281" spans="4:5" x14ac:dyDescent="0.25">
      <c r="D1281" t="s">
        <v>106</v>
      </c>
      <c r="E1281" t="s">
        <v>198</v>
      </c>
    </row>
    <row r="1282" spans="4:5" x14ac:dyDescent="0.25">
      <c r="D1282" t="s">
        <v>108</v>
      </c>
      <c r="E1282" t="s">
        <v>199</v>
      </c>
    </row>
    <row r="1283" spans="4:5" x14ac:dyDescent="0.25">
      <c r="D1283" t="s">
        <v>200</v>
      </c>
    </row>
    <row r="1284" spans="4:5" x14ac:dyDescent="0.25">
      <c r="D1284" t="s">
        <v>201</v>
      </c>
    </row>
    <row r="1285" spans="4:5" x14ac:dyDescent="0.25">
      <c r="D1285" t="s">
        <v>202</v>
      </c>
    </row>
    <row r="1286" spans="4:5" x14ac:dyDescent="0.25">
      <c r="D1286" t="s">
        <v>203</v>
      </c>
    </row>
    <row r="1287" spans="4:5" x14ac:dyDescent="0.25">
      <c r="D1287" t="s">
        <v>204</v>
      </c>
      <c r="E1287" t="b">
        <v>0</v>
      </c>
    </row>
    <row r="1288" spans="4:5" x14ac:dyDescent="0.25">
      <c r="D1288" t="s">
        <v>205</v>
      </c>
      <c r="E1288" t="s">
        <v>147</v>
      </c>
    </row>
    <row r="1289" spans="4:5" x14ac:dyDescent="0.25">
      <c r="D1289" t="s">
        <v>396</v>
      </c>
    </row>
    <row r="1291" spans="4:5" x14ac:dyDescent="0.25">
      <c r="D1291" t="s">
        <v>106</v>
      </c>
      <c r="E1291" t="s">
        <v>198</v>
      </c>
    </row>
    <row r="1292" spans="4:5" x14ac:dyDescent="0.25">
      <c r="D1292" t="s">
        <v>108</v>
      </c>
      <c r="E1292" t="s">
        <v>199</v>
      </c>
    </row>
    <row r="1293" spans="4:5" x14ac:dyDescent="0.25">
      <c r="D1293" t="s">
        <v>200</v>
      </c>
    </row>
    <row r="1294" spans="4:5" x14ac:dyDescent="0.25">
      <c r="D1294" t="s">
        <v>201</v>
      </c>
    </row>
    <row r="1295" spans="4:5" x14ac:dyDescent="0.25">
      <c r="D1295" t="s">
        <v>202</v>
      </c>
    </row>
    <row r="1296" spans="4:5" x14ac:dyDescent="0.25">
      <c r="D1296" t="s">
        <v>203</v>
      </c>
    </row>
    <row r="1297" spans="4:5" x14ac:dyDescent="0.25">
      <c r="D1297" t="s">
        <v>204</v>
      </c>
      <c r="E1297" t="b">
        <v>1</v>
      </c>
    </row>
    <row r="1298" spans="4:5" x14ac:dyDescent="0.25">
      <c r="D1298" t="s">
        <v>205</v>
      </c>
      <c r="E1298" t="s">
        <v>147</v>
      </c>
    </row>
    <row r="1299" spans="4:5" x14ac:dyDescent="0.25">
      <c r="D1299" t="s">
        <v>397</v>
      </c>
    </row>
    <row r="1301" spans="4:5" x14ac:dyDescent="0.25">
      <c r="D1301" t="s">
        <v>106</v>
      </c>
      <c r="E1301" t="s">
        <v>107</v>
      </c>
    </row>
    <row r="1302" spans="4:5" x14ac:dyDescent="0.25">
      <c r="D1302" t="s">
        <v>108</v>
      </c>
      <c r="E1302" t="s">
        <v>208</v>
      </c>
    </row>
    <row r="1303" spans="4:5" x14ac:dyDescent="0.25">
      <c r="D1303" t="s">
        <v>110</v>
      </c>
      <c r="E1303" t="s">
        <v>81</v>
      </c>
    </row>
    <row r="1304" spans="4:5" x14ac:dyDescent="0.25">
      <c r="D1304" t="s">
        <v>111</v>
      </c>
      <c r="E1304">
        <v>37</v>
      </c>
    </row>
    <row r="1305" spans="4:5" x14ac:dyDescent="0.25">
      <c r="D1305" t="s">
        <v>112</v>
      </c>
      <c r="E1305">
        <v>0</v>
      </c>
    </row>
    <row r="1306" spans="4:5" x14ac:dyDescent="0.25">
      <c r="D1306" t="s">
        <v>398</v>
      </c>
    </row>
    <row r="1308" spans="4:5" x14ac:dyDescent="0.25">
      <c r="D1308" t="s">
        <v>106</v>
      </c>
      <c r="E1308" t="s">
        <v>224</v>
      </c>
    </row>
    <row r="1309" spans="4:5" x14ac:dyDescent="0.25">
      <c r="D1309" t="s">
        <v>108</v>
      </c>
      <c r="E1309" t="s">
        <v>225</v>
      </c>
    </row>
    <row r="1310" spans="4:5" x14ac:dyDescent="0.25">
      <c r="D1310" t="s">
        <v>226</v>
      </c>
      <c r="E1310">
        <v>64798.7</v>
      </c>
    </row>
    <row r="1311" spans="4:5" x14ac:dyDescent="0.25">
      <c r="D1311" t="s">
        <v>399</v>
      </c>
    </row>
    <row r="1313" spans="4:5" x14ac:dyDescent="0.25">
      <c r="D1313" t="s">
        <v>106</v>
      </c>
      <c r="E1313" t="s">
        <v>224</v>
      </c>
    </row>
    <row r="1314" spans="4:5" x14ac:dyDescent="0.25">
      <c r="D1314" t="s">
        <v>108</v>
      </c>
      <c r="E1314" t="s">
        <v>228</v>
      </c>
    </row>
    <row r="1315" spans="4:5" x14ac:dyDescent="0.25">
      <c r="D1315" t="s">
        <v>400</v>
      </c>
    </row>
    <row r="1317" spans="4:5" x14ac:dyDescent="0.25">
      <c r="D1317" t="s">
        <v>106</v>
      </c>
      <c r="E1317" t="s">
        <v>107</v>
      </c>
    </row>
    <row r="1318" spans="4:5" x14ac:dyDescent="0.25">
      <c r="D1318" t="s">
        <v>108</v>
      </c>
      <c r="E1318" t="s">
        <v>230</v>
      </c>
    </row>
    <row r="1319" spans="4:5" x14ac:dyDescent="0.25">
      <c r="D1319" t="s">
        <v>110</v>
      </c>
      <c r="E1319" t="s">
        <v>368</v>
      </c>
    </row>
    <row r="1320" spans="4:5" x14ac:dyDescent="0.25">
      <c r="D1320" t="s">
        <v>401</v>
      </c>
    </row>
    <row r="1322" spans="4:5" x14ac:dyDescent="0.25">
      <c r="D1322" t="s">
        <v>106</v>
      </c>
      <c r="E1322" t="s">
        <v>190</v>
      </c>
    </row>
    <row r="1323" spans="4:5" x14ac:dyDescent="0.25">
      <c r="D1323" t="s">
        <v>108</v>
      </c>
      <c r="E1323" t="s">
        <v>192</v>
      </c>
    </row>
    <row r="1324" spans="4:5" x14ac:dyDescent="0.25">
      <c r="D1324" t="s">
        <v>110</v>
      </c>
      <c r="E1324" t="s">
        <v>368</v>
      </c>
    </row>
    <row r="1325" spans="4:5" x14ac:dyDescent="0.25">
      <c r="D1325" t="s">
        <v>402</v>
      </c>
    </row>
    <row r="1327" spans="4:5" x14ac:dyDescent="0.25">
      <c r="D1327" t="s">
        <v>106</v>
      </c>
      <c r="E1327" t="s">
        <v>190</v>
      </c>
    </row>
    <row r="1328" spans="4:5" x14ac:dyDescent="0.25">
      <c r="D1328" t="s">
        <v>108</v>
      </c>
      <c r="E1328" t="s">
        <v>194</v>
      </c>
    </row>
    <row r="1329" spans="4:5" x14ac:dyDescent="0.25">
      <c r="D1329" t="s">
        <v>110</v>
      </c>
      <c r="E1329" t="s">
        <v>368</v>
      </c>
    </row>
    <row r="1330" spans="4:5" x14ac:dyDescent="0.25">
      <c r="D1330" t="s">
        <v>403</v>
      </c>
    </row>
    <row r="1332" spans="4:5" x14ac:dyDescent="0.25">
      <c r="D1332" t="s">
        <v>106</v>
      </c>
      <c r="E1332" t="s">
        <v>107</v>
      </c>
    </row>
    <row r="1333" spans="4:5" x14ac:dyDescent="0.25">
      <c r="D1333" t="s">
        <v>108</v>
      </c>
      <c r="E1333" t="s">
        <v>192</v>
      </c>
    </row>
    <row r="1334" spans="4:5" x14ac:dyDescent="0.25">
      <c r="D1334" t="s">
        <v>110</v>
      </c>
      <c r="E1334" t="s">
        <v>368</v>
      </c>
    </row>
    <row r="1335" spans="4:5" x14ac:dyDescent="0.25">
      <c r="D1335" t="s">
        <v>404</v>
      </c>
    </row>
    <row r="1337" spans="4:5" x14ac:dyDescent="0.25">
      <c r="D1337" t="s">
        <v>106</v>
      </c>
      <c r="E1337" t="s">
        <v>107</v>
      </c>
    </row>
    <row r="1338" spans="4:5" x14ac:dyDescent="0.25">
      <c r="D1338" t="s">
        <v>108</v>
      </c>
      <c r="E1338" t="s">
        <v>194</v>
      </c>
    </row>
    <row r="1339" spans="4:5" x14ac:dyDescent="0.25">
      <c r="D1339" t="s">
        <v>110</v>
      </c>
      <c r="E1339" t="s">
        <v>368</v>
      </c>
    </row>
    <row r="1340" spans="4:5" x14ac:dyDescent="0.25">
      <c r="D1340" t="s">
        <v>405</v>
      </c>
    </row>
    <row r="1342" spans="4:5" x14ac:dyDescent="0.25">
      <c r="D1342" t="s">
        <v>106</v>
      </c>
      <c r="E1342" t="s">
        <v>179</v>
      </c>
    </row>
    <row r="1343" spans="4:5" x14ac:dyDescent="0.25">
      <c r="D1343" t="s">
        <v>108</v>
      </c>
      <c r="E1343" t="s">
        <v>180</v>
      </c>
    </row>
    <row r="1344" spans="4:5" x14ac:dyDescent="0.25">
      <c r="D1344" t="s">
        <v>181</v>
      </c>
      <c r="E1344" t="s">
        <v>368</v>
      </c>
    </row>
    <row r="1345" spans="4:5" x14ac:dyDescent="0.25">
      <c r="D1345" t="s">
        <v>406</v>
      </c>
    </row>
    <row r="1347" spans="4:5" x14ac:dyDescent="0.25">
      <c r="D1347" t="s">
        <v>106</v>
      </c>
      <c r="E1347" t="s">
        <v>179</v>
      </c>
    </row>
    <row r="1348" spans="4:5" x14ac:dyDescent="0.25">
      <c r="D1348" t="s">
        <v>108</v>
      </c>
      <c r="E1348" t="s">
        <v>184</v>
      </c>
    </row>
    <row r="1349" spans="4:5" x14ac:dyDescent="0.25">
      <c r="D1349" t="s">
        <v>181</v>
      </c>
      <c r="E1349" t="s">
        <v>368</v>
      </c>
    </row>
    <row r="1350" spans="4:5" x14ac:dyDescent="0.25">
      <c r="D1350" t="s">
        <v>407</v>
      </c>
    </row>
    <row r="1352" spans="4:5" x14ac:dyDescent="0.25">
      <c r="D1352" t="s">
        <v>106</v>
      </c>
      <c r="E1352" t="s">
        <v>107</v>
      </c>
    </row>
    <row r="1353" spans="4:5" x14ac:dyDescent="0.25">
      <c r="D1353" t="s">
        <v>108</v>
      </c>
      <c r="E1353" t="s">
        <v>186</v>
      </c>
    </row>
    <row r="1354" spans="4:5" x14ac:dyDescent="0.25">
      <c r="D1354" t="s">
        <v>110</v>
      </c>
      <c r="E1354" t="s">
        <v>368</v>
      </c>
    </row>
    <row r="1355" spans="4:5" x14ac:dyDescent="0.25">
      <c r="D1355" t="s">
        <v>408</v>
      </c>
    </row>
    <row r="1357" spans="4:5" x14ac:dyDescent="0.25">
      <c r="D1357" t="s">
        <v>106</v>
      </c>
      <c r="E1357" t="s">
        <v>107</v>
      </c>
    </row>
    <row r="1358" spans="4:5" x14ac:dyDescent="0.25">
      <c r="D1358" t="s">
        <v>108</v>
      </c>
      <c r="E1358" t="s">
        <v>188</v>
      </c>
    </row>
    <row r="1359" spans="4:5" x14ac:dyDescent="0.25">
      <c r="D1359" t="s">
        <v>110</v>
      </c>
      <c r="E1359" t="s">
        <v>368</v>
      </c>
    </row>
    <row r="1360" spans="4:5" x14ac:dyDescent="0.25">
      <c r="D1360" t="s">
        <v>409</v>
      </c>
    </row>
    <row r="1362" spans="4:5" x14ac:dyDescent="0.25">
      <c r="D1362" t="s">
        <v>106</v>
      </c>
      <c r="E1362" t="s">
        <v>198</v>
      </c>
    </row>
    <row r="1363" spans="4:5" x14ac:dyDescent="0.25">
      <c r="D1363" t="s">
        <v>108</v>
      </c>
      <c r="E1363" t="s">
        <v>199</v>
      </c>
    </row>
    <row r="1364" spans="4:5" x14ac:dyDescent="0.25">
      <c r="D1364" t="s">
        <v>200</v>
      </c>
    </row>
    <row r="1365" spans="4:5" x14ac:dyDescent="0.25">
      <c r="D1365" t="s">
        <v>201</v>
      </c>
    </row>
    <row r="1366" spans="4:5" x14ac:dyDescent="0.25">
      <c r="D1366" t="s">
        <v>202</v>
      </c>
    </row>
    <row r="1367" spans="4:5" x14ac:dyDescent="0.25">
      <c r="D1367" t="s">
        <v>203</v>
      </c>
    </row>
    <row r="1368" spans="4:5" x14ac:dyDescent="0.25">
      <c r="D1368" t="s">
        <v>204</v>
      </c>
      <c r="E1368" t="b">
        <v>0</v>
      </c>
    </row>
    <row r="1369" spans="4:5" x14ac:dyDescent="0.25">
      <c r="D1369" t="s">
        <v>205</v>
      </c>
      <c r="E1369" t="s">
        <v>240</v>
      </c>
    </row>
    <row r="1370" spans="4:5" x14ac:dyDescent="0.25">
      <c r="D1370" t="s">
        <v>410</v>
      </c>
    </row>
    <row r="1372" spans="4:5" x14ac:dyDescent="0.25">
      <c r="D1372" t="s">
        <v>106</v>
      </c>
      <c r="E1372" t="s">
        <v>198</v>
      </c>
    </row>
    <row r="1373" spans="4:5" x14ac:dyDescent="0.25">
      <c r="D1373" t="s">
        <v>108</v>
      </c>
      <c r="E1373" t="s">
        <v>199</v>
      </c>
    </row>
    <row r="1374" spans="4:5" x14ac:dyDescent="0.25">
      <c r="D1374" t="s">
        <v>200</v>
      </c>
    </row>
    <row r="1375" spans="4:5" x14ac:dyDescent="0.25">
      <c r="D1375" t="s">
        <v>201</v>
      </c>
    </row>
    <row r="1376" spans="4:5" x14ac:dyDescent="0.25">
      <c r="D1376" t="s">
        <v>202</v>
      </c>
    </row>
    <row r="1377" spans="4:5" x14ac:dyDescent="0.25">
      <c r="D1377" t="s">
        <v>203</v>
      </c>
    </row>
    <row r="1378" spans="4:5" x14ac:dyDescent="0.25">
      <c r="D1378" t="s">
        <v>204</v>
      </c>
      <c r="E1378" t="b">
        <v>1</v>
      </c>
    </row>
    <row r="1379" spans="4:5" x14ac:dyDescent="0.25">
      <c r="D1379" t="s">
        <v>205</v>
      </c>
      <c r="E1379" t="s">
        <v>240</v>
      </c>
    </row>
    <row r="1380" spans="4:5" x14ac:dyDescent="0.25">
      <c r="D1380" t="s">
        <v>411</v>
      </c>
    </row>
    <row r="1382" spans="4:5" x14ac:dyDescent="0.25">
      <c r="D1382" t="s">
        <v>106</v>
      </c>
      <c r="E1382" t="s">
        <v>107</v>
      </c>
    </row>
    <row r="1383" spans="4:5" x14ac:dyDescent="0.25">
      <c r="D1383" t="s">
        <v>108</v>
      </c>
      <c r="E1383" t="s">
        <v>243</v>
      </c>
    </row>
    <row r="1384" spans="4:5" x14ac:dyDescent="0.25">
      <c r="D1384" t="s">
        <v>110</v>
      </c>
      <c r="E1384" t="s">
        <v>368</v>
      </c>
    </row>
    <row r="1386" spans="4:5" x14ac:dyDescent="0.25">
      <c r="D1386" t="s">
        <v>106</v>
      </c>
      <c r="E1386" t="s">
        <v>190</v>
      </c>
    </row>
    <row r="1387" spans="4:5" x14ac:dyDescent="0.25">
      <c r="D1387" t="s">
        <v>108</v>
      </c>
      <c r="E1387" t="s">
        <v>243</v>
      </c>
    </row>
    <row r="1388" spans="4:5" x14ac:dyDescent="0.25">
      <c r="D1388" t="s">
        <v>110</v>
      </c>
      <c r="E1388" t="s">
        <v>368</v>
      </c>
    </row>
    <row r="1389" spans="4:5" x14ac:dyDescent="0.25">
      <c r="D1389" t="s">
        <v>412</v>
      </c>
    </row>
    <row r="1394" spans="2:5" x14ac:dyDescent="0.25">
      <c r="B1394" t="s">
        <v>159</v>
      </c>
    </row>
    <row r="1395" spans="2:5" x14ac:dyDescent="0.25">
      <c r="B1395" t="s">
        <v>413</v>
      </c>
    </row>
    <row r="1396" spans="2:5" x14ac:dyDescent="0.25">
      <c r="B1396" t="s">
        <v>414</v>
      </c>
    </row>
    <row r="1397" spans="2:5" x14ac:dyDescent="0.25">
      <c r="B1397" t="s">
        <v>415</v>
      </c>
    </row>
    <row r="1398" spans="2:5" x14ac:dyDescent="0.25">
      <c r="B1398" t="s">
        <v>163</v>
      </c>
    </row>
    <row r="1399" spans="2:5" x14ac:dyDescent="0.25">
      <c r="B1399" t="s">
        <v>416</v>
      </c>
    </row>
    <row r="1400" spans="2:5" x14ac:dyDescent="0.25">
      <c r="B1400" t="s">
        <v>165</v>
      </c>
    </row>
    <row r="1402" spans="2:5" x14ac:dyDescent="0.25">
      <c r="C1402" t="s">
        <v>25</v>
      </c>
    </row>
    <row r="1404" spans="2:5" x14ac:dyDescent="0.25">
      <c r="D1404" t="s">
        <v>106</v>
      </c>
      <c r="E1404" t="s">
        <v>126</v>
      </c>
    </row>
    <row r="1405" spans="2:5" x14ac:dyDescent="0.25">
      <c r="D1405" t="s">
        <v>108</v>
      </c>
      <c r="E1405" t="s">
        <v>127</v>
      </c>
    </row>
    <row r="1406" spans="2:5" x14ac:dyDescent="0.25">
      <c r="D1406" t="s">
        <v>128</v>
      </c>
      <c r="E1406">
        <v>6</v>
      </c>
    </row>
    <row r="1407" spans="2:5" x14ac:dyDescent="0.25">
      <c r="D1407" t="s">
        <v>129</v>
      </c>
      <c r="E1407" t="s">
        <v>130</v>
      </c>
    </row>
    <row r="1408" spans="2:5" x14ac:dyDescent="0.25">
      <c r="D1408" t="s">
        <v>417</v>
      </c>
    </row>
    <row r="1410" spans="4:5" x14ac:dyDescent="0.25">
      <c r="D1410" t="s">
        <v>106</v>
      </c>
      <c r="E1410" t="s">
        <v>126</v>
      </c>
    </row>
    <row r="1411" spans="4:5" x14ac:dyDescent="0.25">
      <c r="D1411" t="s">
        <v>108</v>
      </c>
      <c r="E1411" t="s">
        <v>132</v>
      </c>
    </row>
    <row r="1412" spans="4:5" x14ac:dyDescent="0.25">
      <c r="D1412" t="s">
        <v>128</v>
      </c>
      <c r="E1412">
        <v>6</v>
      </c>
    </row>
    <row r="1413" spans="4:5" x14ac:dyDescent="0.25">
      <c r="D1413" t="s">
        <v>418</v>
      </c>
    </row>
    <row r="1415" spans="4:5" x14ac:dyDescent="0.25">
      <c r="D1415" t="s">
        <v>106</v>
      </c>
      <c r="E1415" t="s">
        <v>126</v>
      </c>
    </row>
    <row r="1416" spans="4:5" x14ac:dyDescent="0.25">
      <c r="D1416" t="s">
        <v>108</v>
      </c>
      <c r="E1416" t="s">
        <v>136</v>
      </c>
    </row>
    <row r="1417" spans="4:5" x14ac:dyDescent="0.25">
      <c r="D1417" t="s">
        <v>137</v>
      </c>
      <c r="E1417" t="s">
        <v>80</v>
      </c>
    </row>
    <row r="1418" spans="4:5" x14ac:dyDescent="0.25">
      <c r="D1418" t="s">
        <v>138</v>
      </c>
      <c r="E1418">
        <v>2</v>
      </c>
    </row>
    <row r="1419" spans="4:5" x14ac:dyDescent="0.25">
      <c r="D1419" t="s">
        <v>139</v>
      </c>
      <c r="E1419" t="s">
        <v>90</v>
      </c>
    </row>
    <row r="1420" spans="4:5" x14ac:dyDescent="0.25">
      <c r="D1420" t="s">
        <v>140</v>
      </c>
      <c r="E1420">
        <v>2</v>
      </c>
    </row>
    <row r="1421" spans="4:5" x14ac:dyDescent="0.25">
      <c r="D1421" t="s">
        <v>128</v>
      </c>
      <c r="E1421">
        <v>6</v>
      </c>
    </row>
    <row r="1422" spans="4:5" x14ac:dyDescent="0.25">
      <c r="D1422" t="s">
        <v>141</v>
      </c>
      <c r="E1422">
        <v>617.38</v>
      </c>
    </row>
    <row r="1423" spans="4:5" x14ac:dyDescent="0.25">
      <c r="D1423" t="s">
        <v>142</v>
      </c>
      <c r="E1423" t="s">
        <v>23</v>
      </c>
    </row>
    <row r="1424" spans="4:5" x14ac:dyDescent="0.25">
      <c r="D1424" t="s">
        <v>143</v>
      </c>
    </row>
    <row r="1425" spans="2:5" x14ac:dyDescent="0.25">
      <c r="D1425" t="s">
        <v>144</v>
      </c>
    </row>
    <row r="1426" spans="2:5" x14ac:dyDescent="0.25">
      <c r="D1426" t="s">
        <v>145</v>
      </c>
      <c r="E1426">
        <v>0</v>
      </c>
    </row>
    <row r="1427" spans="2:5" x14ac:dyDescent="0.25">
      <c r="D1427" t="s">
        <v>146</v>
      </c>
      <c r="E1427" t="s">
        <v>147</v>
      </c>
    </row>
    <row r="1428" spans="2:5" x14ac:dyDescent="0.25">
      <c r="D1428" t="s">
        <v>419</v>
      </c>
    </row>
    <row r="1433" spans="2:5" x14ac:dyDescent="0.25">
      <c r="B1433" t="s">
        <v>420</v>
      </c>
    </row>
    <row r="1434" spans="2:5" x14ac:dyDescent="0.25">
      <c r="B1434" t="s">
        <v>421</v>
      </c>
    </row>
    <row r="1436" spans="2:5" x14ac:dyDescent="0.25">
      <c r="C1436" t="s">
        <v>422</v>
      </c>
    </row>
    <row r="1438" spans="2:5" x14ac:dyDescent="0.25">
      <c r="D1438" t="s">
        <v>106</v>
      </c>
      <c r="E1438" t="s">
        <v>224</v>
      </c>
    </row>
    <row r="1439" spans="2:5" x14ac:dyDescent="0.25">
      <c r="D1439" t="s">
        <v>108</v>
      </c>
      <c r="E1439" t="s">
        <v>225</v>
      </c>
    </row>
    <row r="1440" spans="2:5" x14ac:dyDescent="0.25">
      <c r="D1440" t="s">
        <v>226</v>
      </c>
      <c r="E1440">
        <v>64798.400000000001</v>
      </c>
    </row>
    <row r="1441" spans="4:5" x14ac:dyDescent="0.25">
      <c r="D1441" t="s">
        <v>423</v>
      </c>
    </row>
    <row r="1443" spans="4:5" x14ac:dyDescent="0.25">
      <c r="D1443" t="s">
        <v>106</v>
      </c>
      <c r="E1443" t="s">
        <v>224</v>
      </c>
    </row>
    <row r="1444" spans="4:5" x14ac:dyDescent="0.25">
      <c r="D1444" t="s">
        <v>108</v>
      </c>
      <c r="E1444" t="s">
        <v>228</v>
      </c>
    </row>
    <row r="1445" spans="4:5" x14ac:dyDescent="0.25">
      <c r="D1445" t="s">
        <v>424</v>
      </c>
    </row>
    <row r="1447" spans="4:5" x14ac:dyDescent="0.25">
      <c r="D1447" t="s">
        <v>106</v>
      </c>
      <c r="E1447" t="s">
        <v>107</v>
      </c>
    </row>
    <row r="1448" spans="4:5" x14ac:dyDescent="0.25">
      <c r="D1448" t="s">
        <v>108</v>
      </c>
      <c r="E1448" t="s">
        <v>230</v>
      </c>
    </row>
    <row r="1449" spans="4:5" x14ac:dyDescent="0.25">
      <c r="D1449" t="s">
        <v>110</v>
      </c>
      <c r="E1449" t="s">
        <v>386</v>
      </c>
    </row>
    <row r="1450" spans="4:5" x14ac:dyDescent="0.25">
      <c r="D1450" t="s">
        <v>425</v>
      </c>
    </row>
    <row r="1452" spans="4:5" x14ac:dyDescent="0.25">
      <c r="D1452" t="s">
        <v>106</v>
      </c>
      <c r="E1452" t="s">
        <v>190</v>
      </c>
    </row>
    <row r="1453" spans="4:5" x14ac:dyDescent="0.25">
      <c r="D1453" t="s">
        <v>108</v>
      </c>
      <c r="E1453" t="s">
        <v>192</v>
      </c>
    </row>
    <row r="1454" spans="4:5" x14ac:dyDescent="0.25">
      <c r="D1454" t="s">
        <v>110</v>
      </c>
      <c r="E1454" t="s">
        <v>386</v>
      </c>
    </row>
    <row r="1455" spans="4:5" x14ac:dyDescent="0.25">
      <c r="D1455" t="s">
        <v>426</v>
      </c>
    </row>
    <row r="1457" spans="4:5" x14ac:dyDescent="0.25">
      <c r="D1457" t="s">
        <v>106</v>
      </c>
      <c r="E1457" t="s">
        <v>190</v>
      </c>
    </row>
    <row r="1458" spans="4:5" x14ac:dyDescent="0.25">
      <c r="D1458" t="s">
        <v>108</v>
      </c>
      <c r="E1458" t="s">
        <v>194</v>
      </c>
    </row>
    <row r="1459" spans="4:5" x14ac:dyDescent="0.25">
      <c r="D1459" t="s">
        <v>110</v>
      </c>
      <c r="E1459" t="s">
        <v>386</v>
      </c>
    </row>
    <row r="1460" spans="4:5" x14ac:dyDescent="0.25">
      <c r="D1460" t="s">
        <v>427</v>
      </c>
    </row>
    <row r="1462" spans="4:5" x14ac:dyDescent="0.25">
      <c r="D1462" t="s">
        <v>106</v>
      </c>
      <c r="E1462" t="s">
        <v>107</v>
      </c>
    </row>
    <row r="1463" spans="4:5" x14ac:dyDescent="0.25">
      <c r="D1463" t="s">
        <v>108</v>
      </c>
      <c r="E1463" t="s">
        <v>192</v>
      </c>
    </row>
    <row r="1464" spans="4:5" x14ac:dyDescent="0.25">
      <c r="D1464" t="s">
        <v>110</v>
      </c>
      <c r="E1464" t="s">
        <v>386</v>
      </c>
    </row>
    <row r="1465" spans="4:5" x14ac:dyDescent="0.25">
      <c r="D1465" t="s">
        <v>428</v>
      </c>
    </row>
    <row r="1467" spans="4:5" x14ac:dyDescent="0.25">
      <c r="D1467" t="s">
        <v>106</v>
      </c>
      <c r="E1467" t="s">
        <v>107</v>
      </c>
    </row>
    <row r="1468" spans="4:5" x14ac:dyDescent="0.25">
      <c r="D1468" t="s">
        <v>108</v>
      </c>
      <c r="E1468" t="s">
        <v>194</v>
      </c>
    </row>
    <row r="1469" spans="4:5" x14ac:dyDescent="0.25">
      <c r="D1469" t="s">
        <v>110</v>
      </c>
      <c r="E1469" t="s">
        <v>386</v>
      </c>
    </row>
    <row r="1470" spans="4:5" x14ac:dyDescent="0.25">
      <c r="D1470" t="s">
        <v>429</v>
      </c>
    </row>
    <row r="1472" spans="4:5" x14ac:dyDescent="0.25">
      <c r="D1472" t="s">
        <v>106</v>
      </c>
      <c r="E1472" t="s">
        <v>179</v>
      </c>
    </row>
    <row r="1473" spans="4:5" x14ac:dyDescent="0.25">
      <c r="D1473" t="s">
        <v>108</v>
      </c>
      <c r="E1473" t="s">
        <v>180</v>
      </c>
    </row>
    <row r="1474" spans="4:5" x14ac:dyDescent="0.25">
      <c r="D1474" t="s">
        <v>181</v>
      </c>
      <c r="E1474" t="s">
        <v>386</v>
      </c>
    </row>
    <row r="1475" spans="4:5" x14ac:dyDescent="0.25">
      <c r="D1475" t="s">
        <v>430</v>
      </c>
    </row>
    <row r="1477" spans="4:5" x14ac:dyDescent="0.25">
      <c r="D1477" t="s">
        <v>106</v>
      </c>
      <c r="E1477" t="s">
        <v>179</v>
      </c>
    </row>
    <row r="1478" spans="4:5" x14ac:dyDescent="0.25">
      <c r="D1478" t="s">
        <v>108</v>
      </c>
      <c r="E1478" t="s">
        <v>184</v>
      </c>
    </row>
    <row r="1479" spans="4:5" x14ac:dyDescent="0.25">
      <c r="D1479" t="s">
        <v>181</v>
      </c>
      <c r="E1479" t="s">
        <v>386</v>
      </c>
    </row>
    <row r="1480" spans="4:5" x14ac:dyDescent="0.25">
      <c r="D1480" t="s">
        <v>431</v>
      </c>
    </row>
    <row r="1482" spans="4:5" x14ac:dyDescent="0.25">
      <c r="D1482" t="s">
        <v>106</v>
      </c>
      <c r="E1482" t="s">
        <v>107</v>
      </c>
    </row>
    <row r="1483" spans="4:5" x14ac:dyDescent="0.25">
      <c r="D1483" t="s">
        <v>108</v>
      </c>
      <c r="E1483" t="s">
        <v>186</v>
      </c>
    </row>
    <row r="1484" spans="4:5" x14ac:dyDescent="0.25">
      <c r="D1484" t="s">
        <v>110</v>
      </c>
      <c r="E1484" t="s">
        <v>386</v>
      </c>
    </row>
    <row r="1485" spans="4:5" x14ac:dyDescent="0.25">
      <c r="D1485" t="s">
        <v>432</v>
      </c>
    </row>
    <row r="1487" spans="4:5" x14ac:dyDescent="0.25">
      <c r="D1487" t="s">
        <v>106</v>
      </c>
      <c r="E1487" t="s">
        <v>107</v>
      </c>
    </row>
    <row r="1488" spans="4:5" x14ac:dyDescent="0.25">
      <c r="D1488" t="s">
        <v>108</v>
      </c>
      <c r="E1488" t="s">
        <v>188</v>
      </c>
    </row>
    <row r="1489" spans="4:5" x14ac:dyDescent="0.25">
      <c r="D1489" t="s">
        <v>110</v>
      </c>
      <c r="E1489" t="s">
        <v>386</v>
      </c>
    </row>
    <row r="1490" spans="4:5" x14ac:dyDescent="0.25">
      <c r="D1490" t="s">
        <v>433</v>
      </c>
    </row>
    <row r="1492" spans="4:5" x14ac:dyDescent="0.25">
      <c r="D1492" t="s">
        <v>106</v>
      </c>
      <c r="E1492" t="s">
        <v>198</v>
      </c>
    </row>
    <row r="1493" spans="4:5" x14ac:dyDescent="0.25">
      <c r="D1493" t="s">
        <v>108</v>
      </c>
      <c r="E1493" t="s">
        <v>199</v>
      </c>
    </row>
    <row r="1494" spans="4:5" x14ac:dyDescent="0.25">
      <c r="D1494" t="s">
        <v>200</v>
      </c>
    </row>
    <row r="1495" spans="4:5" x14ac:dyDescent="0.25">
      <c r="D1495" t="s">
        <v>201</v>
      </c>
    </row>
    <row r="1496" spans="4:5" x14ac:dyDescent="0.25">
      <c r="D1496" t="s">
        <v>202</v>
      </c>
    </row>
    <row r="1497" spans="4:5" x14ac:dyDescent="0.25">
      <c r="D1497" t="s">
        <v>203</v>
      </c>
    </row>
    <row r="1498" spans="4:5" x14ac:dyDescent="0.25">
      <c r="D1498" t="s">
        <v>204</v>
      </c>
      <c r="E1498" t="b">
        <v>0</v>
      </c>
    </row>
    <row r="1499" spans="4:5" x14ac:dyDescent="0.25">
      <c r="D1499" t="s">
        <v>205</v>
      </c>
      <c r="E1499" t="s">
        <v>240</v>
      </c>
    </row>
    <row r="1500" spans="4:5" x14ac:dyDescent="0.25">
      <c r="D1500" t="s">
        <v>434</v>
      </c>
    </row>
    <row r="1502" spans="4:5" x14ac:dyDescent="0.25">
      <c r="D1502" t="s">
        <v>106</v>
      </c>
      <c r="E1502" t="s">
        <v>198</v>
      </c>
    </row>
    <row r="1503" spans="4:5" x14ac:dyDescent="0.25">
      <c r="D1503" t="s">
        <v>108</v>
      </c>
      <c r="E1503" t="s">
        <v>199</v>
      </c>
    </row>
    <row r="1504" spans="4:5" x14ac:dyDescent="0.25">
      <c r="D1504" t="s">
        <v>200</v>
      </c>
    </row>
    <row r="1505" spans="4:5" x14ac:dyDescent="0.25">
      <c r="D1505" t="s">
        <v>201</v>
      </c>
    </row>
    <row r="1506" spans="4:5" x14ac:dyDescent="0.25">
      <c r="D1506" t="s">
        <v>202</v>
      </c>
    </row>
    <row r="1507" spans="4:5" x14ac:dyDescent="0.25">
      <c r="D1507" t="s">
        <v>203</v>
      </c>
    </row>
    <row r="1508" spans="4:5" x14ac:dyDescent="0.25">
      <c r="D1508" t="s">
        <v>204</v>
      </c>
      <c r="E1508" t="b">
        <v>1</v>
      </c>
    </row>
    <row r="1509" spans="4:5" x14ac:dyDescent="0.25">
      <c r="D1509" t="s">
        <v>205</v>
      </c>
      <c r="E1509" t="s">
        <v>240</v>
      </c>
    </row>
    <row r="1510" spans="4:5" x14ac:dyDescent="0.25">
      <c r="D1510" t="s">
        <v>435</v>
      </c>
    </row>
    <row r="1512" spans="4:5" x14ac:dyDescent="0.25">
      <c r="D1512" t="s">
        <v>106</v>
      </c>
      <c r="E1512" t="s">
        <v>107</v>
      </c>
    </row>
    <row r="1513" spans="4:5" x14ac:dyDescent="0.25">
      <c r="D1513" t="s">
        <v>108</v>
      </c>
      <c r="E1513" t="s">
        <v>243</v>
      </c>
    </row>
    <row r="1514" spans="4:5" x14ac:dyDescent="0.25">
      <c r="D1514" t="s">
        <v>110</v>
      </c>
      <c r="E1514" t="s">
        <v>386</v>
      </c>
    </row>
    <row r="1516" spans="4:5" x14ac:dyDescent="0.25">
      <c r="D1516" t="s">
        <v>106</v>
      </c>
      <c r="E1516" t="s">
        <v>190</v>
      </c>
    </row>
    <row r="1517" spans="4:5" x14ac:dyDescent="0.25">
      <c r="D1517" t="s">
        <v>108</v>
      </c>
      <c r="E1517" t="s">
        <v>243</v>
      </c>
    </row>
    <row r="1518" spans="4:5" x14ac:dyDescent="0.25">
      <c r="D1518" t="s">
        <v>110</v>
      </c>
      <c r="E1518" t="s">
        <v>386</v>
      </c>
    </row>
    <row r="1519" spans="4:5" x14ac:dyDescent="0.25">
      <c r="D1519" t="s">
        <v>436</v>
      </c>
    </row>
    <row r="1524" spans="2:8" x14ac:dyDescent="0.25">
      <c r="B1524" t="s">
        <v>159</v>
      </c>
    </row>
    <row r="1525" spans="2:8" x14ac:dyDescent="0.25">
      <c r="B1525" t="s">
        <v>437</v>
      </c>
    </row>
    <row r="1526" spans="2:8" x14ac:dyDescent="0.25">
      <c r="B1526" t="s">
        <v>414</v>
      </c>
    </row>
    <row r="1527" spans="2:8" x14ac:dyDescent="0.25">
      <c r="B1527" t="s">
        <v>415</v>
      </c>
    </row>
    <row r="1528" spans="2:8" x14ac:dyDescent="0.25">
      <c r="B1528" t="s">
        <v>163</v>
      </c>
    </row>
    <row r="1529" spans="2:8" x14ac:dyDescent="0.25">
      <c r="B1529" t="s">
        <v>438</v>
      </c>
    </row>
    <row r="1530" spans="2:8" x14ac:dyDescent="0.25">
      <c r="B1530" t="s">
        <v>165</v>
      </c>
    </row>
    <row r="1532" spans="2:8" x14ac:dyDescent="0.25">
      <c r="C1532" t="s">
        <v>25</v>
      </c>
    </row>
    <row r="1534" spans="2:8" x14ac:dyDescent="0.25">
      <c r="D1534" t="s">
        <v>106</v>
      </c>
      <c r="E1534" t="s">
        <v>126</v>
      </c>
    </row>
    <row r="1535" spans="2:8" x14ac:dyDescent="0.25">
      <c r="D1535" t="s">
        <v>108</v>
      </c>
      <c r="E1535" t="s">
        <v>127</v>
      </c>
    </row>
    <row r="1536" spans="2:8" x14ac:dyDescent="0.25">
      <c r="D1536" t="s">
        <v>128</v>
      </c>
      <c r="E1536">
        <v>2</v>
      </c>
      <c r="F1536">
        <v>2</v>
      </c>
      <c r="G1536">
        <v>2</v>
      </c>
      <c r="H1536">
        <v>2</v>
      </c>
    </row>
    <row r="1537" spans="4:8" x14ac:dyDescent="0.25">
      <c r="D1537" t="s">
        <v>129</v>
      </c>
      <c r="E1537" t="s">
        <v>497</v>
      </c>
      <c r="F1537" t="s">
        <v>497</v>
      </c>
      <c r="G1537" t="s">
        <v>497</v>
      </c>
      <c r="H1537" t="s">
        <v>130</v>
      </c>
    </row>
    <row r="1538" spans="4:8" x14ac:dyDescent="0.25">
      <c r="D1538" t="s">
        <v>439</v>
      </c>
    </row>
    <row r="1540" spans="4:8" x14ac:dyDescent="0.25">
      <c r="D1540" t="s">
        <v>106</v>
      </c>
      <c r="E1540" t="s">
        <v>126</v>
      </c>
    </row>
    <row r="1541" spans="4:8" x14ac:dyDescent="0.25">
      <c r="D1541" t="s">
        <v>108</v>
      </c>
      <c r="E1541" t="s">
        <v>132</v>
      </c>
    </row>
    <row r="1542" spans="4:8" x14ac:dyDescent="0.25">
      <c r="D1542" t="s">
        <v>128</v>
      </c>
      <c r="E1542">
        <v>2</v>
      </c>
      <c r="F1542">
        <v>2</v>
      </c>
      <c r="G1542">
        <v>2</v>
      </c>
      <c r="H1542">
        <v>2</v>
      </c>
    </row>
    <row r="1543" spans="4:8" x14ac:dyDescent="0.25">
      <c r="D1543" t="s">
        <v>440</v>
      </c>
    </row>
    <row r="1545" spans="4:8" x14ac:dyDescent="0.25">
      <c r="D1545" t="s">
        <v>106</v>
      </c>
      <c r="E1545" t="s">
        <v>126</v>
      </c>
    </row>
    <row r="1546" spans="4:8" x14ac:dyDescent="0.25">
      <c r="D1546" t="s">
        <v>108</v>
      </c>
      <c r="E1546" t="s">
        <v>136</v>
      </c>
    </row>
    <row r="1547" spans="4:8" x14ac:dyDescent="0.25">
      <c r="D1547" t="s">
        <v>137</v>
      </c>
      <c r="E1547" t="s">
        <v>81</v>
      </c>
      <c r="F1547" t="s">
        <v>81</v>
      </c>
      <c r="G1547" t="s">
        <v>81</v>
      </c>
      <c r="H1547" t="s">
        <v>81</v>
      </c>
    </row>
    <row r="1548" spans="4:8" x14ac:dyDescent="0.25">
      <c r="D1548" t="s">
        <v>138</v>
      </c>
      <c r="E1548">
        <v>1</v>
      </c>
      <c r="F1548">
        <v>3</v>
      </c>
      <c r="G1548">
        <v>4</v>
      </c>
      <c r="H1548">
        <v>5</v>
      </c>
    </row>
    <row r="1549" spans="4:8" x14ac:dyDescent="0.25">
      <c r="D1549" t="s">
        <v>139</v>
      </c>
      <c r="E1549" t="s">
        <v>90</v>
      </c>
      <c r="F1549" t="s">
        <v>90</v>
      </c>
      <c r="G1549" t="s">
        <v>90</v>
      </c>
      <c r="H1549" t="s">
        <v>90</v>
      </c>
    </row>
    <row r="1550" spans="4:8" x14ac:dyDescent="0.25">
      <c r="D1550" t="s">
        <v>140</v>
      </c>
      <c r="E1550">
        <v>1</v>
      </c>
      <c r="F1550">
        <v>3</v>
      </c>
      <c r="G1550">
        <v>4</v>
      </c>
      <c r="H1550">
        <v>5</v>
      </c>
    </row>
    <row r="1551" spans="4:8" x14ac:dyDescent="0.25">
      <c r="D1551" t="s">
        <v>128</v>
      </c>
      <c r="E1551">
        <v>2</v>
      </c>
      <c r="F1551">
        <v>2</v>
      </c>
      <c r="G1551">
        <v>2</v>
      </c>
      <c r="H1551">
        <v>2</v>
      </c>
    </row>
    <row r="1552" spans="4:8" x14ac:dyDescent="0.25">
      <c r="D1552" t="s">
        <v>141</v>
      </c>
      <c r="E1552">
        <v>197.38</v>
      </c>
      <c r="F1552">
        <v>197.38</v>
      </c>
      <c r="G1552">
        <v>197.38</v>
      </c>
      <c r="H1552">
        <v>197.38</v>
      </c>
    </row>
    <row r="1553" spans="2:8" x14ac:dyDescent="0.25">
      <c r="D1553" t="s">
        <v>142</v>
      </c>
      <c r="E1553" t="s">
        <v>23</v>
      </c>
      <c r="F1553" t="s">
        <v>23</v>
      </c>
      <c r="G1553" t="s">
        <v>23</v>
      </c>
      <c r="H1553" t="s">
        <v>23</v>
      </c>
    </row>
    <row r="1554" spans="2:8" x14ac:dyDescent="0.25">
      <c r="D1554" t="s">
        <v>143</v>
      </c>
    </row>
    <row r="1555" spans="2:8" x14ac:dyDescent="0.25">
      <c r="D1555" t="s">
        <v>144</v>
      </c>
    </row>
    <row r="1556" spans="2:8" x14ac:dyDescent="0.25">
      <c r="D1556" t="s">
        <v>145</v>
      </c>
      <c r="E1556">
        <v>0</v>
      </c>
    </row>
    <row r="1557" spans="2:8" x14ac:dyDescent="0.25">
      <c r="D1557" t="s">
        <v>146</v>
      </c>
      <c r="E1557" t="s">
        <v>147</v>
      </c>
    </row>
    <row r="1558" spans="2:8" x14ac:dyDescent="0.25">
      <c r="D1558" t="s">
        <v>441</v>
      </c>
    </row>
    <row r="1563" spans="2:8" x14ac:dyDescent="0.25">
      <c r="B1563" t="s">
        <v>420</v>
      </c>
    </row>
    <row r="1564" spans="2:8" x14ac:dyDescent="0.25">
      <c r="B1564" t="s">
        <v>442</v>
      </c>
    </row>
    <row r="1566" spans="2:8" x14ac:dyDescent="0.25">
      <c r="C1566" t="s">
        <v>443</v>
      </c>
    </row>
    <row r="1568" spans="2:8" x14ac:dyDescent="0.25">
      <c r="D1568" t="s">
        <v>106</v>
      </c>
      <c r="E1568" t="s">
        <v>444</v>
      </c>
    </row>
    <row r="1569" spans="4:18" x14ac:dyDescent="0.25">
      <c r="D1569" t="s">
        <v>108</v>
      </c>
      <c r="E1569" t="s">
        <v>445</v>
      </c>
    </row>
    <row r="1570" spans="4:18" x14ac:dyDescent="0.25">
      <c r="D1570" t="s">
        <v>446</v>
      </c>
    </row>
    <row r="1572" spans="4:18" x14ac:dyDescent="0.25">
      <c r="D1572" t="s">
        <v>106</v>
      </c>
      <c r="E1572" t="s">
        <v>444</v>
      </c>
    </row>
    <row r="1573" spans="4:18" x14ac:dyDescent="0.25">
      <c r="D1573" t="s">
        <v>108</v>
      </c>
      <c r="E1573" t="s">
        <v>179</v>
      </c>
    </row>
    <row r="1574" spans="4:18" x14ac:dyDescent="0.25">
      <c r="D1574" t="s">
        <v>447</v>
      </c>
      <c r="E1574" t="s">
        <v>77</v>
      </c>
      <c r="F1574" t="s">
        <v>80</v>
      </c>
      <c r="G1574" t="s">
        <v>60</v>
      </c>
      <c r="H1574" t="s">
        <v>61</v>
      </c>
      <c r="I1574" t="s">
        <v>81</v>
      </c>
      <c r="J1574" t="s">
        <v>79</v>
      </c>
      <c r="K1574" t="s">
        <v>9</v>
      </c>
      <c r="L1574" t="s">
        <v>101</v>
      </c>
      <c r="M1574" t="s">
        <v>83</v>
      </c>
      <c r="N1574" t="s">
        <v>85</v>
      </c>
      <c r="O1574" t="s">
        <v>90</v>
      </c>
      <c r="P1574" t="s">
        <v>71</v>
      </c>
      <c r="Q1574" t="s">
        <v>67</v>
      </c>
      <c r="R1574" t="s">
        <v>64</v>
      </c>
    </row>
    <row r="1575" spans="4:18" x14ac:dyDescent="0.25">
      <c r="D1575" t="s">
        <v>448</v>
      </c>
      <c r="E1575" t="s">
        <v>449</v>
      </c>
      <c r="F1575" t="s">
        <v>450</v>
      </c>
      <c r="G1575" t="s">
        <v>451</v>
      </c>
      <c r="H1575" t="s">
        <v>452</v>
      </c>
      <c r="I1575" t="s">
        <v>528</v>
      </c>
      <c r="J1575" t="s">
        <v>494</v>
      </c>
      <c r="K1575" t="s">
        <v>453</v>
      </c>
      <c r="L1575" t="s">
        <v>529</v>
      </c>
      <c r="M1575" t="s">
        <v>454</v>
      </c>
      <c r="N1575" t="s">
        <v>455</v>
      </c>
      <c r="O1575" t="s">
        <v>456</v>
      </c>
      <c r="P1575" t="s">
        <v>457</v>
      </c>
      <c r="Q1575" t="s">
        <v>458</v>
      </c>
      <c r="R1575" t="s">
        <v>459</v>
      </c>
    </row>
    <row r="1576" spans="4:18" x14ac:dyDescent="0.25">
      <c r="D1576" t="s">
        <v>460</v>
      </c>
      <c r="E1576" t="b">
        <v>0</v>
      </c>
      <c r="F1576" t="b">
        <v>0</v>
      </c>
      <c r="G1576" t="s">
        <v>461</v>
      </c>
      <c r="H1576" t="s">
        <v>462</v>
      </c>
      <c r="I1576" t="b">
        <v>0</v>
      </c>
      <c r="J1576" t="b">
        <v>0</v>
      </c>
      <c r="K1576" t="b">
        <v>0</v>
      </c>
      <c r="L1576" t="b">
        <v>0</v>
      </c>
      <c r="M1576" t="b">
        <v>1</v>
      </c>
      <c r="N1576" t="b">
        <v>1</v>
      </c>
      <c r="O1576" t="b">
        <v>1</v>
      </c>
      <c r="P1576" t="b">
        <v>1</v>
      </c>
      <c r="Q1576" t="b">
        <v>1</v>
      </c>
      <c r="R1576" t="b">
        <v>0</v>
      </c>
    </row>
    <row r="1577" spans="4:18" x14ac:dyDescent="0.25">
      <c r="D1577" t="s">
        <v>463</v>
      </c>
      <c r="E1577" t="s">
        <v>464</v>
      </c>
      <c r="F1577" t="s">
        <v>465</v>
      </c>
      <c r="G1577" t="s">
        <v>466</v>
      </c>
      <c r="H1577" t="s">
        <v>467</v>
      </c>
      <c r="I1577" t="s">
        <v>468</v>
      </c>
      <c r="J1577" t="s">
        <v>495</v>
      </c>
      <c r="K1577" t="s">
        <v>469</v>
      </c>
      <c r="L1577" t="s">
        <v>470</v>
      </c>
      <c r="M1577" t="s">
        <v>454</v>
      </c>
      <c r="N1577" t="s">
        <v>455</v>
      </c>
      <c r="O1577" t="s">
        <v>456</v>
      </c>
      <c r="P1577" t="s">
        <v>457</v>
      </c>
      <c r="Q1577" t="s">
        <v>458</v>
      </c>
      <c r="R1577" t="s">
        <v>459</v>
      </c>
    </row>
    <row r="1578" spans="4:18" x14ac:dyDescent="0.25">
      <c r="D1578" t="s">
        <v>471</v>
      </c>
      <c r="E1578">
        <v>250</v>
      </c>
      <c r="F1578">
        <v>673.38</v>
      </c>
      <c r="G1578">
        <v>110.41249999999999</v>
      </c>
      <c r="H1578">
        <v>219.57</v>
      </c>
      <c r="I1578">
        <v>209.38</v>
      </c>
      <c r="J1578">
        <v>14000</v>
      </c>
      <c r="K1578">
        <v>115.291139240506</v>
      </c>
      <c r="L1578">
        <v>2100</v>
      </c>
      <c r="M1578">
        <v>157.9</v>
      </c>
      <c r="N1578">
        <v>229</v>
      </c>
      <c r="O1578">
        <v>164</v>
      </c>
      <c r="P1578">
        <v>330.28250000000003</v>
      </c>
      <c r="Q1578">
        <v>163.97</v>
      </c>
      <c r="R1578">
        <v>2773.27544303797</v>
      </c>
    </row>
    <row r="1579" spans="4:18" x14ac:dyDescent="0.25">
      <c r="D1579" t="s">
        <v>472</v>
      </c>
      <c r="E1579" t="s">
        <v>4</v>
      </c>
      <c r="F1579" t="s">
        <v>4</v>
      </c>
      <c r="G1579" t="s">
        <v>4</v>
      </c>
      <c r="H1579" t="s">
        <v>4</v>
      </c>
      <c r="I1579" t="s">
        <v>4</v>
      </c>
      <c r="J1579" t="s">
        <v>496</v>
      </c>
      <c r="K1579" t="s">
        <v>4</v>
      </c>
      <c r="L1579" t="s">
        <v>4</v>
      </c>
      <c r="M1579" t="s">
        <v>473</v>
      </c>
      <c r="N1579" t="s">
        <v>473</v>
      </c>
      <c r="O1579" t="s">
        <v>473</v>
      </c>
      <c r="P1579" t="s">
        <v>473</v>
      </c>
      <c r="Q1579" t="s">
        <v>473</v>
      </c>
      <c r="R1579" t="s">
        <v>474</v>
      </c>
    </row>
    <row r="1580" spans="4:18" x14ac:dyDescent="0.25">
      <c r="D1580" t="s">
        <v>475</v>
      </c>
      <c r="E1580" t="s">
        <v>43</v>
      </c>
      <c r="F1580" t="s">
        <v>43</v>
      </c>
      <c r="G1580" t="s">
        <v>43</v>
      </c>
      <c r="H1580" t="s">
        <v>43</v>
      </c>
      <c r="I1580" t="s">
        <v>43</v>
      </c>
      <c r="J1580" t="s">
        <v>476</v>
      </c>
      <c r="K1580" t="s">
        <v>43</v>
      </c>
      <c r="L1580" t="s">
        <v>43</v>
      </c>
      <c r="M1580" t="s">
        <v>476</v>
      </c>
      <c r="N1580" t="s">
        <v>476</v>
      </c>
      <c r="O1580" t="s">
        <v>476</v>
      </c>
      <c r="P1580" t="s">
        <v>476</v>
      </c>
      <c r="Q1580" t="s">
        <v>476</v>
      </c>
      <c r="R1580" t="s">
        <v>476</v>
      </c>
    </row>
    <row r="1581" spans="4:18" x14ac:dyDescent="0.25">
      <c r="D1581" t="s">
        <v>477</v>
      </c>
      <c r="E1581" t="s">
        <v>478</v>
      </c>
      <c r="F1581" t="s">
        <v>478</v>
      </c>
      <c r="G1581" t="s">
        <v>479</v>
      </c>
      <c r="H1581" t="s">
        <v>479</v>
      </c>
      <c r="I1581" t="s">
        <v>479</v>
      </c>
      <c r="J1581" t="s">
        <v>496</v>
      </c>
      <c r="K1581" t="s">
        <v>479</v>
      </c>
      <c r="L1581" t="s">
        <v>530</v>
      </c>
      <c r="M1581" t="s">
        <v>480</v>
      </c>
      <c r="N1581" t="s">
        <v>480</v>
      </c>
      <c r="O1581" t="s">
        <v>480</v>
      </c>
      <c r="P1581" t="s">
        <v>480</v>
      </c>
      <c r="Q1581" t="s">
        <v>480</v>
      </c>
      <c r="R1581" t="s">
        <v>481</v>
      </c>
    </row>
    <row r="1583" spans="4:18" x14ac:dyDescent="0.25">
      <c r="D1583" t="s">
        <v>106</v>
      </c>
      <c r="E1583" t="s">
        <v>444</v>
      </c>
    </row>
    <row r="1584" spans="4:18" x14ac:dyDescent="0.25">
      <c r="D1584" t="s">
        <v>108</v>
      </c>
      <c r="E1584" t="s">
        <v>126</v>
      </c>
    </row>
    <row r="1585" spans="4:43" x14ac:dyDescent="0.25">
      <c r="D1585" t="s">
        <v>471</v>
      </c>
      <c r="E1585">
        <v>50</v>
      </c>
      <c r="F1585">
        <v>29</v>
      </c>
      <c r="G1585">
        <v>105.291139240506</v>
      </c>
      <c r="H1585">
        <v>105.291139240506</v>
      </c>
      <c r="I1585">
        <v>105.291139240506</v>
      </c>
      <c r="J1585">
        <v>105.291139240506</v>
      </c>
      <c r="K1585">
        <v>61.068860759493603</v>
      </c>
      <c r="L1585">
        <v>61.068860759493603</v>
      </c>
      <c r="M1585">
        <v>61.068860759493603</v>
      </c>
      <c r="N1585">
        <v>61.068860759493603</v>
      </c>
      <c r="O1585">
        <v>1.53</v>
      </c>
      <c r="P1585">
        <v>3.11</v>
      </c>
      <c r="Q1585">
        <v>3.11</v>
      </c>
      <c r="R1585">
        <v>3.11</v>
      </c>
      <c r="S1585">
        <v>3.11</v>
      </c>
      <c r="T1585">
        <v>19.8825</v>
      </c>
      <c r="U1585">
        <v>40.1</v>
      </c>
      <c r="V1585">
        <v>40.1</v>
      </c>
      <c r="W1585">
        <v>40.1</v>
      </c>
      <c r="X1585">
        <v>40.1</v>
      </c>
      <c r="Y1585">
        <v>1.58</v>
      </c>
      <c r="Z1585">
        <v>180</v>
      </c>
      <c r="AA1585">
        <v>180</v>
      </c>
      <c r="AB1585">
        <v>180</v>
      </c>
      <c r="AC1585">
        <v>180</v>
      </c>
      <c r="AD1585">
        <v>15.8</v>
      </c>
      <c r="AE1585">
        <v>1.58</v>
      </c>
      <c r="AF1585">
        <v>1.58</v>
      </c>
      <c r="AG1585">
        <v>1.58</v>
      </c>
      <c r="AH1585">
        <v>1.58</v>
      </c>
      <c r="AI1585">
        <v>15.8</v>
      </c>
      <c r="AJ1585">
        <v>15.8</v>
      </c>
      <c r="AK1585">
        <v>15.8</v>
      </c>
      <c r="AL1585">
        <v>15.8</v>
      </c>
      <c r="AM1585">
        <v>6</v>
      </c>
      <c r="AN1585">
        <v>2</v>
      </c>
      <c r="AO1585">
        <v>2</v>
      </c>
      <c r="AP1585">
        <v>2</v>
      </c>
      <c r="AQ1585">
        <v>2</v>
      </c>
    </row>
    <row r="1587" spans="4:43" x14ac:dyDescent="0.25">
      <c r="D1587" t="s">
        <v>106</v>
      </c>
      <c r="E1587" t="s">
        <v>444</v>
      </c>
    </row>
    <row r="1588" spans="4:43" x14ac:dyDescent="0.25">
      <c r="D1588" t="s">
        <v>108</v>
      </c>
      <c r="E1588" t="s">
        <v>491</v>
      </c>
    </row>
    <row r="1590" spans="4:43" x14ac:dyDescent="0.25">
      <c r="D1590" t="s">
        <v>106</v>
      </c>
      <c r="E1590" t="s">
        <v>444</v>
      </c>
    </row>
    <row r="1591" spans="4:43" x14ac:dyDescent="0.25">
      <c r="D1591" t="s">
        <v>108</v>
      </c>
      <c r="E1591" t="s">
        <v>492</v>
      </c>
    </row>
    <row r="1593" spans="4:43" x14ac:dyDescent="0.25">
      <c r="D1593" t="s">
        <v>106</v>
      </c>
      <c r="E1593" t="s">
        <v>444</v>
      </c>
    </row>
    <row r="1594" spans="4:43" x14ac:dyDescent="0.25">
      <c r="D1594" t="s">
        <v>108</v>
      </c>
      <c r="E1594" t="s">
        <v>104</v>
      </c>
    </row>
    <row r="1595" spans="4:43" x14ac:dyDescent="0.25">
      <c r="D1595" t="s">
        <v>507</v>
      </c>
      <c r="E1595" t="s">
        <v>508</v>
      </c>
    </row>
    <row r="1596" spans="4:43" x14ac:dyDescent="0.25">
      <c r="D1596" t="s">
        <v>137</v>
      </c>
      <c r="E1596" t="s">
        <v>77</v>
      </c>
    </row>
    <row r="1597" spans="4:43" x14ac:dyDescent="0.25">
      <c r="D1597" t="s">
        <v>139</v>
      </c>
      <c r="E1597" t="s">
        <v>61</v>
      </c>
    </row>
    <row r="1598" spans="4:43" x14ac:dyDescent="0.25">
      <c r="D1598" t="s">
        <v>509</v>
      </c>
      <c r="E1598" t="s">
        <v>101</v>
      </c>
    </row>
    <row r="1599" spans="4:43" x14ac:dyDescent="0.25">
      <c r="D1599" t="s">
        <v>510</v>
      </c>
      <c r="E1599" t="s">
        <v>79</v>
      </c>
    </row>
    <row r="1600" spans="4:43" x14ac:dyDescent="0.25">
      <c r="D1600" t="s">
        <v>471</v>
      </c>
      <c r="E1600" s="39">
        <v>100100</v>
      </c>
    </row>
    <row r="1601" spans="4:5" x14ac:dyDescent="0.25">
      <c r="D1601" t="s">
        <v>511</v>
      </c>
      <c r="E1601" t="s">
        <v>526</v>
      </c>
    </row>
    <row r="1602" spans="4:5" x14ac:dyDescent="0.25">
      <c r="D1602" t="s">
        <v>512</v>
      </c>
      <c r="E1602" t="s">
        <v>513</v>
      </c>
    </row>
    <row r="1604" spans="4:5" x14ac:dyDescent="0.25">
      <c r="D1604" t="s">
        <v>106</v>
      </c>
      <c r="E1604" t="s">
        <v>444</v>
      </c>
    </row>
    <row r="1605" spans="4:5" x14ac:dyDescent="0.25">
      <c r="D1605" t="s">
        <v>108</v>
      </c>
      <c r="E1605" t="s">
        <v>514</v>
      </c>
    </row>
    <row r="1607" spans="4:5" x14ac:dyDescent="0.25">
      <c r="D1607" t="s">
        <v>106</v>
      </c>
      <c r="E1607" t="s">
        <v>444</v>
      </c>
    </row>
    <row r="1608" spans="4:5" x14ac:dyDescent="0.25">
      <c r="D1608" t="s">
        <v>108</v>
      </c>
      <c r="E1608" t="s">
        <v>515</v>
      </c>
    </row>
    <row r="1610" spans="4:5" x14ac:dyDescent="0.25">
      <c r="D1610" t="s">
        <v>106</v>
      </c>
      <c r="E1610" t="s">
        <v>444</v>
      </c>
    </row>
    <row r="1611" spans="4:5" x14ac:dyDescent="0.25">
      <c r="D1611" t="s">
        <v>108</v>
      </c>
      <c r="E1611" t="s">
        <v>516</v>
      </c>
    </row>
    <row r="1613" spans="4:5" x14ac:dyDescent="0.25">
      <c r="D1613" t="s">
        <v>106</v>
      </c>
      <c r="E1613" t="s">
        <v>444</v>
      </c>
    </row>
    <row r="1614" spans="4:5" x14ac:dyDescent="0.25">
      <c r="D1614" t="s">
        <v>108</v>
      </c>
      <c r="E1614" t="s">
        <v>517</v>
      </c>
    </row>
    <row r="1616" spans="4:5" x14ac:dyDescent="0.25">
      <c r="D1616" t="s">
        <v>518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60BAF-F62B-43B3-BB4E-89F4197C28AE}">
  <dimension ref="B1:M70"/>
  <sheetViews>
    <sheetView topLeftCell="A10" workbookViewId="0"/>
  </sheetViews>
  <sheetFormatPr defaultRowHeight="15" x14ac:dyDescent="0.25"/>
  <cols>
    <col min="2" max="2" width="24.28515625" bestFit="1" customWidth="1"/>
  </cols>
  <sheetData>
    <row r="1" spans="2:13" ht="15.75" thickBot="1" x14ac:dyDescent="0.3"/>
    <row r="2" spans="2:13" ht="27" thickBot="1" x14ac:dyDescent="0.45">
      <c r="B2" s="55" t="s">
        <v>482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7"/>
    </row>
    <row r="3" spans="2:13" x14ac:dyDescent="0.25">
      <c r="B3" s="38"/>
      <c r="C3" s="30"/>
      <c r="D3" s="30"/>
      <c r="E3" s="30"/>
      <c r="F3" s="30"/>
      <c r="G3" s="30"/>
      <c r="H3" s="30"/>
      <c r="I3" s="30"/>
      <c r="J3" s="30"/>
      <c r="K3" s="30"/>
      <c r="L3" s="30"/>
      <c r="M3" s="31"/>
    </row>
    <row r="4" spans="2:13" x14ac:dyDescent="0.25">
      <c r="B4" s="32" t="s">
        <v>483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4"/>
    </row>
    <row r="5" spans="2:13" x14ac:dyDescent="0.25">
      <c r="B5" s="32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</row>
    <row r="6" spans="2:13" x14ac:dyDescent="0.25"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4"/>
    </row>
    <row r="7" spans="2:13" x14ac:dyDescent="0.25">
      <c r="B7" s="32"/>
      <c r="C7" s="33"/>
      <c r="D7" s="33"/>
      <c r="E7" s="33"/>
      <c r="F7" s="33"/>
      <c r="G7" s="33"/>
      <c r="H7" s="33"/>
      <c r="I7" s="33"/>
      <c r="J7" s="33"/>
      <c r="K7" s="33"/>
      <c r="L7" s="33"/>
      <c r="M7" s="34"/>
    </row>
    <row r="8" spans="2:13" x14ac:dyDescent="0.25">
      <c r="B8" s="32"/>
      <c r="C8" s="33"/>
      <c r="D8" s="33"/>
      <c r="E8" s="33"/>
      <c r="F8" s="33"/>
      <c r="G8" s="33"/>
      <c r="H8" s="33"/>
      <c r="I8" s="33"/>
      <c r="J8" s="33"/>
      <c r="K8" s="33"/>
      <c r="L8" s="33"/>
      <c r="M8" s="34"/>
    </row>
    <row r="9" spans="2:13" x14ac:dyDescent="0.25">
      <c r="B9" s="32"/>
      <c r="C9" s="33"/>
      <c r="D9" s="33"/>
      <c r="E9" s="33"/>
      <c r="F9" s="33"/>
      <c r="G9" s="33"/>
      <c r="H9" s="33"/>
      <c r="I9" s="33"/>
      <c r="J9" s="33"/>
      <c r="K9" s="33"/>
      <c r="L9" s="33"/>
      <c r="M9" s="34"/>
    </row>
    <row r="10" spans="2:13" ht="15.75" thickBot="1" x14ac:dyDescent="0.3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</row>
    <row r="12" spans="2:13" ht="15.75" thickBot="1" x14ac:dyDescent="0.3"/>
    <row r="13" spans="2:13" ht="27" thickBot="1" x14ac:dyDescent="0.45">
      <c r="B13" s="55" t="s">
        <v>484</v>
      </c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7"/>
    </row>
    <row r="14" spans="2:13" x14ac:dyDescent="0.25">
      <c r="B14" s="38" t="s">
        <v>485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1"/>
    </row>
    <row r="15" spans="2:13" x14ac:dyDescent="0.25">
      <c r="B15" s="32" t="s">
        <v>486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4"/>
    </row>
    <row r="16" spans="2:13" x14ac:dyDescent="0.25">
      <c r="B16" s="32" t="s">
        <v>498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4"/>
    </row>
    <row r="17" spans="2:13" x14ac:dyDescent="0.25">
      <c r="B17" s="32" t="s">
        <v>499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4"/>
    </row>
    <row r="18" spans="2:13" x14ac:dyDescent="0.25">
      <c r="B18" s="32" t="s">
        <v>500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4"/>
    </row>
    <row r="19" spans="2:13" x14ac:dyDescent="0.25">
      <c r="B19" s="32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4"/>
    </row>
    <row r="20" spans="2:13" x14ac:dyDescent="0.25">
      <c r="B20" s="32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4"/>
    </row>
    <row r="21" spans="2:13" ht="15.75" thickBot="1" x14ac:dyDescent="0.3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</row>
    <row r="25" spans="2:13" ht="15.75" thickBot="1" x14ac:dyDescent="0.3"/>
    <row r="26" spans="2:13" ht="19.5" thickBot="1" x14ac:dyDescent="0.35">
      <c r="B26" s="48" t="s">
        <v>79</v>
      </c>
      <c r="C26" s="49"/>
      <c r="D26" s="49"/>
      <c r="E26" s="49"/>
      <c r="F26" s="50"/>
      <c r="I26" s="48" t="s">
        <v>83</v>
      </c>
      <c r="J26" s="49"/>
      <c r="K26" s="49"/>
      <c r="L26" s="49"/>
      <c r="M26" s="50"/>
    </row>
    <row r="27" spans="2:13" ht="16.5" thickBot="1" x14ac:dyDescent="0.3">
      <c r="B27" s="51" t="s">
        <v>496</v>
      </c>
      <c r="C27" s="52"/>
      <c r="D27" s="52"/>
      <c r="E27" s="52"/>
      <c r="F27" s="53"/>
      <c r="I27" s="51" t="s">
        <v>480</v>
      </c>
      <c r="J27" s="52"/>
      <c r="K27" s="52"/>
      <c r="L27" s="52"/>
      <c r="M27" s="53"/>
    </row>
    <row r="28" spans="2:13" ht="16.5" thickBot="1" x14ac:dyDescent="0.3">
      <c r="B28" s="51" t="s">
        <v>531</v>
      </c>
      <c r="C28" s="52"/>
      <c r="D28" s="52"/>
      <c r="E28" s="52"/>
      <c r="F28" s="53"/>
      <c r="I28" s="51" t="s">
        <v>501</v>
      </c>
      <c r="J28" s="52"/>
      <c r="K28" s="52"/>
      <c r="L28" s="52"/>
      <c r="M28" s="53"/>
    </row>
    <row r="29" spans="2:13" x14ac:dyDescent="0.25">
      <c r="B29" s="54" t="s">
        <v>476</v>
      </c>
      <c r="C29" s="44"/>
      <c r="D29" s="44"/>
      <c r="E29" s="44"/>
      <c r="F29" s="45"/>
      <c r="I29" s="54" t="s">
        <v>476</v>
      </c>
      <c r="J29" s="44"/>
      <c r="K29" s="44"/>
      <c r="L29" s="44"/>
      <c r="M29" s="45"/>
    </row>
    <row r="30" spans="2:13" x14ac:dyDescent="0.25">
      <c r="B30" s="40" t="s">
        <v>487</v>
      </c>
      <c r="C30" s="41"/>
      <c r="D30" s="41"/>
      <c r="E30" s="41"/>
      <c r="F30" s="46"/>
      <c r="I30" s="40" t="s">
        <v>487</v>
      </c>
      <c r="J30" s="41"/>
      <c r="K30" s="41"/>
      <c r="L30" s="41"/>
      <c r="M30" s="46"/>
    </row>
    <row r="31" spans="2:13" x14ac:dyDescent="0.25">
      <c r="B31" s="40" t="s">
        <v>488</v>
      </c>
      <c r="C31" s="41"/>
      <c r="D31" s="41"/>
      <c r="E31" s="41"/>
      <c r="F31" s="46"/>
      <c r="I31" s="40" t="s">
        <v>488</v>
      </c>
      <c r="J31" s="41"/>
      <c r="K31" s="41"/>
      <c r="L31" s="41"/>
      <c r="M31" s="46"/>
    </row>
    <row r="32" spans="2:13" x14ac:dyDescent="0.25">
      <c r="B32" s="40" t="s">
        <v>44</v>
      </c>
      <c r="C32" s="41"/>
      <c r="D32" s="41"/>
      <c r="E32" s="41"/>
      <c r="F32" s="46"/>
      <c r="I32" s="40" t="s">
        <v>44</v>
      </c>
      <c r="J32" s="41"/>
      <c r="K32" s="41"/>
      <c r="L32" s="41"/>
      <c r="M32" s="46"/>
    </row>
    <row r="33" spans="2:13" x14ac:dyDescent="0.25">
      <c r="B33" s="40" t="s">
        <v>489</v>
      </c>
      <c r="C33" s="41"/>
      <c r="D33" s="41"/>
      <c r="E33" s="41"/>
      <c r="F33" s="46"/>
      <c r="I33" s="40" t="s">
        <v>489</v>
      </c>
      <c r="J33" s="41"/>
      <c r="K33" s="41"/>
      <c r="L33" s="41"/>
      <c r="M33" s="46"/>
    </row>
    <row r="34" spans="2:13" ht="15.75" thickBot="1" x14ac:dyDescent="0.3">
      <c r="B34" s="42" t="s">
        <v>490</v>
      </c>
      <c r="C34" s="43"/>
      <c r="D34" s="43"/>
      <c r="E34" s="43"/>
      <c r="F34" s="47"/>
      <c r="I34" s="42" t="s">
        <v>490</v>
      </c>
      <c r="J34" s="43"/>
      <c r="K34" s="43"/>
      <c r="L34" s="43"/>
      <c r="M34" s="47"/>
    </row>
    <row r="37" spans="2:13" ht="15.75" thickBot="1" x14ac:dyDescent="0.3"/>
    <row r="38" spans="2:13" ht="19.5" thickBot="1" x14ac:dyDescent="0.35">
      <c r="B38" s="48" t="s">
        <v>85</v>
      </c>
      <c r="C38" s="49"/>
      <c r="D38" s="49"/>
      <c r="E38" s="49"/>
      <c r="F38" s="50"/>
      <c r="I38" s="48" t="s">
        <v>90</v>
      </c>
      <c r="J38" s="49"/>
      <c r="K38" s="49"/>
      <c r="L38" s="49"/>
      <c r="M38" s="50"/>
    </row>
    <row r="39" spans="2:13" ht="16.5" thickBot="1" x14ac:dyDescent="0.3">
      <c r="B39" s="51" t="s">
        <v>480</v>
      </c>
      <c r="C39" s="52"/>
      <c r="D39" s="52"/>
      <c r="E39" s="52"/>
      <c r="F39" s="53"/>
      <c r="I39" s="51" t="s">
        <v>480</v>
      </c>
      <c r="J39" s="52"/>
      <c r="K39" s="52"/>
      <c r="L39" s="52"/>
      <c r="M39" s="53"/>
    </row>
    <row r="40" spans="2:13" ht="16.5" thickBot="1" x14ac:dyDescent="0.3">
      <c r="B40" s="51" t="s">
        <v>502</v>
      </c>
      <c r="C40" s="52"/>
      <c r="D40" s="52"/>
      <c r="E40" s="52"/>
      <c r="F40" s="53"/>
      <c r="I40" s="51" t="s">
        <v>503</v>
      </c>
      <c r="J40" s="52"/>
      <c r="K40" s="52"/>
      <c r="L40" s="52"/>
      <c r="M40" s="53"/>
    </row>
    <row r="41" spans="2:13" x14ac:dyDescent="0.25">
      <c r="B41" s="54" t="s">
        <v>476</v>
      </c>
      <c r="C41" s="44"/>
      <c r="D41" s="44"/>
      <c r="E41" s="44"/>
      <c r="F41" s="45"/>
      <c r="I41" s="54" t="s">
        <v>476</v>
      </c>
      <c r="J41" s="44"/>
      <c r="K41" s="44"/>
      <c r="L41" s="44"/>
      <c r="M41" s="45"/>
    </row>
    <row r="42" spans="2:13" x14ac:dyDescent="0.25">
      <c r="B42" s="40" t="s">
        <v>487</v>
      </c>
      <c r="C42" s="41"/>
      <c r="D42" s="41"/>
      <c r="E42" s="41"/>
      <c r="F42" s="46"/>
      <c r="I42" s="40" t="s">
        <v>487</v>
      </c>
      <c r="J42" s="41"/>
      <c r="K42" s="41"/>
      <c r="L42" s="41"/>
      <c r="M42" s="46"/>
    </row>
    <row r="43" spans="2:13" x14ac:dyDescent="0.25">
      <c r="B43" s="40" t="s">
        <v>488</v>
      </c>
      <c r="C43" s="41"/>
      <c r="D43" s="41"/>
      <c r="E43" s="41"/>
      <c r="F43" s="46"/>
      <c r="I43" s="40" t="s">
        <v>488</v>
      </c>
      <c r="J43" s="41"/>
      <c r="K43" s="41"/>
      <c r="L43" s="41"/>
      <c r="M43" s="46"/>
    </row>
    <row r="44" spans="2:13" x14ac:dyDescent="0.25">
      <c r="B44" s="40" t="s">
        <v>44</v>
      </c>
      <c r="C44" s="41"/>
      <c r="D44" s="41"/>
      <c r="E44" s="41"/>
      <c r="F44" s="46"/>
      <c r="I44" s="40" t="s">
        <v>44</v>
      </c>
      <c r="J44" s="41"/>
      <c r="K44" s="41"/>
      <c r="L44" s="41"/>
      <c r="M44" s="46"/>
    </row>
    <row r="45" spans="2:13" x14ac:dyDescent="0.25">
      <c r="B45" s="40" t="s">
        <v>489</v>
      </c>
      <c r="C45" s="41"/>
      <c r="D45" s="41"/>
      <c r="E45" s="41"/>
      <c r="F45" s="46"/>
      <c r="I45" s="40" t="s">
        <v>489</v>
      </c>
      <c r="J45" s="41"/>
      <c r="K45" s="41"/>
      <c r="L45" s="41"/>
      <c r="M45" s="46"/>
    </row>
    <row r="46" spans="2:13" ht="15.75" thickBot="1" x14ac:dyDescent="0.3">
      <c r="B46" s="42" t="s">
        <v>490</v>
      </c>
      <c r="C46" s="43"/>
      <c r="D46" s="43"/>
      <c r="E46" s="43"/>
      <c r="F46" s="47"/>
      <c r="I46" s="42" t="s">
        <v>490</v>
      </c>
      <c r="J46" s="43"/>
      <c r="K46" s="43"/>
      <c r="L46" s="43"/>
      <c r="M46" s="47"/>
    </row>
    <row r="49" spans="2:13" ht="15.75" thickBot="1" x14ac:dyDescent="0.3"/>
    <row r="50" spans="2:13" ht="19.5" thickBot="1" x14ac:dyDescent="0.35">
      <c r="B50" s="48" t="s">
        <v>71</v>
      </c>
      <c r="C50" s="49"/>
      <c r="D50" s="49"/>
      <c r="E50" s="49"/>
      <c r="F50" s="50"/>
      <c r="I50" s="48" t="s">
        <v>67</v>
      </c>
      <c r="J50" s="49"/>
      <c r="K50" s="49"/>
      <c r="L50" s="49"/>
      <c r="M50" s="50"/>
    </row>
    <row r="51" spans="2:13" ht="16.5" thickBot="1" x14ac:dyDescent="0.3">
      <c r="B51" s="51" t="s">
        <v>480</v>
      </c>
      <c r="C51" s="52"/>
      <c r="D51" s="52"/>
      <c r="E51" s="52"/>
      <c r="F51" s="53"/>
      <c r="I51" s="51" t="s">
        <v>480</v>
      </c>
      <c r="J51" s="52"/>
      <c r="K51" s="52"/>
      <c r="L51" s="52"/>
      <c r="M51" s="53"/>
    </row>
    <row r="52" spans="2:13" ht="16.5" thickBot="1" x14ac:dyDescent="0.3">
      <c r="B52" s="51" t="s">
        <v>504</v>
      </c>
      <c r="C52" s="52"/>
      <c r="D52" s="52"/>
      <c r="E52" s="52"/>
      <c r="F52" s="53"/>
      <c r="I52" s="51" t="s">
        <v>505</v>
      </c>
      <c r="J52" s="52"/>
      <c r="K52" s="52"/>
      <c r="L52" s="52"/>
      <c r="M52" s="53"/>
    </row>
    <row r="53" spans="2:13" x14ac:dyDescent="0.25">
      <c r="B53" s="54" t="s">
        <v>476</v>
      </c>
      <c r="C53" s="44"/>
      <c r="D53" s="44"/>
      <c r="E53" s="44"/>
      <c r="F53" s="45"/>
      <c r="I53" s="54" t="s">
        <v>476</v>
      </c>
      <c r="J53" s="44"/>
      <c r="K53" s="44"/>
      <c r="L53" s="44"/>
      <c r="M53" s="45"/>
    </row>
    <row r="54" spans="2:13" x14ac:dyDescent="0.25">
      <c r="B54" s="40" t="s">
        <v>487</v>
      </c>
      <c r="C54" s="41"/>
      <c r="D54" s="41"/>
      <c r="E54" s="41"/>
      <c r="F54" s="46"/>
      <c r="I54" s="40" t="s">
        <v>487</v>
      </c>
      <c r="J54" s="41"/>
      <c r="K54" s="41"/>
      <c r="L54" s="41"/>
      <c r="M54" s="46"/>
    </row>
    <row r="55" spans="2:13" x14ac:dyDescent="0.25">
      <c r="B55" s="40" t="s">
        <v>488</v>
      </c>
      <c r="C55" s="41"/>
      <c r="D55" s="41"/>
      <c r="E55" s="41"/>
      <c r="F55" s="46"/>
      <c r="I55" s="40" t="s">
        <v>488</v>
      </c>
      <c r="J55" s="41"/>
      <c r="K55" s="41"/>
      <c r="L55" s="41"/>
      <c r="M55" s="46"/>
    </row>
    <row r="56" spans="2:13" x14ac:dyDescent="0.25">
      <c r="B56" s="40" t="s">
        <v>44</v>
      </c>
      <c r="C56" s="41"/>
      <c r="D56" s="41"/>
      <c r="E56" s="41"/>
      <c r="F56" s="46"/>
      <c r="I56" s="40" t="s">
        <v>44</v>
      </c>
      <c r="J56" s="41"/>
      <c r="K56" s="41"/>
      <c r="L56" s="41"/>
      <c r="M56" s="46"/>
    </row>
    <row r="57" spans="2:13" x14ac:dyDescent="0.25">
      <c r="B57" s="40" t="s">
        <v>489</v>
      </c>
      <c r="C57" s="41"/>
      <c r="D57" s="41"/>
      <c r="E57" s="41"/>
      <c r="F57" s="46"/>
      <c r="I57" s="40" t="s">
        <v>489</v>
      </c>
      <c r="J57" s="41"/>
      <c r="K57" s="41"/>
      <c r="L57" s="41"/>
      <c r="M57" s="46"/>
    </row>
    <row r="58" spans="2:13" ht="15.75" thickBot="1" x14ac:dyDescent="0.3">
      <c r="B58" s="42" t="s">
        <v>490</v>
      </c>
      <c r="C58" s="43"/>
      <c r="D58" s="43"/>
      <c r="E58" s="43"/>
      <c r="F58" s="47"/>
      <c r="I58" s="42" t="s">
        <v>490</v>
      </c>
      <c r="J58" s="43"/>
      <c r="K58" s="43"/>
      <c r="L58" s="43"/>
      <c r="M58" s="47"/>
    </row>
    <row r="61" spans="2:13" ht="15.75" thickBot="1" x14ac:dyDescent="0.3"/>
    <row r="62" spans="2:13" ht="19.5" thickBot="1" x14ac:dyDescent="0.35">
      <c r="B62" s="48" t="s">
        <v>64</v>
      </c>
      <c r="C62" s="49"/>
      <c r="D62" s="49"/>
      <c r="E62" s="49"/>
      <c r="F62" s="50"/>
    </row>
    <row r="63" spans="2:13" ht="16.5" thickBot="1" x14ac:dyDescent="0.3">
      <c r="B63" s="51" t="s">
        <v>474</v>
      </c>
      <c r="C63" s="52"/>
      <c r="D63" s="52"/>
      <c r="E63" s="52"/>
      <c r="F63" s="53"/>
    </row>
    <row r="64" spans="2:13" ht="16.5" thickBot="1" x14ac:dyDescent="0.3">
      <c r="B64" s="51" t="s">
        <v>506</v>
      </c>
      <c r="C64" s="52"/>
      <c r="D64" s="52"/>
      <c r="E64" s="52"/>
      <c r="F64" s="53"/>
    </row>
    <row r="65" spans="2:6" x14ac:dyDescent="0.25">
      <c r="B65" s="54" t="s">
        <v>476</v>
      </c>
      <c r="C65" s="44"/>
      <c r="D65" s="44"/>
      <c r="E65" s="44"/>
      <c r="F65" s="45"/>
    </row>
    <row r="66" spans="2:6" x14ac:dyDescent="0.25">
      <c r="B66" s="40" t="s">
        <v>487</v>
      </c>
      <c r="C66" s="41"/>
      <c r="D66" s="41"/>
      <c r="E66" s="41"/>
      <c r="F66" s="46"/>
    </row>
    <row r="67" spans="2:6" x14ac:dyDescent="0.25">
      <c r="B67" s="40" t="s">
        <v>488</v>
      </c>
      <c r="C67" s="41"/>
      <c r="D67" s="41"/>
      <c r="E67" s="41"/>
      <c r="F67" s="46"/>
    </row>
    <row r="68" spans="2:6" x14ac:dyDescent="0.25">
      <c r="B68" s="40" t="s">
        <v>44</v>
      </c>
      <c r="C68" s="41"/>
      <c r="D68" s="41"/>
      <c r="E68" s="41"/>
      <c r="F68" s="46"/>
    </row>
    <row r="69" spans="2:6" x14ac:dyDescent="0.25">
      <c r="B69" s="40" t="s">
        <v>489</v>
      </c>
      <c r="C69" s="41"/>
      <c r="D69" s="41"/>
      <c r="E69" s="41"/>
      <c r="F69" s="46"/>
    </row>
    <row r="70" spans="2:6" ht="15.75" thickBot="1" x14ac:dyDescent="0.3">
      <c r="B70" s="42" t="s">
        <v>490</v>
      </c>
      <c r="C70" s="43"/>
      <c r="D70" s="43"/>
      <c r="E70" s="43"/>
      <c r="F70" s="47"/>
    </row>
  </sheetData>
  <mergeCells count="107"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  <mergeCell ref="K30:M30"/>
    <mergeCell ref="K31:M31"/>
    <mergeCell ref="K32:M32"/>
    <mergeCell ref="K33:M33"/>
    <mergeCell ref="K34:M34"/>
    <mergeCell ref="B38:F38"/>
    <mergeCell ref="I38:M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I45:J45"/>
    <mergeCell ref="I46:J46"/>
    <mergeCell ref="K41:M41"/>
    <mergeCell ref="K42:M42"/>
    <mergeCell ref="K43:M43"/>
    <mergeCell ref="K44:M44"/>
    <mergeCell ref="K45:M45"/>
    <mergeCell ref="K46:M46"/>
    <mergeCell ref="I39:M39"/>
    <mergeCell ref="I40:M40"/>
    <mergeCell ref="I41:J41"/>
    <mergeCell ref="I42:J42"/>
    <mergeCell ref="I43:J43"/>
    <mergeCell ref="I44:J44"/>
    <mergeCell ref="D53:F53"/>
    <mergeCell ref="D54:F54"/>
    <mergeCell ref="D55:F55"/>
    <mergeCell ref="D56:F56"/>
    <mergeCell ref="D57:F57"/>
    <mergeCell ref="D58:F58"/>
    <mergeCell ref="B50:F50"/>
    <mergeCell ref="B51:F51"/>
    <mergeCell ref="B52:F52"/>
    <mergeCell ref="B53:C53"/>
    <mergeCell ref="B54:C54"/>
    <mergeCell ref="B55:C55"/>
    <mergeCell ref="K53:M53"/>
    <mergeCell ref="K54:M54"/>
    <mergeCell ref="K55:M55"/>
    <mergeCell ref="K56:M56"/>
    <mergeCell ref="K57:M57"/>
    <mergeCell ref="K58:M58"/>
    <mergeCell ref="I50:M50"/>
    <mergeCell ref="I51:M51"/>
    <mergeCell ref="I52:M52"/>
    <mergeCell ref="I53:J53"/>
    <mergeCell ref="I54:J54"/>
    <mergeCell ref="I55:J55"/>
    <mergeCell ref="B62:F62"/>
    <mergeCell ref="B63:F63"/>
    <mergeCell ref="B64:F64"/>
    <mergeCell ref="B65:C65"/>
    <mergeCell ref="B66:C66"/>
    <mergeCell ref="B67:C67"/>
    <mergeCell ref="I56:J56"/>
    <mergeCell ref="I57:J57"/>
    <mergeCell ref="I58:J58"/>
    <mergeCell ref="B56:C56"/>
    <mergeCell ref="B57:C57"/>
    <mergeCell ref="B58:C58"/>
    <mergeCell ref="B68:C68"/>
    <mergeCell ref="B69:C69"/>
    <mergeCell ref="B70:C70"/>
    <mergeCell ref="D65:F65"/>
    <mergeCell ref="D66:F66"/>
    <mergeCell ref="D67:F67"/>
    <mergeCell ref="D68:F68"/>
    <mergeCell ref="D69:F69"/>
    <mergeCell ref="D70:F7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B1:H138"/>
  <sheetViews>
    <sheetView zoomScale="80" zoomScaleNormal="80" workbookViewId="0">
      <selection activeCell="F73" sqref="F73:G73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42" bestFit="1" customWidth="1"/>
    <col min="5" max="5" width="34.5703125" bestFit="1" customWidth="1"/>
    <col min="6" max="6" width="29.1406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2:8" ht="15.75" thickBot="1" x14ac:dyDescent="0.3"/>
    <row r="2" spans="2:8" ht="15.75" x14ac:dyDescent="0.25">
      <c r="D2" s="80" t="s">
        <v>5</v>
      </c>
      <c r="E2" s="58"/>
      <c r="F2" s="81" t="s">
        <v>6</v>
      </c>
    </row>
    <row r="3" spans="2:8" x14ac:dyDescent="0.25">
      <c r="D3" s="78" t="s">
        <v>0</v>
      </c>
      <c r="E3" s="1" t="s">
        <v>9</v>
      </c>
      <c r="F3" s="82"/>
    </row>
    <row r="4" spans="2:8" ht="15.75" thickBot="1" x14ac:dyDescent="0.3">
      <c r="D4" s="79" t="s">
        <v>8</v>
      </c>
      <c r="E4" s="2" t="s">
        <v>4</v>
      </c>
      <c r="F4" s="83"/>
    </row>
    <row r="6" spans="2:8" ht="20.25" x14ac:dyDescent="0.25">
      <c r="E6" s="3" t="s">
        <v>7</v>
      </c>
    </row>
    <row r="7" spans="2:8" ht="15.75" thickBot="1" x14ac:dyDescent="0.3"/>
    <row r="8" spans="2:8" ht="15.75" x14ac:dyDescent="0.25">
      <c r="D8" s="86" t="s">
        <v>26</v>
      </c>
      <c r="E8" s="59"/>
      <c r="F8" s="87" t="s">
        <v>6</v>
      </c>
    </row>
    <row r="9" spans="2:8" x14ac:dyDescent="0.25">
      <c r="D9" s="84" t="s">
        <v>11</v>
      </c>
      <c r="E9" s="12" t="str">
        <f>Worklist!$D$1</f>
        <v>Volume Route</v>
      </c>
      <c r="F9" s="88"/>
    </row>
    <row r="10" spans="2:8" x14ac:dyDescent="0.25">
      <c r="D10" s="84" t="s">
        <v>12</v>
      </c>
      <c r="E10" s="12" t="s">
        <v>60</v>
      </c>
      <c r="F10" s="88"/>
    </row>
    <row r="11" spans="2:8" ht="15.75" thickBot="1" x14ac:dyDescent="0.3">
      <c r="D11" s="85" t="s">
        <v>14</v>
      </c>
      <c r="E11" s="15" t="s">
        <v>61</v>
      </c>
      <c r="F11" s="89"/>
    </row>
    <row r="12" spans="2:8" ht="15.75" thickBot="1" x14ac:dyDescent="0.3"/>
    <row r="13" spans="2:8" ht="15.75" x14ac:dyDescent="0.25">
      <c r="B13" s="80" t="s">
        <v>5</v>
      </c>
      <c r="C13" s="58"/>
      <c r="D13" s="81" t="s">
        <v>6</v>
      </c>
      <c r="F13" s="80" t="s">
        <v>5</v>
      </c>
      <c r="G13" s="58"/>
      <c r="H13" s="81" t="s">
        <v>6</v>
      </c>
    </row>
    <row r="14" spans="2:8" x14ac:dyDescent="0.25">
      <c r="B14" s="78" t="s">
        <v>0</v>
      </c>
      <c r="C14" s="1" t="s">
        <v>60</v>
      </c>
      <c r="D14" s="82" t="s">
        <v>76</v>
      </c>
      <c r="F14" s="78" t="s">
        <v>0</v>
      </c>
      <c r="G14" s="1" t="s">
        <v>61</v>
      </c>
      <c r="H14" s="82" t="s">
        <v>75</v>
      </c>
    </row>
    <row r="15" spans="2:8" ht="15.75" thickBot="1" x14ac:dyDescent="0.3">
      <c r="B15" s="79" t="s">
        <v>8</v>
      </c>
      <c r="C15" s="2" t="s">
        <v>4</v>
      </c>
      <c r="D15" s="83"/>
      <c r="F15" s="79" t="s">
        <v>8</v>
      </c>
      <c r="G15" s="2" t="s">
        <v>4</v>
      </c>
      <c r="H15" s="83"/>
    </row>
    <row r="17" spans="2:8" ht="20.25" x14ac:dyDescent="0.25">
      <c r="C17" s="3" t="s">
        <v>7</v>
      </c>
      <c r="G17" s="3" t="s">
        <v>7</v>
      </c>
    </row>
    <row r="18" spans="2:8" ht="15.75" thickBot="1" x14ac:dyDescent="0.3"/>
    <row r="19" spans="2:8" ht="15.75" x14ac:dyDescent="0.25">
      <c r="B19" s="92" t="s">
        <v>63</v>
      </c>
      <c r="C19" s="60"/>
      <c r="D19" s="93" t="s">
        <v>6</v>
      </c>
      <c r="F19" s="92" t="s">
        <v>63</v>
      </c>
      <c r="G19" s="60"/>
      <c r="H19" s="93" t="s">
        <v>6</v>
      </c>
    </row>
    <row r="20" spans="2:8" x14ac:dyDescent="0.25">
      <c r="B20" s="90" t="s">
        <v>16</v>
      </c>
      <c r="C20" s="21" t="str">
        <f>Method!$E$3</f>
        <v>Sample</v>
      </c>
      <c r="D20" s="94"/>
      <c r="F20" s="90" t="s">
        <v>16</v>
      </c>
      <c r="G20" s="21" t="str">
        <f>Method!$E$3</f>
        <v>Sample</v>
      </c>
      <c r="H20" s="94"/>
    </row>
    <row r="21" spans="2:8" x14ac:dyDescent="0.25">
      <c r="B21" s="90" t="s">
        <v>44</v>
      </c>
      <c r="C21" s="21" t="s">
        <v>64</v>
      </c>
      <c r="D21" s="94"/>
      <c r="F21" s="90" t="s">
        <v>44</v>
      </c>
      <c r="G21" s="21" t="s">
        <v>64</v>
      </c>
      <c r="H21" s="94"/>
    </row>
    <row r="22" spans="2:8" x14ac:dyDescent="0.25">
      <c r="B22" s="90" t="s">
        <v>47</v>
      </c>
      <c r="C22" s="21" t="str">
        <f>Worklist!$C$1</f>
        <v>Concentration (mg/mL)</v>
      </c>
      <c r="D22" s="94"/>
      <c r="F22" s="90" t="s">
        <v>47</v>
      </c>
      <c r="G22" s="21" t="str">
        <f>Worklist!$C$1</f>
        <v>Concentration (mg/mL)</v>
      </c>
      <c r="H22" s="94"/>
    </row>
    <row r="23" spans="2:8" x14ac:dyDescent="0.25">
      <c r="B23" s="90" t="s">
        <v>48</v>
      </c>
      <c r="C23" s="21">
        <v>1</v>
      </c>
      <c r="D23" s="94"/>
      <c r="F23" s="90" t="s">
        <v>48</v>
      </c>
      <c r="G23" s="21">
        <v>1</v>
      </c>
      <c r="H23" s="94"/>
    </row>
    <row r="24" spans="2:8" x14ac:dyDescent="0.25">
      <c r="B24" s="90" t="s">
        <v>49</v>
      </c>
      <c r="C24" s="21">
        <f>316/4</f>
        <v>79</v>
      </c>
      <c r="D24" s="94"/>
      <c r="F24" s="90" t="s">
        <v>49</v>
      </c>
      <c r="G24" s="21">
        <v>166.36</v>
      </c>
      <c r="H24" s="94"/>
    </row>
    <row r="25" spans="2:8" ht="15.75" thickBot="1" x14ac:dyDescent="0.3">
      <c r="B25" s="91" t="s">
        <v>50</v>
      </c>
      <c r="C25" s="22">
        <f>316/4</f>
        <v>79</v>
      </c>
      <c r="D25" s="95"/>
      <c r="F25" s="91" t="s">
        <v>50</v>
      </c>
      <c r="G25" s="22">
        <v>166.36</v>
      </c>
      <c r="H25" s="95"/>
    </row>
    <row r="27" spans="2:8" ht="20.25" x14ac:dyDescent="0.25">
      <c r="C27" s="3" t="s">
        <v>7</v>
      </c>
      <c r="G27" s="3" t="s">
        <v>7</v>
      </c>
    </row>
    <row r="28" spans="2:8" ht="15.75" thickBot="1" x14ac:dyDescent="0.3"/>
    <row r="29" spans="2:8" ht="15.75" x14ac:dyDescent="0.25">
      <c r="B29" s="98" t="s">
        <v>24</v>
      </c>
      <c r="C29" s="61"/>
      <c r="D29" s="99" t="s">
        <v>6</v>
      </c>
      <c r="F29" s="98" t="s">
        <v>24</v>
      </c>
      <c r="G29" s="61"/>
      <c r="H29" s="99" t="s">
        <v>6</v>
      </c>
    </row>
    <row r="30" spans="2:8" x14ac:dyDescent="0.25">
      <c r="B30" s="96" t="s">
        <v>16</v>
      </c>
      <c r="C30" s="7" t="s">
        <v>67</v>
      </c>
      <c r="D30" s="100"/>
      <c r="F30" s="96" t="s">
        <v>16</v>
      </c>
      <c r="G30" s="7" t="s">
        <v>67</v>
      </c>
      <c r="H30" s="100"/>
    </row>
    <row r="31" spans="2:8" x14ac:dyDescent="0.25">
      <c r="B31" s="96" t="s">
        <v>17</v>
      </c>
      <c r="C31" s="7" t="s">
        <v>74</v>
      </c>
      <c r="D31" s="100"/>
      <c r="F31" s="96" t="s">
        <v>17</v>
      </c>
      <c r="G31" s="7" t="s">
        <v>74</v>
      </c>
      <c r="H31" s="100"/>
    </row>
    <row r="32" spans="2:8" x14ac:dyDescent="0.25">
      <c r="B32" s="96" t="s">
        <v>19</v>
      </c>
      <c r="C32" s="7" t="s">
        <v>20</v>
      </c>
      <c r="D32" s="100"/>
      <c r="F32" s="96" t="s">
        <v>19</v>
      </c>
      <c r="G32" s="7" t="s">
        <v>20</v>
      </c>
      <c r="H32" s="100"/>
    </row>
    <row r="33" spans="2:8" x14ac:dyDescent="0.25">
      <c r="B33" s="96" t="s">
        <v>21</v>
      </c>
      <c r="C33" s="7">
        <f>6.12 /4</f>
        <v>1.53</v>
      </c>
      <c r="D33" s="100"/>
      <c r="F33" s="96" t="s">
        <v>21</v>
      </c>
      <c r="G33" s="7">
        <v>3.11</v>
      </c>
      <c r="H33" s="100"/>
    </row>
    <row r="34" spans="2:8" ht="15.75" thickBot="1" x14ac:dyDescent="0.3">
      <c r="B34" s="97" t="s">
        <v>22</v>
      </c>
      <c r="C34" s="10" t="s">
        <v>23</v>
      </c>
      <c r="D34" s="101"/>
      <c r="F34" s="97" t="s">
        <v>22</v>
      </c>
      <c r="G34" s="10" t="s">
        <v>23</v>
      </c>
      <c r="H34" s="101"/>
    </row>
    <row r="36" spans="2:8" ht="20.25" x14ac:dyDescent="0.25">
      <c r="C36" s="3" t="s">
        <v>7</v>
      </c>
      <c r="G36" s="3" t="s">
        <v>7</v>
      </c>
    </row>
    <row r="37" spans="2:8" ht="15.75" thickBot="1" x14ac:dyDescent="0.3"/>
    <row r="38" spans="2:8" ht="15.75" x14ac:dyDescent="0.25">
      <c r="B38" s="104" t="s">
        <v>70</v>
      </c>
      <c r="C38" s="62"/>
      <c r="D38" s="105" t="s">
        <v>6</v>
      </c>
      <c r="F38" s="104" t="s">
        <v>70</v>
      </c>
      <c r="G38" s="62"/>
      <c r="H38" s="105" t="s">
        <v>6</v>
      </c>
    </row>
    <row r="39" spans="2:8" x14ac:dyDescent="0.25">
      <c r="B39" s="102" t="s">
        <v>51</v>
      </c>
      <c r="C39" s="25">
        <v>37</v>
      </c>
      <c r="D39" s="106"/>
      <c r="F39" s="102" t="s">
        <v>51</v>
      </c>
      <c r="G39" s="25">
        <v>37</v>
      </c>
      <c r="H39" s="106"/>
    </row>
    <row r="40" spans="2:8" x14ac:dyDescent="0.25">
      <c r="B40" s="102" t="s">
        <v>52</v>
      </c>
      <c r="C40" s="25">
        <v>30</v>
      </c>
      <c r="D40" s="106"/>
      <c r="F40" s="102" t="s">
        <v>52</v>
      </c>
      <c r="G40" s="25">
        <v>30</v>
      </c>
      <c r="H40" s="106"/>
    </row>
    <row r="41" spans="2:8" ht="15.75" thickBot="1" x14ac:dyDescent="0.3">
      <c r="B41" s="103" t="s">
        <v>53</v>
      </c>
      <c r="C41" s="26">
        <v>0</v>
      </c>
      <c r="D41" s="107"/>
      <c r="F41" s="103" t="s">
        <v>53</v>
      </c>
      <c r="G41" s="26">
        <v>0</v>
      </c>
      <c r="H41" s="107"/>
    </row>
    <row r="43" spans="2:8" ht="20.25" x14ac:dyDescent="0.25">
      <c r="C43" s="3" t="s">
        <v>7</v>
      </c>
      <c r="G43" s="3" t="s">
        <v>7</v>
      </c>
    </row>
    <row r="44" spans="2:8" ht="15.75" thickBot="1" x14ac:dyDescent="0.3"/>
    <row r="45" spans="2:8" ht="15.75" x14ac:dyDescent="0.25">
      <c r="B45" s="98" t="s">
        <v>24</v>
      </c>
      <c r="C45" s="61"/>
      <c r="D45" s="99" t="s">
        <v>6</v>
      </c>
      <c r="F45" s="98" t="s">
        <v>24</v>
      </c>
      <c r="G45" s="61"/>
      <c r="H45" s="99" t="s">
        <v>6</v>
      </c>
    </row>
    <row r="46" spans="2:8" x14ac:dyDescent="0.25">
      <c r="B46" s="96" t="s">
        <v>16</v>
      </c>
      <c r="C46" s="7" t="s">
        <v>71</v>
      </c>
      <c r="D46" s="100"/>
      <c r="F46" s="96" t="s">
        <v>16</v>
      </c>
      <c r="G46" s="7" t="s">
        <v>71</v>
      </c>
      <c r="H46" s="100"/>
    </row>
    <row r="47" spans="2:8" x14ac:dyDescent="0.25">
      <c r="B47" s="96" t="s">
        <v>17</v>
      </c>
      <c r="C47" s="7" t="s">
        <v>72</v>
      </c>
      <c r="D47" s="100"/>
      <c r="F47" s="96" t="s">
        <v>17</v>
      </c>
      <c r="G47" s="7" t="s">
        <v>72</v>
      </c>
      <c r="H47" s="100"/>
    </row>
    <row r="48" spans="2:8" x14ac:dyDescent="0.25">
      <c r="B48" s="96" t="s">
        <v>19</v>
      </c>
      <c r="C48" s="7" t="s">
        <v>20</v>
      </c>
      <c r="D48" s="100"/>
      <c r="F48" s="96" t="s">
        <v>19</v>
      </c>
      <c r="G48" s="7" t="s">
        <v>20</v>
      </c>
      <c r="H48" s="100"/>
    </row>
    <row r="49" spans="2:8" x14ac:dyDescent="0.25">
      <c r="B49" s="96" t="s">
        <v>21</v>
      </c>
      <c r="C49" s="7">
        <f>79.53 / 4</f>
        <v>19.8825</v>
      </c>
      <c r="D49" s="100"/>
      <c r="F49" s="96" t="s">
        <v>21</v>
      </c>
      <c r="G49" s="7">
        <v>40.1</v>
      </c>
      <c r="H49" s="100"/>
    </row>
    <row r="50" spans="2:8" ht="15.75" thickBot="1" x14ac:dyDescent="0.3">
      <c r="B50" s="97" t="s">
        <v>22</v>
      </c>
      <c r="C50" s="10" t="s">
        <v>23</v>
      </c>
      <c r="D50" s="101"/>
      <c r="F50" s="97" t="s">
        <v>22</v>
      </c>
      <c r="G50" s="10" t="s">
        <v>23</v>
      </c>
      <c r="H50" s="101"/>
    </row>
    <row r="52" spans="2:8" ht="20.25" x14ac:dyDescent="0.25">
      <c r="C52" s="3" t="s">
        <v>7</v>
      </c>
      <c r="G52" s="3" t="s">
        <v>7</v>
      </c>
    </row>
    <row r="53" spans="2:8" ht="15.75" thickBot="1" x14ac:dyDescent="0.3"/>
    <row r="54" spans="2:8" ht="15.75" x14ac:dyDescent="0.25">
      <c r="B54" s="104" t="s">
        <v>70</v>
      </c>
      <c r="C54" s="62"/>
      <c r="D54" s="105" t="s">
        <v>6</v>
      </c>
      <c r="F54" s="104" t="s">
        <v>70</v>
      </c>
      <c r="G54" s="62"/>
      <c r="H54" s="105" t="s">
        <v>6</v>
      </c>
    </row>
    <row r="55" spans="2:8" x14ac:dyDescent="0.25">
      <c r="B55" s="102" t="s">
        <v>51</v>
      </c>
      <c r="C55" s="25" t="s">
        <v>20</v>
      </c>
      <c r="D55" s="106"/>
      <c r="F55" s="102" t="s">
        <v>51</v>
      </c>
      <c r="G55" s="25" t="s">
        <v>20</v>
      </c>
      <c r="H55" s="106"/>
    </row>
    <row r="56" spans="2:8" x14ac:dyDescent="0.25">
      <c r="B56" s="102" t="s">
        <v>52</v>
      </c>
      <c r="C56" s="25">
        <v>30</v>
      </c>
      <c r="D56" s="106"/>
      <c r="F56" s="102" t="s">
        <v>52</v>
      </c>
      <c r="G56" s="25">
        <v>30</v>
      </c>
      <c r="H56" s="106"/>
    </row>
    <row r="57" spans="2:8" ht="15.75" thickBot="1" x14ac:dyDescent="0.3">
      <c r="B57" s="103" t="s">
        <v>53</v>
      </c>
      <c r="C57" s="26">
        <v>0</v>
      </c>
      <c r="D57" s="107"/>
      <c r="F57" s="103" t="s">
        <v>53</v>
      </c>
      <c r="G57" s="26">
        <v>0</v>
      </c>
      <c r="H57" s="107"/>
    </row>
    <row r="59" spans="2:8" ht="20.25" x14ac:dyDescent="0.25">
      <c r="C59" s="3" t="s">
        <v>7</v>
      </c>
      <c r="G59" s="3" t="s">
        <v>7</v>
      </c>
    </row>
    <row r="60" spans="2:8" ht="15.75" thickBot="1" x14ac:dyDescent="0.3"/>
    <row r="61" spans="2:8" ht="15.75" x14ac:dyDescent="0.25">
      <c r="B61" s="110" t="s">
        <v>93</v>
      </c>
      <c r="C61" s="63"/>
      <c r="D61" s="111" t="s">
        <v>6</v>
      </c>
      <c r="F61" s="80" t="s">
        <v>5</v>
      </c>
      <c r="G61" s="58"/>
      <c r="H61" s="81" t="s">
        <v>6</v>
      </c>
    </row>
    <row r="62" spans="2:8" x14ac:dyDescent="0.25">
      <c r="B62" s="108" t="s">
        <v>55</v>
      </c>
      <c r="C62" s="28" t="s">
        <v>66</v>
      </c>
      <c r="D62" s="112"/>
      <c r="F62" s="78" t="s">
        <v>0</v>
      </c>
      <c r="G62" s="1" t="s">
        <v>101</v>
      </c>
      <c r="H62" s="82"/>
    </row>
    <row r="63" spans="2:8" ht="15.75" thickBot="1" x14ac:dyDescent="0.3">
      <c r="B63" s="108" t="s">
        <v>56</v>
      </c>
      <c r="C63" s="28" t="s">
        <v>94</v>
      </c>
      <c r="D63" s="112"/>
      <c r="F63" s="79" t="s">
        <v>8</v>
      </c>
      <c r="G63" s="2" t="s">
        <v>4</v>
      </c>
      <c r="H63" s="83"/>
    </row>
    <row r="64" spans="2:8" ht="15.75" thickBot="1" x14ac:dyDescent="0.3">
      <c r="B64" s="109" t="s">
        <v>57</v>
      </c>
      <c r="C64" s="29" t="s">
        <v>95</v>
      </c>
      <c r="D64" s="113"/>
    </row>
    <row r="65" spans="2:8" ht="20.25" x14ac:dyDescent="0.25">
      <c r="G65" s="3" t="s">
        <v>7</v>
      </c>
    </row>
    <row r="66" spans="2:8" ht="21" thickBot="1" x14ac:dyDescent="0.3">
      <c r="C66" s="3" t="s">
        <v>7</v>
      </c>
    </row>
    <row r="67" spans="2:8" ht="16.5" thickBot="1" x14ac:dyDescent="0.3">
      <c r="F67" s="80" t="s">
        <v>5</v>
      </c>
      <c r="G67" s="58"/>
      <c r="H67" s="81" t="s">
        <v>6</v>
      </c>
    </row>
    <row r="68" spans="2:8" ht="15.75" x14ac:dyDescent="0.25">
      <c r="B68" s="116" t="s">
        <v>69</v>
      </c>
      <c r="C68" s="64"/>
      <c r="D68" s="117" t="s">
        <v>6</v>
      </c>
      <c r="F68" s="78" t="s">
        <v>0</v>
      </c>
      <c r="G68" s="1" t="s">
        <v>77</v>
      </c>
      <c r="H68" s="82"/>
    </row>
    <row r="69" spans="2:8" ht="15.75" thickBot="1" x14ac:dyDescent="0.3">
      <c r="B69" s="114" t="s">
        <v>45</v>
      </c>
      <c r="C69" s="23" t="str">
        <f>Method!$G$68</f>
        <v>LV Desalting Plate</v>
      </c>
      <c r="D69" s="118"/>
      <c r="F69" s="79" t="s">
        <v>8</v>
      </c>
      <c r="G69" s="2" t="s">
        <v>4</v>
      </c>
      <c r="H69" s="83"/>
    </row>
    <row r="70" spans="2:8" ht="15.75" thickBot="1" x14ac:dyDescent="0.3">
      <c r="B70" s="115" t="s">
        <v>46</v>
      </c>
      <c r="C70" s="24" t="s">
        <v>23</v>
      </c>
      <c r="D70" s="119"/>
    </row>
    <row r="71" spans="2:8" ht="20.25" x14ac:dyDescent="0.25">
      <c r="G71" s="3" t="s">
        <v>7</v>
      </c>
    </row>
    <row r="72" spans="2:8" ht="21" thickBot="1" x14ac:dyDescent="0.3">
      <c r="C72" s="3" t="s">
        <v>7</v>
      </c>
    </row>
    <row r="73" spans="2:8" ht="16.5" thickBot="1" x14ac:dyDescent="0.3">
      <c r="F73" s="122" t="s">
        <v>100</v>
      </c>
      <c r="G73" s="66"/>
      <c r="H73" s="123" t="s">
        <v>6</v>
      </c>
    </row>
    <row r="74" spans="2:8" ht="15.75" x14ac:dyDescent="0.25">
      <c r="B74" s="110" t="s">
        <v>93</v>
      </c>
      <c r="C74" s="63"/>
      <c r="D74" s="111" t="s">
        <v>6</v>
      </c>
      <c r="F74" s="120" t="s">
        <v>16</v>
      </c>
      <c r="G74" s="19" t="str">
        <f>Method!$G$14</f>
        <v>Low Volume</v>
      </c>
      <c r="H74" s="124"/>
    </row>
    <row r="75" spans="2:8" x14ac:dyDescent="0.25">
      <c r="B75" s="108" t="s">
        <v>55</v>
      </c>
      <c r="C75" s="28" t="s">
        <v>23</v>
      </c>
      <c r="D75" s="112"/>
      <c r="F75" s="120" t="s">
        <v>99</v>
      </c>
      <c r="G75" s="19" t="str">
        <f>Method!$G$62</f>
        <v>LV Desalting Waste</v>
      </c>
      <c r="H75" s="124"/>
    </row>
    <row r="76" spans="2:8" x14ac:dyDescent="0.25">
      <c r="B76" s="108" t="s">
        <v>56</v>
      </c>
      <c r="C76" s="28" t="s">
        <v>96</v>
      </c>
      <c r="D76" s="112"/>
      <c r="F76" s="120" t="s">
        <v>54</v>
      </c>
      <c r="G76" s="19" t="s">
        <v>79</v>
      </c>
      <c r="H76" s="124"/>
    </row>
    <row r="77" spans="2:8" ht="15.75" thickBot="1" x14ac:dyDescent="0.3">
      <c r="B77" s="109" t="s">
        <v>57</v>
      </c>
      <c r="C77" s="29" t="s">
        <v>97</v>
      </c>
      <c r="D77" s="113"/>
      <c r="F77" s="120" t="s">
        <v>58</v>
      </c>
      <c r="G77" s="19" t="s">
        <v>532</v>
      </c>
      <c r="H77" s="124"/>
    </row>
    <row r="78" spans="2:8" ht="15.75" thickBot="1" x14ac:dyDescent="0.3">
      <c r="F78" s="121" t="s">
        <v>103</v>
      </c>
      <c r="G78" s="20" t="s">
        <v>526</v>
      </c>
      <c r="H78" s="125"/>
    </row>
    <row r="79" spans="2:8" ht="20.25" x14ac:dyDescent="0.25">
      <c r="C79" s="3" t="s">
        <v>7</v>
      </c>
    </row>
    <row r="80" spans="2:8" ht="21" thickBot="1" x14ac:dyDescent="0.3">
      <c r="G80" s="3" t="s">
        <v>7</v>
      </c>
    </row>
    <row r="81" spans="2:8" ht="16.5" thickBot="1" x14ac:dyDescent="0.3">
      <c r="B81" s="80" t="s">
        <v>5</v>
      </c>
      <c r="C81" s="58"/>
      <c r="D81" s="81" t="s">
        <v>6</v>
      </c>
    </row>
    <row r="82" spans="2:8" ht="15.75" x14ac:dyDescent="0.25">
      <c r="B82" s="78" t="s">
        <v>0</v>
      </c>
      <c r="C82" s="1" t="s">
        <v>80</v>
      </c>
      <c r="D82" s="82"/>
      <c r="F82" s="116" t="s">
        <v>69</v>
      </c>
      <c r="G82" s="64"/>
      <c r="H82" s="117" t="s">
        <v>6</v>
      </c>
    </row>
    <row r="83" spans="2:8" ht="15.75" thickBot="1" x14ac:dyDescent="0.3">
      <c r="B83" s="79" t="s">
        <v>8</v>
      </c>
      <c r="C83" s="2" t="s">
        <v>4</v>
      </c>
      <c r="D83" s="83"/>
      <c r="F83" s="114" t="s">
        <v>45</v>
      </c>
      <c r="G83" s="23" t="str">
        <f>Method!$C$14</f>
        <v>High Volume</v>
      </c>
      <c r="H83" s="118"/>
    </row>
    <row r="84" spans="2:8" ht="15.75" thickBot="1" x14ac:dyDescent="0.3">
      <c r="F84" s="115" t="s">
        <v>46</v>
      </c>
      <c r="G84" s="24" t="s">
        <v>23</v>
      </c>
      <c r="H84" s="119"/>
    </row>
    <row r="85" spans="2:8" ht="20.25" x14ac:dyDescent="0.25">
      <c r="C85" s="3" t="s">
        <v>7</v>
      </c>
    </row>
    <row r="86" spans="2:8" ht="21" thickBot="1" x14ac:dyDescent="0.3">
      <c r="G86" s="3" t="s">
        <v>7</v>
      </c>
    </row>
    <row r="87" spans="2:8" ht="16.5" thickBot="1" x14ac:dyDescent="0.3">
      <c r="B87" s="127" t="s">
        <v>82</v>
      </c>
      <c r="C87" s="65"/>
      <c r="D87" s="128" t="s">
        <v>6</v>
      </c>
    </row>
    <row r="88" spans="2:8" ht="30.75" thickBot="1" x14ac:dyDescent="0.3">
      <c r="B88" s="126" t="s">
        <v>58</v>
      </c>
      <c r="C88" s="27">
        <v>600</v>
      </c>
      <c r="D88" s="129" t="s">
        <v>89</v>
      </c>
      <c r="F88" s="80" t="s">
        <v>5</v>
      </c>
      <c r="G88" s="58"/>
      <c r="H88" s="81" t="s">
        <v>6</v>
      </c>
    </row>
    <row r="89" spans="2:8" x14ac:dyDescent="0.25">
      <c r="F89" s="78" t="s">
        <v>0</v>
      </c>
      <c r="G89" s="1" t="s">
        <v>81</v>
      </c>
      <c r="H89" s="82"/>
    </row>
    <row r="90" spans="2:8" ht="21" thickBot="1" x14ac:dyDescent="0.3">
      <c r="C90" s="3" t="s">
        <v>7</v>
      </c>
      <c r="F90" s="79" t="s">
        <v>8</v>
      </c>
      <c r="G90" s="2" t="s">
        <v>4</v>
      </c>
      <c r="H90" s="83"/>
    </row>
    <row r="91" spans="2:8" ht="15.75" thickBot="1" x14ac:dyDescent="0.3"/>
    <row r="92" spans="2:8" ht="20.25" x14ac:dyDescent="0.25">
      <c r="B92" s="98" t="s">
        <v>24</v>
      </c>
      <c r="C92" s="61"/>
      <c r="D92" s="99" t="s">
        <v>6</v>
      </c>
      <c r="G92" s="3" t="s">
        <v>7</v>
      </c>
    </row>
    <row r="93" spans="2:8" ht="15.75" thickBot="1" x14ac:dyDescent="0.3">
      <c r="B93" s="96" t="s">
        <v>16</v>
      </c>
      <c r="C93" s="7" t="s">
        <v>83</v>
      </c>
      <c r="D93" s="100"/>
    </row>
    <row r="94" spans="2:8" ht="15.75" x14ac:dyDescent="0.25">
      <c r="B94" s="96" t="s">
        <v>17</v>
      </c>
      <c r="C94" s="7" t="s">
        <v>87</v>
      </c>
      <c r="D94" s="100"/>
      <c r="F94" s="98" t="s">
        <v>24</v>
      </c>
      <c r="G94" s="61"/>
      <c r="H94" s="99" t="s">
        <v>6</v>
      </c>
    </row>
    <row r="95" spans="2:8" x14ac:dyDescent="0.25">
      <c r="B95" s="96" t="s">
        <v>19</v>
      </c>
      <c r="C95" s="7" t="s">
        <v>88</v>
      </c>
      <c r="D95" s="100"/>
      <c r="F95" s="96" t="s">
        <v>16</v>
      </c>
      <c r="G95" s="7" t="str">
        <f>Method!$G$68</f>
        <v>LV Desalting Plate</v>
      </c>
      <c r="H95" s="100"/>
    </row>
    <row r="96" spans="2:8" x14ac:dyDescent="0.25">
      <c r="B96" s="96" t="s">
        <v>21</v>
      </c>
      <c r="C96" s="7">
        <v>1.58</v>
      </c>
      <c r="D96" s="100"/>
      <c r="F96" s="96" t="s">
        <v>17</v>
      </c>
      <c r="G96" s="7" t="s">
        <v>43</v>
      </c>
      <c r="H96" s="100"/>
    </row>
    <row r="97" spans="2:8" ht="15.75" thickBot="1" x14ac:dyDescent="0.3">
      <c r="B97" s="97" t="s">
        <v>22</v>
      </c>
      <c r="C97" s="10" t="s">
        <v>23</v>
      </c>
      <c r="D97" s="101"/>
      <c r="F97" s="96" t="s">
        <v>19</v>
      </c>
      <c r="G97" s="7" t="s">
        <v>20</v>
      </c>
      <c r="H97" s="100"/>
    </row>
    <row r="98" spans="2:8" x14ac:dyDescent="0.25">
      <c r="F98" s="96" t="s">
        <v>21</v>
      </c>
      <c r="G98" s="7">
        <v>180</v>
      </c>
      <c r="H98" s="100"/>
    </row>
    <row r="99" spans="2:8" ht="21" thickBot="1" x14ac:dyDescent="0.3">
      <c r="C99" s="3" t="s">
        <v>7</v>
      </c>
      <c r="F99" s="97" t="s">
        <v>22</v>
      </c>
      <c r="G99" s="10" t="s">
        <v>66</v>
      </c>
      <c r="H99" s="101"/>
    </row>
    <row r="100" spans="2:8" ht="15.75" thickBot="1" x14ac:dyDescent="0.3"/>
    <row r="101" spans="2:8" ht="20.25" x14ac:dyDescent="0.25">
      <c r="B101" s="98" t="s">
        <v>24</v>
      </c>
      <c r="C101" s="61"/>
      <c r="D101" s="99" t="s">
        <v>6</v>
      </c>
      <c r="G101" s="3" t="s">
        <v>7</v>
      </c>
    </row>
    <row r="102" spans="2:8" ht="15.75" thickBot="1" x14ac:dyDescent="0.3">
      <c r="B102" s="96" t="s">
        <v>16</v>
      </c>
      <c r="C102" s="7" t="s">
        <v>85</v>
      </c>
      <c r="D102" s="100"/>
    </row>
    <row r="103" spans="2:8" ht="15.75" x14ac:dyDescent="0.25">
      <c r="B103" s="96" t="s">
        <v>17</v>
      </c>
      <c r="C103" s="7" t="s">
        <v>87</v>
      </c>
      <c r="D103" s="100"/>
      <c r="F103" s="98" t="s">
        <v>24</v>
      </c>
      <c r="G103" s="61"/>
      <c r="H103" s="99" t="s">
        <v>6</v>
      </c>
    </row>
    <row r="104" spans="2:8" x14ac:dyDescent="0.25">
      <c r="B104" s="96" t="s">
        <v>19</v>
      </c>
      <c r="C104" s="7" t="s">
        <v>88</v>
      </c>
      <c r="D104" s="100"/>
      <c r="F104" s="96" t="s">
        <v>16</v>
      </c>
      <c r="G104" s="7" t="s">
        <v>83</v>
      </c>
      <c r="H104" s="100"/>
    </row>
    <row r="105" spans="2:8" x14ac:dyDescent="0.25">
      <c r="B105" s="96" t="s">
        <v>21</v>
      </c>
      <c r="C105" s="7">
        <v>15.8</v>
      </c>
      <c r="D105" s="100"/>
      <c r="F105" s="96" t="s">
        <v>17</v>
      </c>
      <c r="G105" s="7" t="s">
        <v>87</v>
      </c>
      <c r="H105" s="100"/>
    </row>
    <row r="106" spans="2:8" ht="15.75" thickBot="1" x14ac:dyDescent="0.3">
      <c r="B106" s="97" t="s">
        <v>22</v>
      </c>
      <c r="C106" s="10" t="s">
        <v>23</v>
      </c>
      <c r="D106" s="101"/>
      <c r="F106" s="96" t="s">
        <v>19</v>
      </c>
      <c r="G106" s="7" t="s">
        <v>88</v>
      </c>
      <c r="H106" s="100"/>
    </row>
    <row r="107" spans="2:8" x14ac:dyDescent="0.25">
      <c r="F107" s="96" t="s">
        <v>21</v>
      </c>
      <c r="G107" s="7">
        <v>1.58</v>
      </c>
      <c r="H107" s="100"/>
    </row>
    <row r="108" spans="2:8" ht="21" thickBot="1" x14ac:dyDescent="0.3">
      <c r="C108" s="3" t="s">
        <v>7</v>
      </c>
      <c r="F108" s="97" t="s">
        <v>22</v>
      </c>
      <c r="G108" s="10" t="s">
        <v>23</v>
      </c>
      <c r="H108" s="101"/>
    </row>
    <row r="109" spans="2:8" ht="15.75" thickBot="1" x14ac:dyDescent="0.3"/>
    <row r="110" spans="2:8" ht="20.25" x14ac:dyDescent="0.25">
      <c r="B110" s="104" t="s">
        <v>70</v>
      </c>
      <c r="C110" s="62"/>
      <c r="D110" s="105" t="s">
        <v>6</v>
      </c>
      <c r="G110" s="3" t="s">
        <v>7</v>
      </c>
    </row>
    <row r="111" spans="2:8" ht="15.75" thickBot="1" x14ac:dyDescent="0.3">
      <c r="B111" s="102" t="s">
        <v>51</v>
      </c>
      <c r="C111" s="25">
        <v>37</v>
      </c>
      <c r="D111" s="106"/>
    </row>
    <row r="112" spans="2:8" ht="15.75" x14ac:dyDescent="0.25">
      <c r="B112" s="102" t="s">
        <v>52</v>
      </c>
      <c r="C112" s="25">
        <f>18*60</f>
        <v>1080</v>
      </c>
      <c r="D112" s="106"/>
      <c r="F112" s="98" t="s">
        <v>24</v>
      </c>
      <c r="G112" s="61"/>
      <c r="H112" s="99" t="s">
        <v>6</v>
      </c>
    </row>
    <row r="113" spans="2:8" ht="15.75" thickBot="1" x14ac:dyDescent="0.3">
      <c r="B113" s="103" t="s">
        <v>53</v>
      </c>
      <c r="C113" s="26">
        <v>0</v>
      </c>
      <c r="D113" s="107"/>
      <c r="F113" s="96" t="s">
        <v>16</v>
      </c>
      <c r="G113" s="7" t="s">
        <v>85</v>
      </c>
      <c r="H113" s="100"/>
    </row>
    <row r="114" spans="2:8" x14ac:dyDescent="0.25">
      <c r="F114" s="96" t="s">
        <v>17</v>
      </c>
      <c r="G114" s="7" t="s">
        <v>87</v>
      </c>
      <c r="H114" s="100"/>
    </row>
    <row r="115" spans="2:8" ht="20.25" x14ac:dyDescent="0.25">
      <c r="C115" s="3" t="s">
        <v>7</v>
      </c>
      <c r="F115" s="96" t="s">
        <v>19</v>
      </c>
      <c r="G115" s="7" t="s">
        <v>88</v>
      </c>
      <c r="H115" s="100"/>
    </row>
    <row r="116" spans="2:8" ht="15.75" thickBot="1" x14ac:dyDescent="0.3">
      <c r="F116" s="96" t="s">
        <v>21</v>
      </c>
      <c r="G116" s="7">
        <v>15.8</v>
      </c>
      <c r="H116" s="100"/>
    </row>
    <row r="117" spans="2:8" ht="16.5" thickBot="1" x14ac:dyDescent="0.3">
      <c r="B117" s="98" t="s">
        <v>24</v>
      </c>
      <c r="C117" s="61"/>
      <c r="D117" s="99" t="s">
        <v>6</v>
      </c>
      <c r="F117" s="97" t="s">
        <v>22</v>
      </c>
      <c r="G117" s="10" t="s">
        <v>23</v>
      </c>
      <c r="H117" s="101"/>
    </row>
    <row r="118" spans="2:8" x14ac:dyDescent="0.25">
      <c r="B118" s="96" t="s">
        <v>16</v>
      </c>
      <c r="C118" s="7" t="s">
        <v>90</v>
      </c>
      <c r="D118" s="100"/>
    </row>
    <row r="119" spans="2:8" ht="20.25" x14ac:dyDescent="0.25">
      <c r="B119" s="96" t="s">
        <v>17</v>
      </c>
      <c r="C119" s="7" t="s">
        <v>91</v>
      </c>
      <c r="D119" s="100"/>
      <c r="G119" s="3" t="s">
        <v>7</v>
      </c>
    </row>
    <row r="120" spans="2:8" ht="15.75" thickBot="1" x14ac:dyDescent="0.3">
      <c r="B120" s="96" t="s">
        <v>19</v>
      </c>
      <c r="C120" s="7" t="s">
        <v>20</v>
      </c>
      <c r="D120" s="100"/>
    </row>
    <row r="121" spans="2:8" ht="15.75" x14ac:dyDescent="0.25">
      <c r="B121" s="96" t="s">
        <v>21</v>
      </c>
      <c r="C121" s="7">
        <v>6</v>
      </c>
      <c r="D121" s="100"/>
      <c r="F121" s="104" t="s">
        <v>70</v>
      </c>
      <c r="G121" s="62"/>
      <c r="H121" s="105" t="s">
        <v>6</v>
      </c>
    </row>
    <row r="122" spans="2:8" ht="15.75" thickBot="1" x14ac:dyDescent="0.3">
      <c r="B122" s="97" t="s">
        <v>22</v>
      </c>
      <c r="C122" s="10" t="s">
        <v>23</v>
      </c>
      <c r="D122" s="101"/>
      <c r="F122" s="102" t="s">
        <v>51</v>
      </c>
      <c r="G122" s="25">
        <v>37</v>
      </c>
      <c r="H122" s="106"/>
    </row>
    <row r="123" spans="2:8" x14ac:dyDescent="0.25">
      <c r="F123" s="102" t="s">
        <v>52</v>
      </c>
      <c r="G123" s="25">
        <f>18*60</f>
        <v>1080</v>
      </c>
      <c r="H123" s="106"/>
    </row>
    <row r="124" spans="2:8" ht="21" thickBot="1" x14ac:dyDescent="0.3">
      <c r="C124" s="3" t="s">
        <v>7</v>
      </c>
      <c r="F124" s="103" t="s">
        <v>53</v>
      </c>
      <c r="G124" s="26">
        <v>0</v>
      </c>
      <c r="H124" s="107"/>
    </row>
    <row r="125" spans="2:8" ht="15.75" thickBot="1" x14ac:dyDescent="0.3"/>
    <row r="126" spans="2:8" ht="20.25" x14ac:dyDescent="0.25">
      <c r="B126" s="80" t="s">
        <v>36</v>
      </c>
      <c r="C126" s="58"/>
      <c r="D126" s="81" t="s">
        <v>6</v>
      </c>
      <c r="G126" s="3" t="s">
        <v>7</v>
      </c>
    </row>
    <row r="127" spans="2:8" ht="15.75" thickBot="1" x14ac:dyDescent="0.3">
      <c r="B127" s="79"/>
      <c r="C127" s="2"/>
      <c r="D127" s="130"/>
    </row>
    <row r="128" spans="2:8" ht="15.75" x14ac:dyDescent="0.25">
      <c r="F128" s="98" t="s">
        <v>24</v>
      </c>
      <c r="G128" s="61"/>
      <c r="H128" s="99" t="s">
        <v>6</v>
      </c>
    </row>
    <row r="129" spans="6:8" x14ac:dyDescent="0.25">
      <c r="F129" s="96" t="s">
        <v>16</v>
      </c>
      <c r="G129" s="7" t="s">
        <v>90</v>
      </c>
      <c r="H129" s="100"/>
    </row>
    <row r="130" spans="6:8" x14ac:dyDescent="0.25">
      <c r="F130" s="96" t="s">
        <v>17</v>
      </c>
      <c r="G130" s="7" t="s">
        <v>91</v>
      </c>
      <c r="H130" s="100"/>
    </row>
    <row r="131" spans="6:8" x14ac:dyDescent="0.25">
      <c r="F131" s="96" t="s">
        <v>19</v>
      </c>
      <c r="G131" s="7" t="s">
        <v>20</v>
      </c>
      <c r="H131" s="100"/>
    </row>
    <row r="132" spans="6:8" x14ac:dyDescent="0.25">
      <c r="F132" s="96" t="s">
        <v>21</v>
      </c>
      <c r="G132" s="7">
        <v>2</v>
      </c>
      <c r="H132" s="100"/>
    </row>
    <row r="133" spans="6:8" ht="15.75" thickBot="1" x14ac:dyDescent="0.3">
      <c r="F133" s="97" t="s">
        <v>22</v>
      </c>
      <c r="G133" s="10" t="s">
        <v>23</v>
      </c>
      <c r="H133" s="101"/>
    </row>
    <row r="135" spans="6:8" ht="20.25" x14ac:dyDescent="0.25">
      <c r="G135" s="3" t="s">
        <v>7</v>
      </c>
    </row>
    <row r="136" spans="6:8" ht="15.75" thickBot="1" x14ac:dyDescent="0.3"/>
    <row r="137" spans="6:8" ht="15.75" x14ac:dyDescent="0.25">
      <c r="F137" s="80" t="s">
        <v>36</v>
      </c>
      <c r="G137" s="58"/>
      <c r="H137" s="81" t="s">
        <v>6</v>
      </c>
    </row>
    <row r="138" spans="6:8" ht="15.75" thickBot="1" x14ac:dyDescent="0.3">
      <c r="F138" s="79"/>
      <c r="G138" s="2"/>
      <c r="H138" s="130"/>
    </row>
  </sheetData>
  <mergeCells count="67">
    <mergeCell ref="F137:G137"/>
    <mergeCell ref="F112:G112"/>
    <mergeCell ref="H113:H117"/>
    <mergeCell ref="F121:G121"/>
    <mergeCell ref="H122:H124"/>
    <mergeCell ref="F128:G128"/>
    <mergeCell ref="H129:H133"/>
    <mergeCell ref="H104:H108"/>
    <mergeCell ref="H68:H69"/>
    <mergeCell ref="F73:G73"/>
    <mergeCell ref="H74:H78"/>
    <mergeCell ref="F82:G82"/>
    <mergeCell ref="H83:H84"/>
    <mergeCell ref="F88:G88"/>
    <mergeCell ref="H89:H90"/>
    <mergeCell ref="F94:G94"/>
    <mergeCell ref="H95:H99"/>
    <mergeCell ref="F103:G103"/>
    <mergeCell ref="B126:C126"/>
    <mergeCell ref="D75:D77"/>
    <mergeCell ref="B81:C81"/>
    <mergeCell ref="D82:D83"/>
    <mergeCell ref="B92:C92"/>
    <mergeCell ref="D93:D97"/>
    <mergeCell ref="B101:C101"/>
    <mergeCell ref="D102:D106"/>
    <mergeCell ref="D111:D113"/>
    <mergeCell ref="B117:C117"/>
    <mergeCell ref="D118:D122"/>
    <mergeCell ref="B68:C68"/>
    <mergeCell ref="D69:D70"/>
    <mergeCell ref="B74:C74"/>
    <mergeCell ref="B110:C110"/>
    <mergeCell ref="B87:C87"/>
    <mergeCell ref="H62:H63"/>
    <mergeCell ref="F67:G67"/>
    <mergeCell ref="F38:G38"/>
    <mergeCell ref="H39:H41"/>
    <mergeCell ref="F45:G45"/>
    <mergeCell ref="H46:H50"/>
    <mergeCell ref="H30:H34"/>
    <mergeCell ref="F54:G54"/>
    <mergeCell ref="B61:C61"/>
    <mergeCell ref="D30:D34"/>
    <mergeCell ref="D55:D57"/>
    <mergeCell ref="H55:H57"/>
    <mergeCell ref="F61:G61"/>
    <mergeCell ref="B38:C38"/>
    <mergeCell ref="D39:D41"/>
    <mergeCell ref="B45:C45"/>
    <mergeCell ref="D46:D50"/>
    <mergeCell ref="B54:C54"/>
    <mergeCell ref="B29:C29"/>
    <mergeCell ref="B19:C19"/>
    <mergeCell ref="D20:D25"/>
    <mergeCell ref="H20:H25"/>
    <mergeCell ref="F29:G29"/>
    <mergeCell ref="H14:H15"/>
    <mergeCell ref="F19:G19"/>
    <mergeCell ref="B13:C13"/>
    <mergeCell ref="D14:D15"/>
    <mergeCell ref="F13:G13"/>
    <mergeCell ref="D2:E2"/>
    <mergeCell ref="F3:F4"/>
    <mergeCell ref="D8:E8"/>
    <mergeCell ref="F9:F11"/>
    <mergeCell ref="D62:D6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31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133" t="s">
        <v>73</v>
      </c>
      <c r="C2" s="67"/>
      <c r="D2" s="134" t="s">
        <v>6</v>
      </c>
      <c r="F2" s="133" t="s">
        <v>68</v>
      </c>
      <c r="G2" s="67"/>
      <c r="H2" s="134" t="s">
        <v>6</v>
      </c>
      <c r="J2" s="133" t="s">
        <v>102</v>
      </c>
      <c r="K2" s="67"/>
      <c r="L2" s="134" t="s">
        <v>6</v>
      </c>
    </row>
    <row r="3" spans="2:12" x14ac:dyDescent="0.25">
      <c r="B3" s="131" t="s">
        <v>37</v>
      </c>
      <c r="C3" s="17" t="s">
        <v>18</v>
      </c>
      <c r="D3" s="135"/>
      <c r="F3" s="131" t="s">
        <v>37</v>
      </c>
      <c r="G3" s="17" t="s">
        <v>18</v>
      </c>
      <c r="H3" s="135"/>
      <c r="J3" s="131" t="s">
        <v>37</v>
      </c>
      <c r="K3" s="17" t="s">
        <v>18</v>
      </c>
      <c r="L3" s="135"/>
    </row>
    <row r="4" spans="2:12" x14ac:dyDescent="0.25">
      <c r="B4" s="131" t="s">
        <v>19</v>
      </c>
      <c r="C4" s="17" t="s">
        <v>20</v>
      </c>
      <c r="D4" s="135"/>
      <c r="F4" s="131" t="s">
        <v>19</v>
      </c>
      <c r="G4" s="17" t="s">
        <v>20</v>
      </c>
      <c r="H4" s="135"/>
      <c r="J4" s="131" t="s">
        <v>19</v>
      </c>
      <c r="K4" s="17" t="s">
        <v>20</v>
      </c>
      <c r="L4" s="135"/>
    </row>
    <row r="5" spans="2:12" x14ac:dyDescent="0.25">
      <c r="B5" s="131" t="s">
        <v>38</v>
      </c>
      <c r="C5" s="17" t="s">
        <v>41</v>
      </c>
      <c r="D5" s="135"/>
      <c r="F5" s="131" t="s">
        <v>38</v>
      </c>
      <c r="G5" s="17" t="s">
        <v>41</v>
      </c>
      <c r="H5" s="135"/>
      <c r="J5" s="131" t="s">
        <v>38</v>
      </c>
      <c r="K5" s="17" t="s">
        <v>41</v>
      </c>
      <c r="L5" s="135"/>
    </row>
    <row r="6" spans="2:12" x14ac:dyDescent="0.25">
      <c r="B6" s="131" t="s">
        <v>39</v>
      </c>
      <c r="C6" s="17" t="s">
        <v>41</v>
      </c>
      <c r="D6" s="135"/>
      <c r="F6" s="131" t="s">
        <v>39</v>
      </c>
      <c r="G6" s="17" t="s">
        <v>41</v>
      </c>
      <c r="H6" s="135"/>
      <c r="J6" s="131" t="s">
        <v>39</v>
      </c>
      <c r="K6" s="17" t="s">
        <v>41</v>
      </c>
      <c r="L6" s="135"/>
    </row>
    <row r="7" spans="2:12" ht="15.75" thickBot="1" x14ac:dyDescent="0.3">
      <c r="B7" s="132" t="s">
        <v>40</v>
      </c>
      <c r="C7" s="18" t="s">
        <v>42</v>
      </c>
      <c r="D7" s="136"/>
      <c r="F7" s="132" t="s">
        <v>40</v>
      </c>
      <c r="G7" s="18" t="s">
        <v>42</v>
      </c>
      <c r="H7" s="136"/>
      <c r="J7" s="132" t="s">
        <v>40</v>
      </c>
      <c r="K7" s="18" t="s">
        <v>42</v>
      </c>
      <c r="L7" s="136"/>
    </row>
    <row r="9" spans="2:12" ht="15.75" thickBot="1" x14ac:dyDescent="0.3"/>
    <row r="10" spans="2:12" ht="15.75" x14ac:dyDescent="0.25">
      <c r="B10" s="133" t="s">
        <v>92</v>
      </c>
      <c r="C10" s="67"/>
      <c r="D10" s="134" t="s">
        <v>6</v>
      </c>
      <c r="F10" s="133" t="s">
        <v>92</v>
      </c>
      <c r="G10" s="67"/>
      <c r="H10" s="134" t="s">
        <v>6</v>
      </c>
      <c r="J10" s="133" t="s">
        <v>84</v>
      </c>
      <c r="K10" s="67"/>
      <c r="L10" s="134" t="s">
        <v>6</v>
      </c>
    </row>
    <row r="11" spans="2:12" x14ac:dyDescent="0.25">
      <c r="B11" s="131" t="s">
        <v>37</v>
      </c>
      <c r="C11" s="17" t="s">
        <v>18</v>
      </c>
      <c r="D11" s="135"/>
      <c r="F11" s="131" t="s">
        <v>37</v>
      </c>
      <c r="G11" s="17" t="s">
        <v>18</v>
      </c>
      <c r="H11" s="135"/>
      <c r="J11" s="131" t="s">
        <v>37</v>
      </c>
      <c r="K11" s="17" t="s">
        <v>18</v>
      </c>
      <c r="L11" s="135"/>
    </row>
    <row r="12" spans="2:12" x14ac:dyDescent="0.25">
      <c r="B12" s="131" t="s">
        <v>19</v>
      </c>
      <c r="C12" s="17" t="s">
        <v>20</v>
      </c>
      <c r="D12" s="135"/>
      <c r="F12" s="131" t="s">
        <v>19</v>
      </c>
      <c r="G12" s="17" t="s">
        <v>20</v>
      </c>
      <c r="H12" s="135"/>
      <c r="J12" s="131" t="s">
        <v>19</v>
      </c>
      <c r="K12" s="17" t="s">
        <v>20</v>
      </c>
      <c r="L12" s="135"/>
    </row>
    <row r="13" spans="2:12" x14ac:dyDescent="0.25">
      <c r="B13" s="131" t="s">
        <v>38</v>
      </c>
      <c r="C13" s="17" t="s">
        <v>41</v>
      </c>
      <c r="D13" s="135"/>
      <c r="F13" s="131" t="s">
        <v>38</v>
      </c>
      <c r="G13" s="17" t="s">
        <v>41</v>
      </c>
      <c r="H13" s="135"/>
      <c r="J13" s="131" t="s">
        <v>38</v>
      </c>
      <c r="K13" s="17" t="s">
        <v>41</v>
      </c>
      <c r="L13" s="135"/>
    </row>
    <row r="14" spans="2:12" x14ac:dyDescent="0.25">
      <c r="B14" s="131" t="s">
        <v>39</v>
      </c>
      <c r="C14" s="17" t="s">
        <v>41</v>
      </c>
      <c r="D14" s="135"/>
      <c r="F14" s="131" t="s">
        <v>39</v>
      </c>
      <c r="G14" s="17" t="s">
        <v>41</v>
      </c>
      <c r="H14" s="135"/>
      <c r="J14" s="131" t="s">
        <v>39</v>
      </c>
      <c r="K14" s="17" t="s">
        <v>41</v>
      </c>
      <c r="L14" s="135"/>
    </row>
    <row r="15" spans="2:12" ht="15.75" thickBot="1" x14ac:dyDescent="0.3">
      <c r="B15" s="132" t="s">
        <v>40</v>
      </c>
      <c r="C15" s="18" t="s">
        <v>42</v>
      </c>
      <c r="D15" s="136"/>
      <c r="F15" s="132" t="s">
        <v>40</v>
      </c>
      <c r="G15" s="18" t="s">
        <v>42</v>
      </c>
      <c r="H15" s="136"/>
      <c r="J15" s="132" t="s">
        <v>40</v>
      </c>
      <c r="K15" s="18" t="s">
        <v>42</v>
      </c>
      <c r="L15" s="136"/>
    </row>
    <row r="17" spans="2:12" ht="15.75" thickBot="1" x14ac:dyDescent="0.3"/>
    <row r="18" spans="2:12" ht="15.75" x14ac:dyDescent="0.25">
      <c r="B18" s="133" t="s">
        <v>86</v>
      </c>
      <c r="C18" s="67"/>
      <c r="D18" s="134" t="s">
        <v>6</v>
      </c>
      <c r="F18" s="133" t="s">
        <v>65</v>
      </c>
      <c r="G18" s="67"/>
      <c r="H18" s="134" t="s">
        <v>6</v>
      </c>
      <c r="J18" s="133" t="s">
        <v>78</v>
      </c>
      <c r="K18" s="67"/>
      <c r="L18" s="134" t="s">
        <v>6</v>
      </c>
    </row>
    <row r="19" spans="2:12" x14ac:dyDescent="0.25">
      <c r="B19" s="131" t="s">
        <v>37</v>
      </c>
      <c r="C19" s="17" t="s">
        <v>18</v>
      </c>
      <c r="D19" s="135"/>
      <c r="F19" s="131" t="s">
        <v>37</v>
      </c>
      <c r="G19" s="17" t="s">
        <v>18</v>
      </c>
      <c r="H19" s="135"/>
      <c r="J19" s="131" t="s">
        <v>37</v>
      </c>
      <c r="K19" s="17" t="s">
        <v>18</v>
      </c>
      <c r="L19" s="135"/>
    </row>
    <row r="20" spans="2:12" x14ac:dyDescent="0.25">
      <c r="B20" s="131" t="s">
        <v>19</v>
      </c>
      <c r="C20" s="17" t="s">
        <v>20</v>
      </c>
      <c r="D20" s="135"/>
      <c r="F20" s="131" t="s">
        <v>19</v>
      </c>
      <c r="G20" s="17" t="s">
        <v>20</v>
      </c>
      <c r="H20" s="135"/>
      <c r="J20" s="131" t="s">
        <v>19</v>
      </c>
      <c r="K20" s="17" t="s">
        <v>20</v>
      </c>
      <c r="L20" s="135"/>
    </row>
    <row r="21" spans="2:12" x14ac:dyDescent="0.25">
      <c r="B21" s="131" t="s">
        <v>38</v>
      </c>
      <c r="C21" s="17" t="s">
        <v>41</v>
      </c>
      <c r="D21" s="135"/>
      <c r="F21" s="131" t="s">
        <v>38</v>
      </c>
      <c r="G21" s="17" t="s">
        <v>41</v>
      </c>
      <c r="H21" s="135"/>
      <c r="J21" s="131" t="s">
        <v>38</v>
      </c>
      <c r="K21" s="17" t="s">
        <v>41</v>
      </c>
      <c r="L21" s="135"/>
    </row>
    <row r="22" spans="2:12" x14ac:dyDescent="0.25">
      <c r="B22" s="131" t="s">
        <v>39</v>
      </c>
      <c r="C22" s="17" t="s">
        <v>41</v>
      </c>
      <c r="D22" s="135"/>
      <c r="F22" s="131" t="s">
        <v>39</v>
      </c>
      <c r="G22" s="17" t="s">
        <v>41</v>
      </c>
      <c r="H22" s="135"/>
      <c r="J22" s="131" t="s">
        <v>39</v>
      </c>
      <c r="K22" s="17" t="s">
        <v>41</v>
      </c>
      <c r="L22" s="135"/>
    </row>
    <row r="23" spans="2:12" ht="15.75" thickBot="1" x14ac:dyDescent="0.3">
      <c r="B23" s="132" t="s">
        <v>40</v>
      </c>
      <c r="C23" s="18" t="s">
        <v>42</v>
      </c>
      <c r="D23" s="136"/>
      <c r="F23" s="132" t="s">
        <v>40</v>
      </c>
      <c r="G23" s="18" t="s">
        <v>42</v>
      </c>
      <c r="H23" s="136"/>
      <c r="J23" s="132" t="s">
        <v>40</v>
      </c>
      <c r="K23" s="18" t="s">
        <v>42</v>
      </c>
      <c r="L23" s="136"/>
    </row>
    <row r="25" spans="2:12" ht="15.75" thickBot="1" x14ac:dyDescent="0.3"/>
    <row r="26" spans="2:12" ht="15.75" x14ac:dyDescent="0.25">
      <c r="B26" s="133" t="s">
        <v>98</v>
      </c>
      <c r="C26" s="67"/>
      <c r="D26" s="134" t="s">
        <v>6</v>
      </c>
    </row>
    <row r="27" spans="2:12" x14ac:dyDescent="0.25">
      <c r="B27" s="131" t="s">
        <v>37</v>
      </c>
      <c r="C27" s="17" t="s">
        <v>18</v>
      </c>
      <c r="D27" s="135"/>
    </row>
    <row r="28" spans="2:12" x14ac:dyDescent="0.25">
      <c r="B28" s="131" t="s">
        <v>19</v>
      </c>
      <c r="C28" s="17" t="s">
        <v>20</v>
      </c>
      <c r="D28" s="135"/>
    </row>
    <row r="29" spans="2:12" x14ac:dyDescent="0.25">
      <c r="B29" s="131" t="s">
        <v>38</v>
      </c>
      <c r="C29" s="17" t="s">
        <v>41</v>
      </c>
      <c r="D29" s="135"/>
    </row>
    <row r="30" spans="2:12" x14ac:dyDescent="0.25">
      <c r="B30" s="131" t="s">
        <v>39</v>
      </c>
      <c r="C30" s="17" t="s">
        <v>41</v>
      </c>
      <c r="D30" s="135"/>
    </row>
    <row r="31" spans="2:12" ht="15.75" thickBot="1" x14ac:dyDescent="0.3">
      <c r="B31" s="132" t="s">
        <v>40</v>
      </c>
      <c r="C31" s="18" t="s">
        <v>42</v>
      </c>
      <c r="D31" s="136"/>
    </row>
  </sheetData>
  <mergeCells count="20">
    <mergeCell ref="L19:L23"/>
    <mergeCell ref="B26:C26"/>
    <mergeCell ref="D27:D31"/>
    <mergeCell ref="B18:C18"/>
    <mergeCell ref="D19:D23"/>
    <mergeCell ref="F18:G18"/>
    <mergeCell ref="H19:H23"/>
    <mergeCell ref="J18:K18"/>
    <mergeCell ref="L3:L7"/>
    <mergeCell ref="B10:C10"/>
    <mergeCell ref="D11:D15"/>
    <mergeCell ref="F10:G10"/>
    <mergeCell ref="H11:H15"/>
    <mergeCell ref="J10:K10"/>
    <mergeCell ref="L11:L15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70" t="s">
        <v>5</v>
      </c>
      <c r="E2" s="58"/>
      <c r="F2" s="6" t="s">
        <v>6</v>
      </c>
    </row>
    <row r="3" spans="4:6" x14ac:dyDescent="0.25">
      <c r="D3" s="4" t="s">
        <v>0</v>
      </c>
      <c r="E3" s="1" t="s">
        <v>9</v>
      </c>
      <c r="F3" s="71"/>
    </row>
    <row r="4" spans="4:6" ht="15.75" thickBot="1" x14ac:dyDescent="0.3">
      <c r="D4" s="5" t="s">
        <v>8</v>
      </c>
      <c r="E4" s="2" t="s">
        <v>4</v>
      </c>
      <c r="F4" s="72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70" t="s">
        <v>5</v>
      </c>
      <c r="E8" s="58"/>
      <c r="F8" s="6" t="s">
        <v>6</v>
      </c>
    </row>
    <row r="9" spans="4:6" x14ac:dyDescent="0.25">
      <c r="D9" s="4" t="s">
        <v>0</v>
      </c>
      <c r="E9" s="1" t="s">
        <v>10</v>
      </c>
      <c r="F9" s="71"/>
    </row>
    <row r="10" spans="4:6" ht="15.75" thickBot="1" x14ac:dyDescent="0.3">
      <c r="D10" s="5" t="s">
        <v>8</v>
      </c>
      <c r="E10" s="2" t="s">
        <v>4</v>
      </c>
      <c r="F10" s="72"/>
    </row>
    <row r="12" spans="4:6" ht="20.25" x14ac:dyDescent="0.25">
      <c r="E12" s="3" t="s">
        <v>7</v>
      </c>
    </row>
    <row r="13" spans="4:6" ht="15.75" thickBot="1" x14ac:dyDescent="0.3"/>
    <row r="14" spans="4:6" ht="15.75" x14ac:dyDescent="0.25">
      <c r="D14" s="73" t="s">
        <v>24</v>
      </c>
      <c r="E14" s="61"/>
      <c r="F14" s="11" t="s">
        <v>6</v>
      </c>
    </row>
    <row r="15" spans="4:6" x14ac:dyDescent="0.25">
      <c r="D15" s="8" t="s">
        <v>16</v>
      </c>
      <c r="E15" s="7" t="s">
        <v>25</v>
      </c>
      <c r="F15" s="68"/>
    </row>
    <row r="16" spans="4:6" x14ac:dyDescent="0.25">
      <c r="D16" s="8" t="s">
        <v>17</v>
      </c>
      <c r="E16" s="7" t="s">
        <v>18</v>
      </c>
      <c r="F16" s="68"/>
    </row>
    <row r="17" spans="2:11" x14ac:dyDescent="0.25">
      <c r="D17" s="8" t="s">
        <v>19</v>
      </c>
      <c r="E17" s="7" t="s">
        <v>20</v>
      </c>
      <c r="F17" s="68"/>
      <c r="J17" t="s">
        <v>28</v>
      </c>
    </row>
    <row r="18" spans="2:11" x14ac:dyDescent="0.25">
      <c r="D18" s="8" t="s">
        <v>21</v>
      </c>
      <c r="E18" s="7">
        <v>1</v>
      </c>
      <c r="F18" s="68"/>
      <c r="J18" t="s">
        <v>25</v>
      </c>
    </row>
    <row r="19" spans="2:11" ht="15.75" thickBot="1" x14ac:dyDescent="0.3">
      <c r="D19" s="9" t="s">
        <v>22</v>
      </c>
      <c r="E19" s="10" t="s">
        <v>23</v>
      </c>
      <c r="F19" s="69"/>
      <c r="J19" t="s">
        <v>29</v>
      </c>
    </row>
    <row r="20" spans="2:11" x14ac:dyDescent="0.25">
      <c r="J20" t="s">
        <v>30</v>
      </c>
    </row>
    <row r="21" spans="2:11" ht="20.25" x14ac:dyDescent="0.25">
      <c r="E21" s="3" t="s">
        <v>7</v>
      </c>
      <c r="J21" t="s">
        <v>31</v>
      </c>
      <c r="K21" t="s">
        <v>32</v>
      </c>
    </row>
    <row r="22" spans="2:11" ht="15.75" thickBot="1" x14ac:dyDescent="0.3"/>
    <row r="23" spans="2:11" ht="15.75" x14ac:dyDescent="0.25">
      <c r="D23" s="74" t="s">
        <v>26</v>
      </c>
      <c r="E23" s="59"/>
      <c r="F23" s="16" t="s">
        <v>6</v>
      </c>
    </row>
    <row r="24" spans="2:11" x14ac:dyDescent="0.25">
      <c r="D24" s="13" t="s">
        <v>11</v>
      </c>
      <c r="E24" s="12">
        <v>1</v>
      </c>
      <c r="F24" s="75"/>
      <c r="J24" t="s">
        <v>33</v>
      </c>
    </row>
    <row r="25" spans="2:11" x14ac:dyDescent="0.25">
      <c r="D25" s="13" t="s">
        <v>12</v>
      </c>
      <c r="E25" s="12" t="s">
        <v>13</v>
      </c>
      <c r="F25" s="75"/>
      <c r="J25" t="s">
        <v>34</v>
      </c>
    </row>
    <row r="26" spans="2:11" ht="15.75" thickBot="1" x14ac:dyDescent="0.3">
      <c r="D26" s="14" t="s">
        <v>14</v>
      </c>
      <c r="E26" s="15" t="s">
        <v>15</v>
      </c>
      <c r="F26" s="76"/>
      <c r="J26" t="s">
        <v>35</v>
      </c>
    </row>
    <row r="27" spans="2:11" ht="15.75" thickBot="1" x14ac:dyDescent="0.3"/>
    <row r="28" spans="2:11" ht="15.75" x14ac:dyDescent="0.25">
      <c r="B28" s="70" t="s">
        <v>5</v>
      </c>
      <c r="C28" s="58"/>
      <c r="D28" s="6" t="s">
        <v>6</v>
      </c>
      <c r="F28" s="70" t="s">
        <v>5</v>
      </c>
      <c r="G28" s="58"/>
      <c r="H28" s="6" t="s">
        <v>6</v>
      </c>
    </row>
    <row r="29" spans="2:11" x14ac:dyDescent="0.25">
      <c r="B29" s="4" t="s">
        <v>0</v>
      </c>
      <c r="C29" s="1" t="s">
        <v>13</v>
      </c>
      <c r="D29" s="71"/>
      <c r="E29" s="77" t="s">
        <v>27</v>
      </c>
      <c r="F29" s="4" t="s">
        <v>0</v>
      </c>
      <c r="G29" s="1" t="s">
        <v>15</v>
      </c>
      <c r="H29" s="71"/>
    </row>
    <row r="30" spans="2:11" ht="15.75" thickBot="1" x14ac:dyDescent="0.3">
      <c r="B30" s="5" t="s">
        <v>8</v>
      </c>
      <c r="C30" s="2" t="s">
        <v>4</v>
      </c>
      <c r="D30" s="72"/>
      <c r="E30" s="77"/>
      <c r="F30" s="5" t="s">
        <v>8</v>
      </c>
      <c r="G30" s="2" t="s">
        <v>4</v>
      </c>
      <c r="H30" s="72"/>
    </row>
    <row r="32" spans="2:11" ht="20.25" x14ac:dyDescent="0.25">
      <c r="C32" s="3" t="s">
        <v>7</v>
      </c>
      <c r="G32" s="3" t="s">
        <v>7</v>
      </c>
    </row>
  </sheetData>
  <mergeCells count="13">
    <mergeCell ref="H29:H30"/>
    <mergeCell ref="D23:E23"/>
    <mergeCell ref="F24:F26"/>
    <mergeCell ref="B28:C28"/>
    <mergeCell ref="F28:G28"/>
    <mergeCell ref="D29:D30"/>
    <mergeCell ref="E29:E30"/>
    <mergeCell ref="F15:F19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Worklist</vt:lpstr>
      <vt:lpstr>TestLog</vt:lpstr>
      <vt:lpstr>PrepList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2022-04-05T14:46:31Z</cp:lastPrinted>
  <dcterms:created xsi:type="dcterms:W3CDTF">2021-02-05T21:39:59Z</dcterms:created>
  <dcterms:modified xsi:type="dcterms:W3CDTF">2022-04-15T15:12:09Z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