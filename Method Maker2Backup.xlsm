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2E39A5FC-B9D3-420D-9414-15944B3879FE}" xr6:coauthVersionLast="46" xr6:coauthVersionMax="46" xr10:uidLastSave="{00000000-0000-0000-0000-000000000000}"/>
  <bookViews>
    <workbookView xWindow="-11310" yWindow="-15870" windowWidth="25440" windowHeight="15390" firstSheet="1" activeTab="1" xr2:uid="{00000000-000D-0000-FFFF-FFFF00000000}"/>
  </bookViews>
  <sheets>
    <sheet name="___Dropdown values" sheetId="4" state="hidden" r:id="rId1"/>
    <sheet name="Method" sheetId="2" r:id="rId2"/>
    <sheet name="Worklist" sheetId="3" r:id="rId3"/>
    <sheet name="TestLog" sheetId="10" r:id="rId4"/>
    <sheet name="PrepList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3" l="1"/>
  <c r="J6" i="3" s="1"/>
  <c r="I8" i="3"/>
  <c r="J8" i="3" s="1"/>
  <c r="I10" i="3"/>
  <c r="J10" i="3" s="1"/>
  <c r="I2" i="3"/>
  <c r="J2" i="3" s="1"/>
  <c r="G3" i="3"/>
  <c r="I3" i="3" s="1"/>
  <c r="J3" i="3" s="1"/>
  <c r="G4" i="3"/>
  <c r="I4" i="3" s="1"/>
  <c r="J4" i="3" s="1"/>
  <c r="G5" i="3"/>
  <c r="I5" i="3" s="1"/>
  <c r="J5" i="3" s="1"/>
  <c r="G6" i="3"/>
  <c r="G7" i="3"/>
  <c r="I7" i="3" s="1"/>
  <c r="J7" i="3" s="1"/>
  <c r="G8" i="3"/>
  <c r="G9" i="3"/>
  <c r="I9" i="3" s="1"/>
  <c r="J9" i="3" s="1"/>
  <c r="G10" i="3"/>
  <c r="G2" i="3"/>
  <c r="E36" i="2"/>
  <c r="A10" i="3"/>
  <c r="E29" i="2"/>
  <c r="E26" i="2"/>
  <c r="A9" i="3"/>
  <c r="C9" i="3" s="1"/>
  <c r="A8" i="3"/>
  <c r="C8" i="3" s="1"/>
  <c r="A7" i="3"/>
  <c r="C7" i="3" s="1"/>
  <c r="A6" i="3"/>
  <c r="C6" i="3" s="1"/>
  <c r="A5" i="3"/>
  <c r="C5" i="3" s="1"/>
  <c r="A4" i="3"/>
  <c r="C4" i="3" s="1"/>
  <c r="C10" i="3" l="1"/>
  <c r="G82" i="2"/>
  <c r="C82" i="2"/>
  <c r="A3" i="3"/>
  <c r="C3" i="3" s="1"/>
  <c r="G109" i="2"/>
  <c r="C97" i="2"/>
  <c r="G97" i="2"/>
  <c r="E73" i="2"/>
  <c r="E68" i="2"/>
  <c r="E20" i="2"/>
  <c r="E18" i="2"/>
  <c r="E14" i="2"/>
  <c r="E13" i="2"/>
  <c r="A2" i="3"/>
  <c r="C2" i="3" s="1"/>
</calcChain>
</file>

<file path=xl/sharedStrings.xml><?xml version="1.0" encoding="utf-8"?>
<sst xmlns="http://schemas.openxmlformats.org/spreadsheetml/2006/main" count="412" uniqueCount="155">
  <si>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</si>
  <si>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</si>
  <si>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</si>
  <si>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</si>
  <si>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</si>
  <si>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</si>
  <si>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</si>
  <si>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</si>
  <si>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</si>
  <si>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</si>
  <si>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Target Volume (uL)</t>
  </si>
  <si>
    <t>Volume (uL)</t>
  </si>
  <si>
    <t>Temp (C)</t>
  </si>
  <si>
    <t>Sample</t>
  </si>
  <si>
    <t>Enzyme</t>
  </si>
  <si>
    <t>Comments</t>
  </si>
  <si>
    <t>Dilute</t>
  </si>
  <si>
    <t>Description</t>
  </si>
  <si>
    <t>Concentration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</si>
  <si>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</si>
  <si>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</si>
  <si>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</si>
  <si>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</si>
  <si>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</si>
  <si>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</si>
  <si>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</si>
  <si>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</si>
  <si>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</si>
  <si>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</si>
  <si>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</si>
  <si>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</si>
  <si>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</si>
  <si>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</si>
  <si>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</si>
  <si>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</si>
  <si>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</si>
  <si>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</si>
  <si>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</si>
  <si>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</si>
  <si>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</si>
  <si>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</si>
  <si>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</si>
  <si>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</si>
  <si>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This plate is always included. Method workflow requires the samples start in a 96well plate (For Now)</t>
  </si>
  <si>
    <t>Cooler Store</t>
  </si>
  <si>
    <t>DISABLED: Cooler Store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</si>
  <si>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</si>
  <si>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</si>
  <si>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</si>
  <si>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</si>
  <si>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</si>
  <si>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</si>
  <si>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</si>
  <si>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</si>
  <si>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</si>
  <si>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</si>
  <si>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</si>
  <si>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</si>
  <si>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</si>
  <si>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</si>
  <si>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</si>
  <si>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</si>
  <si>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</si>
  <si>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</si>
  <si>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</si>
  <si>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</si>
  <si>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``</t>
  </si>
  <si>
    <t>Aliquot</t>
  </si>
  <si>
    <t>Start Position</t>
  </si>
  <si>
    <t>Starting Position</t>
  </si>
  <si>
    <t>Sample Start Position</t>
  </si>
  <si>
    <t>Plate Start Position (A1)</t>
  </si>
  <si>
    <t>Aspirate Location</t>
  </si>
  <si>
    <t>Sample Location</t>
  </si>
  <si>
    <t>Normal</t>
  </si>
  <si>
    <t>Vacuum Options</t>
  </si>
  <si>
    <t>Low</t>
  </si>
  <si>
    <t>High</t>
  </si>
  <si>
    <t>Manual (Remove validation then enter custom value)</t>
  </si>
  <si>
    <t>Vacuum Plates</t>
  </si>
  <si>
    <t>0.45um Self Poured ProA Plate</t>
  </si>
  <si>
    <t>Max Source Volume (uL)</t>
  </si>
  <si>
    <t>Denaturation</t>
  </si>
  <si>
    <t>1M DTT</t>
  </si>
  <si>
    <t>1M IAA</t>
  </si>
  <si>
    <t>Desalting</t>
  </si>
  <si>
    <t>100mM Tris pH 8.2</t>
  </si>
  <si>
    <t>HCP</t>
  </si>
  <si>
    <t>SVA</t>
  </si>
  <si>
    <t>Pathway</t>
  </si>
  <si>
    <t>PNGaseF</t>
  </si>
  <si>
    <t>0.2mg/mL Trypsin in 100mM Tris pH 8.2</t>
  </si>
  <si>
    <t>HCP Digestion Finished.</t>
  </si>
  <si>
    <t xml:space="preserve"> Congratulations. Your HCP digestion completed successfully. Please remove samples from HCP plate position</t>
  </si>
  <si>
    <t>SVA Digestion Finished.</t>
  </si>
  <si>
    <t xml:space="preserve"> Congratulations. Your SVA digestion completed successfully. Please remove samples from SVA plate position</t>
  </si>
  <si>
    <t>50% TFA</t>
  </si>
  <si>
    <t>7M GnHCl in 100mM Tris pH8.2</t>
  </si>
  <si>
    <t>Water</t>
  </si>
  <si>
    <t>CCR2</t>
  </si>
  <si>
    <t>ExtraSampleVol</t>
  </si>
  <si>
    <t>This step will add extra volume for samples less than 6mg/mL The value 14.66 is used as Ying specified to add 100uL instead of 60. (100/60*22)-22 = 14.66 extra volume</t>
  </si>
  <si>
    <t>[Heater]</t>
  </si>
  <si>
    <t>[Start Heat]</t>
  </si>
  <si>
    <t>[ID]</t>
  </si>
  <si>
    <t>[Temp]</t>
  </si>
  <si>
    <t>Step Title: Plate</t>
  </si>
  <si>
    <t>Excel Location (Row,Col): (7,3)</t>
  </si>
  <si>
    <t>Name: Denaturation</t>
  </si>
  <si>
    <t>Type: 96 Well PCR Plate</t>
  </si>
  <si>
    <t>Sample: 200uL Biorad 96 Well PCR Plate</t>
  </si>
  <si>
    <t>A1: 12.75uL</t>
  </si>
  <si>
    <t>B1: 46.66uL</t>
  </si>
  <si>
    <t>A2: 12.653799758745476uL</t>
  </si>
  <si>
    <t>B2: 46.66uL</t>
  </si>
  <si>
    <t>A3: 32.0uL</t>
  </si>
  <si>
    <t>B3: 32.0uL</t>
  </si>
  <si>
    <t>A4: 32.0uL</t>
  </si>
  <si>
    <t>B4: 32.0uL</t>
  </si>
  <si>
    <t>A5: 32.0uL</t>
  </si>
  <si>
    <t>B5: 32.0uL</t>
  </si>
  <si>
    <t>A6: 32.0uL</t>
  </si>
  <si>
    <t>A7: 46.66uL</t>
  </si>
  <si>
    <t>A8: 30.036429872495447uL</t>
  </si>
  <si>
    <t>15mL Centrifuge Tube</t>
  </si>
  <si>
    <t>Minimum Volume: 3016.8uL</t>
  </si>
  <si>
    <t>Reagent</t>
  </si>
  <si>
    <t>Reagent Lot</t>
  </si>
  <si>
    <t>Reagent Volume</t>
  </si>
  <si>
    <t>Diluent Lot</t>
  </si>
  <si>
    <t>Diluent Volume</t>
  </si>
  <si>
    <t>200mL Reagent Trough</t>
  </si>
  <si>
    <t>Minimum Volume: 32000uL</t>
  </si>
  <si>
    <t>Hamilton 1.5mL FlipTube</t>
  </si>
  <si>
    <t>Minimum Volume: 332.0uL</t>
  </si>
  <si>
    <t>Minimum Volume: 158.64uL</t>
  </si>
  <si>
    <t>Minimum Volume: 236.58uL</t>
  </si>
  <si>
    <t>Minimum Volume: 207.2uL</t>
  </si>
  <si>
    <t>Minimum Volume: 168.98uL</t>
  </si>
  <si>
    <t>60mL Reagent Reservior</t>
  </si>
  <si>
    <t>Minimum Volume: 2540.56uL</t>
  </si>
  <si>
    <t>APF B.1 TMAE Load</t>
  </si>
  <si>
    <t>APF B.1 TMAE Pool</t>
  </si>
  <si>
    <t>APF B.1 CEX Pool</t>
  </si>
  <si>
    <t>Kp 1 TMAE Pool</t>
  </si>
  <si>
    <t>Kp 3 TMAE Pool</t>
  </si>
  <si>
    <t>70 mM Cl- TMAE Pool</t>
  </si>
  <si>
    <t>55 mM Cl- TMAE Pool</t>
  </si>
  <si>
    <t>Blank</t>
  </si>
  <si>
    <t>Modified Denaturant Volume</t>
  </si>
  <si>
    <t>Desired Load (ug)</t>
  </si>
  <si>
    <t>Total Sample Volume Required</t>
  </si>
  <si>
    <t>Max sample during dilution</t>
  </si>
  <si>
    <t>Plate Name</t>
  </si>
  <si>
    <t>Final 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</si>
</sst>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1" fillId="0" borderId="0" xfId="0" applyFont="1"/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0" fillId="0" borderId="0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/>
    <xf numFmtId="0" fontId="0" fillId="0" borderId="13" xfId="0" applyBorder="1"/>
    <xf numFmtId="0" fontId="6" fillId="0" borderId="0" xfId="0" applyFont="1" applyBorder="1" applyAlignment="1">
      <alignment vertical="center" wrapText="1"/>
    </xf>
    <xf numFmtId="0" fontId="5" fillId="0" borderId="0" xfId="0" applyFont="1" applyBorder="1" applyAlignment="1">
      <alignment vertical="center" wrapText="1"/>
    </xf>
    <xf numFmtId="0" fontId="0" fillId="0" borderId="0" xfId="0" applyFont="1" applyBorder="1"/>
    <xf numFmtId="0" fontId="0" fillId="0" borderId="0" xfId="0" applyFont="1" applyBorder="1" applyAlignment="1">
      <alignment vertical="center" wrapText="1"/>
    </xf>
    <xf numFmtId="0" fontId="1" fillId="0" borderId="0" xfId="0" applyFont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9" xfId="0" applyBorder="1"/>
    <xf numFmtId="0" fontId="0" fillId="0" borderId="0" xfId="0" applyBorder="1"/>
    <xf numFmtId="0" fontId="0" fillId="0" borderId="13" xfId="0" applyBorder="1"/>
    <xf numFmtId="0" fontId="0" fillId="0" borderId="8" xfId="0" applyBorder="1"/>
    <xf numFmtId="0" fontId="0" fillId="0" borderId="16" xfId="0" applyBorder="1"/>
    <xf numFmtId="0" fontId="0" fillId="0" borderId="20" xfId="0" applyBorder="1"/>
    <xf numFmtId="0" fontId="0" fillId="0" borderId="7" xfId="0" applyBorder="1"/>
    <xf numFmtId="0" fontId="0" fillId="0" borderId="12" xfId="0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5"/>
  <sheetViews>
    <sheetView topLeftCell="A10" workbookViewId="0">
      <selection activeCell="D25" sqref="D25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35" t="s">
        <v>30</v>
      </c>
      <c r="C3" s="35"/>
      <c r="D3" s="35" t="s">
        <v>50</v>
      </c>
      <c r="F3" s="60" t="s">
        <v>25</v>
      </c>
      <c r="G3" s="60"/>
      <c r="H3" s="60"/>
      <c r="I3" s="60"/>
      <c r="J3" s="60"/>
      <c r="K3" s="60"/>
      <c r="L3" s="60"/>
    </row>
    <row r="4" spans="2:12" x14ac:dyDescent="0.25">
      <c r="B4" t="s">
        <v>33</v>
      </c>
      <c r="D4" s="37" t="s">
        <v>64</v>
      </c>
      <c r="F4" s="35" t="s">
        <v>0</v>
      </c>
      <c r="G4" s="35" t="s">
        <v>16</v>
      </c>
      <c r="H4" s="35" t="s">
        <v>5</v>
      </c>
      <c r="I4" s="35" t="s">
        <v>20</v>
      </c>
      <c r="J4" s="35" t="s">
        <v>44</v>
      </c>
      <c r="K4" s="35" t="s">
        <v>38</v>
      </c>
      <c r="L4" s="35" t="s">
        <v>52</v>
      </c>
    </row>
    <row r="5" spans="2:12" x14ac:dyDescent="0.25">
      <c r="B5" t="s">
        <v>53</v>
      </c>
      <c r="D5" s="37" t="s">
        <v>65</v>
      </c>
      <c r="F5" t="s">
        <v>0</v>
      </c>
      <c r="G5" t="s">
        <v>16</v>
      </c>
      <c r="H5" t="s">
        <v>5</v>
      </c>
      <c r="I5" t="s">
        <v>20</v>
      </c>
      <c r="J5" t="s">
        <v>44</v>
      </c>
      <c r="K5" t="s">
        <v>38</v>
      </c>
      <c r="L5" t="s">
        <v>52</v>
      </c>
    </row>
    <row r="6" spans="2:12" x14ac:dyDescent="0.25">
      <c r="B6" t="s">
        <v>31</v>
      </c>
      <c r="D6" s="37"/>
      <c r="F6" t="s">
        <v>26</v>
      </c>
      <c r="G6" t="s">
        <v>27</v>
      </c>
      <c r="H6" t="s">
        <v>28</v>
      </c>
      <c r="I6" t="s">
        <v>29</v>
      </c>
      <c r="J6" t="s">
        <v>45</v>
      </c>
      <c r="K6" t="s">
        <v>39</v>
      </c>
      <c r="L6" t="s">
        <v>54</v>
      </c>
    </row>
    <row r="7" spans="2:12" x14ac:dyDescent="0.25">
      <c r="B7" t="s">
        <v>55</v>
      </c>
      <c r="D7" s="37"/>
    </row>
    <row r="9" spans="2:12" x14ac:dyDescent="0.25">
      <c r="B9" s="35" t="s">
        <v>51</v>
      </c>
      <c r="D9" s="34" t="s">
        <v>47</v>
      </c>
    </row>
    <row r="10" spans="2:12" x14ac:dyDescent="0.25">
      <c r="B10" t="s">
        <v>58</v>
      </c>
      <c r="D10" s="24" t="s">
        <v>41</v>
      </c>
    </row>
    <row r="11" spans="2:12" x14ac:dyDescent="0.25">
      <c r="B11" t="s">
        <v>59</v>
      </c>
      <c r="D11" s="24" t="s">
        <v>42</v>
      </c>
    </row>
    <row r="12" spans="2:12" x14ac:dyDescent="0.25">
      <c r="B12" t="s">
        <v>60</v>
      </c>
    </row>
    <row r="13" spans="2:12" x14ac:dyDescent="0.25">
      <c r="B13" t="s">
        <v>61</v>
      </c>
      <c r="D13" s="35" t="s">
        <v>69</v>
      </c>
    </row>
    <row r="14" spans="2:12" x14ac:dyDescent="0.25">
      <c r="B14" t="s">
        <v>62</v>
      </c>
      <c r="D14" t="s">
        <v>70</v>
      </c>
    </row>
    <row r="15" spans="2:12" x14ac:dyDescent="0.25">
      <c r="B15" t="s">
        <v>63</v>
      </c>
      <c r="D15" t="s">
        <v>71</v>
      </c>
    </row>
    <row r="16" spans="2:12" x14ac:dyDescent="0.25">
      <c r="B16" t="s">
        <v>14</v>
      </c>
    </row>
    <row r="17" spans="2:4" x14ac:dyDescent="0.25">
      <c r="B17" t="s">
        <v>2</v>
      </c>
    </row>
    <row r="18" spans="2:4" x14ac:dyDescent="0.25">
      <c r="D18" s="35" t="s">
        <v>75</v>
      </c>
    </row>
    <row r="19" spans="2:4" x14ac:dyDescent="0.25">
      <c r="B19" s="35" t="s">
        <v>49</v>
      </c>
      <c r="D19" t="s">
        <v>76</v>
      </c>
    </row>
    <row r="20" spans="2:4" x14ac:dyDescent="0.25">
      <c r="B20" t="s">
        <v>56</v>
      </c>
      <c r="D20" t="s">
        <v>74</v>
      </c>
    </row>
    <row r="21" spans="2:4" x14ac:dyDescent="0.25">
      <c r="B21" t="s">
        <v>57</v>
      </c>
      <c r="D21" t="s">
        <v>77</v>
      </c>
    </row>
    <row r="22" spans="2:4" x14ac:dyDescent="0.25">
      <c r="D22" t="s">
        <v>78</v>
      </c>
    </row>
    <row r="24" spans="2:4" x14ac:dyDescent="0.25">
      <c r="D24" s="35" t="s">
        <v>79</v>
      </c>
    </row>
    <row r="25" spans="2:4" x14ac:dyDescent="0.25">
      <c r="D25" t="s">
        <v>80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35"/>
  <sheetViews>
    <sheetView tabSelected="1" topLeftCell="A97" zoomScale="90" zoomScaleNormal="90" workbookViewId="0">
      <selection activeCell="F124" sqref="F124:G124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4:15" ht="15.75" thickBot="1" x14ac:dyDescent="0.3"/>
    <row r="2" spans="4:15" x14ac:dyDescent="0.25">
      <c r="D2" s="66" t="s">
        <v>2</v>
      </c>
      <c r="E2" s="67"/>
      <c r="F2" s="29" t="s">
        <v>15</v>
      </c>
    </row>
    <row r="3" spans="4:15" x14ac:dyDescent="0.25">
      <c r="D3" s="30" t="s">
        <v>1</v>
      </c>
      <c r="E3" s="33" t="s">
        <v>13</v>
      </c>
      <c r="F3" s="77" t="s">
        <v>43</v>
      </c>
    </row>
    <row r="4" spans="4:15" ht="15.75" thickBot="1" x14ac:dyDescent="0.3">
      <c r="D4" s="1" t="s">
        <v>24</v>
      </c>
      <c r="E4" s="17" t="s">
        <v>33</v>
      </c>
      <c r="F4" s="78"/>
    </row>
    <row r="6" spans="4:15" s="2" customFormat="1" ht="15.75" thickBot="1" x14ac:dyDescent="0.3">
      <c r="D6" s="93" t="s">
        <v>8</v>
      </c>
      <c r="E6" s="93"/>
    </row>
    <row r="7" spans="4:15" ht="15.75" thickBot="1" x14ac:dyDescent="0.3">
      <c r="D7" s="24"/>
      <c r="E7" s="24"/>
      <c r="N7"/>
      <c r="O7"/>
    </row>
    <row r="8" spans="4:15" x14ac:dyDescent="0.25">
      <c r="D8" s="66" t="s">
        <v>2</v>
      </c>
      <c r="E8" s="67"/>
      <c r="F8" s="38" t="s">
        <v>15</v>
      </c>
      <c r="N8"/>
      <c r="O8"/>
    </row>
    <row r="9" spans="4:15" x14ac:dyDescent="0.25">
      <c r="D9" s="30" t="s">
        <v>1</v>
      </c>
      <c r="E9" s="33" t="s">
        <v>82</v>
      </c>
      <c r="F9" s="77"/>
      <c r="N9"/>
      <c r="O9"/>
    </row>
    <row r="10" spans="4:15" ht="15.75" thickBot="1" x14ac:dyDescent="0.3">
      <c r="D10" s="39" t="s">
        <v>24</v>
      </c>
      <c r="E10" s="32" t="s">
        <v>33</v>
      </c>
      <c r="F10" s="78"/>
      <c r="N10"/>
      <c r="O10"/>
    </row>
    <row r="11" spans="4:15" ht="15.75" thickBot="1" x14ac:dyDescent="0.3">
      <c r="D11" s="43"/>
      <c r="E11" s="43"/>
      <c r="N11"/>
      <c r="O11"/>
    </row>
    <row r="12" spans="4:15" x14ac:dyDescent="0.25">
      <c r="D12" s="61" t="s">
        <v>67</v>
      </c>
      <c r="E12" s="62"/>
      <c r="F12" s="42" t="s">
        <v>15</v>
      </c>
      <c r="N12"/>
      <c r="O12"/>
    </row>
    <row r="13" spans="4:15" x14ac:dyDescent="0.25">
      <c r="D13" s="5" t="s">
        <v>37</v>
      </c>
      <c r="E13" s="20" t="str">
        <f>E3</f>
        <v>Sample</v>
      </c>
      <c r="F13" s="63"/>
      <c r="N13"/>
      <c r="O13"/>
    </row>
    <row r="14" spans="4:15" x14ac:dyDescent="0.25">
      <c r="D14" s="5" t="s">
        <v>72</v>
      </c>
      <c r="E14" s="20" t="str">
        <f>Worklist!C1</f>
        <v>Sample Location</v>
      </c>
      <c r="F14" s="64"/>
      <c r="N14"/>
      <c r="O14"/>
    </row>
    <row r="15" spans="4:15" ht="15.75" thickBot="1" x14ac:dyDescent="0.3">
      <c r="D15" s="6" t="s">
        <v>68</v>
      </c>
      <c r="E15" s="21" t="s">
        <v>70</v>
      </c>
      <c r="F15" s="65"/>
      <c r="N15"/>
      <c r="O15"/>
    </row>
    <row r="16" spans="4:15" ht="15.75" thickBot="1" x14ac:dyDescent="0.3">
      <c r="N16"/>
      <c r="O16"/>
    </row>
    <row r="17" spans="1:15" x14ac:dyDescent="0.25">
      <c r="D17" s="68" t="s">
        <v>16</v>
      </c>
      <c r="E17" s="69"/>
      <c r="F17" s="26" t="s">
        <v>15</v>
      </c>
      <c r="N17"/>
      <c r="O17"/>
    </row>
    <row r="18" spans="1:15" x14ac:dyDescent="0.25">
      <c r="A18" t="s">
        <v>66</v>
      </c>
      <c r="D18" s="7" t="s">
        <v>37</v>
      </c>
      <c r="E18" s="15" t="str">
        <f>E3</f>
        <v>Sample</v>
      </c>
      <c r="F18" s="90"/>
      <c r="N18"/>
      <c r="O18"/>
    </row>
    <row r="19" spans="1:15" x14ac:dyDescent="0.25">
      <c r="D19" s="7" t="s">
        <v>3</v>
      </c>
      <c r="E19" s="15" t="s">
        <v>98</v>
      </c>
      <c r="F19" s="91"/>
      <c r="N19"/>
      <c r="O19"/>
    </row>
    <row r="20" spans="1:15" x14ac:dyDescent="0.25">
      <c r="D20" s="7" t="s">
        <v>6</v>
      </c>
      <c r="E20" s="15" t="str">
        <f>Worklist!D1</f>
        <v>Concentration</v>
      </c>
      <c r="F20" s="91"/>
      <c r="N20"/>
      <c r="O20"/>
    </row>
    <row r="21" spans="1:15" x14ac:dyDescent="0.25">
      <c r="D21" s="7" t="s">
        <v>7</v>
      </c>
      <c r="E21" s="15">
        <v>10</v>
      </c>
      <c r="F21" s="91"/>
      <c r="N21"/>
      <c r="O21"/>
    </row>
    <row r="22" spans="1:15" x14ac:dyDescent="0.25">
      <c r="D22" s="7" t="s">
        <v>10</v>
      </c>
      <c r="E22" s="15">
        <v>22</v>
      </c>
      <c r="F22" s="91"/>
      <c r="N22"/>
      <c r="O22"/>
    </row>
    <row r="23" spans="1:15" ht="15.75" thickBot="1" x14ac:dyDescent="0.3">
      <c r="D23" s="8" t="s">
        <v>81</v>
      </c>
      <c r="E23" s="16">
        <v>22</v>
      </c>
      <c r="F23" s="92"/>
      <c r="N23"/>
      <c r="O23"/>
    </row>
    <row r="24" spans="1:15" ht="14.25" customHeight="1" thickBot="1" x14ac:dyDescent="0.3">
      <c r="N24"/>
      <c r="O24"/>
    </row>
    <row r="25" spans="1:15" x14ac:dyDescent="0.25">
      <c r="D25" s="75" t="s">
        <v>0</v>
      </c>
      <c r="E25" s="76"/>
      <c r="F25" s="28" t="s">
        <v>15</v>
      </c>
    </row>
    <row r="26" spans="1:15" x14ac:dyDescent="0.25">
      <c r="D26" s="3" t="s">
        <v>37</v>
      </c>
      <c r="E26" s="13" t="str">
        <f>E3</f>
        <v>Sample</v>
      </c>
      <c r="F26" s="87" t="s">
        <v>101</v>
      </c>
    </row>
    <row r="27" spans="1:15" x14ac:dyDescent="0.25">
      <c r="D27" s="3" t="s">
        <v>51</v>
      </c>
      <c r="E27" s="13" t="s">
        <v>2</v>
      </c>
      <c r="F27" s="88"/>
    </row>
    <row r="28" spans="1:15" x14ac:dyDescent="0.25">
      <c r="D28" s="3" t="s">
        <v>49</v>
      </c>
      <c r="E28" s="13" t="s">
        <v>56</v>
      </c>
      <c r="F28" s="88"/>
    </row>
    <row r="29" spans="1:15" x14ac:dyDescent="0.25">
      <c r="D29" s="3" t="s">
        <v>11</v>
      </c>
      <c r="E29" s="13" t="str">
        <f>Worklist!I1</f>
        <v>ExtraSampleVol</v>
      </c>
      <c r="F29" s="88"/>
    </row>
    <row r="30" spans="1:15" ht="15.75" thickBot="1" x14ac:dyDescent="0.3">
      <c r="D30" s="4" t="s">
        <v>40</v>
      </c>
      <c r="E30" s="14" t="s">
        <v>41</v>
      </c>
      <c r="F30" s="89"/>
    </row>
    <row r="31" spans="1:15" ht="15.75" thickBot="1" x14ac:dyDescent="0.3"/>
    <row r="32" spans="1:15" ht="14.25" customHeight="1" x14ac:dyDescent="0.25">
      <c r="D32" s="75" t="s">
        <v>0</v>
      </c>
      <c r="E32" s="76"/>
      <c r="F32" s="28" t="s">
        <v>15</v>
      </c>
      <c r="N32"/>
      <c r="O32"/>
    </row>
    <row r="33" spans="4:15" ht="14.25" customHeight="1" x14ac:dyDescent="0.25">
      <c r="D33" s="3" t="s">
        <v>37</v>
      </c>
      <c r="E33" s="13" t="s">
        <v>97</v>
      </c>
      <c r="F33" s="87"/>
      <c r="N33"/>
      <c r="O33"/>
    </row>
    <row r="34" spans="4:15" ht="14.25" customHeight="1" x14ac:dyDescent="0.25">
      <c r="D34" s="3" t="s">
        <v>51</v>
      </c>
      <c r="E34" s="13" t="s">
        <v>63</v>
      </c>
      <c r="F34" s="88"/>
      <c r="N34"/>
      <c r="O34"/>
    </row>
    <row r="35" spans="4:15" ht="14.25" customHeight="1" x14ac:dyDescent="0.25">
      <c r="D35" s="3" t="s">
        <v>49</v>
      </c>
      <c r="E35" s="13" t="s">
        <v>56</v>
      </c>
      <c r="F35" s="88"/>
      <c r="N35"/>
      <c r="O35"/>
    </row>
    <row r="36" spans="4:15" ht="14.25" customHeight="1" x14ac:dyDescent="0.25">
      <c r="D36" s="3" t="s">
        <v>11</v>
      </c>
      <c r="E36" s="13" t="str">
        <f>Worklist!J1</f>
        <v>Modified Denaturant Volume</v>
      </c>
      <c r="F36" s="88"/>
      <c r="N36"/>
      <c r="O36"/>
    </row>
    <row r="37" spans="4:15" ht="14.25" customHeight="1" thickBot="1" x14ac:dyDescent="0.3">
      <c r="D37" s="4" t="s">
        <v>40</v>
      </c>
      <c r="E37" s="14" t="s">
        <v>41</v>
      </c>
      <c r="F37" s="89"/>
      <c r="N37"/>
      <c r="O37"/>
    </row>
    <row r="38" spans="4:15" ht="14.25" customHeight="1" thickBot="1" x14ac:dyDescent="0.3">
      <c r="N38"/>
      <c r="O38"/>
    </row>
    <row r="39" spans="4:15" x14ac:dyDescent="0.25">
      <c r="D39" s="75" t="s">
        <v>0</v>
      </c>
      <c r="E39" s="76"/>
      <c r="F39" s="28" t="s">
        <v>15</v>
      </c>
      <c r="N39"/>
      <c r="O39"/>
    </row>
    <row r="40" spans="4:15" x14ac:dyDescent="0.25">
      <c r="D40" s="3" t="s">
        <v>37</v>
      </c>
      <c r="E40" s="13" t="s">
        <v>83</v>
      </c>
      <c r="F40" s="87"/>
      <c r="N40"/>
      <c r="O40"/>
    </row>
    <row r="41" spans="4:15" x14ac:dyDescent="0.25">
      <c r="D41" s="3" t="s">
        <v>51</v>
      </c>
      <c r="E41" s="13" t="s">
        <v>59</v>
      </c>
      <c r="F41" s="88"/>
      <c r="N41"/>
      <c r="O41"/>
    </row>
    <row r="42" spans="4:15" x14ac:dyDescent="0.25">
      <c r="D42" s="3" t="s">
        <v>49</v>
      </c>
      <c r="E42" s="13" t="s">
        <v>56</v>
      </c>
      <c r="F42" s="88"/>
      <c r="N42"/>
      <c r="O42"/>
    </row>
    <row r="43" spans="4:15" x14ac:dyDescent="0.25">
      <c r="D43" s="3" t="s">
        <v>11</v>
      </c>
      <c r="E43" s="13">
        <v>1.46</v>
      </c>
      <c r="F43" s="88"/>
      <c r="N43"/>
      <c r="O43"/>
    </row>
    <row r="44" spans="4:15" ht="15.75" thickBot="1" x14ac:dyDescent="0.3">
      <c r="D44" s="4" t="s">
        <v>40</v>
      </c>
      <c r="E44" s="14" t="s">
        <v>41</v>
      </c>
      <c r="F44" s="89"/>
      <c r="N44"/>
      <c r="O44"/>
    </row>
    <row r="45" spans="4:15" ht="15.75" thickBot="1" x14ac:dyDescent="0.3">
      <c r="D45" s="24"/>
      <c r="E45" s="24"/>
      <c r="N45"/>
      <c r="O45"/>
    </row>
    <row r="46" spans="4:15" x14ac:dyDescent="0.25">
      <c r="D46" s="79" t="s">
        <v>38</v>
      </c>
      <c r="E46" s="80"/>
      <c r="F46" s="27" t="s">
        <v>15</v>
      </c>
      <c r="N46"/>
      <c r="O46"/>
    </row>
    <row r="47" spans="4:15" x14ac:dyDescent="0.25">
      <c r="D47" s="11" t="s">
        <v>12</v>
      </c>
      <c r="E47" s="22">
        <v>37</v>
      </c>
      <c r="F47" s="81"/>
      <c r="N47"/>
      <c r="O47"/>
    </row>
    <row r="48" spans="4:15" x14ac:dyDescent="0.25">
      <c r="D48" s="11" t="s">
        <v>9</v>
      </c>
      <c r="E48" s="22">
        <v>60</v>
      </c>
      <c r="F48" s="82"/>
      <c r="N48"/>
      <c r="O48"/>
    </row>
    <row r="49" spans="4:15" ht="15.75" thickBot="1" x14ac:dyDescent="0.3">
      <c r="D49" s="12" t="s">
        <v>19</v>
      </c>
      <c r="E49" s="23">
        <v>0</v>
      </c>
      <c r="F49" s="83"/>
      <c r="N49"/>
      <c r="O49"/>
    </row>
    <row r="50" spans="4:15" ht="15.75" thickBot="1" x14ac:dyDescent="0.3">
      <c r="D50" s="24"/>
      <c r="E50" s="24"/>
      <c r="N50"/>
      <c r="O50"/>
    </row>
    <row r="51" spans="4:15" x14ac:dyDescent="0.25">
      <c r="D51" s="75" t="s">
        <v>0</v>
      </c>
      <c r="E51" s="76"/>
      <c r="F51" s="28" t="s">
        <v>15</v>
      </c>
      <c r="N51"/>
      <c r="O51"/>
    </row>
    <row r="52" spans="4:15" x14ac:dyDescent="0.25">
      <c r="D52" s="3" t="s">
        <v>37</v>
      </c>
      <c r="E52" s="13" t="s">
        <v>84</v>
      </c>
      <c r="F52" s="87"/>
      <c r="N52"/>
      <c r="O52"/>
    </row>
    <row r="53" spans="4:15" x14ac:dyDescent="0.25">
      <c r="D53" s="3" t="s">
        <v>51</v>
      </c>
      <c r="E53" s="13" t="s">
        <v>60</v>
      </c>
      <c r="F53" s="88"/>
      <c r="N53"/>
      <c r="O53"/>
    </row>
    <row r="54" spans="4:15" x14ac:dyDescent="0.25">
      <c r="D54" s="3" t="s">
        <v>49</v>
      </c>
      <c r="E54" s="13" t="s">
        <v>56</v>
      </c>
      <c r="F54" s="88"/>
      <c r="N54"/>
      <c r="O54"/>
    </row>
    <row r="55" spans="4:15" x14ac:dyDescent="0.25">
      <c r="D55" s="3" t="s">
        <v>11</v>
      </c>
      <c r="E55" s="13">
        <v>4.4000000000000004</v>
      </c>
      <c r="F55" s="88"/>
      <c r="N55"/>
      <c r="O55"/>
    </row>
    <row r="56" spans="4:15" ht="15.75" thickBot="1" x14ac:dyDescent="0.3">
      <c r="D56" s="4" t="s">
        <v>40</v>
      </c>
      <c r="E56" s="14" t="s">
        <v>41</v>
      </c>
      <c r="F56" s="89"/>
      <c r="N56"/>
      <c r="O56"/>
    </row>
    <row r="57" spans="4:15" ht="15.75" thickBot="1" x14ac:dyDescent="0.3">
      <c r="D57" s="24"/>
      <c r="E57" s="24"/>
      <c r="N57"/>
      <c r="O57"/>
    </row>
    <row r="58" spans="4:15" x14ac:dyDescent="0.25">
      <c r="D58" s="79" t="s">
        <v>38</v>
      </c>
      <c r="E58" s="80"/>
      <c r="F58" s="27" t="s">
        <v>15</v>
      </c>
      <c r="N58"/>
      <c r="O58"/>
    </row>
    <row r="59" spans="4:15" x14ac:dyDescent="0.25">
      <c r="D59" s="11" t="s">
        <v>12</v>
      </c>
      <c r="E59" s="22" t="s">
        <v>56</v>
      </c>
      <c r="F59" s="81"/>
      <c r="N59"/>
      <c r="O59"/>
    </row>
    <row r="60" spans="4:15" x14ac:dyDescent="0.25">
      <c r="D60" s="11" t="s">
        <v>9</v>
      </c>
      <c r="E60" s="22">
        <v>60</v>
      </c>
      <c r="F60" s="82"/>
      <c r="N60"/>
      <c r="O60"/>
    </row>
    <row r="61" spans="4:15" ht="15.75" thickBot="1" x14ac:dyDescent="0.3">
      <c r="D61" s="12" t="s">
        <v>19</v>
      </c>
      <c r="E61" s="23">
        <v>0</v>
      </c>
      <c r="F61" s="83"/>
      <c r="N61"/>
      <c r="O61"/>
    </row>
    <row r="62" spans="4:15" ht="15.75" thickBot="1" x14ac:dyDescent="0.3">
      <c r="D62" s="24"/>
      <c r="E62" s="24"/>
      <c r="N62"/>
      <c r="O62"/>
    </row>
    <row r="63" spans="4:15" x14ac:dyDescent="0.25">
      <c r="D63" s="66" t="s">
        <v>2</v>
      </c>
      <c r="E63" s="67"/>
      <c r="F63" s="38" t="s">
        <v>15</v>
      </c>
      <c r="N63"/>
      <c r="O63"/>
    </row>
    <row r="64" spans="4:15" x14ac:dyDescent="0.25">
      <c r="D64" s="30" t="s">
        <v>1</v>
      </c>
      <c r="E64" s="33" t="s">
        <v>85</v>
      </c>
      <c r="F64" s="77"/>
      <c r="N64"/>
      <c r="O64"/>
    </row>
    <row r="65" spans="2:15" ht="15.75" thickBot="1" x14ac:dyDescent="0.3">
      <c r="D65" s="39" t="s">
        <v>24</v>
      </c>
      <c r="E65" s="32" t="s">
        <v>33</v>
      </c>
      <c r="F65" s="78"/>
      <c r="N65"/>
      <c r="O65"/>
    </row>
    <row r="66" spans="2:15" ht="15.75" thickBot="1" x14ac:dyDescent="0.3">
      <c r="D66" s="24"/>
      <c r="E66" s="24"/>
      <c r="N66"/>
      <c r="O66"/>
    </row>
    <row r="67" spans="2:15" x14ac:dyDescent="0.25">
      <c r="D67" s="61" t="s">
        <v>5</v>
      </c>
      <c r="E67" s="62"/>
      <c r="F67" s="42" t="s">
        <v>15</v>
      </c>
      <c r="N67"/>
      <c r="O67"/>
    </row>
    <row r="68" spans="2:15" x14ac:dyDescent="0.25">
      <c r="D68" s="5" t="s">
        <v>37</v>
      </c>
      <c r="E68" s="20" t="str">
        <f>E9</f>
        <v>Denaturation</v>
      </c>
      <c r="F68" s="63"/>
      <c r="N68"/>
      <c r="O68"/>
    </row>
    <row r="69" spans="2:15" x14ac:dyDescent="0.25">
      <c r="D69" s="5" t="s">
        <v>36</v>
      </c>
      <c r="E69" s="20" t="s">
        <v>86</v>
      </c>
      <c r="F69" s="64"/>
      <c r="N69"/>
      <c r="O69"/>
    </row>
    <row r="70" spans="2:15" ht="15.75" thickBot="1" x14ac:dyDescent="0.3">
      <c r="D70" s="6" t="s">
        <v>24</v>
      </c>
      <c r="E70" s="21" t="s">
        <v>65</v>
      </c>
      <c r="F70" s="65"/>
      <c r="N70"/>
      <c r="O70"/>
    </row>
    <row r="71" spans="2:15" ht="15.75" thickBot="1" x14ac:dyDescent="0.3">
      <c r="D71" s="24"/>
      <c r="E71" s="24"/>
      <c r="N71"/>
      <c r="O71"/>
    </row>
    <row r="72" spans="2:15" x14ac:dyDescent="0.25">
      <c r="D72" s="70" t="s">
        <v>4</v>
      </c>
      <c r="E72" s="71"/>
      <c r="F72" s="25" t="s">
        <v>15</v>
      </c>
      <c r="N72"/>
      <c r="O72"/>
    </row>
    <row r="73" spans="2:15" x14ac:dyDescent="0.25">
      <c r="D73" s="9" t="s">
        <v>23</v>
      </c>
      <c r="E73" s="18" t="str">
        <f>Worklist!E1</f>
        <v>Pathway</v>
      </c>
      <c r="F73" s="72"/>
      <c r="N73"/>
      <c r="O73"/>
    </row>
    <row r="74" spans="2:15" x14ac:dyDescent="0.25">
      <c r="D74" s="9" t="s">
        <v>34</v>
      </c>
      <c r="E74" s="18" t="s">
        <v>87</v>
      </c>
      <c r="F74" s="73"/>
      <c r="N74"/>
      <c r="O74"/>
    </row>
    <row r="75" spans="2:15" ht="15.75" thickBot="1" x14ac:dyDescent="0.3">
      <c r="D75" s="10" t="s">
        <v>35</v>
      </c>
      <c r="E75" s="19" t="s">
        <v>88</v>
      </c>
      <c r="F75" s="74"/>
      <c r="N75"/>
      <c r="O75"/>
    </row>
    <row r="76" spans="2:15" ht="15.75" thickBot="1" x14ac:dyDescent="0.3">
      <c r="D76" s="24"/>
      <c r="E76" s="24"/>
      <c r="N76"/>
      <c r="O76"/>
    </row>
    <row r="77" spans="2:15" x14ac:dyDescent="0.25">
      <c r="B77" s="66" t="s">
        <v>2</v>
      </c>
      <c r="C77" s="67"/>
      <c r="D77" s="38" t="s">
        <v>15</v>
      </c>
      <c r="E77" s="24"/>
      <c r="F77" s="66" t="s">
        <v>2</v>
      </c>
      <c r="G77" s="67"/>
      <c r="H77" s="38" t="s">
        <v>15</v>
      </c>
      <c r="N77"/>
      <c r="O77"/>
    </row>
    <row r="78" spans="2:15" x14ac:dyDescent="0.25">
      <c r="B78" s="30" t="s">
        <v>1</v>
      </c>
      <c r="C78" s="33" t="s">
        <v>87</v>
      </c>
      <c r="D78" s="77"/>
      <c r="E78" s="24"/>
      <c r="F78" s="30" t="s">
        <v>1</v>
      </c>
      <c r="G78" s="33" t="s">
        <v>88</v>
      </c>
      <c r="H78" s="77"/>
      <c r="N78"/>
      <c r="O78"/>
    </row>
    <row r="79" spans="2:15" ht="15.75" thickBot="1" x14ac:dyDescent="0.3">
      <c r="B79" s="39" t="s">
        <v>24</v>
      </c>
      <c r="C79" s="32" t="s">
        <v>33</v>
      </c>
      <c r="D79" s="78"/>
      <c r="E79" s="24"/>
      <c r="F79" s="39" t="s">
        <v>24</v>
      </c>
      <c r="G79" s="32" t="s">
        <v>33</v>
      </c>
      <c r="H79" s="78"/>
      <c r="N79"/>
      <c r="O79"/>
    </row>
    <row r="80" spans="2:15" ht="15.75" thickBot="1" x14ac:dyDescent="0.3">
      <c r="D80" s="24"/>
      <c r="E80" s="24"/>
      <c r="N80"/>
      <c r="O80"/>
    </row>
    <row r="81" spans="2:15" x14ac:dyDescent="0.25">
      <c r="B81" s="75" t="s">
        <v>0</v>
      </c>
      <c r="C81" s="76"/>
      <c r="D81" s="28" t="s">
        <v>15</v>
      </c>
      <c r="E81" s="44"/>
      <c r="F81" s="75" t="s">
        <v>0</v>
      </c>
      <c r="G81" s="76"/>
      <c r="H81" s="28" t="s">
        <v>15</v>
      </c>
      <c r="N81"/>
      <c r="O81"/>
    </row>
    <row r="82" spans="2:15" x14ac:dyDescent="0.25">
      <c r="B82" s="3" t="s">
        <v>37</v>
      </c>
      <c r="C82" s="13" t="str">
        <f>E64</f>
        <v>Desalting</v>
      </c>
      <c r="D82" s="87"/>
      <c r="E82" s="44"/>
      <c r="F82" s="3" t="s">
        <v>37</v>
      </c>
      <c r="G82" s="13" t="str">
        <f>E64</f>
        <v>Desalting</v>
      </c>
      <c r="H82" s="87"/>
      <c r="N82"/>
      <c r="O82"/>
    </row>
    <row r="83" spans="2:15" x14ac:dyDescent="0.25">
      <c r="B83" s="3" t="s">
        <v>51</v>
      </c>
      <c r="C83" s="13" t="s">
        <v>2</v>
      </c>
      <c r="D83" s="88"/>
      <c r="E83" s="44"/>
      <c r="F83" s="3" t="s">
        <v>51</v>
      </c>
      <c r="G83" s="13" t="s">
        <v>2</v>
      </c>
      <c r="H83" s="88"/>
      <c r="N83"/>
      <c r="O83"/>
    </row>
    <row r="84" spans="2:15" x14ac:dyDescent="0.25">
      <c r="B84" s="3" t="s">
        <v>49</v>
      </c>
      <c r="C84" s="13" t="s">
        <v>56</v>
      </c>
      <c r="D84" s="88"/>
      <c r="E84" s="44"/>
      <c r="F84" s="3" t="s">
        <v>49</v>
      </c>
      <c r="G84" s="13" t="s">
        <v>56</v>
      </c>
      <c r="H84" s="88"/>
      <c r="N84"/>
      <c r="O84"/>
    </row>
    <row r="85" spans="2:15" x14ac:dyDescent="0.25">
      <c r="B85" s="3" t="s">
        <v>11</v>
      </c>
      <c r="C85" s="13">
        <v>160</v>
      </c>
      <c r="D85" s="88"/>
      <c r="E85" s="44"/>
      <c r="F85" s="3" t="s">
        <v>11</v>
      </c>
      <c r="G85" s="13">
        <v>160</v>
      </c>
      <c r="H85" s="88"/>
      <c r="N85"/>
      <c r="O85"/>
    </row>
    <row r="86" spans="2:15" ht="15.75" thickBot="1" x14ac:dyDescent="0.3">
      <c r="B86" s="4" t="s">
        <v>40</v>
      </c>
      <c r="C86" s="14" t="s">
        <v>42</v>
      </c>
      <c r="D86" s="89"/>
      <c r="E86" s="44"/>
      <c r="F86" s="4" t="s">
        <v>40</v>
      </c>
      <c r="G86" s="14" t="s">
        <v>42</v>
      </c>
      <c r="H86" s="89"/>
      <c r="N86"/>
      <c r="O86"/>
    </row>
    <row r="87" spans="2:15" ht="15.75" thickBot="1" x14ac:dyDescent="0.3">
      <c r="D87" s="44"/>
      <c r="E87" s="44"/>
      <c r="N87"/>
      <c r="O87"/>
    </row>
    <row r="88" spans="2:15" x14ac:dyDescent="0.25">
      <c r="B88" s="75" t="s">
        <v>0</v>
      </c>
      <c r="C88" s="76"/>
      <c r="D88" s="28" t="s">
        <v>15</v>
      </c>
      <c r="E88" s="24"/>
      <c r="F88" s="75" t="s">
        <v>0</v>
      </c>
      <c r="G88" s="76"/>
      <c r="H88" s="28" t="s">
        <v>15</v>
      </c>
      <c r="N88"/>
      <c r="O88"/>
    </row>
    <row r="89" spans="2:15" x14ac:dyDescent="0.25">
      <c r="B89" s="3" t="s">
        <v>37</v>
      </c>
      <c r="C89" s="13" t="s">
        <v>91</v>
      </c>
      <c r="D89" s="87"/>
      <c r="E89" s="24"/>
      <c r="F89" s="3" t="s">
        <v>37</v>
      </c>
      <c r="G89" s="13" t="s">
        <v>90</v>
      </c>
      <c r="H89" s="87"/>
      <c r="N89"/>
      <c r="O89"/>
    </row>
    <row r="90" spans="2:15" x14ac:dyDescent="0.25">
      <c r="B90" s="3" t="s">
        <v>51</v>
      </c>
      <c r="C90" s="13" t="s">
        <v>14</v>
      </c>
      <c r="D90" s="88"/>
      <c r="E90" s="24"/>
      <c r="F90" s="3" t="s">
        <v>51</v>
      </c>
      <c r="G90" s="13" t="s">
        <v>14</v>
      </c>
      <c r="H90" s="88"/>
      <c r="N90"/>
      <c r="O90"/>
    </row>
    <row r="91" spans="2:15" x14ac:dyDescent="0.25">
      <c r="B91" s="3" t="s">
        <v>49</v>
      </c>
      <c r="C91" s="13" t="s">
        <v>57</v>
      </c>
      <c r="D91" s="88"/>
      <c r="E91" s="24"/>
      <c r="F91" s="3" t="s">
        <v>49</v>
      </c>
      <c r="G91" s="13" t="s">
        <v>57</v>
      </c>
      <c r="H91" s="88"/>
      <c r="N91"/>
      <c r="O91"/>
    </row>
    <row r="92" spans="2:15" x14ac:dyDescent="0.25">
      <c r="B92" s="3" t="s">
        <v>11</v>
      </c>
      <c r="C92" s="13">
        <v>14</v>
      </c>
      <c r="D92" s="88"/>
      <c r="E92" s="24"/>
      <c r="F92" s="3" t="s">
        <v>11</v>
      </c>
      <c r="G92" s="13">
        <v>1.44</v>
      </c>
      <c r="H92" s="88"/>
      <c r="N92"/>
      <c r="O92"/>
    </row>
    <row r="93" spans="2:15" ht="15.75" thickBot="1" x14ac:dyDescent="0.3">
      <c r="B93" s="4" t="s">
        <v>40</v>
      </c>
      <c r="C93" s="14" t="s">
        <v>41</v>
      </c>
      <c r="D93" s="89"/>
      <c r="E93" s="24"/>
      <c r="F93" s="4" t="s">
        <v>40</v>
      </c>
      <c r="G93" s="14" t="s">
        <v>41</v>
      </c>
      <c r="H93" s="89"/>
      <c r="N93"/>
      <c r="O93"/>
    </row>
    <row r="94" spans="2:15" ht="15.75" thickBot="1" x14ac:dyDescent="0.3">
      <c r="E94" s="24"/>
      <c r="N94"/>
      <c r="O94"/>
    </row>
    <row r="95" spans="2:15" x14ac:dyDescent="0.25">
      <c r="B95" s="79" t="s">
        <v>38</v>
      </c>
      <c r="C95" s="80"/>
      <c r="D95" s="27" t="s">
        <v>15</v>
      </c>
      <c r="E95" s="24"/>
      <c r="F95" s="79" t="s">
        <v>38</v>
      </c>
      <c r="G95" s="80"/>
      <c r="H95" s="27" t="s">
        <v>15</v>
      </c>
      <c r="N95"/>
      <c r="O95"/>
    </row>
    <row r="96" spans="2:15" x14ac:dyDescent="0.25">
      <c r="B96" s="11" t="s">
        <v>12</v>
      </c>
      <c r="C96" s="22">
        <v>37</v>
      </c>
      <c r="D96" s="81"/>
      <c r="E96" s="44"/>
      <c r="F96" s="11" t="s">
        <v>12</v>
      </c>
      <c r="G96" s="22">
        <v>37</v>
      </c>
      <c r="H96" s="81"/>
      <c r="N96"/>
      <c r="O96"/>
    </row>
    <row r="97" spans="2:15" x14ac:dyDescent="0.25">
      <c r="B97" s="11" t="s">
        <v>9</v>
      </c>
      <c r="C97" s="22">
        <f>4*60</f>
        <v>240</v>
      </c>
      <c r="D97" s="82"/>
      <c r="E97" s="44"/>
      <c r="F97" s="11" t="s">
        <v>9</v>
      </c>
      <c r="G97" s="22">
        <f>60*18</f>
        <v>1080</v>
      </c>
      <c r="H97" s="82"/>
      <c r="N97"/>
      <c r="O97"/>
    </row>
    <row r="98" spans="2:15" ht="15.75" thickBot="1" x14ac:dyDescent="0.3">
      <c r="B98" s="12" t="s">
        <v>19</v>
      </c>
      <c r="C98" s="23">
        <v>0</v>
      </c>
      <c r="D98" s="83"/>
      <c r="E98" s="44"/>
      <c r="F98" s="12" t="s">
        <v>19</v>
      </c>
      <c r="G98" s="23">
        <v>0</v>
      </c>
      <c r="H98" s="83"/>
      <c r="N98"/>
      <c r="O98"/>
    </row>
    <row r="99" spans="2:15" ht="15.75" thickBot="1" x14ac:dyDescent="0.3">
      <c r="D99" s="44"/>
      <c r="E99" s="44"/>
      <c r="N99"/>
      <c r="O99"/>
    </row>
    <row r="100" spans="2:15" x14ac:dyDescent="0.25">
      <c r="B100" s="75" t="s">
        <v>0</v>
      </c>
      <c r="C100" s="76"/>
      <c r="D100" s="28" t="s">
        <v>15</v>
      </c>
      <c r="E100" s="44"/>
      <c r="F100" s="75" t="s">
        <v>0</v>
      </c>
      <c r="G100" s="76"/>
      <c r="H100" s="28" t="s">
        <v>15</v>
      </c>
      <c r="N100"/>
      <c r="O100"/>
    </row>
    <row r="101" spans="2:15" x14ac:dyDescent="0.25">
      <c r="B101" s="3" t="s">
        <v>37</v>
      </c>
      <c r="C101" s="13" t="s">
        <v>96</v>
      </c>
      <c r="D101" s="87"/>
      <c r="E101" s="24"/>
      <c r="F101" s="3" t="s">
        <v>37</v>
      </c>
      <c r="G101" s="13" t="s">
        <v>91</v>
      </c>
      <c r="H101" s="87"/>
      <c r="N101"/>
      <c r="O101"/>
    </row>
    <row r="102" spans="2:15" x14ac:dyDescent="0.25">
      <c r="B102" s="3" t="s">
        <v>51</v>
      </c>
      <c r="C102" s="13" t="s">
        <v>61</v>
      </c>
      <c r="D102" s="88"/>
      <c r="E102" s="24"/>
      <c r="F102" s="3" t="s">
        <v>51</v>
      </c>
      <c r="G102" s="13" t="s">
        <v>14</v>
      </c>
      <c r="H102" s="88"/>
      <c r="N102"/>
      <c r="O102"/>
    </row>
    <row r="103" spans="2:15" x14ac:dyDescent="0.25">
      <c r="B103" s="3" t="s">
        <v>49</v>
      </c>
      <c r="C103" s="13" t="s">
        <v>56</v>
      </c>
      <c r="D103" s="88"/>
      <c r="E103" s="24"/>
      <c r="F103" s="3" t="s">
        <v>49</v>
      </c>
      <c r="G103" s="13" t="s">
        <v>57</v>
      </c>
      <c r="H103" s="88"/>
      <c r="N103"/>
      <c r="O103"/>
    </row>
    <row r="104" spans="2:15" x14ac:dyDescent="0.25">
      <c r="B104" s="3" t="s">
        <v>11</v>
      </c>
      <c r="C104" s="13">
        <v>6.66</v>
      </c>
      <c r="D104" s="88"/>
      <c r="E104" s="24"/>
      <c r="F104" s="3" t="s">
        <v>11</v>
      </c>
      <c r="G104" s="13">
        <v>14</v>
      </c>
      <c r="H104" s="88"/>
      <c r="N104"/>
      <c r="O104"/>
    </row>
    <row r="105" spans="2:15" ht="15.75" thickBot="1" x14ac:dyDescent="0.3">
      <c r="B105" s="4" t="s">
        <v>40</v>
      </c>
      <c r="C105" s="14" t="s">
        <v>41</v>
      </c>
      <c r="D105" s="89"/>
      <c r="E105" s="24"/>
      <c r="F105" s="4" t="s">
        <v>40</v>
      </c>
      <c r="G105" s="14" t="s">
        <v>41</v>
      </c>
      <c r="H105" s="89"/>
      <c r="N105"/>
      <c r="O105"/>
    </row>
    <row r="106" spans="2:15" ht="15.75" thickBot="1" x14ac:dyDescent="0.3">
      <c r="D106" s="44"/>
      <c r="E106" s="24"/>
      <c r="N106"/>
      <c r="O106"/>
    </row>
    <row r="107" spans="2:15" x14ac:dyDescent="0.25">
      <c r="B107" s="66" t="s">
        <v>20</v>
      </c>
      <c r="C107" s="67"/>
      <c r="D107" s="36" t="s">
        <v>15</v>
      </c>
      <c r="E107" s="24"/>
      <c r="F107" s="79" t="s">
        <v>38</v>
      </c>
      <c r="G107" s="80"/>
      <c r="H107" s="27" t="s">
        <v>15</v>
      </c>
      <c r="N107"/>
      <c r="O107"/>
    </row>
    <row r="108" spans="2:15" x14ac:dyDescent="0.25">
      <c r="B108" s="30" t="s">
        <v>46</v>
      </c>
      <c r="C108" s="31" t="s">
        <v>42</v>
      </c>
      <c r="D108" s="84"/>
      <c r="E108" s="24"/>
      <c r="F108" s="11" t="s">
        <v>12</v>
      </c>
      <c r="G108" s="22">
        <v>37</v>
      </c>
      <c r="H108" s="81"/>
      <c r="N108"/>
      <c r="O108"/>
    </row>
    <row r="109" spans="2:15" x14ac:dyDescent="0.25">
      <c r="B109" s="30" t="s">
        <v>21</v>
      </c>
      <c r="C109" s="41" t="s">
        <v>92</v>
      </c>
      <c r="D109" s="85"/>
      <c r="E109" s="24"/>
      <c r="F109" s="11" t="s">
        <v>9</v>
      </c>
      <c r="G109" s="22">
        <f>4*60</f>
        <v>240</v>
      </c>
      <c r="H109" s="82"/>
      <c r="N109"/>
      <c r="O109"/>
    </row>
    <row r="110" spans="2:15" ht="45.75" thickBot="1" x14ac:dyDescent="0.3">
      <c r="B110" s="1" t="s">
        <v>22</v>
      </c>
      <c r="C110" s="40" t="s">
        <v>93</v>
      </c>
      <c r="D110" s="86"/>
      <c r="E110" s="24"/>
      <c r="F110" s="12" t="s">
        <v>19</v>
      </c>
      <c r="G110" s="23">
        <v>0</v>
      </c>
      <c r="H110" s="83"/>
      <c r="N110"/>
      <c r="O110"/>
    </row>
    <row r="111" spans="2:15" ht="15.75" thickBot="1" x14ac:dyDescent="0.3">
      <c r="D111" s="24"/>
      <c r="E111" s="24"/>
      <c r="N111"/>
      <c r="O111"/>
    </row>
    <row r="112" spans="2:15" x14ac:dyDescent="0.25">
      <c r="B112" s="66" t="s">
        <v>48</v>
      </c>
      <c r="C112" s="67"/>
      <c r="D112" s="38" t="s">
        <v>15</v>
      </c>
      <c r="E112" s="24"/>
      <c r="F112" s="75" t="s">
        <v>0</v>
      </c>
      <c r="G112" s="76"/>
      <c r="H112" s="28" t="s">
        <v>15</v>
      </c>
      <c r="N112"/>
      <c r="O112"/>
    </row>
    <row r="113" spans="2:15" ht="15.75" thickBot="1" x14ac:dyDescent="0.3">
      <c r="B113" s="55" t="s">
        <v>153</v>
      </c>
      <c r="C113" s="54" t="s">
        <v>154</v>
      </c>
      <c r="D113" s="112"/>
      <c r="E113" s="24"/>
      <c r="F113" s="3" t="s">
        <v>37</v>
      </c>
      <c r="G113" s="13" t="s">
        <v>96</v>
      </c>
      <c r="H113" s="87"/>
      <c r="N113"/>
      <c r="O113"/>
    </row>
    <row r="114" spans="2:15" x14ac:dyDescent="0.25">
      <c r="D114" s="24"/>
      <c r="E114" s="24"/>
      <c r="F114" s="3" t="s">
        <v>51</v>
      </c>
      <c r="G114" s="13" t="s">
        <v>61</v>
      </c>
      <c r="H114" s="88"/>
      <c r="N114"/>
      <c r="O114"/>
    </row>
    <row r="115" spans="2:15" x14ac:dyDescent="0.25">
      <c r="D115" s="24"/>
      <c r="E115" s="24"/>
      <c r="F115" s="3" t="s">
        <v>49</v>
      </c>
      <c r="G115" s="13" t="s">
        <v>56</v>
      </c>
      <c r="H115" s="88"/>
      <c r="N115"/>
      <c r="O115"/>
    </row>
    <row r="116" spans="2:15" x14ac:dyDescent="0.25">
      <c r="D116" s="24"/>
      <c r="E116" s="24"/>
      <c r="F116" s="3" t="s">
        <v>11</v>
      </c>
      <c r="G116" s="13">
        <v>6.66</v>
      </c>
      <c r="H116" s="88"/>
      <c r="N116"/>
      <c r="O116"/>
    </row>
    <row r="117" spans="2:15" ht="15.75" thickBot="1" x14ac:dyDescent="0.3">
      <c r="D117" s="24"/>
      <c r="E117" s="24"/>
      <c r="F117" s="4" t="s">
        <v>40</v>
      </c>
      <c r="G117" s="14" t="s">
        <v>41</v>
      </c>
      <c r="H117" s="89"/>
      <c r="N117"/>
      <c r="O117"/>
    </row>
    <row r="118" spans="2:15" ht="15.75" thickBot="1" x14ac:dyDescent="0.3">
      <c r="D118" s="24"/>
      <c r="E118" s="24"/>
      <c r="N118"/>
      <c r="O118"/>
    </row>
    <row r="119" spans="2:15" x14ac:dyDescent="0.25">
      <c r="D119" s="24"/>
      <c r="E119" s="24"/>
      <c r="F119" s="66" t="s">
        <v>20</v>
      </c>
      <c r="G119" s="67"/>
      <c r="H119" s="36" t="s">
        <v>15</v>
      </c>
      <c r="N119"/>
      <c r="O119"/>
    </row>
    <row r="120" spans="2:15" x14ac:dyDescent="0.25">
      <c r="D120" s="24"/>
      <c r="E120" s="24"/>
      <c r="F120" s="30" t="s">
        <v>46</v>
      </c>
      <c r="G120" s="31" t="s">
        <v>42</v>
      </c>
      <c r="H120" s="84"/>
      <c r="N120"/>
      <c r="O120"/>
    </row>
    <row r="121" spans="2:15" x14ac:dyDescent="0.25">
      <c r="D121" s="24"/>
      <c r="E121" s="24"/>
      <c r="F121" s="30" t="s">
        <v>21</v>
      </c>
      <c r="G121" s="41" t="s">
        <v>94</v>
      </c>
      <c r="H121" s="85"/>
      <c r="N121"/>
      <c r="O121"/>
    </row>
    <row r="122" spans="2:15" ht="45.75" thickBot="1" x14ac:dyDescent="0.3">
      <c r="D122" s="24"/>
      <c r="E122" s="24"/>
      <c r="F122" s="1" t="s">
        <v>22</v>
      </c>
      <c r="G122" s="40" t="s">
        <v>95</v>
      </c>
      <c r="H122" s="86"/>
      <c r="N122"/>
      <c r="O122"/>
    </row>
    <row r="123" spans="2:15" ht="15.75" thickBot="1" x14ac:dyDescent="0.3">
      <c r="D123" s="24"/>
      <c r="E123" s="24"/>
      <c r="N123"/>
      <c r="O123"/>
    </row>
    <row r="124" spans="2:15" x14ac:dyDescent="0.25">
      <c r="D124" s="24"/>
      <c r="E124" s="24"/>
      <c r="F124" s="66" t="s">
        <v>48</v>
      </c>
      <c r="G124" s="67"/>
      <c r="H124" s="38" t="s">
        <v>15</v>
      </c>
      <c r="N124"/>
      <c r="O124"/>
    </row>
    <row r="125" spans="2:15" ht="15.75" thickBot="1" x14ac:dyDescent="0.3">
      <c r="D125" s="24"/>
      <c r="E125" s="24"/>
      <c r="F125" s="55" t="s">
        <v>153</v>
      </c>
      <c r="G125" s="54" t="s">
        <v>154</v>
      </c>
      <c r="H125" s="112"/>
      <c r="N125"/>
      <c r="O125"/>
    </row>
    <row r="126" spans="2:15" x14ac:dyDescent="0.25">
      <c r="D126" s="24"/>
      <c r="E126" s="24"/>
      <c r="N126"/>
      <c r="O126"/>
    </row>
    <row r="127" spans="2:15" x14ac:dyDescent="0.25">
      <c r="D127" s="24"/>
      <c r="E127" s="44"/>
      <c r="N127"/>
      <c r="O127"/>
    </row>
    <row r="128" spans="2:15" x14ac:dyDescent="0.25">
      <c r="D128" s="24"/>
      <c r="E128" s="44"/>
      <c r="N128"/>
      <c r="O128"/>
    </row>
    <row r="129" spans="4:15" x14ac:dyDescent="0.25">
      <c r="D129" s="24"/>
      <c r="E129" s="44"/>
      <c r="N129"/>
      <c r="O129"/>
    </row>
    <row r="130" spans="4:15" x14ac:dyDescent="0.25">
      <c r="D130" s="24"/>
      <c r="E130" s="44"/>
      <c r="N130"/>
      <c r="O130"/>
    </row>
    <row r="131" spans="4:15" x14ac:dyDescent="0.25">
      <c r="D131" s="44"/>
      <c r="E131" s="44"/>
      <c r="N131"/>
      <c r="O131"/>
    </row>
    <row r="132" spans="4:15" x14ac:dyDescent="0.25">
      <c r="D132" s="44"/>
      <c r="E132" s="24"/>
      <c r="N132"/>
      <c r="O132"/>
    </row>
    <row r="133" spans="4:15" x14ac:dyDescent="0.25">
      <c r="E133" s="24"/>
      <c r="N133"/>
      <c r="O133"/>
    </row>
    <row r="134" spans="4:15" x14ac:dyDescent="0.25">
      <c r="E134" s="24"/>
      <c r="N134"/>
      <c r="O134"/>
    </row>
    <row r="135" spans="4:15" x14ac:dyDescent="0.25">
      <c r="E135" s="24"/>
      <c r="N135"/>
      <c r="O135"/>
    </row>
  </sheetData>
  <mergeCells count="57">
    <mergeCell ref="D32:E32"/>
    <mergeCell ref="F33:F37"/>
    <mergeCell ref="D12:E12"/>
    <mergeCell ref="F13:F15"/>
    <mergeCell ref="D17:E17"/>
    <mergeCell ref="F18:F23"/>
    <mergeCell ref="D25:E25"/>
    <mergeCell ref="F26:F30"/>
    <mergeCell ref="D2:E2"/>
    <mergeCell ref="F3:F4"/>
    <mergeCell ref="D6:E6"/>
    <mergeCell ref="D8:E8"/>
    <mergeCell ref="F9:F10"/>
    <mergeCell ref="D39:E39"/>
    <mergeCell ref="F40:F44"/>
    <mergeCell ref="D46:E46"/>
    <mergeCell ref="F47:F49"/>
    <mergeCell ref="D51:E51"/>
    <mergeCell ref="F52:F56"/>
    <mergeCell ref="D58:E58"/>
    <mergeCell ref="F59:F61"/>
    <mergeCell ref="D63:E63"/>
    <mergeCell ref="F64:F65"/>
    <mergeCell ref="D67:E67"/>
    <mergeCell ref="F68:F70"/>
    <mergeCell ref="D72:E72"/>
    <mergeCell ref="F73:F75"/>
    <mergeCell ref="B77:C77"/>
    <mergeCell ref="H101:H105"/>
    <mergeCell ref="F107:G107"/>
    <mergeCell ref="D78:D79"/>
    <mergeCell ref="F77:G77"/>
    <mergeCell ref="H78:H79"/>
    <mergeCell ref="F88:G88"/>
    <mergeCell ref="H89:H93"/>
    <mergeCell ref="B100:C100"/>
    <mergeCell ref="D101:D105"/>
    <mergeCell ref="F100:G100"/>
    <mergeCell ref="B112:C112"/>
    <mergeCell ref="B88:C88"/>
    <mergeCell ref="D89:D93"/>
    <mergeCell ref="B95:C95"/>
    <mergeCell ref="D96:D98"/>
    <mergeCell ref="F124:G124"/>
    <mergeCell ref="B81:C81"/>
    <mergeCell ref="D82:D86"/>
    <mergeCell ref="F81:G81"/>
    <mergeCell ref="H82:H86"/>
    <mergeCell ref="H108:H110"/>
    <mergeCell ref="B107:C107"/>
    <mergeCell ref="D108:D110"/>
    <mergeCell ref="F119:G119"/>
    <mergeCell ref="H120:H122"/>
    <mergeCell ref="F112:G112"/>
    <mergeCell ref="H113:H117"/>
    <mergeCell ref="F95:G95"/>
    <mergeCell ref="H96:H9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00000000-0002-0000-0200-000000000000}">
          <x14:formula1>
            <xm:f>'___Dropdown values'!$B$4:$B$6</xm:f>
          </x14:formula1>
          <xm:sqref>E4</xm:sqref>
        </x14:dataValidation>
        <x14:dataValidation type="list" allowBlank="1" showInputMessage="1" showErrorMessage="1" xr:uid="{00000000-0002-0000-0200-000001000000}">
          <x14:formula1>
            <xm:f>'___Dropdown values'!$B$4:$B$7</xm:f>
          </x14:formula1>
          <xm:sqref>E10 E65 C79 G79</xm:sqref>
        </x14:dataValidation>
        <x14:dataValidation type="list" allowBlank="1" showInputMessage="1" showErrorMessage="1" xr:uid="{00000000-0002-0000-0200-000002000000}">
          <x14:formula1>
            <xm:f>'___Dropdown values'!$G$5:$G$6</xm:f>
          </x14:formula1>
          <xm:sqref>D17:E17</xm:sqref>
        </x14:dataValidation>
        <x14:dataValidation type="list" allowBlank="1" showInputMessage="1" showErrorMessage="1" xr:uid="{00000000-0002-0000-0200-000003000000}">
          <x14:formula1>
            <xm:f>'___Dropdown values'!$D$14:$D$15</xm:f>
          </x14:formula1>
          <xm:sqref>E15</xm:sqref>
        </x14:dataValidation>
        <x14:dataValidation type="list" allowBlank="1" showInputMessage="1" showErrorMessage="1" xr:uid="{00000000-0002-0000-0200-000004000000}">
          <x14:formula1>
            <xm:f>'___Dropdown values'!$B$10:$B$17</xm:f>
          </x14:formula1>
          <xm:sqref>E41 E53 G90 C90 G102 C102 G114 E34 C83 G83 E27</xm:sqref>
        </x14:dataValidation>
        <x14:dataValidation type="list" allowBlank="1" showInputMessage="1" showErrorMessage="1" xr:uid="{00000000-0002-0000-0200-000005000000}">
          <x14:formula1>
            <xm:f>'___Dropdown values'!$F$5:$F$6</xm:f>
          </x14:formula1>
          <xm:sqref>D39:E39 D51:E51 F88:G88 B88:C88 F100:G100 B100:C100 F112:G112 D32:E32 B81:C81 F81:G81 D25:E25</xm:sqref>
        </x14:dataValidation>
        <x14:dataValidation type="list" allowBlank="1" showInputMessage="1" showErrorMessage="1" xr:uid="{00000000-0002-0000-0200-000006000000}">
          <x14:formula1>
            <xm:f>'___Dropdown values'!$D$10:$D$11</xm:f>
          </x14:formula1>
          <xm:sqref>E44 E56 G93 C93 G105 C108 G120 C105 G117 E37 C86 G86 E30</xm:sqref>
        </x14:dataValidation>
        <x14:dataValidation type="list" allowBlank="1" showInputMessage="1" showErrorMessage="1" xr:uid="{00000000-0002-0000-0200-000007000000}">
          <x14:formula1>
            <xm:f>'___Dropdown values'!$B$20:$B$21</xm:f>
          </x14:formula1>
          <xm:sqref>E42 E54 G91 C91 G103 C103 G115 E35 C84 G84 E28</xm:sqref>
        </x14:dataValidation>
        <x14:dataValidation type="list" allowBlank="1" showInputMessage="1" showErrorMessage="1" xr:uid="{00000000-0002-0000-0200-000008000000}">
          <x14:formula1>
            <xm:f>'___Dropdown values'!$K$5:$K$6</xm:f>
          </x14:formula1>
          <xm:sqref>D46:E46 D58:E58 F95:G95 B95:C95 F107:G107</xm:sqref>
        </x14:dataValidation>
        <x14:dataValidation type="list" allowBlank="1" showInputMessage="1" showErrorMessage="1" xr:uid="{00000000-0002-0000-0200-000009000000}">
          <x14:formula1>
            <xm:f>'___Dropdown values'!$D$4:$D$5</xm:f>
          </x14:formula1>
          <xm:sqref>E70</xm:sqref>
        </x14:dataValidation>
        <x14:dataValidation type="list" allowBlank="1" showInputMessage="1" showErrorMessage="1" xr:uid="{00000000-0002-0000-0200-00000A000000}">
          <x14:formula1>
            <xm:f>'___Dropdown values'!$H$5:$H$6</xm:f>
          </x14:formula1>
          <xm:sqref>D67:E67</xm:sqref>
        </x14:dataValidation>
        <x14:dataValidation type="list" allowBlank="1" showInputMessage="1" showErrorMessage="1" xr:uid="{00000000-0002-0000-0200-00000B000000}">
          <x14:formula1>
            <xm:f>'___Dropdown values'!$I$5:$I$6</xm:f>
          </x14:formula1>
          <xm:sqref>B107:C107 F119:G119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0"/>
  <sheetViews>
    <sheetView topLeftCell="A10" workbookViewId="0">
      <selection activeCell="D8" sqref="D8"/>
    </sheetView>
  </sheetViews>
  <sheetFormatPr defaultRowHeight="15" x14ac:dyDescent="0.25"/>
  <cols>
    <col min="1" max="1" width="9" bestFit="1" customWidth="1"/>
    <col min="2" max="2" width="29.7109375" customWidth="1"/>
    <col min="3" max="3" width="17" bestFit="1" customWidth="1"/>
    <col min="4" max="4" width="14.5703125" customWidth="1"/>
    <col min="5" max="5" width="11" bestFit="1" customWidth="1"/>
    <col min="6" max="6" width="15.140625" bestFit="1" customWidth="1"/>
    <col min="7" max="7" width="27.5703125" bestFit="1" customWidth="1"/>
    <col min="8" max="8" width="25.7109375" bestFit="1" customWidth="1"/>
    <col min="9" max="9" width="17.85546875" bestFit="1" customWidth="1"/>
    <col min="10" max="10" width="27.5703125" bestFit="1" customWidth="1"/>
  </cols>
  <sheetData>
    <row r="1" spans="1:10" x14ac:dyDescent="0.25">
      <c r="A1" t="s">
        <v>32</v>
      </c>
      <c r="B1" t="s">
        <v>17</v>
      </c>
      <c r="C1" t="s">
        <v>73</v>
      </c>
      <c r="D1" t="s">
        <v>18</v>
      </c>
      <c r="E1" t="s">
        <v>89</v>
      </c>
      <c r="F1" t="s">
        <v>150</v>
      </c>
      <c r="G1" t="s">
        <v>151</v>
      </c>
      <c r="H1" t="s">
        <v>152</v>
      </c>
      <c r="I1" t="s">
        <v>100</v>
      </c>
      <c r="J1" t="s">
        <v>149</v>
      </c>
    </row>
    <row r="2" spans="1:10" x14ac:dyDescent="0.25">
      <c r="A2">
        <f t="shared" ref="A2:A10" si="0">ROW(A1)</f>
        <v>1</v>
      </c>
      <c r="B2" s="56" t="s">
        <v>141</v>
      </c>
      <c r="C2">
        <f>A2</f>
        <v>1</v>
      </c>
      <c r="D2" s="56">
        <v>10.4</v>
      </c>
      <c r="E2" t="s">
        <v>87</v>
      </c>
      <c r="F2">
        <v>220</v>
      </c>
      <c r="G2">
        <f>F2/D2</f>
        <v>21.153846153846153</v>
      </c>
      <c r="H2">
        <v>22</v>
      </c>
      <c r="I2">
        <f>IF(G2&lt;H2,0,G2-H2)</f>
        <v>0</v>
      </c>
      <c r="J2">
        <f>193.6-I2</f>
        <v>193.6</v>
      </c>
    </row>
    <row r="3" spans="1:10" x14ac:dyDescent="0.25">
      <c r="A3">
        <f t="shared" si="0"/>
        <v>2</v>
      </c>
      <c r="B3" s="56" t="s">
        <v>142</v>
      </c>
      <c r="C3">
        <f>A3</f>
        <v>2</v>
      </c>
      <c r="D3" s="56">
        <v>7.6</v>
      </c>
      <c r="E3" t="s">
        <v>87</v>
      </c>
      <c r="F3">
        <v>220</v>
      </c>
      <c r="G3">
        <f t="shared" ref="G3:G10" si="1">F3/D3</f>
        <v>28.947368421052634</v>
      </c>
      <c r="H3">
        <v>22</v>
      </c>
      <c r="I3">
        <f t="shared" ref="I3:I10" si="2">IF(G3&lt;H3,0,G3-H3)</f>
        <v>6.9473684210526336</v>
      </c>
      <c r="J3">
        <f t="shared" ref="J3:J10" si="3">193.6-I3</f>
        <v>186.65263157894736</v>
      </c>
    </row>
    <row r="4" spans="1:10" x14ac:dyDescent="0.25">
      <c r="A4">
        <f t="shared" si="0"/>
        <v>3</v>
      </c>
      <c r="B4" s="56" t="s">
        <v>143</v>
      </c>
      <c r="C4">
        <f>A4</f>
        <v>3</v>
      </c>
      <c r="D4" s="56">
        <v>4.2</v>
      </c>
      <c r="E4" t="s">
        <v>87</v>
      </c>
      <c r="F4">
        <v>220</v>
      </c>
      <c r="G4">
        <f t="shared" si="1"/>
        <v>52.38095238095238</v>
      </c>
      <c r="H4">
        <v>22</v>
      </c>
      <c r="I4">
        <f t="shared" si="2"/>
        <v>30.38095238095238</v>
      </c>
      <c r="J4">
        <f t="shared" si="3"/>
        <v>163.21904761904761</v>
      </c>
    </row>
    <row r="5" spans="1:10" x14ac:dyDescent="0.25">
      <c r="A5">
        <f t="shared" si="0"/>
        <v>4</v>
      </c>
      <c r="B5" s="56" t="s">
        <v>144</v>
      </c>
      <c r="C5">
        <f>A5</f>
        <v>4</v>
      </c>
      <c r="D5" s="56">
        <v>7.6</v>
      </c>
      <c r="E5" t="s">
        <v>87</v>
      </c>
      <c r="F5">
        <v>220</v>
      </c>
      <c r="G5">
        <f t="shared" si="1"/>
        <v>28.947368421052634</v>
      </c>
      <c r="H5">
        <v>22</v>
      </c>
      <c r="I5">
        <f t="shared" si="2"/>
        <v>6.9473684210526336</v>
      </c>
      <c r="J5">
        <f t="shared" si="3"/>
        <v>186.65263157894736</v>
      </c>
    </row>
    <row r="6" spans="1:10" x14ac:dyDescent="0.25">
      <c r="A6">
        <f t="shared" si="0"/>
        <v>5</v>
      </c>
      <c r="B6" s="56" t="s">
        <v>145</v>
      </c>
      <c r="C6">
        <f>A6</f>
        <v>5</v>
      </c>
      <c r="D6" s="56">
        <v>5.4</v>
      </c>
      <c r="E6" t="s">
        <v>87</v>
      </c>
      <c r="F6">
        <v>220</v>
      </c>
      <c r="G6">
        <f t="shared" si="1"/>
        <v>40.74074074074074</v>
      </c>
      <c r="H6">
        <v>22</v>
      </c>
      <c r="I6">
        <f t="shared" si="2"/>
        <v>18.74074074074074</v>
      </c>
      <c r="J6">
        <f t="shared" si="3"/>
        <v>174.85925925925926</v>
      </c>
    </row>
    <row r="7" spans="1:10" x14ac:dyDescent="0.25">
      <c r="A7">
        <f t="shared" si="0"/>
        <v>6</v>
      </c>
      <c r="B7" s="56" t="s">
        <v>146</v>
      </c>
      <c r="C7">
        <f>A7</f>
        <v>6</v>
      </c>
      <c r="D7" s="56">
        <v>7.1</v>
      </c>
      <c r="E7" t="s">
        <v>87</v>
      </c>
      <c r="F7">
        <v>220</v>
      </c>
      <c r="G7">
        <f t="shared" si="1"/>
        <v>30.985915492957748</v>
      </c>
      <c r="H7">
        <v>22</v>
      </c>
      <c r="I7">
        <f t="shared" si="2"/>
        <v>8.9859154929577478</v>
      </c>
      <c r="J7">
        <f t="shared" si="3"/>
        <v>184.61408450704224</v>
      </c>
    </row>
    <row r="8" spans="1:10" x14ac:dyDescent="0.25">
      <c r="A8">
        <f t="shared" si="0"/>
        <v>7</v>
      </c>
      <c r="B8" s="56" t="s">
        <v>147</v>
      </c>
      <c r="C8">
        <f>A8</f>
        <v>7</v>
      </c>
      <c r="D8" s="56">
        <v>5.5</v>
      </c>
      <c r="E8" t="s">
        <v>87</v>
      </c>
      <c r="F8">
        <v>220</v>
      </c>
      <c r="G8">
        <f t="shared" si="1"/>
        <v>40</v>
      </c>
      <c r="H8">
        <v>22</v>
      </c>
      <c r="I8">
        <f t="shared" si="2"/>
        <v>18</v>
      </c>
      <c r="J8">
        <f t="shared" si="3"/>
        <v>175.6</v>
      </c>
    </row>
    <row r="9" spans="1:10" ht="15.75" x14ac:dyDescent="0.25">
      <c r="A9">
        <f t="shared" si="0"/>
        <v>8</v>
      </c>
      <c r="B9" s="57" t="s">
        <v>99</v>
      </c>
      <c r="C9">
        <f>A9</f>
        <v>8</v>
      </c>
      <c r="D9" s="59">
        <v>10</v>
      </c>
      <c r="E9" t="s">
        <v>87</v>
      </c>
      <c r="F9">
        <v>220</v>
      </c>
      <c r="G9">
        <f t="shared" si="1"/>
        <v>22</v>
      </c>
      <c r="H9">
        <v>22</v>
      </c>
      <c r="I9">
        <f t="shared" si="2"/>
        <v>0</v>
      </c>
      <c r="J9">
        <f t="shared" si="3"/>
        <v>193.6</v>
      </c>
    </row>
    <row r="10" spans="1:10" x14ac:dyDescent="0.25">
      <c r="A10">
        <f t="shared" si="0"/>
        <v>9</v>
      </c>
      <c r="B10" s="58" t="s">
        <v>148</v>
      </c>
      <c r="C10">
        <f>A10</f>
        <v>9</v>
      </c>
      <c r="D10" s="58">
        <v>10</v>
      </c>
      <c r="E10" t="s">
        <v>87</v>
      </c>
      <c r="F10">
        <v>220</v>
      </c>
      <c r="G10">
        <f t="shared" si="1"/>
        <v>22</v>
      </c>
      <c r="H10">
        <v>22</v>
      </c>
      <c r="I10">
        <f t="shared" si="2"/>
        <v>0</v>
      </c>
      <c r="J10">
        <f t="shared" si="3"/>
        <v>193.6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Method!$E$74:$E$75</xm:f>
          </x14:formula1>
          <xm:sqref>E2:E10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948F6-ED7E-4A82-B7BA-DD8D94BD39B2}">
  <dimension ref="B3:E19"/>
  <sheetViews>
    <sheetView workbookViewId="0">
      <selection activeCell="G30" sqref="G30"/>
    </sheetView>
  </sheetViews>
  <sheetFormatPr defaultRowHeight="15" x14ac:dyDescent="0.25"/>
  <sheetData>
    <row r="3" spans="2:5" x14ac:dyDescent="0.25">
      <c r="D3" t="s">
        <v>102</v>
      </c>
    </row>
    <row r="4" spans="2:5" x14ac:dyDescent="0.25">
      <c r="D4" t="s">
        <v>103</v>
      </c>
    </row>
    <row r="5" spans="2:5" x14ac:dyDescent="0.25">
      <c r="D5" t="s">
        <v>104</v>
      </c>
      <c r="E5">
        <v>1</v>
      </c>
    </row>
    <row r="6" spans="2:5" x14ac:dyDescent="0.25">
      <c r="D6" t="s">
        <v>105</v>
      </c>
      <c r="E6">
        <v>37</v>
      </c>
    </row>
    <row r="8" spans="2:5" x14ac:dyDescent="0.25">
      <c r="D8" t="s">
        <v>102</v>
      </c>
    </row>
    <row r="9" spans="2:5" x14ac:dyDescent="0.25">
      <c r="D9" t="s">
        <v>103</v>
      </c>
    </row>
    <row r="10" spans="2:5" x14ac:dyDescent="0.25">
      <c r="D10" t="s">
        <v>104</v>
      </c>
      <c r="E10">
        <v>2</v>
      </c>
    </row>
    <row r="11" spans="2:5" x14ac:dyDescent="0.25">
      <c r="D11" t="s">
        <v>105</v>
      </c>
      <c r="E11">
        <v>37</v>
      </c>
    </row>
    <row r="16" spans="2:5" x14ac:dyDescent="0.25">
      <c r="B16" t="s">
        <v>106</v>
      </c>
    </row>
    <row r="17" spans="2:2" x14ac:dyDescent="0.25">
      <c r="B17" t="s">
        <v>107</v>
      </c>
    </row>
    <row r="18" spans="2:2" x14ac:dyDescent="0.25">
      <c r="B18" t="s">
        <v>108</v>
      </c>
    </row>
    <row r="19" spans="2:2" x14ac:dyDescent="0.25">
      <c r="B19" t="s">
        <v>109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M59"/>
  <sheetViews>
    <sheetView workbookViewId="0">
      <selection activeCell="B4" sqref="B4"/>
    </sheetView>
  </sheetViews>
  <sheetFormatPr defaultRowHeight="15" x14ac:dyDescent="0.25"/>
  <cols>
    <col min="2" max="2" width="24.28515625" bestFit="1" customWidth="1"/>
    <col min="3" max="3" width="10.7109375" bestFit="1" customWidth="1"/>
  </cols>
  <sheetData>
    <row r="1" spans="2:13" ht="15.75" thickBot="1" x14ac:dyDescent="0.3"/>
    <row r="2" spans="2:13" ht="27" thickBot="1" x14ac:dyDescent="0.45">
      <c r="B2" s="94" t="s">
        <v>110</v>
      </c>
      <c r="C2" s="95"/>
      <c r="D2" s="95"/>
      <c r="E2" s="95"/>
      <c r="F2" s="95"/>
      <c r="G2" s="95"/>
      <c r="H2" s="95"/>
      <c r="I2" s="95"/>
      <c r="J2" s="95"/>
      <c r="K2" s="95"/>
      <c r="L2" s="95"/>
      <c r="M2" s="96"/>
    </row>
    <row r="3" spans="2:13" x14ac:dyDescent="0.25">
      <c r="B3" s="48" t="s">
        <v>111</v>
      </c>
      <c r="C3" s="49" t="s">
        <v>112</v>
      </c>
      <c r="D3" s="49"/>
      <c r="E3" s="49"/>
      <c r="F3" s="49"/>
      <c r="G3" s="49"/>
      <c r="H3" s="49"/>
      <c r="I3" s="49"/>
      <c r="J3" s="49"/>
      <c r="K3" s="49"/>
      <c r="L3" s="49"/>
      <c r="M3" s="50"/>
    </row>
    <row r="4" spans="2:13" x14ac:dyDescent="0.25">
      <c r="B4" s="51" t="s">
        <v>113</v>
      </c>
      <c r="C4" s="45" t="s">
        <v>114</v>
      </c>
      <c r="D4" s="45"/>
      <c r="E4" s="45"/>
      <c r="F4" s="45"/>
      <c r="G4" s="45"/>
      <c r="H4" s="45"/>
      <c r="I4" s="45"/>
      <c r="J4" s="45"/>
      <c r="K4" s="45"/>
      <c r="L4" s="45"/>
      <c r="M4" s="52"/>
    </row>
    <row r="5" spans="2:13" x14ac:dyDescent="0.25">
      <c r="B5" s="51" t="s">
        <v>115</v>
      </c>
      <c r="C5" s="45" t="s">
        <v>116</v>
      </c>
      <c r="D5" s="45"/>
      <c r="E5" s="45"/>
      <c r="F5" s="45"/>
      <c r="G5" s="45"/>
      <c r="H5" s="45"/>
      <c r="I5" s="45"/>
      <c r="J5" s="45"/>
      <c r="K5" s="45"/>
      <c r="L5" s="45"/>
      <c r="M5" s="52"/>
    </row>
    <row r="6" spans="2:13" x14ac:dyDescent="0.25">
      <c r="B6" s="51" t="s">
        <v>117</v>
      </c>
      <c r="C6" s="45" t="s">
        <v>118</v>
      </c>
      <c r="D6" s="45"/>
      <c r="E6" s="45"/>
      <c r="F6" s="45"/>
      <c r="G6" s="45"/>
      <c r="H6" s="45"/>
      <c r="I6" s="45"/>
      <c r="J6" s="45"/>
      <c r="K6" s="45"/>
      <c r="L6" s="45"/>
      <c r="M6" s="52"/>
    </row>
    <row r="7" spans="2:13" x14ac:dyDescent="0.25">
      <c r="B7" s="51" t="s">
        <v>119</v>
      </c>
      <c r="C7" s="45" t="s">
        <v>120</v>
      </c>
      <c r="D7" s="45"/>
      <c r="E7" s="45"/>
      <c r="F7" s="45"/>
      <c r="G7" s="45"/>
      <c r="H7" s="45"/>
      <c r="I7" s="45"/>
      <c r="J7" s="45"/>
      <c r="K7" s="45"/>
      <c r="L7" s="45"/>
      <c r="M7" s="52"/>
    </row>
    <row r="8" spans="2:13" x14ac:dyDescent="0.25">
      <c r="B8" s="51" t="s">
        <v>121</v>
      </c>
      <c r="C8" s="45"/>
      <c r="D8" s="45"/>
      <c r="E8" s="45"/>
      <c r="F8" s="45"/>
      <c r="G8" s="45"/>
      <c r="H8" s="45"/>
      <c r="I8" s="45"/>
      <c r="J8" s="45"/>
      <c r="K8" s="45"/>
      <c r="L8" s="45"/>
      <c r="M8" s="52"/>
    </row>
    <row r="9" spans="2:13" x14ac:dyDescent="0.25">
      <c r="B9" s="51" t="s">
        <v>122</v>
      </c>
      <c r="C9" s="45"/>
      <c r="D9" s="45"/>
      <c r="E9" s="45"/>
      <c r="F9" s="45"/>
      <c r="G9" s="45"/>
      <c r="H9" s="45"/>
      <c r="I9" s="45"/>
      <c r="J9" s="45"/>
      <c r="K9" s="45"/>
      <c r="L9" s="45"/>
      <c r="M9" s="52"/>
    </row>
    <row r="10" spans="2:13" ht="15.75" thickBot="1" x14ac:dyDescent="0.3">
      <c r="B10" s="46" t="s">
        <v>123</v>
      </c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47"/>
    </row>
    <row r="14" spans="2:13" ht="15.75" thickBot="1" x14ac:dyDescent="0.3"/>
    <row r="15" spans="2:13" ht="19.5" thickBot="1" x14ac:dyDescent="0.35">
      <c r="B15" s="97" t="s">
        <v>97</v>
      </c>
      <c r="C15" s="98"/>
      <c r="D15" s="98"/>
      <c r="E15" s="98"/>
      <c r="F15" s="99"/>
      <c r="I15" s="97" t="s">
        <v>86</v>
      </c>
      <c r="J15" s="98"/>
      <c r="K15" s="98"/>
      <c r="L15" s="98"/>
      <c r="M15" s="99"/>
    </row>
    <row r="16" spans="2:13" ht="16.5" thickBot="1" x14ac:dyDescent="0.3">
      <c r="B16" s="100" t="s">
        <v>124</v>
      </c>
      <c r="C16" s="101"/>
      <c r="D16" s="101"/>
      <c r="E16" s="101"/>
      <c r="F16" s="102"/>
      <c r="I16" s="100" t="s">
        <v>131</v>
      </c>
      <c r="J16" s="101"/>
      <c r="K16" s="101"/>
      <c r="L16" s="101"/>
      <c r="M16" s="102"/>
    </row>
    <row r="17" spans="2:13" ht="16.5" thickBot="1" x14ac:dyDescent="0.3">
      <c r="B17" s="100" t="s">
        <v>125</v>
      </c>
      <c r="C17" s="101"/>
      <c r="D17" s="101"/>
      <c r="E17" s="101"/>
      <c r="F17" s="102"/>
      <c r="I17" s="100" t="s">
        <v>132</v>
      </c>
      <c r="J17" s="101"/>
      <c r="K17" s="101"/>
      <c r="L17" s="101"/>
      <c r="M17" s="102"/>
    </row>
    <row r="18" spans="2:13" x14ac:dyDescent="0.25">
      <c r="B18" s="103" t="s">
        <v>126</v>
      </c>
      <c r="C18" s="104"/>
      <c r="D18" s="104"/>
      <c r="E18" s="104"/>
      <c r="F18" s="109"/>
      <c r="I18" s="103" t="s">
        <v>126</v>
      </c>
      <c r="J18" s="104"/>
      <c r="K18" s="104"/>
      <c r="L18" s="104"/>
      <c r="M18" s="109"/>
    </row>
    <row r="19" spans="2:13" x14ac:dyDescent="0.25">
      <c r="B19" s="105" t="s">
        <v>127</v>
      </c>
      <c r="C19" s="106"/>
      <c r="D19" s="106"/>
      <c r="E19" s="106"/>
      <c r="F19" s="110"/>
      <c r="I19" s="105" t="s">
        <v>127</v>
      </c>
      <c r="J19" s="106"/>
      <c r="K19" s="106"/>
      <c r="L19" s="106"/>
      <c r="M19" s="110"/>
    </row>
    <row r="20" spans="2:13" x14ac:dyDescent="0.25">
      <c r="B20" s="105" t="s">
        <v>128</v>
      </c>
      <c r="C20" s="106"/>
      <c r="D20" s="106"/>
      <c r="E20" s="106"/>
      <c r="F20" s="110"/>
      <c r="I20" s="105" t="s">
        <v>128</v>
      </c>
      <c r="J20" s="106"/>
      <c r="K20" s="106"/>
      <c r="L20" s="106"/>
      <c r="M20" s="110"/>
    </row>
    <row r="21" spans="2:13" x14ac:dyDescent="0.25">
      <c r="B21" s="105" t="s">
        <v>3</v>
      </c>
      <c r="C21" s="106"/>
      <c r="D21" s="106"/>
      <c r="E21" s="106"/>
      <c r="F21" s="110"/>
      <c r="I21" s="105" t="s">
        <v>3</v>
      </c>
      <c r="J21" s="106"/>
      <c r="K21" s="106"/>
      <c r="L21" s="106"/>
      <c r="M21" s="110"/>
    </row>
    <row r="22" spans="2:13" x14ac:dyDescent="0.25">
      <c r="B22" s="105" t="s">
        <v>129</v>
      </c>
      <c r="C22" s="106"/>
      <c r="D22" s="106"/>
      <c r="E22" s="106"/>
      <c r="F22" s="110"/>
      <c r="I22" s="105" t="s">
        <v>129</v>
      </c>
      <c r="J22" s="106"/>
      <c r="K22" s="106"/>
      <c r="L22" s="106"/>
      <c r="M22" s="110"/>
    </row>
    <row r="23" spans="2:13" ht="15.75" thickBot="1" x14ac:dyDescent="0.3">
      <c r="B23" s="107" t="s">
        <v>130</v>
      </c>
      <c r="C23" s="108"/>
      <c r="D23" s="108"/>
      <c r="E23" s="108"/>
      <c r="F23" s="111"/>
      <c r="I23" s="107" t="s">
        <v>130</v>
      </c>
      <c r="J23" s="108"/>
      <c r="K23" s="108"/>
      <c r="L23" s="108"/>
      <c r="M23" s="111"/>
    </row>
    <row r="26" spans="2:13" ht="15.75" thickBot="1" x14ac:dyDescent="0.3"/>
    <row r="27" spans="2:13" ht="19.5" thickBot="1" x14ac:dyDescent="0.35">
      <c r="B27" s="97" t="s">
        <v>91</v>
      </c>
      <c r="C27" s="98"/>
      <c r="D27" s="98"/>
      <c r="E27" s="98"/>
      <c r="F27" s="99"/>
      <c r="I27" s="97" t="s">
        <v>90</v>
      </c>
      <c r="J27" s="98"/>
      <c r="K27" s="98"/>
      <c r="L27" s="98"/>
      <c r="M27" s="99"/>
    </row>
    <row r="28" spans="2:13" ht="16.5" thickBot="1" x14ac:dyDescent="0.3">
      <c r="B28" s="100" t="s">
        <v>133</v>
      </c>
      <c r="C28" s="101"/>
      <c r="D28" s="101"/>
      <c r="E28" s="101"/>
      <c r="F28" s="102"/>
      <c r="I28" s="100" t="s">
        <v>133</v>
      </c>
      <c r="J28" s="101"/>
      <c r="K28" s="101"/>
      <c r="L28" s="101"/>
      <c r="M28" s="102"/>
    </row>
    <row r="29" spans="2:13" ht="16.5" thickBot="1" x14ac:dyDescent="0.3">
      <c r="B29" s="100" t="s">
        <v>134</v>
      </c>
      <c r="C29" s="101"/>
      <c r="D29" s="101"/>
      <c r="E29" s="101"/>
      <c r="F29" s="102"/>
      <c r="I29" s="100" t="s">
        <v>135</v>
      </c>
      <c r="J29" s="101"/>
      <c r="K29" s="101"/>
      <c r="L29" s="101"/>
      <c r="M29" s="102"/>
    </row>
    <row r="30" spans="2:13" x14ac:dyDescent="0.25">
      <c r="B30" s="103" t="s">
        <v>126</v>
      </c>
      <c r="C30" s="104"/>
      <c r="D30" s="104"/>
      <c r="E30" s="104"/>
      <c r="F30" s="109"/>
      <c r="I30" s="103" t="s">
        <v>126</v>
      </c>
      <c r="J30" s="104"/>
      <c r="K30" s="104"/>
      <c r="L30" s="104"/>
      <c r="M30" s="109"/>
    </row>
    <row r="31" spans="2:13" x14ac:dyDescent="0.25">
      <c r="B31" s="105" t="s">
        <v>127</v>
      </c>
      <c r="C31" s="106"/>
      <c r="D31" s="106"/>
      <c r="E31" s="106"/>
      <c r="F31" s="110"/>
      <c r="I31" s="105" t="s">
        <v>127</v>
      </c>
      <c r="J31" s="106"/>
      <c r="K31" s="106"/>
      <c r="L31" s="106"/>
      <c r="M31" s="110"/>
    </row>
    <row r="32" spans="2:13" x14ac:dyDescent="0.25">
      <c r="B32" s="105" t="s">
        <v>128</v>
      </c>
      <c r="C32" s="106"/>
      <c r="D32" s="106"/>
      <c r="E32" s="106"/>
      <c r="F32" s="110"/>
      <c r="I32" s="105" t="s">
        <v>128</v>
      </c>
      <c r="J32" s="106"/>
      <c r="K32" s="106"/>
      <c r="L32" s="106"/>
      <c r="M32" s="110"/>
    </row>
    <row r="33" spans="2:13" x14ac:dyDescent="0.25">
      <c r="B33" s="105" t="s">
        <v>3</v>
      </c>
      <c r="C33" s="106"/>
      <c r="D33" s="106"/>
      <c r="E33" s="106"/>
      <c r="F33" s="110"/>
      <c r="I33" s="105" t="s">
        <v>3</v>
      </c>
      <c r="J33" s="106"/>
      <c r="K33" s="106"/>
      <c r="L33" s="106"/>
      <c r="M33" s="110"/>
    </row>
    <row r="34" spans="2:13" x14ac:dyDescent="0.25">
      <c r="B34" s="105" t="s">
        <v>129</v>
      </c>
      <c r="C34" s="106"/>
      <c r="D34" s="106"/>
      <c r="E34" s="106"/>
      <c r="F34" s="110"/>
      <c r="I34" s="105" t="s">
        <v>129</v>
      </c>
      <c r="J34" s="106"/>
      <c r="K34" s="106"/>
      <c r="L34" s="106"/>
      <c r="M34" s="110"/>
    </row>
    <row r="35" spans="2:13" ht="15.75" thickBot="1" x14ac:dyDescent="0.3">
      <c r="B35" s="107" t="s">
        <v>130</v>
      </c>
      <c r="C35" s="108"/>
      <c r="D35" s="108"/>
      <c r="E35" s="108"/>
      <c r="F35" s="111"/>
      <c r="I35" s="107" t="s">
        <v>130</v>
      </c>
      <c r="J35" s="108"/>
      <c r="K35" s="108"/>
      <c r="L35" s="108"/>
      <c r="M35" s="111"/>
    </row>
    <row r="38" spans="2:13" ht="15.75" thickBot="1" x14ac:dyDescent="0.3"/>
    <row r="39" spans="2:13" ht="19.5" thickBot="1" x14ac:dyDescent="0.35">
      <c r="B39" s="97" t="s">
        <v>96</v>
      </c>
      <c r="C39" s="98"/>
      <c r="D39" s="98"/>
      <c r="E39" s="98"/>
      <c r="F39" s="99"/>
      <c r="I39" s="97" t="s">
        <v>84</v>
      </c>
      <c r="J39" s="98"/>
      <c r="K39" s="98"/>
      <c r="L39" s="98"/>
      <c r="M39" s="99"/>
    </row>
    <row r="40" spans="2:13" ht="16.5" thickBot="1" x14ac:dyDescent="0.3">
      <c r="B40" s="100" t="s">
        <v>133</v>
      </c>
      <c r="C40" s="101"/>
      <c r="D40" s="101"/>
      <c r="E40" s="101"/>
      <c r="F40" s="102"/>
      <c r="I40" s="100" t="s">
        <v>133</v>
      </c>
      <c r="J40" s="101"/>
      <c r="K40" s="101"/>
      <c r="L40" s="101"/>
      <c r="M40" s="102"/>
    </row>
    <row r="41" spans="2:13" ht="16.5" thickBot="1" x14ac:dyDescent="0.3">
      <c r="B41" s="100" t="s">
        <v>136</v>
      </c>
      <c r="C41" s="101"/>
      <c r="D41" s="101"/>
      <c r="E41" s="101"/>
      <c r="F41" s="102"/>
      <c r="I41" s="100" t="s">
        <v>137</v>
      </c>
      <c r="J41" s="101"/>
      <c r="K41" s="101"/>
      <c r="L41" s="101"/>
      <c r="M41" s="102"/>
    </row>
    <row r="42" spans="2:13" x14ac:dyDescent="0.25">
      <c r="B42" s="103" t="s">
        <v>126</v>
      </c>
      <c r="C42" s="104"/>
      <c r="D42" s="104"/>
      <c r="E42" s="104"/>
      <c r="F42" s="109"/>
      <c r="I42" s="103" t="s">
        <v>126</v>
      </c>
      <c r="J42" s="104"/>
      <c r="K42" s="104"/>
      <c r="L42" s="104"/>
      <c r="M42" s="109"/>
    </row>
    <row r="43" spans="2:13" x14ac:dyDescent="0.25">
      <c r="B43" s="105" t="s">
        <v>127</v>
      </c>
      <c r="C43" s="106"/>
      <c r="D43" s="106"/>
      <c r="E43" s="106"/>
      <c r="F43" s="110"/>
      <c r="I43" s="105" t="s">
        <v>127</v>
      </c>
      <c r="J43" s="106"/>
      <c r="K43" s="106"/>
      <c r="L43" s="106"/>
      <c r="M43" s="110"/>
    </row>
    <row r="44" spans="2:13" x14ac:dyDescent="0.25">
      <c r="B44" s="105" t="s">
        <v>128</v>
      </c>
      <c r="C44" s="106"/>
      <c r="D44" s="106"/>
      <c r="E44" s="106"/>
      <c r="F44" s="110"/>
      <c r="I44" s="105" t="s">
        <v>128</v>
      </c>
      <c r="J44" s="106"/>
      <c r="K44" s="106"/>
      <c r="L44" s="106"/>
      <c r="M44" s="110"/>
    </row>
    <row r="45" spans="2:13" x14ac:dyDescent="0.25">
      <c r="B45" s="105" t="s">
        <v>3</v>
      </c>
      <c r="C45" s="106"/>
      <c r="D45" s="106"/>
      <c r="E45" s="106"/>
      <c r="F45" s="110"/>
      <c r="I45" s="105" t="s">
        <v>3</v>
      </c>
      <c r="J45" s="106"/>
      <c r="K45" s="106"/>
      <c r="L45" s="106"/>
      <c r="M45" s="110"/>
    </row>
    <row r="46" spans="2:13" x14ac:dyDescent="0.25">
      <c r="B46" s="105" t="s">
        <v>129</v>
      </c>
      <c r="C46" s="106"/>
      <c r="D46" s="106"/>
      <c r="E46" s="106"/>
      <c r="F46" s="110"/>
      <c r="I46" s="105" t="s">
        <v>129</v>
      </c>
      <c r="J46" s="106"/>
      <c r="K46" s="106"/>
      <c r="L46" s="106"/>
      <c r="M46" s="110"/>
    </row>
    <row r="47" spans="2:13" ht="15.75" thickBot="1" x14ac:dyDescent="0.3">
      <c r="B47" s="107" t="s">
        <v>130</v>
      </c>
      <c r="C47" s="108"/>
      <c r="D47" s="108"/>
      <c r="E47" s="108"/>
      <c r="F47" s="111"/>
      <c r="I47" s="107" t="s">
        <v>130</v>
      </c>
      <c r="J47" s="108"/>
      <c r="K47" s="108"/>
      <c r="L47" s="108"/>
      <c r="M47" s="111"/>
    </row>
    <row r="50" spans="2:13" ht="15.75" thickBot="1" x14ac:dyDescent="0.3"/>
    <row r="51" spans="2:13" ht="19.5" thickBot="1" x14ac:dyDescent="0.35">
      <c r="B51" s="97" t="s">
        <v>83</v>
      </c>
      <c r="C51" s="98"/>
      <c r="D51" s="98"/>
      <c r="E51" s="98"/>
      <c r="F51" s="99"/>
      <c r="I51" s="97" t="s">
        <v>98</v>
      </c>
      <c r="J51" s="98"/>
      <c r="K51" s="98"/>
      <c r="L51" s="98"/>
      <c r="M51" s="99"/>
    </row>
    <row r="52" spans="2:13" ht="16.5" thickBot="1" x14ac:dyDescent="0.3">
      <c r="B52" s="100" t="s">
        <v>133</v>
      </c>
      <c r="C52" s="101"/>
      <c r="D52" s="101"/>
      <c r="E52" s="101"/>
      <c r="F52" s="102"/>
      <c r="I52" s="100" t="s">
        <v>139</v>
      </c>
      <c r="J52" s="101"/>
      <c r="K52" s="101"/>
      <c r="L52" s="101"/>
      <c r="M52" s="102"/>
    </row>
    <row r="53" spans="2:13" ht="16.5" thickBot="1" x14ac:dyDescent="0.3">
      <c r="B53" s="100" t="s">
        <v>138</v>
      </c>
      <c r="C53" s="101"/>
      <c r="D53" s="101"/>
      <c r="E53" s="101"/>
      <c r="F53" s="102"/>
      <c r="I53" s="100" t="s">
        <v>140</v>
      </c>
      <c r="J53" s="101"/>
      <c r="K53" s="101"/>
      <c r="L53" s="101"/>
      <c r="M53" s="102"/>
    </row>
    <row r="54" spans="2:13" x14ac:dyDescent="0.25">
      <c r="B54" s="103" t="s">
        <v>126</v>
      </c>
      <c r="C54" s="104"/>
      <c r="D54" s="104"/>
      <c r="E54" s="104"/>
      <c r="F54" s="109"/>
      <c r="I54" s="103" t="s">
        <v>126</v>
      </c>
      <c r="J54" s="104"/>
      <c r="K54" s="104"/>
      <c r="L54" s="104"/>
      <c r="M54" s="109"/>
    </row>
    <row r="55" spans="2:13" x14ac:dyDescent="0.25">
      <c r="B55" s="105" t="s">
        <v>127</v>
      </c>
      <c r="C55" s="106"/>
      <c r="D55" s="106"/>
      <c r="E55" s="106"/>
      <c r="F55" s="110"/>
      <c r="I55" s="105" t="s">
        <v>127</v>
      </c>
      <c r="J55" s="106"/>
      <c r="K55" s="106"/>
      <c r="L55" s="106"/>
      <c r="M55" s="110"/>
    </row>
    <row r="56" spans="2:13" x14ac:dyDescent="0.25">
      <c r="B56" s="105" t="s">
        <v>128</v>
      </c>
      <c r="C56" s="106"/>
      <c r="D56" s="106"/>
      <c r="E56" s="106"/>
      <c r="F56" s="110"/>
      <c r="I56" s="105" t="s">
        <v>128</v>
      </c>
      <c r="J56" s="106"/>
      <c r="K56" s="106"/>
      <c r="L56" s="106"/>
      <c r="M56" s="110"/>
    </row>
    <row r="57" spans="2:13" x14ac:dyDescent="0.25">
      <c r="B57" s="105" t="s">
        <v>3</v>
      </c>
      <c r="C57" s="106"/>
      <c r="D57" s="106"/>
      <c r="E57" s="106"/>
      <c r="F57" s="110"/>
      <c r="I57" s="105" t="s">
        <v>3</v>
      </c>
      <c r="J57" s="106"/>
      <c r="K57" s="106"/>
      <c r="L57" s="106"/>
      <c r="M57" s="110"/>
    </row>
    <row r="58" spans="2:13" x14ac:dyDescent="0.25">
      <c r="B58" s="105" t="s">
        <v>129</v>
      </c>
      <c r="C58" s="106"/>
      <c r="D58" s="106"/>
      <c r="E58" s="106"/>
      <c r="F58" s="110"/>
      <c r="I58" s="105" t="s">
        <v>129</v>
      </c>
      <c r="J58" s="106"/>
      <c r="K58" s="106"/>
      <c r="L58" s="106"/>
      <c r="M58" s="110"/>
    </row>
    <row r="59" spans="2:13" ht="15.75" thickBot="1" x14ac:dyDescent="0.3">
      <c r="B59" s="107" t="s">
        <v>130</v>
      </c>
      <c r="C59" s="108"/>
      <c r="D59" s="108"/>
      <c r="E59" s="108"/>
      <c r="F59" s="111"/>
      <c r="I59" s="107" t="s">
        <v>130</v>
      </c>
      <c r="J59" s="108"/>
      <c r="K59" s="108"/>
      <c r="L59" s="108"/>
      <c r="M59" s="111"/>
    </row>
  </sheetData>
  <mergeCells count="121">
    <mergeCell ref="K59:M59"/>
    <mergeCell ref="I55:J55"/>
    <mergeCell ref="I56:J56"/>
    <mergeCell ref="I57:J57"/>
    <mergeCell ref="I58:J58"/>
    <mergeCell ref="I59:J59"/>
    <mergeCell ref="K54:M54"/>
    <mergeCell ref="K55:M55"/>
    <mergeCell ref="K56:M56"/>
    <mergeCell ref="K57:M57"/>
    <mergeCell ref="K58:M58"/>
    <mergeCell ref="B56:C56"/>
    <mergeCell ref="B57:C57"/>
    <mergeCell ref="B58:C58"/>
    <mergeCell ref="B59:C59"/>
    <mergeCell ref="D54:F54"/>
    <mergeCell ref="D55:F55"/>
    <mergeCell ref="D56:F56"/>
    <mergeCell ref="D57:F57"/>
    <mergeCell ref="D58:F58"/>
    <mergeCell ref="D59:F59"/>
    <mergeCell ref="B51:F51"/>
    <mergeCell ref="B52:F52"/>
    <mergeCell ref="B53:F53"/>
    <mergeCell ref="B54:C54"/>
    <mergeCell ref="B55:C55"/>
    <mergeCell ref="I51:M51"/>
    <mergeCell ref="I52:M52"/>
    <mergeCell ref="I53:M53"/>
    <mergeCell ref="I54:J54"/>
    <mergeCell ref="I44:J44"/>
    <mergeCell ref="I45:J45"/>
    <mergeCell ref="I46:J46"/>
    <mergeCell ref="I47:J47"/>
    <mergeCell ref="K42:M42"/>
    <mergeCell ref="K43:M43"/>
    <mergeCell ref="K44:M44"/>
    <mergeCell ref="K45:M45"/>
    <mergeCell ref="K46:M46"/>
    <mergeCell ref="K47:M47"/>
    <mergeCell ref="B44:C44"/>
    <mergeCell ref="B45:C45"/>
    <mergeCell ref="B46:C46"/>
    <mergeCell ref="B47:C47"/>
    <mergeCell ref="D42:F42"/>
    <mergeCell ref="D43:F43"/>
    <mergeCell ref="D44:F44"/>
    <mergeCell ref="D45:F45"/>
    <mergeCell ref="D46:F46"/>
    <mergeCell ref="D47:F47"/>
    <mergeCell ref="B39:F39"/>
    <mergeCell ref="B40:F40"/>
    <mergeCell ref="B41:F41"/>
    <mergeCell ref="B42:C42"/>
    <mergeCell ref="B43:C43"/>
    <mergeCell ref="I39:M39"/>
    <mergeCell ref="I40:M40"/>
    <mergeCell ref="I41:M41"/>
    <mergeCell ref="I42:J42"/>
    <mergeCell ref="I43:J43"/>
    <mergeCell ref="I32:J32"/>
    <mergeCell ref="I33:J33"/>
    <mergeCell ref="I34:J34"/>
    <mergeCell ref="I35:J35"/>
    <mergeCell ref="K30:M30"/>
    <mergeCell ref="K31:M31"/>
    <mergeCell ref="K32:M32"/>
    <mergeCell ref="K33:M33"/>
    <mergeCell ref="K34:M34"/>
    <mergeCell ref="K35:M35"/>
    <mergeCell ref="B32:C32"/>
    <mergeCell ref="B33:C33"/>
    <mergeCell ref="B34:C34"/>
    <mergeCell ref="B35:C35"/>
    <mergeCell ref="D30:F30"/>
    <mergeCell ref="D31:F31"/>
    <mergeCell ref="D32:F32"/>
    <mergeCell ref="D33:F33"/>
    <mergeCell ref="D34:F34"/>
    <mergeCell ref="D35:F35"/>
    <mergeCell ref="B27:F27"/>
    <mergeCell ref="B28:F28"/>
    <mergeCell ref="B29:F29"/>
    <mergeCell ref="B30:C30"/>
    <mergeCell ref="B31:C31"/>
    <mergeCell ref="I27:M27"/>
    <mergeCell ref="I28:M28"/>
    <mergeCell ref="I29:M29"/>
    <mergeCell ref="I30:J30"/>
    <mergeCell ref="I31:J31"/>
    <mergeCell ref="I20:J20"/>
    <mergeCell ref="I21:J21"/>
    <mergeCell ref="I22:J22"/>
    <mergeCell ref="I23:J23"/>
    <mergeCell ref="K18:M18"/>
    <mergeCell ref="K19:M19"/>
    <mergeCell ref="K20:M20"/>
    <mergeCell ref="K21:M21"/>
    <mergeCell ref="K22:M22"/>
    <mergeCell ref="K23:M23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2:M2"/>
    <mergeCell ref="B15:F15"/>
    <mergeCell ref="B16:F16"/>
    <mergeCell ref="B17:F17"/>
    <mergeCell ref="B18:C18"/>
    <mergeCell ref="B19:C19"/>
    <mergeCell ref="I15:M15"/>
    <mergeCell ref="I16:M16"/>
    <mergeCell ref="I17:M17"/>
    <mergeCell ref="I18:J18"/>
    <mergeCell ref="I19:J19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___Dropdown values</vt:lpstr>
      <vt:lpstr>Method</vt:lpstr>
      <vt:lpstr>Worklist</vt:lpstr>
      <vt:lpstr>TestLog</vt:lpstr>
      <vt:lpstr>PrepList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2021-11-30T21:51:30Z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