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F14D9A17-D780-4446-971B-4DEBF9FB7234}" xr6:coauthVersionLast="46" xr6:coauthVersionMax="46" xr10:uidLastSave="{00000000-0000-0000-0000-000000000000}"/>
  <bookViews>
    <workbookView xWindow="30750" yWindow="1950" windowWidth="21600" windowHeight="11385" firstSheet="1" activeTab="3" xr2:uid="{00000000-000D-0000-FFFF-FFFF00000000}"/>
  </bookViews>
  <sheets>
    <sheet name="___Dropdown values" sheetId="4" state="hidden" r:id="rId1"/>
    <sheet name="Building Blocks" sheetId="1" r:id="rId2"/>
    <sheet name="Method" sheetId="2" r:id="rId3"/>
    <sheet name="Worklist" sheetId="3" r:id="rId4"/>
    <sheet name="PrepList" sheetId="17" r:id="rId5"/>
    <sheet name="TestLog" sheetId="16" r:id="rId6"/>
    <sheet name="RunLog" sheetId="15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3" l="1"/>
  <c r="D171" i="2" l="1"/>
  <c r="D155" i="2"/>
  <c r="D163" i="2"/>
  <c r="D104" i="2"/>
  <c r="D112" i="2"/>
  <c r="D120" i="2"/>
  <c r="D128" i="2"/>
  <c r="D136" i="2"/>
  <c r="D96" i="2"/>
  <c r="D84" i="2"/>
  <c r="D72" i="2"/>
  <c r="D60" i="2"/>
  <c r="D48" i="2"/>
  <c r="D28" i="2"/>
  <c r="D36" i="2"/>
  <c r="D20" i="2"/>
  <c r="E177" i="2"/>
  <c r="E169" i="2"/>
  <c r="E161" i="2"/>
  <c r="E142" i="2"/>
  <c r="E134" i="2"/>
  <c r="E126" i="2"/>
  <c r="E118" i="2"/>
  <c r="E110" i="2"/>
  <c r="E102" i="2"/>
  <c r="E90" i="2"/>
  <c r="E78" i="2"/>
  <c r="E54" i="2"/>
  <c r="E34" i="2"/>
  <c r="E42" i="2"/>
  <c r="E66" i="2"/>
  <c r="E26" i="2"/>
  <c r="E18" i="2"/>
  <c r="E173" i="2" l="1"/>
  <c r="E172" i="2"/>
  <c r="E165" i="2"/>
  <c r="E164" i="2"/>
  <c r="E157" i="2"/>
  <c r="E156" i="2"/>
  <c r="E152" i="2"/>
  <c r="E149" i="2"/>
  <c r="E138" i="2"/>
  <c r="E137" i="2"/>
  <c r="E130" i="2"/>
  <c r="E129" i="2"/>
  <c r="E122" i="2"/>
  <c r="E121" i="2"/>
  <c r="E114" i="2"/>
  <c r="E113" i="2"/>
  <c r="E106" i="2"/>
  <c r="E105" i="2"/>
  <c r="E98" i="2"/>
  <c r="E97" i="2"/>
  <c r="E86" i="2"/>
  <c r="E74" i="2"/>
  <c r="E62" i="2"/>
  <c r="E50" i="2"/>
  <c r="E38" i="2"/>
  <c r="E37" i="2"/>
  <c r="E30" i="2"/>
  <c r="E29" i="2"/>
  <c r="E22" i="2"/>
  <c r="E21" i="2"/>
  <c r="E13" i="2"/>
  <c r="A2" i="3" l="1"/>
</calcChain>
</file>

<file path=xl/sharedStrings.xml><?xml version="1.0" encoding="utf-8"?>
<sst xmlns="http://schemas.openxmlformats.org/spreadsheetml/2006/main" count="2596" uniqueCount="451">
  <si>
    <t>Liquid Transfer</t>
  </si>
  <si>
    <t>Name</t>
  </si>
  <si>
    <t>Plate</t>
  </si>
  <si>
    <t>Diluent</t>
  </si>
  <si>
    <t>Split Plate</t>
  </si>
  <si>
    <t>Desalt</t>
  </si>
  <si>
    <t>Starting Concentration (mg/mL)</t>
  </si>
  <si>
    <t>Target Concentration (mg/mL)</t>
  </si>
  <si>
    <t>Start Method Below</t>
  </si>
  <si>
    <t>Time (min)</t>
  </si>
  <si>
    <t>Target Volume (uL)</t>
  </si>
  <si>
    <t>Volume (uL)</t>
  </si>
  <si>
    <t>Temp (C)</t>
  </si>
  <si>
    <t>Enzyme</t>
  </si>
  <si>
    <t>Comments</t>
  </si>
  <si>
    <t>Dilute</t>
  </si>
  <si>
    <t>Description</t>
  </si>
  <si>
    <t>Shake (rpm)</t>
  </si>
  <si>
    <t>Notify</t>
  </si>
  <si>
    <t>Subject</t>
  </si>
  <si>
    <t>Message</t>
  </si>
  <si>
    <t>Plate Choice</t>
  </si>
  <si>
    <t>Type</t>
  </si>
  <si>
    <t>Building Block Enable Disable Options</t>
  </si>
  <si>
    <t>DISABLED: Liquid Transfer</t>
  </si>
  <si>
    <t>DISABLED: Dilute</t>
  </si>
  <si>
    <t>DISABLED: Desalt</t>
  </si>
  <si>
    <t>DISABLED: Notify</t>
  </si>
  <si>
    <t>Plate Types</t>
  </si>
  <si>
    <t>Waters TRV 48 Well Rack</t>
  </si>
  <si>
    <t>Sample #</t>
  </si>
  <si>
    <t>96 Well PCR Plate</t>
  </si>
  <si>
    <t>Plate Name 1</t>
  </si>
  <si>
    <t>Plate Name 2</t>
  </si>
  <si>
    <t>Equilibration Buffer</t>
  </si>
  <si>
    <t>Source</t>
  </si>
  <si>
    <t>Incubate</t>
  </si>
  <si>
    <t>DISABLED: Incubate</t>
  </si>
  <si>
    <t>Mix?</t>
  </si>
  <si>
    <t>Yes</t>
  </si>
  <si>
    <t>No</t>
  </si>
  <si>
    <t>Vacuum</t>
  </si>
  <si>
    <t>This plate is always included. Method workflow requires the samples start in a 96well plate (For Now)</t>
  </si>
  <si>
    <t>Cooler Store</t>
  </si>
  <si>
    <t>DISABLED: Cooler Store</t>
  </si>
  <si>
    <t>_SampleSequence</t>
  </si>
  <si>
    <t>Wait On User</t>
  </si>
  <si>
    <t>Yes / No</t>
  </si>
  <si>
    <t>Finish</t>
  </si>
  <si>
    <t>Storage Condition</t>
  </si>
  <si>
    <t>Desalting Volume</t>
  </si>
  <si>
    <t>Liquid Type</t>
  </si>
  <si>
    <t>Wait</t>
  </si>
  <si>
    <t>Starstedt 56 Well Rack 2mL</t>
  </si>
  <si>
    <t>DISABLED: Wait</t>
  </si>
  <si>
    <t>Starstedt 56 Well Rack 500uL</t>
  </si>
  <si>
    <t>Ambient</t>
  </si>
  <si>
    <t>Cold</t>
  </si>
  <si>
    <t>General Reagent</t>
  </si>
  <si>
    <t>Reductant</t>
  </si>
  <si>
    <t>Alkylant</t>
  </si>
  <si>
    <t>Quench</t>
  </si>
  <si>
    <t>Buffer/Diluent</t>
  </si>
  <si>
    <t>Denaturant</t>
  </si>
  <si>
    <t>SizeX:100</t>
  </si>
  <si>
    <t>SizeX:100,SizeX:100</t>
  </si>
  <si>
    <t>Pressure Difference (mTorr)</t>
  </si>
  <si>
    <t>``</t>
  </si>
  <si>
    <t>Aliquot</t>
  </si>
  <si>
    <t>Start Position</t>
  </si>
  <si>
    <t>Starting Position</t>
  </si>
  <si>
    <t>Sample Start Position</t>
  </si>
  <si>
    <t>Plate Start Position (A1)</t>
  </si>
  <si>
    <t>Pool</t>
  </si>
  <si>
    <t>Pathways</t>
  </si>
  <si>
    <t>Actions</t>
  </si>
  <si>
    <t>Modifiers</t>
  </si>
  <si>
    <t>Aspirate Location</t>
  </si>
  <si>
    <t>Dispense Location</t>
  </si>
  <si>
    <t>Vacuum Plate</t>
  </si>
  <si>
    <t>Normal</t>
  </si>
  <si>
    <t>Vacuum Options</t>
  </si>
  <si>
    <t>Low</t>
  </si>
  <si>
    <t>High</t>
  </si>
  <si>
    <t>Manual (Remove validation then enter custom value)</t>
  </si>
  <si>
    <t>Vacuum Plates</t>
  </si>
  <si>
    <t>0.45um Self Poured ProA Plate</t>
  </si>
  <si>
    <t>Pre Vacuum Wait (min)</t>
  </si>
  <si>
    <t>Vacuum Time (min)</t>
  </si>
  <si>
    <t>Preload Liquid</t>
  </si>
  <si>
    <t>Volume</t>
  </si>
  <si>
    <t>Max Source Volume (uL)</t>
  </si>
  <si>
    <t>EQ Buffer 1</t>
  </si>
  <si>
    <t>EQ Buffer 1 Vol</t>
  </si>
  <si>
    <t>EQ Buffer 2</t>
  </si>
  <si>
    <t>EQ Buffer 2 Vol</t>
  </si>
  <si>
    <t>EQ Buffer 3</t>
  </si>
  <si>
    <t>EQ Buffer 3 Vol</t>
  </si>
  <si>
    <t>Wash Buffer 1</t>
  </si>
  <si>
    <t>Wash Buffer 1 Vol</t>
  </si>
  <si>
    <t>Wash Buffer 2</t>
  </si>
  <si>
    <t>Wash Buffer 2 Vol</t>
  </si>
  <si>
    <t>Wash Buffer 3</t>
  </si>
  <si>
    <t>Wash Buffer 3 Vol</t>
  </si>
  <si>
    <t>Wash Buffer 4</t>
  </si>
  <si>
    <t>Wash Buffer 4 Vol</t>
  </si>
  <si>
    <t>Wash Buffer 5</t>
  </si>
  <si>
    <t>Wash Buffer 5 Vol</t>
  </si>
  <si>
    <t>Wash Buffer 6</t>
  </si>
  <si>
    <t>Wash Buffer 6 Vol</t>
  </si>
  <si>
    <t>Neutralization Buffer</t>
  </si>
  <si>
    <t>Neutralization Buffer Vol</t>
  </si>
  <si>
    <t>Elution Buffer 1</t>
  </si>
  <si>
    <t>Elution Buffer 1 Vol</t>
  </si>
  <si>
    <t>Elution Buffer 2</t>
  </si>
  <si>
    <t>Elution Buffer 2 Vol</t>
  </si>
  <si>
    <t>Elution Buffer 3</t>
  </si>
  <si>
    <t>Elution Buffer 3 Vol</t>
  </si>
  <si>
    <t>This step will remove the storage buffer from the plate. No liquid transfer will occur</t>
  </si>
  <si>
    <t>Start EQ Buffer Run</t>
  </si>
  <si>
    <t>End EQ Buffer run</t>
  </si>
  <si>
    <t>Start Sample Binding run</t>
  </si>
  <si>
    <t>End Sample Binding run</t>
  </si>
  <si>
    <t>Load Vol 1</t>
  </si>
  <si>
    <t>Load Vol 2</t>
  </si>
  <si>
    <t>Load Vol 3</t>
  </si>
  <si>
    <t>Load Vol 4</t>
  </si>
  <si>
    <t>ProA Digestion Complete</t>
  </si>
  <si>
    <t>Hello, Your ProA Run is complete. Please remove the collection plate.</t>
  </si>
  <si>
    <t>Start Wash Run</t>
  </si>
  <si>
    <t>End Wash Buffer run</t>
  </si>
  <si>
    <t>Start Elution Run</t>
  </si>
  <si>
    <t>End Elution Buffer run</t>
  </si>
  <si>
    <t>Sample</t>
  </si>
  <si>
    <t>Waste 1</t>
  </si>
  <si>
    <t>Waste 2</t>
  </si>
  <si>
    <t>Collection</t>
  </si>
  <si>
    <t>Processing</t>
  </si>
  <si>
    <t>50mM Tris, 0.15M NaCl, pH 7.5</t>
  </si>
  <si>
    <t>S154683</t>
  </si>
  <si>
    <t>S154684</t>
  </si>
  <si>
    <t>0.5 CaCl2, 50mM Tris, pH 7.5</t>
  </si>
  <si>
    <t>10mM Tris, 10mM NaCl, pH 7.5</t>
  </si>
  <si>
    <t>1M Tris, pH 9.0</t>
  </si>
  <si>
    <t>150mM Glycine, pH 3.5</t>
  </si>
  <si>
    <t>Step Title: Plate</t>
  </si>
  <si>
    <t>Excel Location (Row,Col): (7,3)</t>
  </si>
  <si>
    <t>Name: Waste 1</t>
  </si>
  <si>
    <t>Type: 96 Well PCR Plate</t>
  </si>
  <si>
    <t>Test</t>
  </si>
  <si>
    <t>Step Title: Vacuum</t>
  </si>
  <si>
    <t>Excel Location (Row,Col): (11,3)</t>
  </si>
  <si>
    <t>Source: Waste 1</t>
  </si>
  <si>
    <t>Volume (uL): 0.0</t>
  </si>
  <si>
    <t>Vacuum Plate: 0.45um Self Poured ProA Plate</t>
  </si>
  <si>
    <t>Pre Vacuum Wait (min): 5.0</t>
  </si>
  <si>
    <t>Pressure Difference (mTorr): Normal</t>
  </si>
  <si>
    <t>Vacuum Time (min): 5.5</t>
  </si>
  <si>
    <t>Number of sequences is zero so no liquid transfer will actually occur.</t>
  </si>
  <si>
    <t>[Timer]</t>
  </si>
  <si>
    <t>[Start]</t>
  </si>
  <si>
    <t>[Time]</t>
  </si>
  <si>
    <t>##3.2##</t>
  </si>
  <si>
    <t>[Wait]</t>
  </si>
  <si>
    <t>##3.3##</t>
  </si>
  <si>
    <t>[Vacuum]</t>
  </si>
  <si>
    <t>[Pressure]</t>
  </si>
  <si>
    <t>##3.4##</t>
  </si>
  <si>
    <t>Excel Location (Row,Col): (19,3)</t>
  </si>
  <si>
    <t xml:space="preserve">Source: EQ Buffer 1 (Worklist Column) </t>
  </si>
  <si>
    <t xml:space="preserve">Volume (uL): EQ Buffer 1 Vol (Worklist Column) </t>
  </si>
  <si>
    <t>Vacuum Time (min): 4.125</t>
  </si>
  <si>
    <t>[Pipette]</t>
  </si>
  <si>
    <t>[Destination]</t>
  </si>
  <si>
    <t>_Vacuum_ProASelfPoured045um</t>
  </si>
  <si>
    <t>[DestinationPosition]</t>
  </si>
  <si>
    <t>[Source]</t>
  </si>
  <si>
    <t>[SourcePosition]</t>
  </si>
  <si>
    <t>[TransferVolume]</t>
  </si>
  <si>
    <t>[DestinationHeight]</t>
  </si>
  <si>
    <t>[Total]</t>
  </si>
  <si>
    <t>[Mix]</t>
  </si>
  <si>
    <t>N/A</t>
  </si>
  <si>
    <t>##4.1##</t>
  </si>
  <si>
    <t>##4.2##</t>
  </si>
  <si>
    <t>##4.3##</t>
  </si>
  <si>
    <t>##4.4##</t>
  </si>
  <si>
    <t>Excel Location (Row,Col): (27,3)</t>
  </si>
  <si>
    <t xml:space="preserve">Source: EQ Buffer 2 (Worklist Column) </t>
  </si>
  <si>
    <t xml:space="preserve">Volume (uL): EQ Buffer 2 Vol (Worklist Column) </t>
  </si>
  <si>
    <t>##5.1##</t>
  </si>
  <si>
    <t>##5.2##</t>
  </si>
  <si>
    <t>##5.3##</t>
  </si>
  <si>
    <t>##5.4##</t>
  </si>
  <si>
    <t>Excel Location (Row,Col): (43,3)</t>
  </si>
  <si>
    <t>Name: Processing</t>
  </si>
  <si>
    <t>Excel Location (Row,Col): (47,3)</t>
  </si>
  <si>
    <t>Source: Sample</t>
  </si>
  <si>
    <t xml:space="preserve">Volume (uL): Load Vol 1 (Worklist Column) </t>
  </si>
  <si>
    <t>Vacuum Time (min): 3.3373786407766994</t>
  </si>
  <si>
    <t>##7.1##</t>
  </si>
  <si>
    <t>##7.2##</t>
  </si>
  <si>
    <t>##7.3##</t>
  </si>
  <si>
    <t>##7.4##</t>
  </si>
  <si>
    <t>Excel Location (Row,Col): (55,3)</t>
  </si>
  <si>
    <t>Name: Sample</t>
  </si>
  <si>
    <t>Excel Location (Row,Col): (59,3)</t>
  </si>
  <si>
    <t>Source: Processing</t>
  </si>
  <si>
    <t xml:space="preserve">Volume (uL): Load Vol 2 (Worklist Column) </t>
  </si>
  <si>
    <t>##9.1##</t>
  </si>
  <si>
    <t>##9.2##</t>
  </si>
  <si>
    <t>##9.3##</t>
  </si>
  <si>
    <t>##9.4##</t>
  </si>
  <si>
    <t>Excel Location (Row,Col): (67,3)</t>
  </si>
  <si>
    <t>Excel Location (Row,Col): (71,3)</t>
  </si>
  <si>
    <t xml:space="preserve">Volume (uL): Load Vol 3 (Worklist Column) </t>
  </si>
  <si>
    <t>##11.1##</t>
  </si>
  <si>
    <t>##11.2##</t>
  </si>
  <si>
    <t>##11.3##</t>
  </si>
  <si>
    <t>##11.4##</t>
  </si>
  <si>
    <t>Excel Location (Row,Col): (79,3)</t>
  </si>
  <si>
    <t>Excel Location (Row,Col): (83,3)</t>
  </si>
  <si>
    <t xml:space="preserve">Volume (uL): Load Vol 4 (Worklist Column) </t>
  </si>
  <si>
    <t>##13.1##</t>
  </si>
  <si>
    <t>##13.2##</t>
  </si>
  <si>
    <t>##13.3##</t>
  </si>
  <si>
    <t>##13.4##</t>
  </si>
  <si>
    <t>Excel Location (Row,Col): (91,3)</t>
  </si>
  <si>
    <t>Name: Waste 2</t>
  </si>
  <si>
    <t>Excel Location (Row,Col): (95,3)</t>
  </si>
  <si>
    <t xml:space="preserve">Source: Wash Buffer 1 (Worklist Column) </t>
  </si>
  <si>
    <t xml:space="preserve">Volume (uL): Wash Buffer 1 Vol (Worklist Column) </t>
  </si>
  <si>
    <t>Vacuum Time (min): 1.03125</t>
  </si>
  <si>
    <t>##15.1##</t>
  </si>
  <si>
    <t>##15.2##</t>
  </si>
  <si>
    <t>##15.3##</t>
  </si>
  <si>
    <t>##15.4##</t>
  </si>
  <si>
    <t>Excel Location (Row,Col): (103,3)</t>
  </si>
  <si>
    <t xml:space="preserve">Source: Wash Buffer 2 (Worklist Column) </t>
  </si>
  <si>
    <t xml:space="preserve">Volume (uL): Wash Buffer 2 Vol (Worklist Column) </t>
  </si>
  <si>
    <t>##16.1##</t>
  </si>
  <si>
    <t>##16.2##</t>
  </si>
  <si>
    <t>##16.3##</t>
  </si>
  <si>
    <t>##16.4##</t>
  </si>
  <si>
    <t>Excel Location (Row,Col): (111,3)</t>
  </si>
  <si>
    <t xml:space="preserve">Source: Wash Buffer 3 (Worklist Column) </t>
  </si>
  <si>
    <t xml:space="preserve">Volume (uL): Wash Buffer 3 Vol (Worklist Column) </t>
  </si>
  <si>
    <t>##17.1##</t>
  </si>
  <si>
    <t>##17.2##</t>
  </si>
  <si>
    <t>##17.3##</t>
  </si>
  <si>
    <t>##17.4##</t>
  </si>
  <si>
    <t>Excel Location (Row,Col): (119,3)</t>
  </si>
  <si>
    <t xml:space="preserve">Source: Wash Buffer 4 (Worklist Column) </t>
  </si>
  <si>
    <t xml:space="preserve">Volume (uL): Wash Buffer 4 Vol (Worklist Column) </t>
  </si>
  <si>
    <t>##18.1##</t>
  </si>
  <si>
    <t>##18.2##</t>
  </si>
  <si>
    <t>##18.3##</t>
  </si>
  <si>
    <t>##18.4##</t>
  </si>
  <si>
    <t>Excel Location (Row,Col): (127,3)</t>
  </si>
  <si>
    <t xml:space="preserve">Source: Wash Buffer 5 (Worklist Column) </t>
  </si>
  <si>
    <t xml:space="preserve">Volume (uL): Wash Buffer 5 Vol (Worklist Column) </t>
  </si>
  <si>
    <t>##19.1##</t>
  </si>
  <si>
    <t>##19.2##</t>
  </si>
  <si>
    <t>##19.3##</t>
  </si>
  <si>
    <t>##19.4##</t>
  </si>
  <si>
    <t>Excel Location (Row,Col): (135,3)</t>
  </si>
  <si>
    <t xml:space="preserve">Source: Wash Buffer 6 (Worklist Column) </t>
  </si>
  <si>
    <t xml:space="preserve">Volume (uL): Wash Buffer 6 Vol (Worklist Column) </t>
  </si>
  <si>
    <t>##20.1##</t>
  </si>
  <si>
    <t>##20.2##</t>
  </si>
  <si>
    <t>##20.3##</t>
  </si>
  <si>
    <t>##20.4##</t>
  </si>
  <si>
    <t>Excel Location (Row,Col): (143,3)</t>
  </si>
  <si>
    <t>Name: Collection</t>
  </si>
  <si>
    <t>Step Title: Liquid Transfer</t>
  </si>
  <si>
    <t>Excel Location (Row,Col): (147,3)</t>
  </si>
  <si>
    <t xml:space="preserve">Source: Neutralization Buffer (Worklist Column) </t>
  </si>
  <si>
    <t>Liquid Type: General Reagent</t>
  </si>
  <si>
    <t>Storage Condition: Ambient</t>
  </si>
  <si>
    <t xml:space="preserve">Volume (uL): Neutralization Buffer Vol (Worklist Column) </t>
  </si>
  <si>
    <t>Mix?: No</t>
  </si>
  <si>
    <t>##22.1##</t>
  </si>
  <si>
    <t>Excel Location (Row,Col): (154,3)</t>
  </si>
  <si>
    <t xml:space="preserve">Source: Elution Buffer 1 (Worklist Column) </t>
  </si>
  <si>
    <t xml:space="preserve">Volume (uL): Elution Buffer 1 Vol (Worklist Column) </t>
  </si>
  <si>
    <t>##23.1##</t>
  </si>
  <si>
    <t>##23.2##</t>
  </si>
  <si>
    <t>##23.3##</t>
  </si>
  <si>
    <t>##23.4##</t>
  </si>
  <si>
    <t>Excel Location (Row,Col): (162,3)</t>
  </si>
  <si>
    <t xml:space="preserve">Source: Elution Buffer 2 (Worklist Column) </t>
  </si>
  <si>
    <t xml:space="preserve">Volume (uL): Elution Buffer 2 Vol (Worklist Column) </t>
  </si>
  <si>
    <t>##24.1##</t>
  </si>
  <si>
    <t>##24.2##</t>
  </si>
  <si>
    <t>##24.3##</t>
  </si>
  <si>
    <t>##24.4##</t>
  </si>
  <si>
    <t>Excel Location (Row,Col): (170,3)</t>
  </si>
  <si>
    <t xml:space="preserve">Source: Elution Buffer 3 (Worklist Column) </t>
  </si>
  <si>
    <t xml:space="preserve">Volume (uL): Elution Buffer 3 Vol (Worklist Column) </t>
  </si>
  <si>
    <t>##25.1##</t>
  </si>
  <si>
    <t>##25.2##</t>
  </si>
  <si>
    <t>##25.3##</t>
  </si>
  <si>
    <t>##25.4##</t>
  </si>
  <si>
    <t>Step Title: Notify</t>
  </si>
  <si>
    <t>Excel Location (Row,Col): (178,3)</t>
  </si>
  <si>
    <t>Wait On User: Yes</t>
  </si>
  <si>
    <t>Subject: ProA Digestion Complete</t>
  </si>
  <si>
    <t>Message: Hello, Your ProA Run is complete. Please remove the collection plate.</t>
  </si>
  <si>
    <t>[Notify]</t>
  </si>
  <si>
    <t>[SendMessage]</t>
  </si>
  <si>
    <t>[Subject]</t>
  </si>
  <si>
    <t>[Message]</t>
  </si>
  <si>
    <t>##26.1##</t>
  </si>
  <si>
    <t>Step Title: Finish</t>
  </si>
  <si>
    <t>Excel Location (Row,Col): (183,3)</t>
  </si>
  <si>
    <t>Collection plate deactivated</t>
  </si>
  <si>
    <t>[Transfer]</t>
  </si>
  <si>
    <t>Sample: 2000uL Corning 96 Well PCR Plate</t>
  </si>
  <si>
    <t>15mL Centrifuge Tube</t>
  </si>
  <si>
    <t>Reagent</t>
  </si>
  <si>
    <t>Reagent Lot</t>
  </si>
  <si>
    <t>Reagent Volume</t>
  </si>
  <si>
    <t>Diluent Lot</t>
  </si>
  <si>
    <t>Diluent Volume</t>
  </si>
  <si>
    <t>Hamilton 1.5mL FlipTube</t>
  </si>
  <si>
    <t>[Transport]</t>
  </si>
  <si>
    <t>[Move]</t>
  </si>
  <si>
    <t>Carrier14_Pos1_96WellPCRPlate2000uL_1mLChannel</t>
  </si>
  <si>
    <t>_Vacuum_96WellPCRPlate2000uL</t>
  </si>
  <si>
    <t>[Open]</t>
  </si>
  <si>
    <t>[Close]</t>
  </si>
  <si>
    <t>[Eject]</t>
  </si>
  <si>
    <t>[Check]</t>
  </si>
  <si>
    <t>##3.1##</t>
  </si>
  <si>
    <t>_Vacuum_ManifoldHome</t>
  </si>
  <si>
    <t>_Vacuum_Manifold</t>
  </si>
  <si>
    <t>##3.5##</t>
  </si>
  <si>
    <t>##3.6##</t>
  </si>
  <si>
    <t>##3.7##</t>
  </si>
  <si>
    <t>##3.8##</t>
  </si>
  <si>
    <t>C1</t>
  </si>
  <si>
    <t>##4.5##</t>
  </si>
  <si>
    <t>##4.6##</t>
  </si>
  <si>
    <t>##4.7##</t>
  </si>
  <si>
    <t>##4.8##</t>
  </si>
  <si>
    <t>##5.5##</t>
  </si>
  <si>
    <t>##5.6##</t>
  </si>
  <si>
    <t>##5.7##</t>
  </si>
  <si>
    <t>##5.8##</t>
  </si>
  <si>
    <t>Carrier14_Pos2_96WellPCRPlate2000uL_1mLChannel</t>
  </si>
  <si>
    <t>Carrier38_Pos1_96WellPCRPlate2000uL_1mLChannel</t>
  </si>
  <si>
    <t>##7.5##</t>
  </si>
  <si>
    <t>##7.6##</t>
  </si>
  <si>
    <t>##7.7##</t>
  </si>
  <si>
    <t>##7.8##</t>
  </si>
  <si>
    <t>##9.5##</t>
  </si>
  <si>
    <t>##9.6##</t>
  </si>
  <si>
    <t>##9.7##</t>
  </si>
  <si>
    <t>##9.8##</t>
  </si>
  <si>
    <t>##11.5##</t>
  </si>
  <si>
    <t>##11.6##</t>
  </si>
  <si>
    <t>##11.7##</t>
  </si>
  <si>
    <t>##11.8##</t>
  </si>
  <si>
    <t>##13.5##</t>
  </si>
  <si>
    <t>##13.6##</t>
  </si>
  <si>
    <t>##13.7##</t>
  </si>
  <si>
    <t>##13.8##</t>
  </si>
  <si>
    <t>Carrier14_Pos3_96WellPCRPlate2000uL_1mLChannel</t>
  </si>
  <si>
    <t>##15.5##</t>
  </si>
  <si>
    <t>##15.6##</t>
  </si>
  <si>
    <t>##15.7##</t>
  </si>
  <si>
    <t>##15.8##</t>
  </si>
  <si>
    <t>F1</t>
  </si>
  <si>
    <t>##16.5##</t>
  </si>
  <si>
    <t>##16.6##</t>
  </si>
  <si>
    <t>##16.7##</t>
  </si>
  <si>
    <t>##16.8##</t>
  </si>
  <si>
    <t>##17.5##</t>
  </si>
  <si>
    <t>##17.6##</t>
  </si>
  <si>
    <t>##17.7##</t>
  </si>
  <si>
    <t>##17.8##</t>
  </si>
  <si>
    <t>F2</t>
  </si>
  <si>
    <t>##18.5##</t>
  </si>
  <si>
    <t>##18.6##</t>
  </si>
  <si>
    <t>##18.7##</t>
  </si>
  <si>
    <t>##18.8##</t>
  </si>
  <si>
    <t>##19.5##</t>
  </si>
  <si>
    <t>##19.6##</t>
  </si>
  <si>
    <t>##19.7##</t>
  </si>
  <si>
    <t>##19.8##</t>
  </si>
  <si>
    <t>##20.5##</t>
  </si>
  <si>
    <t>##20.6##</t>
  </si>
  <si>
    <t>##20.7##</t>
  </si>
  <si>
    <t>##20.8##</t>
  </si>
  <si>
    <t>Carrier14_Pos4_96WellPCRPlate2000uL_1mLChannel</t>
  </si>
  <si>
    <t>F3</t>
  </si>
  <si>
    <t>F4</t>
  </si>
  <si>
    <t>##23.5##</t>
  </si>
  <si>
    <t>##23.6##</t>
  </si>
  <si>
    <t>##23.7##</t>
  </si>
  <si>
    <t>##23.8##</t>
  </si>
  <si>
    <t>##24.5##</t>
  </si>
  <si>
    <t>##24.6##</t>
  </si>
  <si>
    <t>##24.7##</t>
  </si>
  <si>
    <t>##24.8##</t>
  </si>
  <si>
    <t>##25.5##</t>
  </si>
  <si>
    <t>##25.6##</t>
  </si>
  <si>
    <t>##25.7##</t>
  </si>
  <si>
    <t>##25.8##</t>
  </si>
  <si>
    <t>[StatusUpdate]</t>
  </si>
  <si>
    <t>[AppendText]</t>
  </si>
  <si>
    <t xml:space="preserve">Transfering 0.0 uL of General Reagent to _Vacuum_ProASelfPoured045um plate </t>
  </si>
  <si>
    <t>##3.0##</t>
  </si>
  <si>
    <t xml:space="preserve">Transfering EQ Buffer 1 Vol uL of General Reagent to _Vacuum_ProASelfPoured045um plate </t>
  </si>
  <si>
    <t>##4.0##</t>
  </si>
  <si>
    <t xml:space="preserve">Transfering EQ Buffer 2 Vol uL of General Reagent to _Vacuum_ProASelfPoured045um plate </t>
  </si>
  <si>
    <t>##5.0##</t>
  </si>
  <si>
    <t xml:space="preserve">Transfering Load Vol 1 uL of General Reagent to _Vacuum_ProASelfPoured045um plate </t>
  </si>
  <si>
    <t>##7.0##</t>
  </si>
  <si>
    <t xml:space="preserve">Transfering Load Vol 2 uL of General Reagent to _Vacuum_ProASelfPoured045um plate </t>
  </si>
  <si>
    <t>##9.0##</t>
  </si>
  <si>
    <t xml:space="preserve">Transfering Load Vol 3 uL of General Reagent to _Vacuum_ProASelfPoured045um plate </t>
  </si>
  <si>
    <t>##11.0##</t>
  </si>
  <si>
    <t xml:space="preserve">Transfering Load Vol 4 uL of General Reagent to _Vacuum_ProASelfPoured045um plate </t>
  </si>
  <si>
    <t>##13.0##</t>
  </si>
  <si>
    <t xml:space="preserve">Transfering Wash Buffer 1 Vol uL of General Reagent to _Vacuum_ProASelfPoured045um plate </t>
  </si>
  <si>
    <t>##15.0##</t>
  </si>
  <si>
    <t xml:space="preserve">Transfering Wash Buffer 2 Vol uL of General Reagent to _Vacuum_ProASelfPoured045um plate </t>
  </si>
  <si>
    <t>##16.0##</t>
  </si>
  <si>
    <t xml:space="preserve">Transfering Wash Buffer 3 Vol uL of General Reagent to _Vacuum_ProASelfPoured045um plate </t>
  </si>
  <si>
    <t>##17.0##</t>
  </si>
  <si>
    <t xml:space="preserve">Transfering Wash Buffer 4 Vol uL of General Reagent to _Vacuum_ProASelfPoured045um plate </t>
  </si>
  <si>
    <t>##18.0##</t>
  </si>
  <si>
    <t xml:space="preserve">Transfering Wash Buffer 5 Vol uL of General Reagent to _Vacuum_ProASelfPoured045um plate </t>
  </si>
  <si>
    <t>##19.0##</t>
  </si>
  <si>
    <t xml:space="preserve">Transfering Wash Buffer 6 Vol uL of General Reagent to _Vacuum_ProASelfPoured045um plate </t>
  </si>
  <si>
    <t>##20.0##</t>
  </si>
  <si>
    <t xml:space="preserve">Transfering Neutralization Buffer Vol uL of General Reagent to Collection plate </t>
  </si>
  <si>
    <t>##22.0##</t>
  </si>
  <si>
    <t xml:space="preserve">Transfering Elution Buffer 1 Vol uL of General Reagent to _Vacuum_ProASelfPoured045um plate </t>
  </si>
  <si>
    <t>##23.0##</t>
  </si>
  <si>
    <t xml:space="preserve">Transfering Elution Buffer 2 Vol uL of General Reagent to _Vacuum_ProASelfPoured045um plate </t>
  </si>
  <si>
    <t>##24.0##</t>
  </si>
  <si>
    <t xml:space="preserve">Transfering Elution Buffer 3 Vol uL of General Reagent to _Vacuum_ProASelfPoured045um plate </t>
  </si>
  <si>
    <t>##25.0##</t>
  </si>
  <si>
    <t>Minimum Volume: 3200.0uL</t>
  </si>
  <si>
    <t>Minimum Volume: 750.0uL</t>
  </si>
  <si>
    <t>Minimum Volume: 1050.0uL</t>
  </si>
  <si>
    <t>Minimum Volume: 162.6uL</t>
  </si>
  <si>
    <t>1,2</t>
  </si>
  <si>
    <t>3,4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</si>
</sst>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C80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9">
    <xf numFmtId="0" fontId="0" fillId="0" borderId="0" xfId="0"/>
    <xf numFmtId="0" fontId="0" fillId="0" borderId="5" xfId="0" applyBorder="1"/>
    <xf numFmtId="0" fontId="0" fillId="0" borderId="8" xfId="0" applyBorder="1"/>
    <xf numFmtId="0" fontId="0" fillId="2" borderId="3" xfId="0" applyFill="1" applyBorder="1"/>
    <xf numFmtId="0" fontId="0" fillId="2" borderId="5" xfId="0" applyFill="1" applyBorder="1"/>
    <xf numFmtId="0" fontId="0" fillId="3" borderId="3" xfId="0" applyFill="1" applyBorder="1"/>
    <xf numFmtId="0" fontId="0" fillId="3" borderId="5" xfId="0" applyFill="1" applyBorder="1"/>
    <xf numFmtId="0" fontId="0" fillId="4" borderId="3" xfId="0" applyFill="1" applyBorder="1"/>
    <xf numFmtId="0" fontId="0" fillId="4" borderId="5" xfId="0" applyFill="1" applyBorder="1"/>
    <xf numFmtId="0" fontId="0" fillId="5" borderId="3" xfId="0" applyFill="1" applyBorder="1"/>
    <xf numFmtId="0" fontId="0" fillId="5" borderId="5" xfId="0" applyFill="1" applyBorder="1"/>
    <xf numFmtId="0" fontId="0" fillId="6" borderId="3" xfId="0" applyFill="1" applyBorder="1"/>
    <xf numFmtId="0" fontId="0" fillId="6" borderId="5" xfId="0" applyFill="1" applyBorder="1"/>
    <xf numFmtId="0" fontId="0" fillId="2" borderId="4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0" borderId="0" xfId="0" applyBorder="1"/>
    <xf numFmtId="0" fontId="1" fillId="5" borderId="9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6" borderId="9" xfId="0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4" xfId="0" applyFont="1" applyBorder="1" applyAlignment="1">
      <alignment horizontal="center"/>
    </xf>
    <xf numFmtId="0" fontId="1" fillId="0" borderId="0" xfId="0" applyFont="1" applyBorder="1"/>
    <xf numFmtId="0" fontId="0" fillId="2" borderId="3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1" fillId="0" borderId="0" xfId="0" applyFont="1"/>
    <xf numFmtId="0" fontId="1" fillId="0" borderId="9" xfId="0" applyFont="1" applyBorder="1" applyAlignment="1">
      <alignment horizontal="center"/>
    </xf>
    <xf numFmtId="0" fontId="1" fillId="0" borderId="9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9" xfId="0" applyFont="1" applyBorder="1" applyAlignment="1">
      <alignment horizontal="center"/>
    </xf>
    <xf numFmtId="0" fontId="0" fillId="0" borderId="5" xfId="0" applyFill="1" applyBorder="1"/>
    <xf numFmtId="0" fontId="0" fillId="0" borderId="6" xfId="0" applyBorder="1" applyAlignment="1">
      <alignment wrapText="1"/>
    </xf>
    <xf numFmtId="0" fontId="0" fillId="0" borderId="4" xfId="0" applyBorder="1" applyAlignment="1">
      <alignment wrapText="1"/>
    </xf>
    <xf numFmtId="0" fontId="1" fillId="3" borderId="9" xfId="0" applyFont="1" applyFill="1" applyBorder="1" applyAlignment="1">
      <alignment horizontal="center"/>
    </xf>
    <xf numFmtId="0" fontId="0" fillId="0" borderId="0" xfId="0" applyBorder="1"/>
    <xf numFmtId="0" fontId="0" fillId="0" borderId="0" xfId="0" applyBorder="1"/>
    <xf numFmtId="0" fontId="1" fillId="2" borderId="9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21" xfId="0" applyFont="1" applyFill="1" applyBorder="1" applyAlignment="1">
      <alignment vertical="center" wrapText="1"/>
    </xf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 vertical="center" wrapText="1"/>
    </xf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0" xfId="0" applyFont="1" applyFill="1" applyBorder="1" applyAlignment="1">
      <alignment vertical="center" wrapText="1"/>
    </xf>
    <xf numFmtId="0" fontId="0" fillId="2" borderId="4" xfId="0" applyFont="1" applyFill="1" applyBorder="1" applyAlignment="1">
      <alignment horizontal="center" vertical="center"/>
    </xf>
    <xf numFmtId="0" fontId="0" fillId="5" borderId="0" xfId="0" applyFill="1"/>
    <xf numFmtId="0" fontId="0" fillId="3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 vertical="center" wrapText="1"/>
    </xf>
    <xf numFmtId="0" fontId="0" fillId="3" borderId="11" xfId="0" applyFont="1" applyFill="1" applyBorder="1" applyAlignment="1">
      <alignment horizontal="center" vertical="center" wrapText="1"/>
    </xf>
    <xf numFmtId="0" fontId="0" fillId="3" borderId="12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0" fillId="5" borderId="10" xfId="0" applyFont="1" applyFill="1" applyBorder="1" applyAlignment="1">
      <alignment horizontal="center" vertical="center" wrapText="1"/>
    </xf>
    <xf numFmtId="0" fontId="0" fillId="5" borderId="11" xfId="0" applyFont="1" applyFill="1" applyBorder="1" applyAlignment="1">
      <alignment horizontal="center" vertical="center" wrapText="1"/>
    </xf>
    <xf numFmtId="0" fontId="0" fillId="5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0" fillId="0" borderId="10" xfId="0" applyFont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 wrapText="1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7" xfId="0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0" fillId="6" borderId="10" xfId="0" applyFont="1" applyFill="1" applyBorder="1" applyAlignment="1">
      <alignment horizontal="center" vertical="center" wrapText="1"/>
    </xf>
    <xf numFmtId="0" fontId="0" fillId="6" borderId="11" xfId="0" applyFont="1" applyFill="1" applyBorder="1" applyAlignment="1">
      <alignment horizontal="center" vertical="center" wrapText="1"/>
    </xf>
    <xf numFmtId="0" fontId="0" fillId="6" borderId="1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0" xfId="0" applyFont="1" applyFill="1" applyBorder="1" applyAlignment="1">
      <alignment horizontal="center" vertical="center" wrapText="1"/>
    </xf>
    <xf numFmtId="0" fontId="0" fillId="2" borderId="11" xfId="0" applyFont="1" applyFill="1" applyBorder="1" applyAlignment="1">
      <alignment horizontal="center" vertical="center" wrapText="1"/>
    </xf>
    <xf numFmtId="0" fontId="0" fillId="2" borderId="12" xfId="0" applyFont="1" applyFill="1" applyBorder="1" applyAlignment="1">
      <alignment horizontal="center" vertical="center" wrapText="1"/>
    </xf>
    <xf numFmtId="0" fontId="0" fillId="4" borderId="10" xfId="0" applyFont="1" applyFill="1" applyBorder="1" applyAlignment="1">
      <alignment horizontal="center" vertical="center" wrapText="1"/>
    </xf>
    <xf numFmtId="0" fontId="0" fillId="4" borderId="11" xfId="0" applyFont="1" applyFill="1" applyBorder="1" applyAlignment="1">
      <alignment horizontal="center" vertical="center" wrapText="1"/>
    </xf>
    <xf numFmtId="0" fontId="0" fillId="4" borderId="12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0" borderId="8" xfId="0" applyFont="1" applyBorder="1" applyAlignment="1">
      <alignment horizontal="center"/>
    </xf>
    <xf numFmtId="0" fontId="0" fillId="0" borderId="24" xfId="0" applyBorder="1"/>
    <xf numFmtId="0" fontId="0" fillId="0" borderId="0" xfId="0" applyBorder="1"/>
    <xf numFmtId="0" fontId="0" fillId="0" borderId="13" xfId="0" applyBorder="1"/>
    <xf numFmtId="0" fontId="0" fillId="0" borderId="8" xfId="0" applyBorder="1"/>
    <xf numFmtId="0" fontId="0" fillId="0" borderId="17" xfId="0" applyBorder="1"/>
    <xf numFmtId="0" fontId="0" fillId="0" borderId="18" xfId="0" applyBorder="1"/>
    <xf numFmtId="0" fontId="0" fillId="0" borderId="25" xfId="0" applyBorder="1"/>
    <xf numFmtId="0" fontId="0" fillId="0" borderId="7" xfId="0" applyBorder="1"/>
    <xf numFmtId="0" fontId="5" fillId="0" borderId="23" xfId="0" applyFont="1" applyBorder="1" applyAlignment="1">
      <alignment horizontal="center"/>
    </xf>
    <xf numFmtId="0" fontId="5" fillId="0" borderId="22" xfId="0" applyFont="1" applyBorder="1" applyAlignment="1">
      <alignment horizontal="center"/>
    </xf>
    <xf numFmtId="0" fontId="5" fillId="0" borderId="26" xfId="0" applyFont="1" applyBorder="1" applyAlignment="1">
      <alignment horizontal="center"/>
    </xf>
    <xf numFmtId="0" fontId="6" fillId="0" borderId="23" xfId="0" applyFont="1" applyBorder="1" applyAlignment="1">
      <alignment horizontal="center"/>
    </xf>
    <xf numFmtId="0" fontId="6" fillId="0" borderId="22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0" fillId="0" borderId="16" xfId="0" applyBorder="1"/>
    <xf numFmtId="0" fontId="4" fillId="0" borderId="23" xfId="0" applyFont="1" applyBorder="1" applyAlignment="1">
      <alignment horizontal="center"/>
    </xf>
    <xf numFmtId="0" fontId="4" fillId="0" borderId="22" xfId="0" applyFont="1" applyBorder="1" applyAlignment="1">
      <alignment horizontal="center"/>
    </xf>
    <xf numFmtId="0" fontId="4" fillId="0" borderId="26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C8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123825</xdr:rowOff>
        </xdr:from>
        <xdr:to>
          <xdr:col>1</xdr:col>
          <xdr:colOff>971550</xdr:colOff>
          <xdr:row>5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6</xdr:row>
          <xdr:rowOff>66675</xdr:rowOff>
        </xdr:from>
        <xdr:to>
          <xdr:col>1</xdr:col>
          <xdr:colOff>962025</xdr:colOff>
          <xdr:row>11</xdr:row>
          <xdr:rowOff>19050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L25"/>
  <sheetViews>
    <sheetView topLeftCell="A10" workbookViewId="0">
      <selection activeCell="D25" sqref="D25"/>
    </sheetView>
  </sheetViews>
  <sheetFormatPr defaultRowHeight="15" x14ac:dyDescent="0.25"/>
  <cols>
    <col min="2" max="2" width="26.42578125" bestFit="1" customWidth="1"/>
    <col min="3" max="3" width="12" customWidth="1"/>
    <col min="4" max="4" width="26.42578125" customWidth="1"/>
    <col min="6" max="6" width="24" bestFit="1" customWidth="1"/>
    <col min="7" max="7" width="16" bestFit="1" customWidth="1"/>
    <col min="8" max="9" width="16.140625" bestFit="1" customWidth="1"/>
    <col min="10" max="10" width="21.85546875" bestFit="1" customWidth="1"/>
    <col min="11" max="11" width="20.5703125" bestFit="1" customWidth="1"/>
    <col min="13" max="13" width="11.7109375" bestFit="1" customWidth="1"/>
  </cols>
  <sheetData>
    <row r="3" spans="2:12" x14ac:dyDescent="0.25">
      <c r="B3" s="38" t="s">
        <v>28</v>
      </c>
      <c r="C3" s="38"/>
      <c r="D3" s="38" t="s">
        <v>50</v>
      </c>
      <c r="F3" s="73" t="s">
        <v>23</v>
      </c>
      <c r="G3" s="73"/>
      <c r="H3" s="73"/>
      <c r="I3" s="73"/>
      <c r="J3" s="73"/>
      <c r="K3" s="73"/>
      <c r="L3" s="73"/>
    </row>
    <row r="4" spans="2:12" x14ac:dyDescent="0.25">
      <c r="B4" t="s">
        <v>31</v>
      </c>
      <c r="D4" s="41" t="s">
        <v>64</v>
      </c>
      <c r="F4" s="38" t="s">
        <v>0</v>
      </c>
      <c r="G4" s="38" t="s">
        <v>15</v>
      </c>
      <c r="H4" s="38" t="s">
        <v>5</v>
      </c>
      <c r="I4" s="38" t="s">
        <v>18</v>
      </c>
      <c r="J4" s="38" t="s">
        <v>43</v>
      </c>
      <c r="K4" s="38" t="s">
        <v>36</v>
      </c>
      <c r="L4" s="38" t="s">
        <v>52</v>
      </c>
    </row>
    <row r="5" spans="2:12" x14ac:dyDescent="0.25">
      <c r="B5" t="s">
        <v>53</v>
      </c>
      <c r="D5" s="41" t="s">
        <v>65</v>
      </c>
      <c r="F5" t="s">
        <v>0</v>
      </c>
      <c r="G5" t="s">
        <v>15</v>
      </c>
      <c r="H5" t="s">
        <v>5</v>
      </c>
      <c r="I5" t="s">
        <v>18</v>
      </c>
      <c r="J5" t="s">
        <v>43</v>
      </c>
      <c r="K5" t="s">
        <v>36</v>
      </c>
      <c r="L5" t="s">
        <v>52</v>
      </c>
    </row>
    <row r="6" spans="2:12" x14ac:dyDescent="0.25">
      <c r="B6" t="s">
        <v>29</v>
      </c>
      <c r="D6" s="41"/>
      <c r="F6" t="s">
        <v>24</v>
      </c>
      <c r="G6" t="s">
        <v>25</v>
      </c>
      <c r="H6" t="s">
        <v>26</v>
      </c>
      <c r="I6" t="s">
        <v>27</v>
      </c>
      <c r="J6" t="s">
        <v>44</v>
      </c>
      <c r="K6" t="s">
        <v>37</v>
      </c>
      <c r="L6" t="s">
        <v>54</v>
      </c>
    </row>
    <row r="7" spans="2:12" x14ac:dyDescent="0.25">
      <c r="B7" t="s">
        <v>55</v>
      </c>
      <c r="D7" s="41"/>
    </row>
    <row r="9" spans="2:12" x14ac:dyDescent="0.25">
      <c r="B9" s="38" t="s">
        <v>51</v>
      </c>
      <c r="D9" s="35" t="s">
        <v>47</v>
      </c>
    </row>
    <row r="10" spans="2:12" x14ac:dyDescent="0.25">
      <c r="B10" t="s">
        <v>58</v>
      </c>
      <c r="D10" s="24" t="s">
        <v>39</v>
      </c>
    </row>
    <row r="11" spans="2:12" x14ac:dyDescent="0.25">
      <c r="B11" t="s">
        <v>59</v>
      </c>
      <c r="D11" s="24" t="s">
        <v>40</v>
      </c>
    </row>
    <row r="12" spans="2:12" x14ac:dyDescent="0.25">
      <c r="B12" t="s">
        <v>60</v>
      </c>
    </row>
    <row r="13" spans="2:12" x14ac:dyDescent="0.25">
      <c r="B13" t="s">
        <v>61</v>
      </c>
      <c r="D13" s="38" t="s">
        <v>70</v>
      </c>
    </row>
    <row r="14" spans="2:12" x14ac:dyDescent="0.25">
      <c r="B14" t="s">
        <v>62</v>
      </c>
      <c r="D14" t="s">
        <v>71</v>
      </c>
    </row>
    <row r="15" spans="2:12" x14ac:dyDescent="0.25">
      <c r="B15" t="s">
        <v>63</v>
      </c>
      <c r="D15" t="s">
        <v>72</v>
      </c>
    </row>
    <row r="16" spans="2:12" x14ac:dyDescent="0.25">
      <c r="B16" t="s">
        <v>13</v>
      </c>
    </row>
    <row r="17" spans="2:4" x14ac:dyDescent="0.25">
      <c r="B17" t="s">
        <v>2</v>
      </c>
    </row>
    <row r="18" spans="2:4" x14ac:dyDescent="0.25">
      <c r="D18" s="38" t="s">
        <v>81</v>
      </c>
    </row>
    <row r="19" spans="2:4" x14ac:dyDescent="0.25">
      <c r="B19" s="38" t="s">
        <v>49</v>
      </c>
      <c r="D19" t="s">
        <v>82</v>
      </c>
    </row>
    <row r="20" spans="2:4" x14ac:dyDescent="0.25">
      <c r="B20" t="s">
        <v>56</v>
      </c>
      <c r="D20" t="s">
        <v>80</v>
      </c>
    </row>
    <row r="21" spans="2:4" x14ac:dyDescent="0.25">
      <c r="B21" t="s">
        <v>57</v>
      </c>
      <c r="D21" t="s">
        <v>83</v>
      </c>
    </row>
    <row r="22" spans="2:4" x14ac:dyDescent="0.25">
      <c r="D22" t="s">
        <v>84</v>
      </c>
    </row>
    <row r="24" spans="2:4" x14ac:dyDescent="0.25">
      <c r="D24" s="38" t="s">
        <v>85</v>
      </c>
    </row>
    <row r="25" spans="2:4" x14ac:dyDescent="0.25">
      <c r="D25" t="s">
        <v>86</v>
      </c>
    </row>
  </sheetData>
  <mergeCells count="1">
    <mergeCell ref="F3:L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1:M41"/>
  <sheetViews>
    <sheetView zoomScale="80" zoomScaleNormal="80" workbookViewId="0">
      <selection activeCell="C14" sqref="C14:E16"/>
    </sheetView>
  </sheetViews>
  <sheetFormatPr defaultRowHeight="15" x14ac:dyDescent="0.25"/>
  <cols>
    <col min="2" max="2" width="9.42578125" customWidth="1"/>
    <col min="3" max="3" width="29.42578125" bestFit="1" customWidth="1"/>
    <col min="4" max="4" width="22.140625" customWidth="1"/>
    <col min="5" max="5" width="12.85546875" customWidth="1"/>
    <col min="6" max="6" width="19.28515625" customWidth="1"/>
    <col min="7" max="7" width="32.140625" bestFit="1" customWidth="1"/>
    <col min="8" max="8" width="29.42578125" bestFit="1" customWidth="1"/>
    <col min="9" max="9" width="29.42578125" customWidth="1"/>
    <col min="10" max="10" width="17" customWidth="1"/>
    <col min="11" max="11" width="25.140625" customWidth="1"/>
    <col min="12" max="12" width="22.42578125" bestFit="1" customWidth="1"/>
    <col min="13" max="13" width="13.5703125" customWidth="1"/>
    <col min="15" max="15" width="12.85546875" bestFit="1" customWidth="1"/>
    <col min="16" max="17" width="14.42578125" customWidth="1"/>
    <col min="18" max="18" width="15.5703125" customWidth="1"/>
    <col min="20" max="20" width="14" customWidth="1"/>
    <col min="21" max="21" width="14.140625" customWidth="1"/>
    <col min="23" max="23" width="13" customWidth="1"/>
    <col min="24" max="24" width="11" customWidth="1"/>
  </cols>
  <sheetData>
    <row r="1" spans="3:13" ht="15.75" thickBot="1" x14ac:dyDescent="0.3"/>
    <row r="2" spans="3:13" x14ac:dyDescent="0.25">
      <c r="C2" s="79" t="s">
        <v>74</v>
      </c>
      <c r="D2" s="80"/>
      <c r="E2" s="81"/>
      <c r="G2" s="85" t="s">
        <v>75</v>
      </c>
      <c r="H2" s="86"/>
      <c r="I2" s="87"/>
      <c r="K2" s="85" t="s">
        <v>76</v>
      </c>
      <c r="L2" s="86"/>
      <c r="M2" s="87"/>
    </row>
    <row r="3" spans="3:13" ht="15.75" thickBot="1" x14ac:dyDescent="0.3">
      <c r="C3" s="82"/>
      <c r="D3" s="83"/>
      <c r="E3" s="84"/>
      <c r="G3" s="88"/>
      <c r="H3" s="89"/>
      <c r="I3" s="90"/>
      <c r="K3" s="88"/>
      <c r="L3" s="89"/>
      <c r="M3" s="90"/>
    </row>
    <row r="4" spans="3:13" ht="15.75" thickBot="1" x14ac:dyDescent="0.3"/>
    <row r="5" spans="3:13" x14ac:dyDescent="0.25">
      <c r="C5" s="91" t="s">
        <v>2</v>
      </c>
      <c r="D5" s="92"/>
      <c r="E5" s="42" t="s">
        <v>14</v>
      </c>
      <c r="G5" s="100" t="s">
        <v>0</v>
      </c>
      <c r="H5" s="101"/>
      <c r="I5" s="29" t="s">
        <v>14</v>
      </c>
      <c r="K5" s="74" t="s">
        <v>68</v>
      </c>
      <c r="L5" s="75"/>
      <c r="M5" s="46" t="s">
        <v>14</v>
      </c>
    </row>
    <row r="6" spans="3:13" x14ac:dyDescent="0.25">
      <c r="C6" s="31" t="s">
        <v>1</v>
      </c>
      <c r="D6" s="34"/>
      <c r="E6" s="102"/>
      <c r="G6" s="3" t="s">
        <v>35</v>
      </c>
      <c r="H6" s="13"/>
      <c r="I6" s="121"/>
      <c r="K6" s="5" t="s">
        <v>35</v>
      </c>
      <c r="L6" s="20"/>
      <c r="M6" s="76"/>
    </row>
    <row r="7" spans="3:13" ht="15.75" thickBot="1" x14ac:dyDescent="0.3">
      <c r="C7" s="43" t="s">
        <v>22</v>
      </c>
      <c r="D7" s="33"/>
      <c r="E7" s="103"/>
      <c r="G7" s="3" t="s">
        <v>51</v>
      </c>
      <c r="H7" s="13"/>
      <c r="I7" s="122"/>
      <c r="K7" s="5" t="s">
        <v>77</v>
      </c>
      <c r="L7" s="20"/>
      <c r="M7" s="77"/>
    </row>
    <row r="8" spans="3:13" ht="15.75" thickBot="1" x14ac:dyDescent="0.3">
      <c r="G8" s="3" t="s">
        <v>49</v>
      </c>
      <c r="H8" s="13"/>
      <c r="I8" s="122"/>
      <c r="K8" s="6" t="s">
        <v>69</v>
      </c>
      <c r="L8" s="21" t="s">
        <v>71</v>
      </c>
      <c r="M8" s="78"/>
    </row>
    <row r="9" spans="3:13" ht="15.75" thickBot="1" x14ac:dyDescent="0.3">
      <c r="C9" s="95" t="s">
        <v>4</v>
      </c>
      <c r="D9" s="96"/>
      <c r="E9" s="25" t="s">
        <v>14</v>
      </c>
      <c r="G9" s="3" t="s">
        <v>11</v>
      </c>
      <c r="H9" s="13"/>
      <c r="I9" s="122"/>
    </row>
    <row r="10" spans="3:13" ht="15.75" thickBot="1" x14ac:dyDescent="0.3">
      <c r="C10" s="9" t="s">
        <v>21</v>
      </c>
      <c r="D10" s="18"/>
      <c r="E10" s="97"/>
      <c r="G10" s="4" t="s">
        <v>38</v>
      </c>
      <c r="H10" s="14" t="s">
        <v>39</v>
      </c>
      <c r="I10" s="123"/>
      <c r="K10" s="74" t="s">
        <v>73</v>
      </c>
      <c r="L10" s="75"/>
      <c r="M10" s="46" t="s">
        <v>14</v>
      </c>
    </row>
    <row r="11" spans="3:13" ht="15.75" thickBot="1" x14ac:dyDescent="0.3">
      <c r="C11" s="9" t="s">
        <v>32</v>
      </c>
      <c r="D11" s="18"/>
      <c r="E11" s="98"/>
      <c r="K11" s="5" t="s">
        <v>35</v>
      </c>
      <c r="L11" s="20"/>
      <c r="M11" s="76"/>
    </row>
    <row r="12" spans="3:13" ht="15.75" thickBot="1" x14ac:dyDescent="0.3">
      <c r="C12" s="10" t="s">
        <v>33</v>
      </c>
      <c r="D12" s="19"/>
      <c r="E12" s="99"/>
      <c r="G12" s="93" t="s">
        <v>15</v>
      </c>
      <c r="H12" s="94"/>
      <c r="I12" s="26" t="s">
        <v>14</v>
      </c>
      <c r="K12" s="5" t="s">
        <v>78</v>
      </c>
      <c r="L12" s="20"/>
      <c r="M12" s="77"/>
    </row>
    <row r="13" spans="3:13" ht="15.75" thickBot="1" x14ac:dyDescent="0.3">
      <c r="G13" s="7" t="s">
        <v>35</v>
      </c>
      <c r="H13" s="15"/>
      <c r="I13" s="124"/>
      <c r="K13" s="6" t="s">
        <v>69</v>
      </c>
      <c r="L13" s="21" t="s">
        <v>71</v>
      </c>
      <c r="M13" s="78"/>
    </row>
    <row r="14" spans="3:13" ht="15.75" thickBot="1" x14ac:dyDescent="0.3">
      <c r="C14" s="91" t="s">
        <v>48</v>
      </c>
      <c r="D14" s="92"/>
      <c r="E14" s="39" t="s">
        <v>14</v>
      </c>
      <c r="G14" s="7" t="s">
        <v>3</v>
      </c>
      <c r="H14" s="15"/>
      <c r="I14" s="125"/>
    </row>
    <row r="15" spans="3:13" x14ac:dyDescent="0.25">
      <c r="C15" s="104"/>
      <c r="D15" s="105"/>
      <c r="E15" s="102"/>
      <c r="G15" s="7" t="s">
        <v>6</v>
      </c>
      <c r="H15" s="15"/>
      <c r="I15" s="125"/>
      <c r="K15" s="74" t="s">
        <v>89</v>
      </c>
      <c r="L15" s="75"/>
      <c r="M15" s="46" t="s">
        <v>14</v>
      </c>
    </row>
    <row r="16" spans="3:13" ht="15.75" thickBot="1" x14ac:dyDescent="0.3">
      <c r="C16" s="106"/>
      <c r="D16" s="107"/>
      <c r="E16" s="103"/>
      <c r="G16" s="7" t="s">
        <v>7</v>
      </c>
      <c r="H16" s="15"/>
      <c r="I16" s="125"/>
      <c r="K16" s="6" t="s">
        <v>90</v>
      </c>
      <c r="L16" s="21"/>
      <c r="M16" s="52"/>
    </row>
    <row r="17" spans="3:13" x14ac:dyDescent="0.25">
      <c r="C17" s="53"/>
      <c r="D17" s="53"/>
      <c r="E17" s="54"/>
      <c r="G17" s="7" t="s">
        <v>10</v>
      </c>
      <c r="H17" s="15"/>
      <c r="I17" s="125"/>
      <c r="K17" s="55"/>
      <c r="L17" s="56"/>
      <c r="M17" s="57"/>
    </row>
    <row r="18" spans="3:13" ht="15.75" thickBot="1" x14ac:dyDescent="0.3">
      <c r="G18" s="8" t="s">
        <v>91</v>
      </c>
      <c r="H18" s="16"/>
      <c r="I18" s="126"/>
    </row>
    <row r="19" spans="3:13" ht="15.75" thickBot="1" x14ac:dyDescent="0.3"/>
    <row r="20" spans="3:13" x14ac:dyDescent="0.25">
      <c r="G20" s="108" t="s">
        <v>36</v>
      </c>
      <c r="H20" s="109"/>
      <c r="I20" s="28" t="s">
        <v>14</v>
      </c>
    </row>
    <row r="21" spans="3:13" x14ac:dyDescent="0.25">
      <c r="G21" s="11" t="s">
        <v>12</v>
      </c>
      <c r="H21" s="22"/>
      <c r="I21" s="110"/>
    </row>
    <row r="22" spans="3:13" x14ac:dyDescent="0.25">
      <c r="G22" s="11" t="s">
        <v>9</v>
      </c>
      <c r="H22" s="22"/>
      <c r="I22" s="111"/>
    </row>
    <row r="23" spans="3:13" ht="15.75" thickBot="1" x14ac:dyDescent="0.3">
      <c r="G23" s="12" t="s">
        <v>17</v>
      </c>
      <c r="H23" s="23"/>
      <c r="I23" s="112"/>
    </row>
    <row r="24" spans="3:13" ht="15.75" thickBot="1" x14ac:dyDescent="0.3"/>
    <row r="25" spans="3:13" x14ac:dyDescent="0.25">
      <c r="G25" s="74" t="s">
        <v>5</v>
      </c>
      <c r="H25" s="75"/>
      <c r="I25" s="27" t="s">
        <v>14</v>
      </c>
    </row>
    <row r="26" spans="3:13" x14ac:dyDescent="0.25">
      <c r="G26" s="5" t="s">
        <v>35</v>
      </c>
      <c r="H26" s="20"/>
      <c r="I26" s="76"/>
    </row>
    <row r="27" spans="3:13" x14ac:dyDescent="0.25">
      <c r="G27" s="5" t="s">
        <v>34</v>
      </c>
      <c r="H27" s="20"/>
      <c r="I27" s="77"/>
    </row>
    <row r="28" spans="3:13" ht="15.75" thickBot="1" x14ac:dyDescent="0.3">
      <c r="G28" s="6" t="s">
        <v>22</v>
      </c>
      <c r="H28" s="21"/>
      <c r="I28" s="78"/>
    </row>
    <row r="29" spans="3:13" ht="15.75" thickBot="1" x14ac:dyDescent="0.3">
      <c r="G29" s="38"/>
    </row>
    <row r="30" spans="3:13" x14ac:dyDescent="0.25">
      <c r="G30" s="113" t="s">
        <v>41</v>
      </c>
      <c r="H30" s="114"/>
      <c r="I30" s="49" t="s">
        <v>14</v>
      </c>
    </row>
    <row r="31" spans="3:13" x14ac:dyDescent="0.25">
      <c r="G31" s="36" t="s">
        <v>35</v>
      </c>
      <c r="H31" s="58"/>
      <c r="I31" s="115"/>
    </row>
    <row r="32" spans="3:13" x14ac:dyDescent="0.25">
      <c r="G32" s="36" t="s">
        <v>11</v>
      </c>
      <c r="H32" s="50"/>
      <c r="I32" s="116"/>
    </row>
    <row r="33" spans="7:9" x14ac:dyDescent="0.25">
      <c r="G33" s="36" t="s">
        <v>79</v>
      </c>
      <c r="H33" s="50"/>
      <c r="I33" s="116"/>
    </row>
    <row r="34" spans="7:9" x14ac:dyDescent="0.25">
      <c r="G34" s="36" t="s">
        <v>87</v>
      </c>
      <c r="H34" s="50"/>
      <c r="I34" s="116"/>
    </row>
    <row r="35" spans="7:9" x14ac:dyDescent="0.25">
      <c r="G35" s="36" t="s">
        <v>66</v>
      </c>
      <c r="H35" s="50" t="s">
        <v>80</v>
      </c>
      <c r="I35" s="116"/>
    </row>
    <row r="36" spans="7:9" ht="15.75" thickBot="1" x14ac:dyDescent="0.3">
      <c r="G36" s="37" t="s">
        <v>88</v>
      </c>
      <c r="H36" s="51"/>
      <c r="I36" s="117"/>
    </row>
    <row r="37" spans="7:9" ht="15.75" thickBot="1" x14ac:dyDescent="0.3"/>
    <row r="38" spans="7:9" x14ac:dyDescent="0.25">
      <c r="G38" s="91" t="s">
        <v>18</v>
      </c>
      <c r="H38" s="92"/>
      <c r="I38" s="40" t="s">
        <v>14</v>
      </c>
    </row>
    <row r="39" spans="7:9" x14ac:dyDescent="0.25">
      <c r="G39" s="31" t="s">
        <v>46</v>
      </c>
      <c r="H39" s="32"/>
      <c r="I39" s="118"/>
    </row>
    <row r="40" spans="7:9" x14ac:dyDescent="0.25">
      <c r="G40" s="31" t="s">
        <v>19</v>
      </c>
      <c r="H40" s="45"/>
      <c r="I40" s="119"/>
    </row>
    <row r="41" spans="7:9" ht="15.75" thickBot="1" x14ac:dyDescent="0.3">
      <c r="G41" s="1" t="s">
        <v>20</v>
      </c>
      <c r="H41" s="44"/>
      <c r="I41" s="120"/>
    </row>
  </sheetData>
  <mergeCells count="27">
    <mergeCell ref="I39:I41"/>
    <mergeCell ref="I6:I10"/>
    <mergeCell ref="I26:I28"/>
    <mergeCell ref="K15:L15"/>
    <mergeCell ref="I13:I18"/>
    <mergeCell ref="C14:D14"/>
    <mergeCell ref="C15:D16"/>
    <mergeCell ref="G20:H20"/>
    <mergeCell ref="I21:I23"/>
    <mergeCell ref="G38:H38"/>
    <mergeCell ref="E15:E16"/>
    <mergeCell ref="G25:H25"/>
    <mergeCell ref="G30:H30"/>
    <mergeCell ref="I31:I36"/>
    <mergeCell ref="K5:L5"/>
    <mergeCell ref="M6:M8"/>
    <mergeCell ref="K10:L10"/>
    <mergeCell ref="M11:M13"/>
    <mergeCell ref="C2:E3"/>
    <mergeCell ref="G2:I3"/>
    <mergeCell ref="K2:M3"/>
    <mergeCell ref="C5:D5"/>
    <mergeCell ref="G12:H12"/>
    <mergeCell ref="C9:D9"/>
    <mergeCell ref="E10:E12"/>
    <mergeCell ref="G5:H5"/>
    <mergeCell ref="E6:E7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00000000-0002-0000-0100-000000000000}">
          <x14:formula1>
            <xm:f>'___Dropdown values'!$B$20:$B$21</xm:f>
          </x14:formula1>
          <xm:sqref>H8</xm:sqref>
        </x14:dataValidation>
        <x14:dataValidation type="list" allowBlank="1" showInputMessage="1" showErrorMessage="1" xr:uid="{00000000-0002-0000-0100-000001000000}">
          <x14:formula1>
            <xm:f>'___Dropdown values'!$H$5:$H$6</xm:f>
          </x14:formula1>
          <xm:sqref>G25:H25</xm:sqref>
        </x14:dataValidation>
        <x14:dataValidation type="list" allowBlank="1" showInputMessage="1" showErrorMessage="1" xr:uid="{00000000-0002-0000-0100-000002000000}">
          <x14:formula1>
            <xm:f>'___Dropdown values'!$I$5:$I$6</xm:f>
          </x14:formula1>
          <xm:sqref>G38:H38</xm:sqref>
        </x14:dataValidation>
        <x14:dataValidation type="list" allowBlank="1" showInputMessage="1" showErrorMessage="1" xr:uid="{00000000-0002-0000-0100-000003000000}">
          <x14:formula1>
            <xm:f>'___Dropdown values'!$K$5:$K$6</xm:f>
          </x14:formula1>
          <xm:sqref>G20:H20</xm:sqref>
        </x14:dataValidation>
        <x14:dataValidation type="list" allowBlank="1" showInputMessage="1" showErrorMessage="1" xr:uid="{00000000-0002-0000-0100-000004000000}">
          <x14:formula1>
            <xm:f>'___Dropdown values'!$D$10:$D$11</xm:f>
          </x14:formula1>
          <xm:sqref>H10 H39</xm:sqref>
        </x14:dataValidation>
        <x14:dataValidation type="list" allowBlank="1" showInputMessage="1" showErrorMessage="1" xr:uid="{00000000-0002-0000-0100-000005000000}">
          <x14:formula1>
            <xm:f>'___Dropdown values'!$F$5:$F$6</xm:f>
          </x14:formula1>
          <xm:sqref>G5:H5</xm:sqref>
        </x14:dataValidation>
        <x14:dataValidation type="list" allowBlank="1" showInputMessage="1" showErrorMessage="1" xr:uid="{00000000-0002-0000-0100-000006000000}">
          <x14:formula1>
            <xm:f>'___Dropdown values'!$G$5:$G$6</xm:f>
          </x14:formula1>
          <xm:sqref>G12:H12</xm:sqref>
        </x14:dataValidation>
        <x14:dataValidation type="list" allowBlank="1" showInputMessage="1" showErrorMessage="1" xr:uid="{00000000-0002-0000-0100-000007000000}">
          <x14:formula1>
            <xm:f>'___Dropdown values'!$B$10:$B$17</xm:f>
          </x14:formula1>
          <xm:sqref>H7</xm:sqref>
        </x14:dataValidation>
        <x14:dataValidation type="list" allowBlank="1" showInputMessage="1" showErrorMessage="1" xr:uid="{00000000-0002-0000-0100-000008000000}">
          <x14:formula1>
            <xm:f>'___Dropdown values'!$D$4:$D$5</xm:f>
          </x14:formula1>
          <xm:sqref>H28</xm:sqref>
        </x14:dataValidation>
        <x14:dataValidation type="list" allowBlank="1" showInputMessage="1" showErrorMessage="1" xr:uid="{00000000-0002-0000-0100-000009000000}">
          <x14:formula1>
            <xm:f>'___Dropdown values'!$B$4:$B$7</xm:f>
          </x14:formula1>
          <xm:sqref>D7</xm:sqref>
        </x14:dataValidation>
        <x14:dataValidation type="list" allowBlank="1" showInputMessage="1" showErrorMessage="1" xr:uid="{00000000-0002-0000-0100-00000A000000}">
          <x14:formula1>
            <xm:f>'___Dropdown values'!$D$14:$D$15</xm:f>
          </x14:formula1>
          <xm:sqref>L8 L13</xm:sqref>
        </x14:dataValidation>
        <x14:dataValidation type="list" allowBlank="1" showInputMessage="1" showErrorMessage="1" xr:uid="{00000000-0002-0000-0100-00000B000000}">
          <x14:formula1>
            <xm:f>'___Dropdown values'!$D$25</xm:f>
          </x14:formula1>
          <xm:sqref>H33</xm:sqref>
        </x14:dataValidation>
        <x14:dataValidation type="list" allowBlank="1" showInputMessage="1" showErrorMessage="1" xr:uid="{00000000-0002-0000-0100-00000C000000}">
          <x14:formula1>
            <xm:f>'___Dropdown values'!$D$19:$D$22</xm:f>
          </x14:formula1>
          <xm:sqref>H35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86"/>
  <sheetViews>
    <sheetView zoomScale="90" zoomScaleNormal="90" workbookViewId="0">
      <selection activeCell="D15" sqref="D15"/>
    </sheetView>
  </sheetViews>
  <sheetFormatPr defaultRowHeight="15" x14ac:dyDescent="0.25"/>
  <cols>
    <col min="1" max="1" width="19.28515625" customWidth="1"/>
    <col min="2" max="2" width="16.42578125" customWidth="1"/>
    <col min="3" max="3" width="43" bestFit="1" customWidth="1"/>
    <col min="4" max="4" width="31.140625" bestFit="1" customWidth="1"/>
    <col min="5" max="5" width="52.42578125" bestFit="1" customWidth="1"/>
    <col min="6" max="6" width="55.140625" customWidth="1"/>
    <col min="7" max="7" width="43" bestFit="1" customWidth="1"/>
  </cols>
  <sheetData>
    <row r="1" spans="4:6" ht="15.75" thickBot="1" x14ac:dyDescent="0.3"/>
    <row r="2" spans="4:6" x14ac:dyDescent="0.25">
      <c r="D2" s="91" t="s">
        <v>2</v>
      </c>
      <c r="E2" s="92"/>
      <c r="F2" s="30" t="s">
        <v>14</v>
      </c>
    </row>
    <row r="3" spans="4:6" x14ac:dyDescent="0.25">
      <c r="D3" s="31" t="s">
        <v>1</v>
      </c>
      <c r="E3" s="34" t="s">
        <v>133</v>
      </c>
      <c r="F3" s="102" t="s">
        <v>42</v>
      </c>
    </row>
    <row r="4" spans="4:6" ht="15.75" thickBot="1" x14ac:dyDescent="0.3">
      <c r="D4" s="1" t="s">
        <v>22</v>
      </c>
      <c r="E4" s="17" t="s">
        <v>31</v>
      </c>
      <c r="F4" s="103"/>
    </row>
    <row r="6" spans="4:6" s="2" customFormat="1" ht="15.75" thickBot="1" x14ac:dyDescent="0.3">
      <c r="D6" s="130" t="s">
        <v>8</v>
      </c>
      <c r="E6" s="130"/>
    </row>
    <row r="7" spans="4:6" ht="15.75" thickBot="1" x14ac:dyDescent="0.3">
      <c r="D7" s="24"/>
      <c r="E7" s="24"/>
    </row>
    <row r="8" spans="4:6" x14ac:dyDescent="0.25">
      <c r="D8" s="91" t="s">
        <v>2</v>
      </c>
      <c r="E8" s="92"/>
      <c r="F8" s="42" t="s">
        <v>14</v>
      </c>
    </row>
    <row r="9" spans="4:6" x14ac:dyDescent="0.25">
      <c r="D9" s="31" t="s">
        <v>1</v>
      </c>
      <c r="E9" s="34" t="s">
        <v>134</v>
      </c>
      <c r="F9" s="102"/>
    </row>
    <row r="10" spans="4:6" ht="15.75" thickBot="1" x14ac:dyDescent="0.3">
      <c r="D10" s="43" t="s">
        <v>22</v>
      </c>
      <c r="E10" s="33" t="s">
        <v>31</v>
      </c>
      <c r="F10" s="103"/>
    </row>
    <row r="11" spans="4:6" ht="15.75" thickBot="1" x14ac:dyDescent="0.3">
      <c r="D11" s="47"/>
      <c r="E11" s="47"/>
    </row>
    <row r="12" spans="4:6" x14ac:dyDescent="0.25">
      <c r="D12" s="113" t="s">
        <v>41</v>
      </c>
      <c r="E12" s="114"/>
      <c r="F12" s="49" t="s">
        <v>14</v>
      </c>
    </row>
    <row r="13" spans="4:6" x14ac:dyDescent="0.25">
      <c r="D13" s="36" t="s">
        <v>35</v>
      </c>
      <c r="E13" s="58" t="str">
        <f>E9</f>
        <v>Waste 1</v>
      </c>
      <c r="F13" s="127" t="s">
        <v>118</v>
      </c>
    </row>
    <row r="14" spans="4:6" x14ac:dyDescent="0.25">
      <c r="D14" s="36" t="s">
        <v>11</v>
      </c>
      <c r="E14" s="50">
        <v>0</v>
      </c>
      <c r="F14" s="128"/>
    </row>
    <row r="15" spans="4:6" x14ac:dyDescent="0.25">
      <c r="D15" s="36" t="s">
        <v>79</v>
      </c>
      <c r="E15" s="50" t="s">
        <v>86</v>
      </c>
      <c r="F15" s="128"/>
    </row>
    <row r="16" spans="4:6" x14ac:dyDescent="0.25">
      <c r="D16" s="36" t="s">
        <v>87</v>
      </c>
      <c r="E16" s="50">
        <v>5</v>
      </c>
      <c r="F16" s="128"/>
    </row>
    <row r="17" spans="1:6" x14ac:dyDescent="0.25">
      <c r="D17" s="36" t="s">
        <v>66</v>
      </c>
      <c r="E17" s="50" t="s">
        <v>80</v>
      </c>
      <c r="F17" s="128"/>
    </row>
    <row r="18" spans="1:6" ht="15.75" thickBot="1" x14ac:dyDescent="0.3">
      <c r="A18" t="s">
        <v>67</v>
      </c>
      <c r="D18" s="37" t="s">
        <v>88</v>
      </c>
      <c r="E18" s="51">
        <f>800*0.33/60 + 0.25*800*0.33/60</f>
        <v>5.5</v>
      </c>
      <c r="F18" s="129"/>
    </row>
    <row r="19" spans="1:6" ht="15.75" thickBot="1" x14ac:dyDescent="0.3"/>
    <row r="20" spans="1:6" x14ac:dyDescent="0.25">
      <c r="D20" s="113" t="str">
        <f>IF(MAX(Worklist!E:E)=0,"Disabled","Vacuum")</f>
        <v>Vacuum</v>
      </c>
      <c r="E20" s="114"/>
      <c r="F20" s="49" t="s">
        <v>14</v>
      </c>
    </row>
    <row r="21" spans="1:6" x14ac:dyDescent="0.25">
      <c r="D21" s="36" t="s">
        <v>35</v>
      </c>
      <c r="E21" s="58" t="str">
        <f>Worklist!D1</f>
        <v>EQ Buffer 1</v>
      </c>
      <c r="F21" s="115" t="s">
        <v>119</v>
      </c>
    </row>
    <row r="22" spans="1:6" x14ac:dyDescent="0.25">
      <c r="D22" s="36" t="s">
        <v>11</v>
      </c>
      <c r="E22" s="50" t="str">
        <f>Worklist!E1</f>
        <v>EQ Buffer 1 Vol</v>
      </c>
      <c r="F22" s="116"/>
    </row>
    <row r="23" spans="1:6" x14ac:dyDescent="0.25">
      <c r="D23" s="36" t="s">
        <v>79</v>
      </c>
      <c r="E23" s="50" t="s">
        <v>86</v>
      </c>
      <c r="F23" s="116"/>
    </row>
    <row r="24" spans="1:6" x14ac:dyDescent="0.25">
      <c r="D24" s="36" t="s">
        <v>87</v>
      </c>
      <c r="E24" s="50">
        <v>5</v>
      </c>
      <c r="F24" s="116"/>
    </row>
    <row r="25" spans="1:6" x14ac:dyDescent="0.25">
      <c r="D25" s="36" t="s">
        <v>66</v>
      </c>
      <c r="E25" s="50" t="s">
        <v>80</v>
      </c>
      <c r="F25" s="116"/>
    </row>
    <row r="26" spans="1:6" ht="15.75" thickBot="1" x14ac:dyDescent="0.3">
      <c r="D26" s="37" t="s">
        <v>88</v>
      </c>
      <c r="E26" s="51">
        <f>MAX(Worklist!E:E)*0.33/60 + 0.25*MAX(Worklist!E:E)*0.33/60</f>
        <v>4.125</v>
      </c>
      <c r="F26" s="117"/>
    </row>
    <row r="27" spans="1:6" ht="15.75" thickBot="1" x14ac:dyDescent="0.3"/>
    <row r="28" spans="1:6" x14ac:dyDescent="0.25">
      <c r="D28" s="113" t="str">
        <f>IF(MAX(Worklist!G:G)=0,"Disabled","Vacuum")</f>
        <v>Vacuum</v>
      </c>
      <c r="E28" s="114"/>
      <c r="F28" s="49" t="s">
        <v>14</v>
      </c>
    </row>
    <row r="29" spans="1:6" x14ac:dyDescent="0.25">
      <c r="D29" s="36" t="s">
        <v>35</v>
      </c>
      <c r="E29" s="58" t="str">
        <f>Worklist!F1</f>
        <v>EQ Buffer 2</v>
      </c>
      <c r="F29" s="115"/>
    </row>
    <row r="30" spans="1:6" x14ac:dyDescent="0.25">
      <c r="D30" s="36" t="s">
        <v>11</v>
      </c>
      <c r="E30" s="50" t="str">
        <f>Worklist!G1</f>
        <v>EQ Buffer 2 Vol</v>
      </c>
      <c r="F30" s="116"/>
    </row>
    <row r="31" spans="1:6" x14ac:dyDescent="0.25">
      <c r="D31" s="36" t="s">
        <v>79</v>
      </c>
      <c r="E31" s="50" t="s">
        <v>86</v>
      </c>
      <c r="F31" s="116"/>
    </row>
    <row r="32" spans="1:6" x14ac:dyDescent="0.25">
      <c r="D32" s="36" t="s">
        <v>87</v>
      </c>
      <c r="E32" s="50">
        <v>5</v>
      </c>
      <c r="F32" s="116"/>
    </row>
    <row r="33" spans="4:6" x14ac:dyDescent="0.25">
      <c r="D33" s="36" t="s">
        <v>66</v>
      </c>
      <c r="E33" s="50" t="s">
        <v>80</v>
      </c>
      <c r="F33" s="116"/>
    </row>
    <row r="34" spans="4:6" ht="15.75" thickBot="1" x14ac:dyDescent="0.3">
      <c r="D34" s="37" t="s">
        <v>88</v>
      </c>
      <c r="E34" s="51">
        <f>MAX(Worklist!G:G)*0.33/60 + 0.25*MAX(Worklist!G:G)*0.33/60</f>
        <v>4.125</v>
      </c>
      <c r="F34" s="117"/>
    </row>
    <row r="35" spans="4:6" ht="15.75" thickBot="1" x14ac:dyDescent="0.3">
      <c r="D35" s="24"/>
      <c r="E35" s="24"/>
    </row>
    <row r="36" spans="4:6" x14ac:dyDescent="0.25">
      <c r="D36" s="113" t="str">
        <f>IF(MAX(Worklist!I:I)=0,"Disabled","Vacuum")</f>
        <v>Disabled</v>
      </c>
      <c r="E36" s="114"/>
      <c r="F36" s="49" t="s">
        <v>14</v>
      </c>
    </row>
    <row r="37" spans="4:6" x14ac:dyDescent="0.25">
      <c r="D37" s="36" t="s">
        <v>35</v>
      </c>
      <c r="E37" s="58" t="str">
        <f>Worklist!H1</f>
        <v>EQ Buffer 3</v>
      </c>
      <c r="F37" s="115" t="s">
        <v>120</v>
      </c>
    </row>
    <row r="38" spans="4:6" x14ac:dyDescent="0.25">
      <c r="D38" s="36" t="s">
        <v>11</v>
      </c>
      <c r="E38" s="50" t="str">
        <f>Worklist!I1</f>
        <v>EQ Buffer 3 Vol</v>
      </c>
      <c r="F38" s="116"/>
    </row>
    <row r="39" spans="4:6" x14ac:dyDescent="0.25">
      <c r="D39" s="36" t="s">
        <v>79</v>
      </c>
      <c r="E39" s="50" t="s">
        <v>86</v>
      </c>
      <c r="F39" s="116"/>
    </row>
    <row r="40" spans="4:6" x14ac:dyDescent="0.25">
      <c r="D40" s="36" t="s">
        <v>87</v>
      </c>
      <c r="E40" s="50">
        <v>5</v>
      </c>
      <c r="F40" s="116"/>
    </row>
    <row r="41" spans="4:6" x14ac:dyDescent="0.25">
      <c r="D41" s="36" t="s">
        <v>66</v>
      </c>
      <c r="E41" s="50" t="s">
        <v>80</v>
      </c>
      <c r="F41" s="116"/>
    </row>
    <row r="42" spans="4:6" ht="15.75" thickBot="1" x14ac:dyDescent="0.3">
      <c r="D42" s="37" t="s">
        <v>88</v>
      </c>
      <c r="E42" s="51">
        <f>MAX(Worklist!I:I)*0.33/60 + 0.25*MAX(Worklist!I:I)*0.33/60</f>
        <v>0</v>
      </c>
      <c r="F42" s="117"/>
    </row>
    <row r="43" spans="4:6" ht="15.75" thickBot="1" x14ac:dyDescent="0.3">
      <c r="D43" s="24"/>
      <c r="E43" s="24"/>
    </row>
    <row r="44" spans="4:6" x14ac:dyDescent="0.25">
      <c r="D44" s="91" t="s">
        <v>2</v>
      </c>
      <c r="E44" s="92"/>
      <c r="F44" s="42" t="s">
        <v>14</v>
      </c>
    </row>
    <row r="45" spans="4:6" x14ac:dyDescent="0.25">
      <c r="D45" s="31" t="s">
        <v>1</v>
      </c>
      <c r="E45" s="34" t="s">
        <v>137</v>
      </c>
      <c r="F45" s="102"/>
    </row>
    <row r="46" spans="4:6" ht="15.75" thickBot="1" x14ac:dyDescent="0.3">
      <c r="D46" s="43" t="s">
        <v>22</v>
      </c>
      <c r="E46" s="33" t="s">
        <v>31</v>
      </c>
      <c r="F46" s="103"/>
    </row>
    <row r="47" spans="4:6" ht="15.75" thickBot="1" x14ac:dyDescent="0.3">
      <c r="D47" s="24"/>
      <c r="E47" s="24"/>
    </row>
    <row r="48" spans="4:6" x14ac:dyDescent="0.25">
      <c r="D48" s="113" t="str">
        <f>IF(MAX(Worklist!J:J)=0,"Disabled","Vacuum")</f>
        <v>Vacuum</v>
      </c>
      <c r="E48" s="114"/>
      <c r="F48" s="49" t="s">
        <v>14</v>
      </c>
    </row>
    <row r="49" spans="4:6" x14ac:dyDescent="0.25">
      <c r="D49" s="36" t="s">
        <v>35</v>
      </c>
      <c r="E49" s="58" t="s">
        <v>133</v>
      </c>
      <c r="F49" s="115" t="s">
        <v>121</v>
      </c>
    </row>
    <row r="50" spans="4:6" x14ac:dyDescent="0.25">
      <c r="D50" s="36" t="s">
        <v>11</v>
      </c>
      <c r="E50" s="50" t="str">
        <f>Worklist!J1</f>
        <v>Load Vol 1</v>
      </c>
      <c r="F50" s="116"/>
    </row>
    <row r="51" spans="4:6" x14ac:dyDescent="0.25">
      <c r="D51" s="36" t="s">
        <v>79</v>
      </c>
      <c r="E51" s="50" t="s">
        <v>86</v>
      </c>
      <c r="F51" s="116"/>
    </row>
    <row r="52" spans="4:6" x14ac:dyDescent="0.25">
      <c r="D52" s="36" t="s">
        <v>87</v>
      </c>
      <c r="E52" s="50">
        <v>5</v>
      </c>
      <c r="F52" s="116"/>
    </row>
    <row r="53" spans="4:6" x14ac:dyDescent="0.25">
      <c r="D53" s="36" t="s">
        <v>66</v>
      </c>
      <c r="E53" s="50" t="s">
        <v>80</v>
      </c>
      <c r="F53" s="116"/>
    </row>
    <row r="54" spans="4:6" ht="15.75" thickBot="1" x14ac:dyDescent="0.3">
      <c r="D54" s="37" t="s">
        <v>88</v>
      </c>
      <c r="E54" s="51">
        <f>MAX(Worklist!J:J)*0.33/60 + 0.25*MAX(Worklist!J:J)*0.33/60</f>
        <v>3.3373786407766994</v>
      </c>
      <c r="F54" s="117"/>
    </row>
    <row r="55" spans="4:6" ht="15.75" thickBot="1" x14ac:dyDescent="0.3">
      <c r="D55" s="24"/>
      <c r="E55" s="24"/>
    </row>
    <row r="56" spans="4:6" x14ac:dyDescent="0.25">
      <c r="D56" s="91" t="s">
        <v>2</v>
      </c>
      <c r="E56" s="92"/>
      <c r="F56" s="42" t="s">
        <v>14</v>
      </c>
    </row>
    <row r="57" spans="4:6" x14ac:dyDescent="0.25">
      <c r="D57" s="31" t="s">
        <v>1</v>
      </c>
      <c r="E57" s="34" t="s">
        <v>133</v>
      </c>
      <c r="F57" s="102"/>
    </row>
    <row r="58" spans="4:6" ht="15.75" thickBot="1" x14ac:dyDescent="0.3">
      <c r="D58" s="1" t="s">
        <v>22</v>
      </c>
      <c r="E58" s="17" t="s">
        <v>31</v>
      </c>
      <c r="F58" s="103"/>
    </row>
    <row r="59" spans="4:6" ht="15.75" thickBot="1" x14ac:dyDescent="0.3">
      <c r="D59" s="24"/>
      <c r="E59" s="24"/>
    </row>
    <row r="60" spans="4:6" x14ac:dyDescent="0.25">
      <c r="D60" s="113" t="str">
        <f>IF(MAX(Worklist!K:K)=0,"Disabled","Vacuum")</f>
        <v>Vacuum</v>
      </c>
      <c r="E60" s="114"/>
      <c r="F60" s="49" t="s">
        <v>14</v>
      </c>
    </row>
    <row r="61" spans="4:6" x14ac:dyDescent="0.25">
      <c r="D61" s="36" t="s">
        <v>35</v>
      </c>
      <c r="E61" s="58" t="s">
        <v>137</v>
      </c>
      <c r="F61" s="115"/>
    </row>
    <row r="62" spans="4:6" x14ac:dyDescent="0.25">
      <c r="D62" s="36" t="s">
        <v>11</v>
      </c>
      <c r="E62" s="50" t="str">
        <f>Worklist!K1</f>
        <v>Load Vol 2</v>
      </c>
      <c r="F62" s="116"/>
    </row>
    <row r="63" spans="4:6" x14ac:dyDescent="0.25">
      <c r="D63" s="36" t="s">
        <v>79</v>
      </c>
      <c r="E63" s="50" t="s">
        <v>86</v>
      </c>
      <c r="F63" s="116"/>
    </row>
    <row r="64" spans="4:6" x14ac:dyDescent="0.25">
      <c r="D64" s="36" t="s">
        <v>87</v>
      </c>
      <c r="E64" s="50">
        <v>5</v>
      </c>
      <c r="F64" s="116"/>
    </row>
    <row r="65" spans="4:6" x14ac:dyDescent="0.25">
      <c r="D65" s="36" t="s">
        <v>66</v>
      </c>
      <c r="E65" s="50" t="s">
        <v>80</v>
      </c>
      <c r="F65" s="116"/>
    </row>
    <row r="66" spans="4:6" ht="15.75" thickBot="1" x14ac:dyDescent="0.3">
      <c r="D66" s="37" t="s">
        <v>88</v>
      </c>
      <c r="E66" s="51">
        <f>MAX(Worklist!K:K)*0.33/60 + 0.25*MAX(Worklist!K:K)*0.33/60</f>
        <v>3.3373786407766994</v>
      </c>
      <c r="F66" s="117"/>
    </row>
    <row r="67" spans="4:6" ht="15.75" thickBot="1" x14ac:dyDescent="0.3">
      <c r="D67" s="24"/>
      <c r="E67" s="24"/>
    </row>
    <row r="68" spans="4:6" x14ac:dyDescent="0.25">
      <c r="D68" s="91" t="s">
        <v>2</v>
      </c>
      <c r="E68" s="92"/>
      <c r="F68" s="42" t="s">
        <v>14</v>
      </c>
    </row>
    <row r="69" spans="4:6" x14ac:dyDescent="0.25">
      <c r="D69" s="31" t="s">
        <v>1</v>
      </c>
      <c r="E69" s="34" t="s">
        <v>137</v>
      </c>
      <c r="F69" s="102"/>
    </row>
    <row r="70" spans="4:6" ht="15.75" thickBot="1" x14ac:dyDescent="0.3">
      <c r="D70" s="43" t="s">
        <v>22</v>
      </c>
      <c r="E70" s="33" t="s">
        <v>31</v>
      </c>
      <c r="F70" s="103"/>
    </row>
    <row r="71" spans="4:6" ht="15.75" thickBot="1" x14ac:dyDescent="0.3">
      <c r="D71" s="48"/>
      <c r="E71" s="48"/>
    </row>
    <row r="72" spans="4:6" x14ac:dyDescent="0.25">
      <c r="D72" s="113" t="str">
        <f>IF(MAX(Worklist!L:L)=0,"Disabled","Vacuum")</f>
        <v>Vacuum</v>
      </c>
      <c r="E72" s="114"/>
      <c r="F72" s="49" t="s">
        <v>14</v>
      </c>
    </row>
    <row r="73" spans="4:6" x14ac:dyDescent="0.25">
      <c r="D73" s="36" t="s">
        <v>35</v>
      </c>
      <c r="E73" s="58" t="s">
        <v>133</v>
      </c>
      <c r="F73" s="115"/>
    </row>
    <row r="74" spans="4:6" x14ac:dyDescent="0.25">
      <c r="D74" s="36" t="s">
        <v>11</v>
      </c>
      <c r="E74" s="50" t="str">
        <f>Worklist!L1</f>
        <v>Load Vol 3</v>
      </c>
      <c r="F74" s="116"/>
    </row>
    <row r="75" spans="4:6" x14ac:dyDescent="0.25">
      <c r="D75" s="36" t="s">
        <v>79</v>
      </c>
      <c r="E75" s="50" t="s">
        <v>86</v>
      </c>
      <c r="F75" s="116"/>
    </row>
    <row r="76" spans="4:6" x14ac:dyDescent="0.25">
      <c r="D76" s="36" t="s">
        <v>87</v>
      </c>
      <c r="E76" s="50">
        <v>5</v>
      </c>
      <c r="F76" s="116"/>
    </row>
    <row r="77" spans="4:6" x14ac:dyDescent="0.25">
      <c r="D77" s="36" t="s">
        <v>66</v>
      </c>
      <c r="E77" s="50" t="s">
        <v>80</v>
      </c>
      <c r="F77" s="116"/>
    </row>
    <row r="78" spans="4:6" ht="15.75" thickBot="1" x14ac:dyDescent="0.3">
      <c r="D78" s="37" t="s">
        <v>88</v>
      </c>
      <c r="E78" s="51">
        <f>MAX(Worklist!L:L)*0.33/60 + 0.25*MAX(Worklist!L:L)*0.33/60</f>
        <v>3.3373786407766994</v>
      </c>
      <c r="F78" s="117"/>
    </row>
    <row r="79" spans="4:6" ht="15.75" thickBot="1" x14ac:dyDescent="0.3">
      <c r="D79" s="24"/>
      <c r="E79" s="24"/>
    </row>
    <row r="80" spans="4:6" x14ac:dyDescent="0.25">
      <c r="D80" s="91" t="s">
        <v>2</v>
      </c>
      <c r="E80" s="92"/>
      <c r="F80" s="42" t="s">
        <v>14</v>
      </c>
    </row>
    <row r="81" spans="4:6" x14ac:dyDescent="0.25">
      <c r="D81" s="31" t="s">
        <v>1</v>
      </c>
      <c r="E81" s="34" t="s">
        <v>133</v>
      </c>
      <c r="F81" s="102"/>
    </row>
    <row r="82" spans="4:6" ht="15.75" thickBot="1" x14ac:dyDescent="0.3">
      <c r="D82" s="1" t="s">
        <v>22</v>
      </c>
      <c r="E82" s="17" t="s">
        <v>31</v>
      </c>
      <c r="F82" s="103"/>
    </row>
    <row r="83" spans="4:6" ht="15.75" thickBot="1" x14ac:dyDescent="0.3">
      <c r="D83" s="48"/>
      <c r="E83" s="48"/>
    </row>
    <row r="84" spans="4:6" x14ac:dyDescent="0.25">
      <c r="D84" s="113" t="str">
        <f>IF(MAX(Worklist!M:M)=0,"Disabled","Vacuum")</f>
        <v>Vacuum</v>
      </c>
      <c r="E84" s="114"/>
      <c r="F84" s="49" t="s">
        <v>14</v>
      </c>
    </row>
    <row r="85" spans="4:6" x14ac:dyDescent="0.25">
      <c r="D85" s="36" t="s">
        <v>35</v>
      </c>
      <c r="E85" s="58" t="s">
        <v>137</v>
      </c>
      <c r="F85" s="115" t="s">
        <v>122</v>
      </c>
    </row>
    <row r="86" spans="4:6" x14ac:dyDescent="0.25">
      <c r="D86" s="36" t="s">
        <v>11</v>
      </c>
      <c r="E86" s="50" t="str">
        <f>Worklist!M1</f>
        <v>Load Vol 4</v>
      </c>
      <c r="F86" s="116"/>
    </row>
    <row r="87" spans="4:6" x14ac:dyDescent="0.25">
      <c r="D87" s="36" t="s">
        <v>79</v>
      </c>
      <c r="E87" s="50" t="s">
        <v>86</v>
      </c>
      <c r="F87" s="116"/>
    </row>
    <row r="88" spans="4:6" x14ac:dyDescent="0.25">
      <c r="D88" s="36" t="s">
        <v>87</v>
      </c>
      <c r="E88" s="50">
        <v>5</v>
      </c>
      <c r="F88" s="116"/>
    </row>
    <row r="89" spans="4:6" x14ac:dyDescent="0.25">
      <c r="D89" s="36" t="s">
        <v>66</v>
      </c>
      <c r="E89" s="50" t="s">
        <v>80</v>
      </c>
      <c r="F89" s="116"/>
    </row>
    <row r="90" spans="4:6" ht="15.75" thickBot="1" x14ac:dyDescent="0.3">
      <c r="D90" s="37" t="s">
        <v>88</v>
      </c>
      <c r="E90" s="51">
        <f>MAX(Worklist!M:M)*0.33/60 + 0.25*MAX(Worklist!M:M)*0.33/60</f>
        <v>3.3373786407766994</v>
      </c>
      <c r="F90" s="117"/>
    </row>
    <row r="91" spans="4:6" ht="15.75" thickBot="1" x14ac:dyDescent="0.3">
      <c r="D91" s="24"/>
      <c r="E91" s="24"/>
    </row>
    <row r="92" spans="4:6" x14ac:dyDescent="0.25">
      <c r="D92" s="91" t="s">
        <v>2</v>
      </c>
      <c r="E92" s="92"/>
      <c r="F92" s="42" t="s">
        <v>14</v>
      </c>
    </row>
    <row r="93" spans="4:6" x14ac:dyDescent="0.25">
      <c r="D93" s="31" t="s">
        <v>1</v>
      </c>
      <c r="E93" s="34" t="s">
        <v>135</v>
      </c>
      <c r="F93" s="102"/>
    </row>
    <row r="94" spans="4:6" ht="15.75" thickBot="1" x14ac:dyDescent="0.3">
      <c r="D94" s="43" t="s">
        <v>22</v>
      </c>
      <c r="E94" s="33" t="s">
        <v>31</v>
      </c>
      <c r="F94" s="103"/>
    </row>
    <row r="95" spans="4:6" ht="15.75" thickBot="1" x14ac:dyDescent="0.3">
      <c r="D95" s="48"/>
      <c r="E95" s="48"/>
    </row>
    <row r="96" spans="4:6" x14ac:dyDescent="0.25">
      <c r="D96" s="113" t="str">
        <f>IF(MAX(Worklist!O:O)=0,"Disabled","Vacuum")</f>
        <v>Vacuum</v>
      </c>
      <c r="E96" s="114"/>
      <c r="F96" s="49" t="s">
        <v>14</v>
      </c>
    </row>
    <row r="97" spans="4:6" x14ac:dyDescent="0.25">
      <c r="D97" s="36" t="s">
        <v>35</v>
      </c>
      <c r="E97" s="58" t="str">
        <f>Worklist!N1</f>
        <v>Wash Buffer 1</v>
      </c>
      <c r="F97" s="115" t="s">
        <v>129</v>
      </c>
    </row>
    <row r="98" spans="4:6" x14ac:dyDescent="0.25">
      <c r="D98" s="36" t="s">
        <v>11</v>
      </c>
      <c r="E98" s="50" t="str">
        <f>Worklist!O1</f>
        <v>Wash Buffer 1 Vol</v>
      </c>
      <c r="F98" s="116"/>
    </row>
    <row r="99" spans="4:6" x14ac:dyDescent="0.25">
      <c r="D99" s="36" t="s">
        <v>79</v>
      </c>
      <c r="E99" s="50" t="s">
        <v>86</v>
      </c>
      <c r="F99" s="116"/>
    </row>
    <row r="100" spans="4:6" x14ac:dyDescent="0.25">
      <c r="D100" s="36" t="s">
        <v>87</v>
      </c>
      <c r="E100" s="50">
        <v>5</v>
      </c>
      <c r="F100" s="116"/>
    </row>
    <row r="101" spans="4:6" x14ac:dyDescent="0.25">
      <c r="D101" s="36" t="s">
        <v>66</v>
      </c>
      <c r="E101" s="50" t="s">
        <v>80</v>
      </c>
      <c r="F101" s="116"/>
    </row>
    <row r="102" spans="4:6" ht="15.75" thickBot="1" x14ac:dyDescent="0.3">
      <c r="D102" s="37" t="s">
        <v>88</v>
      </c>
      <c r="E102" s="51">
        <f>MAX(Worklist!O:O)*0.33/60 + 0.25*MAX(Worklist!O:O)*0.33/60</f>
        <v>1.03125</v>
      </c>
      <c r="F102" s="117"/>
    </row>
    <row r="103" spans="4:6" ht="15.75" thickBot="1" x14ac:dyDescent="0.3">
      <c r="D103" s="48"/>
      <c r="E103" s="48"/>
    </row>
    <row r="104" spans="4:6" x14ac:dyDescent="0.25">
      <c r="D104" s="113" t="str">
        <f>IF(MAX(Worklist!Q:Q)=0,"Disabled","Vacuum")</f>
        <v>Vacuum</v>
      </c>
      <c r="E104" s="114"/>
      <c r="F104" s="49" t="s">
        <v>14</v>
      </c>
    </row>
    <row r="105" spans="4:6" x14ac:dyDescent="0.25">
      <c r="D105" s="36" t="s">
        <v>35</v>
      </c>
      <c r="E105" s="58" t="str">
        <f>Worklist!P1</f>
        <v>Wash Buffer 2</v>
      </c>
      <c r="F105" s="115"/>
    </row>
    <row r="106" spans="4:6" x14ac:dyDescent="0.25">
      <c r="D106" s="36" t="s">
        <v>11</v>
      </c>
      <c r="E106" s="50" t="str">
        <f>Worklist!Q1</f>
        <v>Wash Buffer 2 Vol</v>
      </c>
      <c r="F106" s="116"/>
    </row>
    <row r="107" spans="4:6" x14ac:dyDescent="0.25">
      <c r="D107" s="36" t="s">
        <v>79</v>
      </c>
      <c r="E107" s="50" t="s">
        <v>86</v>
      </c>
      <c r="F107" s="116"/>
    </row>
    <row r="108" spans="4:6" x14ac:dyDescent="0.25">
      <c r="D108" s="36" t="s">
        <v>87</v>
      </c>
      <c r="E108" s="50">
        <v>5</v>
      </c>
      <c r="F108" s="116"/>
    </row>
    <row r="109" spans="4:6" x14ac:dyDescent="0.25">
      <c r="D109" s="36" t="s">
        <v>66</v>
      </c>
      <c r="E109" s="50" t="s">
        <v>80</v>
      </c>
      <c r="F109" s="116"/>
    </row>
    <row r="110" spans="4:6" ht="15.75" thickBot="1" x14ac:dyDescent="0.3">
      <c r="D110" s="37" t="s">
        <v>88</v>
      </c>
      <c r="E110" s="51">
        <f>MAX(Worklist!Q:Q)*0.33/60 + 0.25*MAX(Worklist!Q:Q)*0.33/60</f>
        <v>1.03125</v>
      </c>
      <c r="F110" s="117"/>
    </row>
    <row r="111" spans="4:6" ht="15.75" thickBot="1" x14ac:dyDescent="0.3"/>
    <row r="112" spans="4:6" x14ac:dyDescent="0.25">
      <c r="D112" s="113" t="str">
        <f>IF(MAX(Worklist!S:S)=0,"Disabled","Vacuum")</f>
        <v>Vacuum</v>
      </c>
      <c r="E112" s="114"/>
      <c r="F112" s="49" t="s">
        <v>14</v>
      </c>
    </row>
    <row r="113" spans="4:6" x14ac:dyDescent="0.25">
      <c r="D113" s="36" t="s">
        <v>35</v>
      </c>
      <c r="E113" s="58" t="str">
        <f>Worklist!R1</f>
        <v>Wash Buffer 3</v>
      </c>
      <c r="F113" s="115"/>
    </row>
    <row r="114" spans="4:6" x14ac:dyDescent="0.25">
      <c r="D114" s="36" t="s">
        <v>11</v>
      </c>
      <c r="E114" s="50" t="str">
        <f>Worklist!S1</f>
        <v>Wash Buffer 3 Vol</v>
      </c>
      <c r="F114" s="116"/>
    </row>
    <row r="115" spans="4:6" x14ac:dyDescent="0.25">
      <c r="D115" s="36" t="s">
        <v>79</v>
      </c>
      <c r="E115" s="50" t="s">
        <v>86</v>
      </c>
      <c r="F115" s="116"/>
    </row>
    <row r="116" spans="4:6" x14ac:dyDescent="0.25">
      <c r="D116" s="36" t="s">
        <v>87</v>
      </c>
      <c r="E116" s="50">
        <v>5</v>
      </c>
      <c r="F116" s="116"/>
    </row>
    <row r="117" spans="4:6" x14ac:dyDescent="0.25">
      <c r="D117" s="36" t="s">
        <v>66</v>
      </c>
      <c r="E117" s="50" t="s">
        <v>80</v>
      </c>
      <c r="F117" s="116"/>
    </row>
    <row r="118" spans="4:6" ht="15.75" thickBot="1" x14ac:dyDescent="0.3">
      <c r="D118" s="37" t="s">
        <v>88</v>
      </c>
      <c r="E118" s="51">
        <f>MAX(Worklist!S:S)*0.33/60 + 0.25*MAX(Worklist!S:S)*0.33/60</f>
        <v>1.03125</v>
      </c>
      <c r="F118" s="117"/>
    </row>
    <row r="119" spans="4:6" ht="15.75" thickBot="1" x14ac:dyDescent="0.3"/>
    <row r="120" spans="4:6" x14ac:dyDescent="0.25">
      <c r="D120" s="113" t="str">
        <f>IF(MAX(Worklist!U:U)=0,"Disabled","Vacuum")</f>
        <v>Vacuum</v>
      </c>
      <c r="E120" s="114"/>
      <c r="F120" s="49" t="s">
        <v>14</v>
      </c>
    </row>
    <row r="121" spans="4:6" x14ac:dyDescent="0.25">
      <c r="D121" s="36" t="s">
        <v>35</v>
      </c>
      <c r="E121" s="58" t="str">
        <f>Worklist!T1</f>
        <v>Wash Buffer 4</v>
      </c>
      <c r="F121" s="115"/>
    </row>
    <row r="122" spans="4:6" x14ac:dyDescent="0.25">
      <c r="D122" s="36" t="s">
        <v>11</v>
      </c>
      <c r="E122" s="50" t="str">
        <f>Worklist!U1</f>
        <v>Wash Buffer 4 Vol</v>
      </c>
      <c r="F122" s="116"/>
    </row>
    <row r="123" spans="4:6" x14ac:dyDescent="0.25">
      <c r="D123" s="36" t="s">
        <v>79</v>
      </c>
      <c r="E123" s="50" t="s">
        <v>86</v>
      </c>
      <c r="F123" s="116"/>
    </row>
    <row r="124" spans="4:6" x14ac:dyDescent="0.25">
      <c r="D124" s="36" t="s">
        <v>87</v>
      </c>
      <c r="E124" s="50">
        <v>5</v>
      </c>
      <c r="F124" s="116"/>
    </row>
    <row r="125" spans="4:6" x14ac:dyDescent="0.25">
      <c r="D125" s="36" t="s">
        <v>66</v>
      </c>
      <c r="E125" s="50" t="s">
        <v>80</v>
      </c>
      <c r="F125" s="116"/>
    </row>
    <row r="126" spans="4:6" ht="15.75" thickBot="1" x14ac:dyDescent="0.3">
      <c r="D126" s="37" t="s">
        <v>88</v>
      </c>
      <c r="E126" s="51">
        <f>MAX(Worklist!U:U)*0.33/60 + 0.25*MAX(Worklist!U:U)*0.33/60</f>
        <v>1.03125</v>
      </c>
      <c r="F126" s="117"/>
    </row>
    <row r="127" spans="4:6" ht="15.75" thickBot="1" x14ac:dyDescent="0.3"/>
    <row r="128" spans="4:6" x14ac:dyDescent="0.25">
      <c r="D128" s="113" t="str">
        <f>IF(MAX(Worklist!W:W)=0,"Disabled","Vacuum")</f>
        <v>Vacuum</v>
      </c>
      <c r="E128" s="114"/>
      <c r="F128" s="49" t="s">
        <v>14</v>
      </c>
    </row>
    <row r="129" spans="4:6" x14ac:dyDescent="0.25">
      <c r="D129" s="36" t="s">
        <v>35</v>
      </c>
      <c r="E129" s="58" t="str">
        <f>Worklist!V1</f>
        <v>Wash Buffer 5</v>
      </c>
      <c r="F129" s="115"/>
    </row>
    <row r="130" spans="4:6" x14ac:dyDescent="0.25">
      <c r="D130" s="36" t="s">
        <v>11</v>
      </c>
      <c r="E130" s="50" t="str">
        <f>Worklist!W1</f>
        <v>Wash Buffer 5 Vol</v>
      </c>
      <c r="F130" s="116"/>
    </row>
    <row r="131" spans="4:6" x14ac:dyDescent="0.25">
      <c r="D131" s="36" t="s">
        <v>79</v>
      </c>
      <c r="E131" s="50" t="s">
        <v>86</v>
      </c>
      <c r="F131" s="116"/>
    </row>
    <row r="132" spans="4:6" x14ac:dyDescent="0.25">
      <c r="D132" s="36" t="s">
        <v>87</v>
      </c>
      <c r="E132" s="50">
        <v>5</v>
      </c>
      <c r="F132" s="116"/>
    </row>
    <row r="133" spans="4:6" x14ac:dyDescent="0.25">
      <c r="D133" s="36" t="s">
        <v>66</v>
      </c>
      <c r="E133" s="50" t="s">
        <v>80</v>
      </c>
      <c r="F133" s="116"/>
    </row>
    <row r="134" spans="4:6" ht="15.75" thickBot="1" x14ac:dyDescent="0.3">
      <c r="D134" s="37" t="s">
        <v>88</v>
      </c>
      <c r="E134" s="51">
        <f>MAX(Worklist!W:W)*0.33/60 + 0.25*MAX(Worklist!W:W)*0.33/60</f>
        <v>1.03125</v>
      </c>
      <c r="F134" s="117"/>
    </row>
    <row r="135" spans="4:6" ht="15.75" thickBot="1" x14ac:dyDescent="0.3"/>
    <row r="136" spans="4:6" x14ac:dyDescent="0.25">
      <c r="D136" s="113" t="str">
        <f>IF(MAX(Worklist!Y:Y)=0,"Disabled","Vacuum")</f>
        <v>Vacuum</v>
      </c>
      <c r="E136" s="114"/>
      <c r="F136" s="49" t="s">
        <v>14</v>
      </c>
    </row>
    <row r="137" spans="4:6" x14ac:dyDescent="0.25">
      <c r="D137" s="36" t="s">
        <v>35</v>
      </c>
      <c r="E137" s="58" t="str">
        <f>Worklist!X1</f>
        <v>Wash Buffer 6</v>
      </c>
      <c r="F137" s="115" t="s">
        <v>130</v>
      </c>
    </row>
    <row r="138" spans="4:6" x14ac:dyDescent="0.25">
      <c r="D138" s="36" t="s">
        <v>11</v>
      </c>
      <c r="E138" s="50" t="str">
        <f>Worklist!Y1</f>
        <v>Wash Buffer 6 Vol</v>
      </c>
      <c r="F138" s="116"/>
    </row>
    <row r="139" spans="4:6" x14ac:dyDescent="0.25">
      <c r="D139" s="36" t="s">
        <v>79</v>
      </c>
      <c r="E139" s="50" t="s">
        <v>86</v>
      </c>
      <c r="F139" s="116"/>
    </row>
    <row r="140" spans="4:6" x14ac:dyDescent="0.25">
      <c r="D140" s="36" t="s">
        <v>87</v>
      </c>
      <c r="E140" s="50">
        <v>5</v>
      </c>
      <c r="F140" s="116"/>
    </row>
    <row r="141" spans="4:6" x14ac:dyDescent="0.25">
      <c r="D141" s="36" t="s">
        <v>66</v>
      </c>
      <c r="E141" s="50" t="s">
        <v>80</v>
      </c>
      <c r="F141" s="116"/>
    </row>
    <row r="142" spans="4:6" ht="15.75" thickBot="1" x14ac:dyDescent="0.3">
      <c r="D142" s="37" t="s">
        <v>88</v>
      </c>
      <c r="E142" s="51">
        <f>MAX(Worklist!Y:Y)*0.33/60 + 0.25*MAX(Worklist!Y:Y)*0.33/60</f>
        <v>1.03125</v>
      </c>
      <c r="F142" s="117"/>
    </row>
    <row r="143" spans="4:6" ht="15.75" thickBot="1" x14ac:dyDescent="0.3"/>
    <row r="144" spans="4:6" x14ac:dyDescent="0.25">
      <c r="D144" s="91" t="s">
        <v>2</v>
      </c>
      <c r="E144" s="92"/>
      <c r="F144" s="42" t="s">
        <v>14</v>
      </c>
    </row>
    <row r="145" spans="4:6" x14ac:dyDescent="0.25">
      <c r="D145" s="31" t="s">
        <v>1</v>
      </c>
      <c r="E145" s="34" t="s">
        <v>136</v>
      </c>
      <c r="F145" s="102"/>
    </row>
    <row r="146" spans="4:6" ht="15.75" thickBot="1" x14ac:dyDescent="0.3">
      <c r="D146" s="43" t="s">
        <v>22</v>
      </c>
      <c r="E146" s="33" t="s">
        <v>31</v>
      </c>
      <c r="F146" s="103"/>
    </row>
    <row r="147" spans="4:6" ht="15.75" thickBot="1" x14ac:dyDescent="0.3"/>
    <row r="148" spans="4:6" x14ac:dyDescent="0.25">
      <c r="D148" s="100" t="s">
        <v>0</v>
      </c>
      <c r="E148" s="101"/>
      <c r="F148" s="29" t="s">
        <v>14</v>
      </c>
    </row>
    <row r="149" spans="4:6" x14ac:dyDescent="0.25">
      <c r="D149" s="3" t="s">
        <v>35</v>
      </c>
      <c r="E149" s="13" t="str">
        <f>Worklist!Z1</f>
        <v>Neutralization Buffer</v>
      </c>
      <c r="F149" s="127" t="s">
        <v>131</v>
      </c>
    </row>
    <row r="150" spans="4:6" x14ac:dyDescent="0.25">
      <c r="D150" s="3" t="s">
        <v>51</v>
      </c>
      <c r="E150" s="13" t="s">
        <v>58</v>
      </c>
      <c r="F150" s="128"/>
    </row>
    <row r="151" spans="4:6" x14ac:dyDescent="0.25">
      <c r="D151" s="3" t="s">
        <v>49</v>
      </c>
      <c r="E151" s="13" t="s">
        <v>56</v>
      </c>
      <c r="F151" s="128"/>
    </row>
    <row r="152" spans="4:6" x14ac:dyDescent="0.25">
      <c r="D152" s="3" t="s">
        <v>11</v>
      </c>
      <c r="E152" s="13" t="str">
        <f>Worklist!AA1</f>
        <v>Neutralization Buffer Vol</v>
      </c>
      <c r="F152" s="128"/>
    </row>
    <row r="153" spans="4:6" ht="15.75" thickBot="1" x14ac:dyDescent="0.3">
      <c r="D153" s="4" t="s">
        <v>38</v>
      </c>
      <c r="E153" s="14" t="s">
        <v>40</v>
      </c>
      <c r="F153" s="129"/>
    </row>
    <row r="154" spans="4:6" ht="15.75" thickBot="1" x14ac:dyDescent="0.3"/>
    <row r="155" spans="4:6" x14ac:dyDescent="0.25">
      <c r="D155" s="113" t="str">
        <f>IF(MAX(Worklist!AC:AC)=0,"Disabled","Vacuum")</f>
        <v>Vacuum</v>
      </c>
      <c r="E155" s="114"/>
      <c r="F155" s="49" t="s">
        <v>14</v>
      </c>
    </row>
    <row r="156" spans="4:6" x14ac:dyDescent="0.25">
      <c r="D156" s="36" t="s">
        <v>35</v>
      </c>
      <c r="E156" s="58" t="str">
        <f>Worklist!AB1</f>
        <v>Elution Buffer 1</v>
      </c>
      <c r="F156" s="115"/>
    </row>
    <row r="157" spans="4:6" x14ac:dyDescent="0.25">
      <c r="D157" s="36" t="s">
        <v>11</v>
      </c>
      <c r="E157" s="50" t="str">
        <f>Worklist!AC1</f>
        <v>Elution Buffer 1 Vol</v>
      </c>
      <c r="F157" s="116"/>
    </row>
    <row r="158" spans="4:6" x14ac:dyDescent="0.25">
      <c r="D158" s="36" t="s">
        <v>79</v>
      </c>
      <c r="E158" s="50" t="s">
        <v>86</v>
      </c>
      <c r="F158" s="116"/>
    </row>
    <row r="159" spans="4:6" x14ac:dyDescent="0.25">
      <c r="D159" s="36" t="s">
        <v>87</v>
      </c>
      <c r="E159" s="50">
        <v>5</v>
      </c>
      <c r="F159" s="116"/>
    </row>
    <row r="160" spans="4:6" x14ac:dyDescent="0.25">
      <c r="D160" s="36" t="s">
        <v>66</v>
      </c>
      <c r="E160" s="50" t="s">
        <v>80</v>
      </c>
      <c r="F160" s="116"/>
    </row>
    <row r="161" spans="4:6" ht="15.75" thickBot="1" x14ac:dyDescent="0.3">
      <c r="D161" s="37" t="s">
        <v>88</v>
      </c>
      <c r="E161" s="51">
        <f>MAX(Worklist!AC:AC)*0.33/60 + 0.25*MAX(Worklist!AC:AC)*0.33/60</f>
        <v>1.03125</v>
      </c>
      <c r="F161" s="117"/>
    </row>
    <row r="162" spans="4:6" ht="15.75" thickBot="1" x14ac:dyDescent="0.3"/>
    <row r="163" spans="4:6" x14ac:dyDescent="0.25">
      <c r="D163" s="113" t="str">
        <f>IF(MAX(Worklist!AE:AE)=0,"Disabled","Vacuum")</f>
        <v>Vacuum</v>
      </c>
      <c r="E163" s="114"/>
      <c r="F163" s="49" t="s">
        <v>14</v>
      </c>
    </row>
    <row r="164" spans="4:6" x14ac:dyDescent="0.25">
      <c r="D164" s="36" t="s">
        <v>35</v>
      </c>
      <c r="E164" s="58" t="str">
        <f>Worklist!AD1</f>
        <v>Elution Buffer 2</v>
      </c>
      <c r="F164" s="115"/>
    </row>
    <row r="165" spans="4:6" x14ac:dyDescent="0.25">
      <c r="D165" s="36" t="s">
        <v>11</v>
      </c>
      <c r="E165" s="50" t="str">
        <f>Worklist!AE1</f>
        <v>Elution Buffer 2 Vol</v>
      </c>
      <c r="F165" s="116"/>
    </row>
    <row r="166" spans="4:6" x14ac:dyDescent="0.25">
      <c r="D166" s="36" t="s">
        <v>79</v>
      </c>
      <c r="E166" s="50" t="s">
        <v>86</v>
      </c>
      <c r="F166" s="116"/>
    </row>
    <row r="167" spans="4:6" x14ac:dyDescent="0.25">
      <c r="D167" s="36" t="s">
        <v>87</v>
      </c>
      <c r="E167" s="50">
        <v>5</v>
      </c>
      <c r="F167" s="116"/>
    </row>
    <row r="168" spans="4:6" x14ac:dyDescent="0.25">
      <c r="D168" s="36" t="s">
        <v>66</v>
      </c>
      <c r="E168" s="50" t="s">
        <v>80</v>
      </c>
      <c r="F168" s="116"/>
    </row>
    <row r="169" spans="4:6" ht="15.75" thickBot="1" x14ac:dyDescent="0.3">
      <c r="D169" s="37" t="s">
        <v>88</v>
      </c>
      <c r="E169" s="51">
        <f>MAX(Worklist!AE:AE)*0.33/60 + 0.25*MAX(Worklist!AE:AE)*0.33/60</f>
        <v>1.03125</v>
      </c>
      <c r="F169" s="117"/>
    </row>
    <row r="170" spans="4:6" ht="15.75" thickBot="1" x14ac:dyDescent="0.3"/>
    <row r="171" spans="4:6" x14ac:dyDescent="0.25">
      <c r="D171" s="113" t="str">
        <f>IF(MAX(Worklist!AG:AG)=0,"Disabled","Vacuum")</f>
        <v>Vacuum</v>
      </c>
      <c r="E171" s="114"/>
      <c r="F171" s="49" t="s">
        <v>14</v>
      </c>
    </row>
    <row r="172" spans="4:6" x14ac:dyDescent="0.25">
      <c r="D172" s="36" t="s">
        <v>35</v>
      </c>
      <c r="E172" s="58" t="str">
        <f>Worklist!AF1</f>
        <v>Elution Buffer 3</v>
      </c>
      <c r="F172" s="115" t="s">
        <v>132</v>
      </c>
    </row>
    <row r="173" spans="4:6" x14ac:dyDescent="0.25">
      <c r="D173" s="36" t="s">
        <v>11</v>
      </c>
      <c r="E173" s="50" t="str">
        <f>Worklist!AG1</f>
        <v>Elution Buffer 3 Vol</v>
      </c>
      <c r="F173" s="116"/>
    </row>
    <row r="174" spans="4:6" x14ac:dyDescent="0.25">
      <c r="D174" s="36" t="s">
        <v>79</v>
      </c>
      <c r="E174" s="50" t="s">
        <v>86</v>
      </c>
      <c r="F174" s="116"/>
    </row>
    <row r="175" spans="4:6" x14ac:dyDescent="0.25">
      <c r="D175" s="36" t="s">
        <v>87</v>
      </c>
      <c r="E175" s="50">
        <v>5</v>
      </c>
      <c r="F175" s="116"/>
    </row>
    <row r="176" spans="4:6" x14ac:dyDescent="0.25">
      <c r="D176" s="36" t="s">
        <v>66</v>
      </c>
      <c r="E176" s="50" t="s">
        <v>80</v>
      </c>
      <c r="F176" s="116"/>
    </row>
    <row r="177" spans="4:6" ht="15.75" thickBot="1" x14ac:dyDescent="0.3">
      <c r="D177" s="37" t="s">
        <v>88</v>
      </c>
      <c r="E177" s="51">
        <f>MAX(Worklist!AG:AG)*0.33/60 + 0.25*MAX(Worklist!AG:AG)*0.33/60</f>
        <v>1.03125</v>
      </c>
      <c r="F177" s="117"/>
    </row>
    <row r="178" spans="4:6" ht="15.75" thickBot="1" x14ac:dyDescent="0.3"/>
    <row r="179" spans="4:6" x14ac:dyDescent="0.25">
      <c r="D179" s="91" t="s">
        <v>18</v>
      </c>
      <c r="E179" s="92"/>
      <c r="F179" s="40" t="s">
        <v>14</v>
      </c>
    </row>
    <row r="180" spans="4:6" x14ac:dyDescent="0.25">
      <c r="D180" s="31" t="s">
        <v>46</v>
      </c>
      <c r="E180" s="32" t="s">
        <v>39</v>
      </c>
      <c r="F180" s="118"/>
    </row>
    <row r="181" spans="4:6" x14ac:dyDescent="0.25">
      <c r="D181" s="31" t="s">
        <v>19</v>
      </c>
      <c r="E181" s="45" t="s">
        <v>127</v>
      </c>
      <c r="F181" s="119"/>
    </row>
    <row r="182" spans="4:6" ht="30.75" thickBot="1" x14ac:dyDescent="0.3">
      <c r="D182" s="1" t="s">
        <v>20</v>
      </c>
      <c r="E182" s="44" t="s">
        <v>128</v>
      </c>
      <c r="F182" s="120"/>
    </row>
    <row r="183" spans="4:6" ht="15.75" thickBot="1" x14ac:dyDescent="0.3"/>
    <row r="184" spans="4:6" x14ac:dyDescent="0.25">
      <c r="D184" s="91" t="s">
        <v>48</v>
      </c>
      <c r="E184" s="92"/>
      <c r="F184" s="42" t="s">
        <v>14</v>
      </c>
    </row>
    <row r="185" spans="4:6" x14ac:dyDescent="0.25">
      <c r="D185" s="104"/>
      <c r="E185" s="105"/>
      <c r="F185" s="102"/>
    </row>
    <row r="186" spans="4:6" ht="15.75" thickBot="1" x14ac:dyDescent="0.3">
      <c r="D186" s="106"/>
      <c r="E186" s="107"/>
      <c r="F186" s="103"/>
    </row>
  </sheetData>
  <mergeCells count="58">
    <mergeCell ref="D60:E60"/>
    <mergeCell ref="D72:E72"/>
    <mergeCell ref="D84:E84"/>
    <mergeCell ref="D96:E96"/>
    <mergeCell ref="D155:E155"/>
    <mergeCell ref="D104:E104"/>
    <mergeCell ref="D112:E112"/>
    <mergeCell ref="D120:E120"/>
    <mergeCell ref="D128:E128"/>
    <mergeCell ref="D136:E136"/>
    <mergeCell ref="D144:E144"/>
    <mergeCell ref="D2:E2"/>
    <mergeCell ref="F3:F4"/>
    <mergeCell ref="D6:E6"/>
    <mergeCell ref="D8:E8"/>
    <mergeCell ref="F9:F10"/>
    <mergeCell ref="F37:F42"/>
    <mergeCell ref="D12:E12"/>
    <mergeCell ref="F13:F18"/>
    <mergeCell ref="D20:E20"/>
    <mergeCell ref="F21:F26"/>
    <mergeCell ref="D28:E28"/>
    <mergeCell ref="D36:E36"/>
    <mergeCell ref="F29:F34"/>
    <mergeCell ref="D44:E44"/>
    <mergeCell ref="F45:F46"/>
    <mergeCell ref="F49:F54"/>
    <mergeCell ref="D56:E56"/>
    <mergeCell ref="F57:F58"/>
    <mergeCell ref="D48:E48"/>
    <mergeCell ref="F61:F66"/>
    <mergeCell ref="D68:E68"/>
    <mergeCell ref="F69:F70"/>
    <mergeCell ref="F73:F78"/>
    <mergeCell ref="D80:E80"/>
    <mergeCell ref="F81:F82"/>
    <mergeCell ref="F85:F90"/>
    <mergeCell ref="D92:E92"/>
    <mergeCell ref="F93:F94"/>
    <mergeCell ref="F97:F102"/>
    <mergeCell ref="F105:F110"/>
    <mergeCell ref="F113:F118"/>
    <mergeCell ref="F121:F126"/>
    <mergeCell ref="F129:F134"/>
    <mergeCell ref="F137:F142"/>
    <mergeCell ref="D184:E184"/>
    <mergeCell ref="D185:E186"/>
    <mergeCell ref="F185:F186"/>
    <mergeCell ref="F145:F146"/>
    <mergeCell ref="D148:E148"/>
    <mergeCell ref="F149:F153"/>
    <mergeCell ref="D179:E179"/>
    <mergeCell ref="F180:F182"/>
    <mergeCell ref="F156:F161"/>
    <mergeCell ref="F164:F169"/>
    <mergeCell ref="F172:F177"/>
    <mergeCell ref="D163:E163"/>
    <mergeCell ref="D171:E17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TestMethod">
                <anchor moveWithCells="1">
                  <from>
                    <xdr:col>0</xdr:col>
                    <xdr:colOff>104775</xdr:colOff>
                    <xdr:row>0</xdr:row>
                    <xdr:rowOff>123825</xdr:rowOff>
                  </from>
                  <to>
                    <xdr:col>1</xdr:col>
                    <xdr:colOff>971550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eneratePrepSheet">
                <anchor moveWithCells="1">
                  <from>
                    <xdr:col>0</xdr:col>
                    <xdr:colOff>85725</xdr:colOff>
                    <xdr:row>6</xdr:row>
                    <xdr:rowOff>66675</xdr:rowOff>
                  </from>
                  <to>
                    <xdr:col>1</xdr:col>
                    <xdr:colOff>962025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00000000-0002-0000-0200-000000000000}">
          <x14:formula1>
            <xm:f>'___Dropdown values'!$B$4:$B$6</xm:f>
          </x14:formula1>
          <xm:sqref>E4 E58 E82</xm:sqref>
        </x14:dataValidation>
        <x14:dataValidation type="list" allowBlank="1" showInputMessage="1" showErrorMessage="1" xr:uid="{00000000-0002-0000-0200-000001000000}">
          <x14:formula1>
            <xm:f>'___Dropdown values'!$B$4:$B$7</xm:f>
          </x14:formula1>
          <xm:sqref>E10 E46 E70 E94 E146</xm:sqref>
        </x14:dataValidation>
        <x14:dataValidation type="list" allowBlank="1" showInputMessage="1" showErrorMessage="1" xr:uid="{00000000-0002-0000-0200-000002000000}">
          <x14:formula1>
            <xm:f>'___Dropdown values'!$D$19:$D$22</xm:f>
          </x14:formula1>
          <xm:sqref>E17 E25 E33 E41 E53 E65 E77 E89 E101 E109 E117 E125 E133 E141 E160 E168 E176</xm:sqref>
        </x14:dataValidation>
        <x14:dataValidation type="list" allowBlank="1" showInputMessage="1" showErrorMessage="1" xr:uid="{00000000-0002-0000-0200-000003000000}">
          <x14:formula1>
            <xm:f>'___Dropdown values'!$D$25</xm:f>
          </x14:formula1>
          <xm:sqref>E15 E23 E31 E39 E51 E63 E75 E87 E99 E107 E115 E123 E131 E139 E158 E166 E174</xm:sqref>
        </x14:dataValidation>
        <x14:dataValidation type="list" allowBlank="1" showInputMessage="1" showErrorMessage="1" xr:uid="{00000000-0002-0000-0200-000004000000}">
          <x14:formula1>
            <xm:f>'___Dropdown values'!$B$10:$B$17</xm:f>
          </x14:formula1>
          <xm:sqref>E150</xm:sqref>
        </x14:dataValidation>
        <x14:dataValidation type="list" allowBlank="1" showInputMessage="1" showErrorMessage="1" xr:uid="{00000000-0002-0000-0200-000005000000}">
          <x14:formula1>
            <xm:f>'___Dropdown values'!$F$5:$F$6</xm:f>
          </x14:formula1>
          <xm:sqref>D148:E148</xm:sqref>
        </x14:dataValidation>
        <x14:dataValidation type="list" allowBlank="1" showInputMessage="1" showErrorMessage="1" xr:uid="{00000000-0002-0000-0200-000006000000}">
          <x14:formula1>
            <xm:f>'___Dropdown values'!$D$10:$D$11</xm:f>
          </x14:formula1>
          <xm:sqref>E153 E180</xm:sqref>
        </x14:dataValidation>
        <x14:dataValidation type="list" allowBlank="1" showInputMessage="1" showErrorMessage="1" xr:uid="{00000000-0002-0000-0200-000007000000}">
          <x14:formula1>
            <xm:f>'___Dropdown values'!$B$20:$B$21</xm:f>
          </x14:formula1>
          <xm:sqref>E151</xm:sqref>
        </x14:dataValidation>
        <x14:dataValidation type="list" allowBlank="1" showInputMessage="1" showErrorMessage="1" xr:uid="{00000000-0002-0000-0200-000008000000}">
          <x14:formula1>
            <xm:f>'___Dropdown values'!$I$5:$I$6</xm:f>
          </x14:formula1>
          <xm:sqref>D179:E179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G3"/>
  <sheetViews>
    <sheetView tabSelected="1" workbookViewId="0">
      <selection activeCell="B4" sqref="B4"/>
    </sheetView>
  </sheetViews>
  <sheetFormatPr defaultRowHeight="15" x14ac:dyDescent="0.25"/>
  <cols>
    <col min="1" max="1" width="9" bestFit="1" customWidth="1"/>
    <col min="2" max="2" width="20.42578125" customWidth="1"/>
    <col min="3" max="3" width="11.140625" bestFit="1" customWidth="1"/>
    <col min="4" max="4" width="27.85546875" bestFit="1" customWidth="1"/>
    <col min="5" max="5" width="14.42578125" bestFit="1" customWidth="1"/>
    <col min="6" max="6" width="28" customWidth="1"/>
    <col min="7" max="7" width="15.42578125" customWidth="1"/>
    <col min="8" max="8" width="10.85546875" bestFit="1" customWidth="1"/>
    <col min="9" max="9" width="14.42578125" bestFit="1" customWidth="1"/>
    <col min="10" max="13" width="10" bestFit="1" customWidth="1"/>
    <col min="14" max="14" width="27.85546875" bestFit="1" customWidth="1"/>
    <col min="15" max="15" width="16.85546875" bestFit="1" customWidth="1"/>
    <col min="16" max="16" width="13.42578125" bestFit="1" customWidth="1"/>
    <col min="17" max="17" width="16.85546875" bestFit="1" customWidth="1"/>
    <col min="18" max="18" width="13.42578125" bestFit="1" customWidth="1"/>
    <col min="19" max="19" width="16.85546875" bestFit="1" customWidth="1"/>
    <col min="20" max="20" width="13.42578125" bestFit="1" customWidth="1"/>
    <col min="21" max="21" width="16.85546875" bestFit="1" customWidth="1"/>
    <col min="22" max="22" width="13.42578125" bestFit="1" customWidth="1"/>
    <col min="23" max="23" width="16.85546875" bestFit="1" customWidth="1"/>
    <col min="24" max="24" width="13.42578125" bestFit="1" customWidth="1"/>
    <col min="25" max="25" width="16.85546875" bestFit="1" customWidth="1"/>
    <col min="26" max="26" width="20" bestFit="1" customWidth="1"/>
    <col min="27" max="27" width="23.5703125" bestFit="1" customWidth="1"/>
    <col min="28" max="28" width="14.85546875" bestFit="1" customWidth="1"/>
    <col min="29" max="29" width="18.42578125" bestFit="1" customWidth="1"/>
    <col min="30" max="30" width="14.85546875" bestFit="1" customWidth="1"/>
    <col min="31" max="31" width="18.42578125" bestFit="1" customWidth="1"/>
    <col min="32" max="32" width="14.85546875" bestFit="1" customWidth="1"/>
    <col min="33" max="33" width="18.42578125" bestFit="1" customWidth="1"/>
  </cols>
  <sheetData>
    <row r="1" spans="1:33" ht="36" customHeight="1" x14ac:dyDescent="0.25">
      <c r="A1" s="64" t="s">
        <v>30</v>
      </c>
      <c r="B1" s="64" t="s">
        <v>45</v>
      </c>
      <c r="C1" s="64" t="s">
        <v>16</v>
      </c>
      <c r="D1" s="59" t="s">
        <v>92</v>
      </c>
      <c r="E1" s="59" t="s">
        <v>93</v>
      </c>
      <c r="F1" s="59" t="s">
        <v>94</v>
      </c>
      <c r="G1" s="59" t="s">
        <v>95</v>
      </c>
      <c r="H1" s="59" t="s">
        <v>96</v>
      </c>
      <c r="I1" s="59" t="s">
        <v>97</v>
      </c>
      <c r="J1" s="60" t="s">
        <v>123</v>
      </c>
      <c r="K1" s="60" t="s">
        <v>124</v>
      </c>
      <c r="L1" s="60" t="s">
        <v>125</v>
      </c>
      <c r="M1" s="60" t="s">
        <v>126</v>
      </c>
      <c r="N1" s="61" t="s">
        <v>98</v>
      </c>
      <c r="O1" s="61" t="s">
        <v>99</v>
      </c>
      <c r="P1" s="61" t="s">
        <v>100</v>
      </c>
      <c r="Q1" s="61" t="s">
        <v>101</v>
      </c>
      <c r="R1" s="61" t="s">
        <v>102</v>
      </c>
      <c r="S1" s="61" t="s">
        <v>103</v>
      </c>
      <c r="T1" s="61" t="s">
        <v>104</v>
      </c>
      <c r="U1" s="61" t="s">
        <v>105</v>
      </c>
      <c r="V1" s="61" t="s">
        <v>106</v>
      </c>
      <c r="W1" s="61" t="s">
        <v>107</v>
      </c>
      <c r="X1" s="61" t="s">
        <v>108</v>
      </c>
      <c r="Y1" s="61" t="s">
        <v>109</v>
      </c>
      <c r="Z1" s="62" t="s">
        <v>110</v>
      </c>
      <c r="AA1" s="62" t="s">
        <v>111</v>
      </c>
      <c r="AB1" s="63" t="s">
        <v>112</v>
      </c>
      <c r="AC1" s="63" t="s">
        <v>113</v>
      </c>
      <c r="AD1" s="63" t="s">
        <v>114</v>
      </c>
      <c r="AE1" s="63" t="s">
        <v>115</v>
      </c>
      <c r="AF1" s="63" t="s">
        <v>116</v>
      </c>
      <c r="AG1" s="63" t="s">
        <v>117</v>
      </c>
    </row>
    <row r="2" spans="1:33" x14ac:dyDescent="0.25">
      <c r="A2">
        <f t="shared" ref="A2:A3" si="0">ROW(A1)</f>
        <v>1</v>
      </c>
      <c r="B2" t="s">
        <v>449</v>
      </c>
      <c r="C2" t="s">
        <v>139</v>
      </c>
      <c r="D2" t="s">
        <v>138</v>
      </c>
      <c r="E2">
        <v>600</v>
      </c>
      <c r="F2" t="s">
        <v>138</v>
      </c>
      <c r="G2">
        <v>600</v>
      </c>
      <c r="I2">
        <v>0</v>
      </c>
      <c r="J2">
        <v>485.43689320388353</v>
      </c>
      <c r="K2">
        <v>485.43689320388353</v>
      </c>
      <c r="L2">
        <v>485.43689320388353</v>
      </c>
      <c r="M2">
        <v>485.43689320388353</v>
      </c>
      <c r="N2" t="s">
        <v>138</v>
      </c>
      <c r="O2">
        <v>150</v>
      </c>
      <c r="P2" t="s">
        <v>141</v>
      </c>
      <c r="Q2">
        <v>150</v>
      </c>
      <c r="R2" t="s">
        <v>141</v>
      </c>
      <c r="S2">
        <v>150</v>
      </c>
      <c r="T2" t="s">
        <v>142</v>
      </c>
      <c r="U2">
        <v>150</v>
      </c>
      <c r="V2" t="s">
        <v>142</v>
      </c>
      <c r="W2">
        <v>150</v>
      </c>
      <c r="X2" t="s">
        <v>142</v>
      </c>
      <c r="Y2">
        <v>150</v>
      </c>
      <c r="Z2" t="s">
        <v>143</v>
      </c>
      <c r="AA2">
        <v>6.3</v>
      </c>
      <c r="AB2" t="s">
        <v>144</v>
      </c>
      <c r="AC2">
        <v>150</v>
      </c>
      <c r="AD2" t="s">
        <v>144</v>
      </c>
      <c r="AE2">
        <v>150</v>
      </c>
      <c r="AF2" t="s">
        <v>144</v>
      </c>
      <c r="AG2">
        <v>150</v>
      </c>
    </row>
    <row r="3" spans="1:33" x14ac:dyDescent="0.25">
      <c r="A3">
        <f t="shared" si="0"/>
        <v>2</v>
      </c>
      <c r="B3" t="s">
        <v>450</v>
      </c>
      <c r="C3" t="s">
        <v>140</v>
      </c>
      <c r="D3" t="s">
        <v>138</v>
      </c>
      <c r="E3">
        <v>600</v>
      </c>
      <c r="F3" t="s">
        <v>138</v>
      </c>
      <c r="G3">
        <v>600</v>
      </c>
      <c r="I3">
        <v>0</v>
      </c>
      <c r="J3">
        <v>446.42857142857144</v>
      </c>
      <c r="K3">
        <v>446.42857142857144</v>
      </c>
      <c r="L3">
        <v>446.42857142857144</v>
      </c>
      <c r="M3">
        <v>446.42857142857144</v>
      </c>
      <c r="N3" t="s">
        <v>138</v>
      </c>
      <c r="O3">
        <v>150</v>
      </c>
      <c r="P3" t="s">
        <v>141</v>
      </c>
      <c r="Q3">
        <v>150</v>
      </c>
      <c r="R3" t="s">
        <v>141</v>
      </c>
      <c r="S3">
        <v>150</v>
      </c>
      <c r="T3" t="s">
        <v>142</v>
      </c>
      <c r="U3">
        <v>150</v>
      </c>
      <c r="V3" t="s">
        <v>142</v>
      </c>
      <c r="W3">
        <v>150</v>
      </c>
      <c r="X3" t="s">
        <v>142</v>
      </c>
      <c r="Y3">
        <v>150</v>
      </c>
      <c r="Z3" t="s">
        <v>143</v>
      </c>
      <c r="AA3">
        <v>6.3</v>
      </c>
      <c r="AB3" t="s">
        <v>144</v>
      </c>
      <c r="AC3">
        <v>150</v>
      </c>
      <c r="AD3" t="s">
        <v>144</v>
      </c>
      <c r="AE3">
        <v>150</v>
      </c>
      <c r="AF3" t="s">
        <v>144</v>
      </c>
      <c r="AG3">
        <v>150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9D7D0-82D5-444F-A7F8-CB000BEF9B1B}">
  <dimension ref="B1:M47"/>
  <sheetViews>
    <sheetView workbookViewId="0"/>
  </sheetViews>
  <sheetFormatPr defaultRowHeight="15" x14ac:dyDescent="0.25"/>
  <sheetData>
    <row r="1" spans="2:13" ht="15.75" thickBot="1" x14ac:dyDescent="0.3"/>
    <row r="2" spans="2:13" ht="27" thickBot="1" x14ac:dyDescent="0.45">
      <c r="B2" s="146" t="s">
        <v>317</v>
      </c>
      <c r="C2" s="147"/>
      <c r="D2" s="147"/>
      <c r="E2" s="147"/>
      <c r="F2" s="147"/>
      <c r="G2" s="147"/>
      <c r="H2" s="147"/>
      <c r="I2" s="147"/>
      <c r="J2" s="147"/>
      <c r="K2" s="147"/>
      <c r="L2" s="147"/>
      <c r="M2" s="148"/>
    </row>
    <row r="3" spans="2:13" x14ac:dyDescent="0.25">
      <c r="B3" s="67"/>
      <c r="C3" s="68"/>
      <c r="D3" s="68"/>
      <c r="E3" s="68"/>
      <c r="F3" s="68"/>
      <c r="G3" s="68"/>
      <c r="H3" s="68"/>
      <c r="I3" s="68"/>
      <c r="J3" s="68"/>
      <c r="K3" s="68"/>
      <c r="L3" s="68"/>
      <c r="M3" s="69"/>
    </row>
    <row r="4" spans="2:13" x14ac:dyDescent="0.25">
      <c r="B4" s="70"/>
      <c r="C4" s="53"/>
      <c r="D4" s="53"/>
      <c r="E4" s="53"/>
      <c r="F4" s="53"/>
      <c r="G4" s="53"/>
      <c r="H4" s="53"/>
      <c r="I4" s="53"/>
      <c r="J4" s="53"/>
      <c r="K4" s="53"/>
      <c r="L4" s="53"/>
      <c r="M4" s="71"/>
    </row>
    <row r="5" spans="2:13" x14ac:dyDescent="0.25">
      <c r="B5" s="70"/>
      <c r="C5" s="53"/>
      <c r="D5" s="53"/>
      <c r="E5" s="53"/>
      <c r="F5" s="53"/>
      <c r="G5" s="53"/>
      <c r="H5" s="53"/>
      <c r="I5" s="53"/>
      <c r="J5" s="53"/>
      <c r="K5" s="53"/>
      <c r="L5" s="53"/>
      <c r="M5" s="71"/>
    </row>
    <row r="6" spans="2:13" x14ac:dyDescent="0.25">
      <c r="B6" s="70"/>
      <c r="C6" s="53"/>
      <c r="D6" s="53"/>
      <c r="E6" s="53"/>
      <c r="F6" s="53"/>
      <c r="G6" s="53"/>
      <c r="H6" s="53"/>
      <c r="I6" s="53"/>
      <c r="J6" s="53"/>
      <c r="K6" s="53"/>
      <c r="L6" s="53"/>
      <c r="M6" s="71"/>
    </row>
    <row r="7" spans="2:13" x14ac:dyDescent="0.25">
      <c r="B7" s="70"/>
      <c r="C7" s="53"/>
      <c r="D7" s="53"/>
      <c r="E7" s="53"/>
      <c r="F7" s="53"/>
      <c r="G7" s="53"/>
      <c r="H7" s="53"/>
      <c r="I7" s="53"/>
      <c r="J7" s="53"/>
      <c r="K7" s="53"/>
      <c r="L7" s="53"/>
      <c r="M7" s="71"/>
    </row>
    <row r="8" spans="2:13" x14ac:dyDescent="0.25">
      <c r="B8" s="70"/>
      <c r="C8" s="53"/>
      <c r="D8" s="53"/>
      <c r="E8" s="53"/>
      <c r="F8" s="53"/>
      <c r="G8" s="53"/>
      <c r="H8" s="53"/>
      <c r="I8" s="53"/>
      <c r="J8" s="53"/>
      <c r="K8" s="53"/>
      <c r="L8" s="53"/>
      <c r="M8" s="71"/>
    </row>
    <row r="9" spans="2:13" x14ac:dyDescent="0.25">
      <c r="B9" s="70"/>
      <c r="C9" s="53"/>
      <c r="D9" s="53"/>
      <c r="E9" s="53"/>
      <c r="F9" s="53"/>
      <c r="G9" s="53"/>
      <c r="H9" s="53"/>
      <c r="I9" s="53"/>
      <c r="J9" s="53"/>
      <c r="K9" s="53"/>
      <c r="L9" s="53"/>
      <c r="M9" s="71"/>
    </row>
    <row r="10" spans="2:13" ht="15.75" thickBot="1" x14ac:dyDescent="0.3">
      <c r="B10" s="65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66"/>
    </row>
    <row r="14" spans="2:13" ht="15.75" thickBot="1" x14ac:dyDescent="0.3"/>
    <row r="15" spans="2:13" ht="19.5" thickBot="1" x14ac:dyDescent="0.35">
      <c r="B15" s="139" t="s">
        <v>138</v>
      </c>
      <c r="C15" s="140"/>
      <c r="D15" s="140"/>
      <c r="E15" s="140"/>
      <c r="F15" s="141"/>
      <c r="I15" s="139" t="s">
        <v>141</v>
      </c>
      <c r="J15" s="140"/>
      <c r="K15" s="140"/>
      <c r="L15" s="140"/>
      <c r="M15" s="141"/>
    </row>
    <row r="16" spans="2:13" ht="16.5" thickBot="1" x14ac:dyDescent="0.3">
      <c r="B16" s="142" t="s">
        <v>318</v>
      </c>
      <c r="C16" s="143"/>
      <c r="D16" s="143"/>
      <c r="E16" s="143"/>
      <c r="F16" s="144"/>
      <c r="I16" s="142" t="s">
        <v>324</v>
      </c>
      <c r="J16" s="143"/>
      <c r="K16" s="143"/>
      <c r="L16" s="143"/>
      <c r="M16" s="144"/>
    </row>
    <row r="17" spans="2:13" ht="16.5" thickBot="1" x14ac:dyDescent="0.3">
      <c r="B17" s="142" t="s">
        <v>445</v>
      </c>
      <c r="C17" s="143"/>
      <c r="D17" s="143"/>
      <c r="E17" s="143"/>
      <c r="F17" s="144"/>
      <c r="I17" s="142" t="s">
        <v>446</v>
      </c>
      <c r="J17" s="143"/>
      <c r="K17" s="143"/>
      <c r="L17" s="143"/>
      <c r="M17" s="144"/>
    </row>
    <row r="18" spans="2:13" x14ac:dyDescent="0.25">
      <c r="B18" s="145" t="s">
        <v>319</v>
      </c>
      <c r="C18" s="135"/>
      <c r="D18" s="135"/>
      <c r="E18" s="135"/>
      <c r="F18" s="136"/>
      <c r="I18" s="145" t="s">
        <v>319</v>
      </c>
      <c r="J18" s="135"/>
      <c r="K18" s="135"/>
      <c r="L18" s="135"/>
      <c r="M18" s="136"/>
    </row>
    <row r="19" spans="2:13" x14ac:dyDescent="0.25">
      <c r="B19" s="131" t="s">
        <v>320</v>
      </c>
      <c r="C19" s="132"/>
      <c r="D19" s="132"/>
      <c r="E19" s="132"/>
      <c r="F19" s="137"/>
      <c r="I19" s="131" t="s">
        <v>320</v>
      </c>
      <c r="J19" s="132"/>
      <c r="K19" s="132"/>
      <c r="L19" s="132"/>
      <c r="M19" s="137"/>
    </row>
    <row r="20" spans="2:13" x14ac:dyDescent="0.25">
      <c r="B20" s="131" t="s">
        <v>321</v>
      </c>
      <c r="C20" s="132"/>
      <c r="D20" s="132"/>
      <c r="E20" s="132"/>
      <c r="F20" s="137"/>
      <c r="I20" s="131" t="s">
        <v>321</v>
      </c>
      <c r="J20" s="132"/>
      <c r="K20" s="132"/>
      <c r="L20" s="132"/>
      <c r="M20" s="137"/>
    </row>
    <row r="21" spans="2:13" x14ac:dyDescent="0.25">
      <c r="B21" s="131" t="s">
        <v>3</v>
      </c>
      <c r="C21" s="132"/>
      <c r="D21" s="132"/>
      <c r="E21" s="132"/>
      <c r="F21" s="137"/>
      <c r="I21" s="131" t="s">
        <v>3</v>
      </c>
      <c r="J21" s="132"/>
      <c r="K21" s="132"/>
      <c r="L21" s="132"/>
      <c r="M21" s="137"/>
    </row>
    <row r="22" spans="2:13" x14ac:dyDescent="0.25">
      <c r="B22" s="131" t="s">
        <v>322</v>
      </c>
      <c r="C22" s="132"/>
      <c r="D22" s="132"/>
      <c r="E22" s="132"/>
      <c r="F22" s="137"/>
      <c r="I22" s="131" t="s">
        <v>322</v>
      </c>
      <c r="J22" s="132"/>
      <c r="K22" s="132"/>
      <c r="L22" s="132"/>
      <c r="M22" s="137"/>
    </row>
    <row r="23" spans="2:13" ht="15.75" thickBot="1" x14ac:dyDescent="0.3">
      <c r="B23" s="133" t="s">
        <v>323</v>
      </c>
      <c r="C23" s="134"/>
      <c r="D23" s="134"/>
      <c r="E23" s="134"/>
      <c r="F23" s="138"/>
      <c r="I23" s="133" t="s">
        <v>323</v>
      </c>
      <c r="J23" s="134"/>
      <c r="K23" s="134"/>
      <c r="L23" s="134"/>
      <c r="M23" s="138"/>
    </row>
    <row r="26" spans="2:13" ht="15.75" thickBot="1" x14ac:dyDescent="0.3"/>
    <row r="27" spans="2:13" ht="19.5" thickBot="1" x14ac:dyDescent="0.35">
      <c r="B27" s="139" t="s">
        <v>142</v>
      </c>
      <c r="C27" s="140"/>
      <c r="D27" s="140"/>
      <c r="E27" s="140"/>
      <c r="F27" s="141"/>
      <c r="I27" s="139" t="s">
        <v>143</v>
      </c>
      <c r="J27" s="140"/>
      <c r="K27" s="140"/>
      <c r="L27" s="140"/>
      <c r="M27" s="141"/>
    </row>
    <row r="28" spans="2:13" ht="16.5" thickBot="1" x14ac:dyDescent="0.3">
      <c r="B28" s="142" t="s">
        <v>324</v>
      </c>
      <c r="C28" s="143"/>
      <c r="D28" s="143"/>
      <c r="E28" s="143"/>
      <c r="F28" s="144"/>
      <c r="I28" s="142" t="s">
        <v>324</v>
      </c>
      <c r="J28" s="143"/>
      <c r="K28" s="143"/>
      <c r="L28" s="143"/>
      <c r="M28" s="144"/>
    </row>
    <row r="29" spans="2:13" ht="16.5" thickBot="1" x14ac:dyDescent="0.3">
      <c r="B29" s="142" t="s">
        <v>447</v>
      </c>
      <c r="C29" s="143"/>
      <c r="D29" s="143"/>
      <c r="E29" s="143"/>
      <c r="F29" s="144"/>
      <c r="I29" s="142" t="s">
        <v>448</v>
      </c>
      <c r="J29" s="143"/>
      <c r="K29" s="143"/>
      <c r="L29" s="143"/>
      <c r="M29" s="144"/>
    </row>
    <row r="30" spans="2:13" x14ac:dyDescent="0.25">
      <c r="B30" s="145" t="s">
        <v>319</v>
      </c>
      <c r="C30" s="135"/>
      <c r="D30" s="135"/>
      <c r="E30" s="135"/>
      <c r="F30" s="136"/>
      <c r="I30" s="145" t="s">
        <v>319</v>
      </c>
      <c r="J30" s="135"/>
      <c r="K30" s="135"/>
      <c r="L30" s="135"/>
      <c r="M30" s="136"/>
    </row>
    <row r="31" spans="2:13" x14ac:dyDescent="0.25">
      <c r="B31" s="131" t="s">
        <v>320</v>
      </c>
      <c r="C31" s="132"/>
      <c r="D31" s="132"/>
      <c r="E31" s="132"/>
      <c r="F31" s="137"/>
      <c r="I31" s="131" t="s">
        <v>320</v>
      </c>
      <c r="J31" s="132"/>
      <c r="K31" s="132"/>
      <c r="L31" s="132"/>
      <c r="M31" s="137"/>
    </row>
    <row r="32" spans="2:13" x14ac:dyDescent="0.25">
      <c r="B32" s="131" t="s">
        <v>321</v>
      </c>
      <c r="C32" s="132"/>
      <c r="D32" s="132"/>
      <c r="E32" s="132"/>
      <c r="F32" s="137"/>
      <c r="I32" s="131" t="s">
        <v>321</v>
      </c>
      <c r="J32" s="132"/>
      <c r="K32" s="132"/>
      <c r="L32" s="132"/>
      <c r="M32" s="137"/>
    </row>
    <row r="33" spans="2:13" x14ac:dyDescent="0.25">
      <c r="B33" s="131" t="s">
        <v>3</v>
      </c>
      <c r="C33" s="132"/>
      <c r="D33" s="132"/>
      <c r="E33" s="132"/>
      <c r="F33" s="137"/>
      <c r="I33" s="131" t="s">
        <v>3</v>
      </c>
      <c r="J33" s="132"/>
      <c r="K33" s="132"/>
      <c r="L33" s="132"/>
      <c r="M33" s="137"/>
    </row>
    <row r="34" spans="2:13" x14ac:dyDescent="0.25">
      <c r="B34" s="131" t="s">
        <v>322</v>
      </c>
      <c r="C34" s="132"/>
      <c r="D34" s="132"/>
      <c r="E34" s="132"/>
      <c r="F34" s="137"/>
      <c r="I34" s="131" t="s">
        <v>322</v>
      </c>
      <c r="J34" s="132"/>
      <c r="K34" s="132"/>
      <c r="L34" s="132"/>
      <c r="M34" s="137"/>
    </row>
    <row r="35" spans="2:13" ht="15.75" thickBot="1" x14ac:dyDescent="0.3">
      <c r="B35" s="133" t="s">
        <v>323</v>
      </c>
      <c r="C35" s="134"/>
      <c r="D35" s="134"/>
      <c r="E35" s="134"/>
      <c r="F35" s="138"/>
      <c r="I35" s="133" t="s">
        <v>323</v>
      </c>
      <c r="J35" s="134"/>
      <c r="K35" s="134"/>
      <c r="L35" s="134"/>
      <c r="M35" s="138"/>
    </row>
    <row r="38" spans="2:13" ht="15.75" thickBot="1" x14ac:dyDescent="0.3"/>
    <row r="39" spans="2:13" ht="19.5" thickBot="1" x14ac:dyDescent="0.35">
      <c r="B39" s="139" t="s">
        <v>144</v>
      </c>
      <c r="C39" s="140"/>
      <c r="D39" s="140"/>
      <c r="E39" s="140"/>
      <c r="F39" s="141"/>
    </row>
    <row r="40" spans="2:13" ht="16.5" thickBot="1" x14ac:dyDescent="0.3">
      <c r="B40" s="142" t="s">
        <v>324</v>
      </c>
      <c r="C40" s="143"/>
      <c r="D40" s="143"/>
      <c r="E40" s="143"/>
      <c r="F40" s="144"/>
    </row>
    <row r="41" spans="2:13" ht="16.5" thickBot="1" x14ac:dyDescent="0.3">
      <c r="B41" s="142" t="s">
        <v>447</v>
      </c>
      <c r="C41" s="143"/>
      <c r="D41" s="143"/>
      <c r="E41" s="143"/>
      <c r="F41" s="144"/>
    </row>
    <row r="42" spans="2:13" x14ac:dyDescent="0.25">
      <c r="B42" s="145" t="s">
        <v>319</v>
      </c>
      <c r="C42" s="135"/>
      <c r="D42" s="135"/>
      <c r="E42" s="135"/>
      <c r="F42" s="136"/>
    </row>
    <row r="43" spans="2:13" x14ac:dyDescent="0.25">
      <c r="B43" s="131" t="s">
        <v>320</v>
      </c>
      <c r="C43" s="132"/>
      <c r="D43" s="132"/>
      <c r="E43" s="132"/>
      <c r="F43" s="137"/>
    </row>
    <row r="44" spans="2:13" x14ac:dyDescent="0.25">
      <c r="B44" s="131" t="s">
        <v>321</v>
      </c>
      <c r="C44" s="132"/>
      <c r="D44" s="132"/>
      <c r="E44" s="132"/>
      <c r="F44" s="137"/>
    </row>
    <row r="45" spans="2:13" x14ac:dyDescent="0.25">
      <c r="B45" s="131" t="s">
        <v>3</v>
      </c>
      <c r="C45" s="132"/>
      <c r="D45" s="132"/>
      <c r="E45" s="132"/>
      <c r="F45" s="137"/>
    </row>
    <row r="46" spans="2:13" x14ac:dyDescent="0.25">
      <c r="B46" s="131" t="s">
        <v>322</v>
      </c>
      <c r="C46" s="132"/>
      <c r="D46" s="132"/>
      <c r="E46" s="132"/>
      <c r="F46" s="137"/>
    </row>
    <row r="47" spans="2:13" ht="15.75" thickBot="1" x14ac:dyDescent="0.3">
      <c r="B47" s="133" t="s">
        <v>323</v>
      </c>
      <c r="C47" s="134"/>
      <c r="D47" s="134"/>
      <c r="E47" s="134"/>
      <c r="F47" s="138"/>
    </row>
  </sheetData>
  <mergeCells count="76">
    <mergeCell ref="B44:C44"/>
    <mergeCell ref="B45:C45"/>
    <mergeCell ref="B46:C46"/>
    <mergeCell ref="B47:C47"/>
    <mergeCell ref="D42:F42"/>
    <mergeCell ref="D43:F43"/>
    <mergeCell ref="D44:F44"/>
    <mergeCell ref="D45:F45"/>
    <mergeCell ref="D46:F46"/>
    <mergeCell ref="D47:F47"/>
    <mergeCell ref="K35:M35"/>
    <mergeCell ref="B39:F39"/>
    <mergeCell ref="B40:F40"/>
    <mergeCell ref="B41:F41"/>
    <mergeCell ref="B42:C42"/>
    <mergeCell ref="B43:C43"/>
    <mergeCell ref="I31:J31"/>
    <mergeCell ref="I32:J32"/>
    <mergeCell ref="I33:J33"/>
    <mergeCell ref="I34:J34"/>
    <mergeCell ref="I35:J35"/>
    <mergeCell ref="K30:M30"/>
    <mergeCell ref="K31:M31"/>
    <mergeCell ref="K32:M32"/>
    <mergeCell ref="K33:M33"/>
    <mergeCell ref="K34:M34"/>
    <mergeCell ref="B32:C32"/>
    <mergeCell ref="B33:C33"/>
    <mergeCell ref="B34:C34"/>
    <mergeCell ref="B35:C35"/>
    <mergeCell ref="D30:F30"/>
    <mergeCell ref="D31:F31"/>
    <mergeCell ref="D32:F32"/>
    <mergeCell ref="D33:F33"/>
    <mergeCell ref="D34:F34"/>
    <mergeCell ref="D35:F35"/>
    <mergeCell ref="K23:M23"/>
    <mergeCell ref="B27:F27"/>
    <mergeCell ref="B28:F28"/>
    <mergeCell ref="B29:F29"/>
    <mergeCell ref="B30:C30"/>
    <mergeCell ref="B31:C31"/>
    <mergeCell ref="I27:M27"/>
    <mergeCell ref="I28:M28"/>
    <mergeCell ref="I29:M29"/>
    <mergeCell ref="I30:J30"/>
    <mergeCell ref="I19:J19"/>
    <mergeCell ref="I20:J20"/>
    <mergeCell ref="I21:J21"/>
    <mergeCell ref="I22:J22"/>
    <mergeCell ref="I23:J23"/>
    <mergeCell ref="K18:M18"/>
    <mergeCell ref="K19:M19"/>
    <mergeCell ref="K20:M20"/>
    <mergeCell ref="K21:M21"/>
    <mergeCell ref="K22:M22"/>
    <mergeCell ref="B20:C20"/>
    <mergeCell ref="B21:C21"/>
    <mergeCell ref="B22:C22"/>
    <mergeCell ref="B23:C23"/>
    <mergeCell ref="D18:F18"/>
    <mergeCell ref="D19:F19"/>
    <mergeCell ref="D20:F20"/>
    <mergeCell ref="D21:F21"/>
    <mergeCell ref="D22:F22"/>
    <mergeCell ref="D23:F23"/>
    <mergeCell ref="B2:M2"/>
    <mergeCell ref="B15:F15"/>
    <mergeCell ref="B16:F16"/>
    <mergeCell ref="B17:F17"/>
    <mergeCell ref="B18:C18"/>
    <mergeCell ref="B19:C19"/>
    <mergeCell ref="I15:M15"/>
    <mergeCell ref="I16:M16"/>
    <mergeCell ref="I17:M17"/>
    <mergeCell ref="I18:J18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EB77F-7664-4C0B-AC4E-CAF0F7FCB114}">
  <dimension ref="B6:F835"/>
  <sheetViews>
    <sheetView workbookViewId="0"/>
  </sheetViews>
  <sheetFormatPr defaultRowHeight="15" x14ac:dyDescent="0.25"/>
  <sheetData>
    <row r="6" spans="2:3" x14ac:dyDescent="0.25">
      <c r="B6" t="s">
        <v>145</v>
      </c>
    </row>
    <row r="7" spans="2:3" x14ac:dyDescent="0.25">
      <c r="B7" t="s">
        <v>146</v>
      </c>
    </row>
    <row r="8" spans="2:3" x14ac:dyDescent="0.25">
      <c r="B8" t="s">
        <v>147</v>
      </c>
    </row>
    <row r="9" spans="2:3" x14ac:dyDescent="0.25">
      <c r="B9" t="s">
        <v>148</v>
      </c>
    </row>
    <row r="11" spans="2:3" x14ac:dyDescent="0.25">
      <c r="C11" t="s">
        <v>149</v>
      </c>
    </row>
    <row r="16" spans="2:3" x14ac:dyDescent="0.25">
      <c r="B16" t="s">
        <v>150</v>
      </c>
    </row>
    <row r="17" spans="2:5" x14ac:dyDescent="0.25">
      <c r="B17" t="s">
        <v>151</v>
      </c>
    </row>
    <row r="18" spans="2:5" x14ac:dyDescent="0.25">
      <c r="B18" t="s">
        <v>152</v>
      </c>
    </row>
    <row r="19" spans="2:5" x14ac:dyDescent="0.25">
      <c r="B19" t="s">
        <v>153</v>
      </c>
    </row>
    <row r="20" spans="2:5" x14ac:dyDescent="0.25">
      <c r="B20" t="s">
        <v>154</v>
      </c>
    </row>
    <row r="21" spans="2:5" x14ac:dyDescent="0.25">
      <c r="B21" t="s">
        <v>155</v>
      </c>
    </row>
    <row r="22" spans="2:5" x14ac:dyDescent="0.25">
      <c r="B22" t="s">
        <v>156</v>
      </c>
    </row>
    <row r="23" spans="2:5" x14ac:dyDescent="0.25">
      <c r="B23" t="s">
        <v>157</v>
      </c>
    </row>
    <row r="25" spans="2:5" x14ac:dyDescent="0.25">
      <c r="D25" t="s">
        <v>409</v>
      </c>
    </row>
    <row r="26" spans="2:5" x14ac:dyDescent="0.25">
      <c r="D26" t="s">
        <v>410</v>
      </c>
    </row>
    <row r="27" spans="2:5" x14ac:dyDescent="0.25">
      <c r="D27" t="s">
        <v>311</v>
      </c>
      <c r="E27" t="s">
        <v>411</v>
      </c>
    </row>
    <row r="28" spans="2:5" x14ac:dyDescent="0.25">
      <c r="D28" t="s">
        <v>412</v>
      </c>
    </row>
    <row r="29" spans="2:5" x14ac:dyDescent="0.25">
      <c r="C29" t="s">
        <v>158</v>
      </c>
    </row>
    <row r="32" spans="2:5" x14ac:dyDescent="0.25">
      <c r="D32" t="s">
        <v>159</v>
      </c>
    </row>
    <row r="33" spans="4:5" x14ac:dyDescent="0.25">
      <c r="D33" t="s">
        <v>160</v>
      </c>
    </row>
    <row r="34" spans="4:5" x14ac:dyDescent="0.25">
      <c r="D34" t="s">
        <v>161</v>
      </c>
      <c r="E34">
        <v>300</v>
      </c>
    </row>
    <row r="35" spans="4:5" x14ac:dyDescent="0.25">
      <c r="D35" t="s">
        <v>162</v>
      </c>
    </row>
    <row r="37" spans="4:5" x14ac:dyDescent="0.25">
      <c r="D37" t="s">
        <v>159</v>
      </c>
    </row>
    <row r="38" spans="4:5" x14ac:dyDescent="0.25">
      <c r="D38" t="s">
        <v>163</v>
      </c>
    </row>
    <row r="39" spans="4:5" x14ac:dyDescent="0.25">
      <c r="D39" t="s">
        <v>164</v>
      </c>
    </row>
    <row r="41" spans="4:5" x14ac:dyDescent="0.25">
      <c r="D41" t="s">
        <v>165</v>
      </c>
    </row>
    <row r="42" spans="4:5" x14ac:dyDescent="0.25">
      <c r="D42" t="s">
        <v>160</v>
      </c>
    </row>
    <row r="43" spans="4:5" x14ac:dyDescent="0.25">
      <c r="D43" t="s">
        <v>166</v>
      </c>
      <c r="E43">
        <v>350</v>
      </c>
    </row>
    <row r="44" spans="4:5" x14ac:dyDescent="0.25">
      <c r="D44" t="s">
        <v>161</v>
      </c>
      <c r="E44">
        <v>330</v>
      </c>
    </row>
    <row r="45" spans="4:5" x14ac:dyDescent="0.25">
      <c r="D45" t="s">
        <v>167</v>
      </c>
    </row>
    <row r="50" spans="2:5" x14ac:dyDescent="0.25">
      <c r="B50" t="s">
        <v>150</v>
      </c>
    </row>
    <row r="51" spans="2:5" x14ac:dyDescent="0.25">
      <c r="B51" t="s">
        <v>168</v>
      </c>
    </row>
    <row r="52" spans="2:5" x14ac:dyDescent="0.25">
      <c r="B52" t="s">
        <v>169</v>
      </c>
    </row>
    <row r="53" spans="2:5" x14ac:dyDescent="0.25">
      <c r="B53" t="s">
        <v>170</v>
      </c>
    </row>
    <row r="54" spans="2:5" x14ac:dyDescent="0.25">
      <c r="B54" t="s">
        <v>154</v>
      </c>
    </row>
    <row r="55" spans="2:5" x14ac:dyDescent="0.25">
      <c r="B55" t="s">
        <v>155</v>
      </c>
    </row>
    <row r="56" spans="2:5" x14ac:dyDescent="0.25">
      <c r="B56" t="s">
        <v>156</v>
      </c>
    </row>
    <row r="57" spans="2:5" x14ac:dyDescent="0.25">
      <c r="B57" t="s">
        <v>171</v>
      </c>
    </row>
    <row r="59" spans="2:5" x14ac:dyDescent="0.25">
      <c r="D59" t="s">
        <v>409</v>
      </c>
    </row>
    <row r="60" spans="2:5" x14ac:dyDescent="0.25">
      <c r="D60" t="s">
        <v>410</v>
      </c>
    </row>
    <row r="61" spans="2:5" x14ac:dyDescent="0.25">
      <c r="D61" t="s">
        <v>311</v>
      </c>
      <c r="E61" t="s">
        <v>413</v>
      </c>
    </row>
    <row r="62" spans="2:5" x14ac:dyDescent="0.25">
      <c r="D62" t="s">
        <v>414</v>
      </c>
    </row>
    <row r="63" spans="2:5" x14ac:dyDescent="0.25">
      <c r="C63" t="s">
        <v>149</v>
      </c>
    </row>
    <row r="65" spans="4:6" x14ac:dyDescent="0.25">
      <c r="D65" t="s">
        <v>172</v>
      </c>
    </row>
    <row r="66" spans="4:6" x14ac:dyDescent="0.25">
      <c r="D66" t="s">
        <v>316</v>
      </c>
    </row>
    <row r="67" spans="4:6" x14ac:dyDescent="0.25">
      <c r="D67" t="s">
        <v>173</v>
      </c>
      <c r="E67" t="s">
        <v>174</v>
      </c>
      <c r="F67" t="s">
        <v>174</v>
      </c>
    </row>
    <row r="68" spans="4:6" x14ac:dyDescent="0.25">
      <c r="D68" t="s">
        <v>175</v>
      </c>
      <c r="E68">
        <v>10</v>
      </c>
      <c r="F68">
        <v>11</v>
      </c>
    </row>
    <row r="69" spans="4:6" x14ac:dyDescent="0.25">
      <c r="D69" t="s">
        <v>176</v>
      </c>
      <c r="E69" t="s">
        <v>138</v>
      </c>
      <c r="F69" t="s">
        <v>138</v>
      </c>
    </row>
    <row r="70" spans="4:6" x14ac:dyDescent="0.25">
      <c r="D70" t="s">
        <v>177</v>
      </c>
      <c r="E70">
        <v>10</v>
      </c>
      <c r="F70">
        <v>11</v>
      </c>
    </row>
    <row r="71" spans="4:6" x14ac:dyDescent="0.25">
      <c r="D71" t="s">
        <v>178</v>
      </c>
      <c r="E71">
        <v>600</v>
      </c>
      <c r="F71">
        <v>600</v>
      </c>
    </row>
    <row r="72" spans="4:6" x14ac:dyDescent="0.25">
      <c r="D72" t="s">
        <v>179</v>
      </c>
      <c r="E72">
        <v>0</v>
      </c>
      <c r="F72">
        <v>0</v>
      </c>
    </row>
    <row r="73" spans="4:6" x14ac:dyDescent="0.25">
      <c r="D73" t="s">
        <v>180</v>
      </c>
      <c r="E73">
        <v>0</v>
      </c>
      <c r="F73">
        <v>0</v>
      </c>
    </row>
    <row r="74" spans="4:6" x14ac:dyDescent="0.25">
      <c r="D74" t="s">
        <v>181</v>
      </c>
      <c r="E74" t="s">
        <v>182</v>
      </c>
      <c r="F74" t="s">
        <v>182</v>
      </c>
    </row>
    <row r="75" spans="4:6" x14ac:dyDescent="0.25">
      <c r="D75" t="s">
        <v>183</v>
      </c>
    </row>
    <row r="77" spans="4:6" x14ac:dyDescent="0.25">
      <c r="D77" t="s">
        <v>159</v>
      </c>
    </row>
    <row r="78" spans="4:6" x14ac:dyDescent="0.25">
      <c r="D78" t="s">
        <v>160</v>
      </c>
    </row>
    <row r="79" spans="4:6" x14ac:dyDescent="0.25">
      <c r="D79" t="s">
        <v>161</v>
      </c>
      <c r="E79">
        <v>300</v>
      </c>
    </row>
    <row r="80" spans="4:6" x14ac:dyDescent="0.25">
      <c r="D80" t="s">
        <v>184</v>
      </c>
    </row>
    <row r="82" spans="2:5" x14ac:dyDescent="0.25">
      <c r="D82" t="s">
        <v>159</v>
      </c>
    </row>
    <row r="83" spans="2:5" x14ac:dyDescent="0.25">
      <c r="D83" t="s">
        <v>163</v>
      </c>
    </row>
    <row r="84" spans="2:5" x14ac:dyDescent="0.25">
      <c r="D84" t="s">
        <v>185</v>
      </c>
    </row>
    <row r="86" spans="2:5" x14ac:dyDescent="0.25">
      <c r="D86" t="s">
        <v>165</v>
      </c>
    </row>
    <row r="87" spans="2:5" x14ac:dyDescent="0.25">
      <c r="D87" t="s">
        <v>160</v>
      </c>
    </row>
    <row r="88" spans="2:5" x14ac:dyDescent="0.25">
      <c r="D88" t="s">
        <v>166</v>
      </c>
      <c r="E88">
        <v>350</v>
      </c>
    </row>
    <row r="89" spans="2:5" x14ac:dyDescent="0.25">
      <c r="D89" t="s">
        <v>161</v>
      </c>
      <c r="E89">
        <v>247.5</v>
      </c>
    </row>
    <row r="90" spans="2:5" x14ac:dyDescent="0.25">
      <c r="D90" t="s">
        <v>186</v>
      </c>
    </row>
    <row r="95" spans="2:5" x14ac:dyDescent="0.25">
      <c r="B95" t="s">
        <v>150</v>
      </c>
    </row>
    <row r="96" spans="2:5" x14ac:dyDescent="0.25">
      <c r="B96" t="s">
        <v>187</v>
      </c>
    </row>
    <row r="97" spans="2:6" x14ac:dyDescent="0.25">
      <c r="B97" t="s">
        <v>188</v>
      </c>
    </row>
    <row r="98" spans="2:6" x14ac:dyDescent="0.25">
      <c r="B98" t="s">
        <v>189</v>
      </c>
    </row>
    <row r="99" spans="2:6" x14ac:dyDescent="0.25">
      <c r="B99" t="s">
        <v>154</v>
      </c>
    </row>
    <row r="100" spans="2:6" x14ac:dyDescent="0.25">
      <c r="B100" t="s">
        <v>155</v>
      </c>
    </row>
    <row r="101" spans="2:6" x14ac:dyDescent="0.25">
      <c r="B101" t="s">
        <v>156</v>
      </c>
    </row>
    <row r="102" spans="2:6" x14ac:dyDescent="0.25">
      <c r="B102" t="s">
        <v>171</v>
      </c>
    </row>
    <row r="104" spans="2:6" x14ac:dyDescent="0.25">
      <c r="D104" t="s">
        <v>409</v>
      </c>
    </row>
    <row r="105" spans="2:6" x14ac:dyDescent="0.25">
      <c r="D105" t="s">
        <v>410</v>
      </c>
    </row>
    <row r="106" spans="2:6" x14ac:dyDescent="0.25">
      <c r="D106" t="s">
        <v>311</v>
      </c>
      <c r="E106" t="s">
        <v>415</v>
      </c>
    </row>
    <row r="107" spans="2:6" x14ac:dyDescent="0.25">
      <c r="D107" t="s">
        <v>416</v>
      </c>
    </row>
    <row r="108" spans="2:6" x14ac:dyDescent="0.25">
      <c r="C108" t="s">
        <v>149</v>
      </c>
    </row>
    <row r="110" spans="2:6" x14ac:dyDescent="0.25">
      <c r="D110" t="s">
        <v>172</v>
      </c>
    </row>
    <row r="111" spans="2:6" x14ac:dyDescent="0.25">
      <c r="D111" t="s">
        <v>316</v>
      </c>
    </row>
    <row r="112" spans="2:6" x14ac:dyDescent="0.25">
      <c r="D112" t="s">
        <v>173</v>
      </c>
      <c r="E112" t="s">
        <v>174</v>
      </c>
      <c r="F112" t="s">
        <v>174</v>
      </c>
    </row>
    <row r="113" spans="4:6" x14ac:dyDescent="0.25">
      <c r="D113" t="s">
        <v>175</v>
      </c>
      <c r="E113">
        <v>10</v>
      </c>
      <c r="F113">
        <v>11</v>
      </c>
    </row>
    <row r="114" spans="4:6" x14ac:dyDescent="0.25">
      <c r="D114" t="s">
        <v>176</v>
      </c>
      <c r="E114" t="s">
        <v>138</v>
      </c>
      <c r="F114" t="s">
        <v>138</v>
      </c>
    </row>
    <row r="115" spans="4:6" x14ac:dyDescent="0.25">
      <c r="D115" t="s">
        <v>177</v>
      </c>
      <c r="E115">
        <v>10</v>
      </c>
      <c r="F115">
        <v>11</v>
      </c>
    </row>
    <row r="116" spans="4:6" x14ac:dyDescent="0.25">
      <c r="D116" t="s">
        <v>178</v>
      </c>
      <c r="E116">
        <v>600</v>
      </c>
      <c r="F116">
        <v>600</v>
      </c>
    </row>
    <row r="117" spans="4:6" x14ac:dyDescent="0.25">
      <c r="D117" t="s">
        <v>179</v>
      </c>
      <c r="E117">
        <v>0</v>
      </c>
      <c r="F117">
        <v>0</v>
      </c>
    </row>
    <row r="118" spans="4:6" x14ac:dyDescent="0.25">
      <c r="D118" t="s">
        <v>180</v>
      </c>
      <c r="E118">
        <v>0</v>
      </c>
      <c r="F118">
        <v>0</v>
      </c>
    </row>
    <row r="119" spans="4:6" x14ac:dyDescent="0.25">
      <c r="D119" t="s">
        <v>181</v>
      </c>
      <c r="E119" t="s">
        <v>182</v>
      </c>
      <c r="F119" t="s">
        <v>182</v>
      </c>
    </row>
    <row r="120" spans="4:6" x14ac:dyDescent="0.25">
      <c r="D120" t="s">
        <v>190</v>
      </c>
    </row>
    <row r="122" spans="4:6" x14ac:dyDescent="0.25">
      <c r="D122" t="s">
        <v>159</v>
      </c>
    </row>
    <row r="123" spans="4:6" x14ac:dyDescent="0.25">
      <c r="D123" t="s">
        <v>160</v>
      </c>
    </row>
    <row r="124" spans="4:6" x14ac:dyDescent="0.25">
      <c r="D124" t="s">
        <v>161</v>
      </c>
      <c r="E124">
        <v>300</v>
      </c>
    </row>
    <row r="125" spans="4:6" x14ac:dyDescent="0.25">
      <c r="D125" t="s">
        <v>191</v>
      </c>
    </row>
    <row r="127" spans="4:6" x14ac:dyDescent="0.25">
      <c r="D127" t="s">
        <v>159</v>
      </c>
    </row>
    <row r="128" spans="4:6" x14ac:dyDescent="0.25">
      <c r="D128" t="s">
        <v>163</v>
      </c>
    </row>
    <row r="129" spans="2:5" x14ac:dyDescent="0.25">
      <c r="D129" t="s">
        <v>192</v>
      </c>
    </row>
    <row r="131" spans="2:5" x14ac:dyDescent="0.25">
      <c r="D131" t="s">
        <v>165</v>
      </c>
    </row>
    <row r="132" spans="2:5" x14ac:dyDescent="0.25">
      <c r="D132" t="s">
        <v>160</v>
      </c>
    </row>
    <row r="133" spans="2:5" x14ac:dyDescent="0.25">
      <c r="D133" t="s">
        <v>166</v>
      </c>
      <c r="E133">
        <v>350</v>
      </c>
    </row>
    <row r="134" spans="2:5" x14ac:dyDescent="0.25">
      <c r="D134" t="s">
        <v>161</v>
      </c>
      <c r="E134">
        <v>247.5</v>
      </c>
    </row>
    <row r="135" spans="2:5" x14ac:dyDescent="0.25">
      <c r="D135" t="s">
        <v>193</v>
      </c>
    </row>
    <row r="140" spans="2:5" x14ac:dyDescent="0.25">
      <c r="B140" t="s">
        <v>145</v>
      </c>
    </row>
    <row r="141" spans="2:5" x14ac:dyDescent="0.25">
      <c r="B141" t="s">
        <v>194</v>
      </c>
    </row>
    <row r="142" spans="2:5" x14ac:dyDescent="0.25">
      <c r="B142" t="s">
        <v>195</v>
      </c>
    </row>
    <row r="143" spans="2:5" x14ac:dyDescent="0.25">
      <c r="B143" t="s">
        <v>148</v>
      </c>
    </row>
    <row r="145" spans="2:4" x14ac:dyDescent="0.25">
      <c r="C145" t="s">
        <v>149</v>
      </c>
    </row>
    <row r="150" spans="2:4" x14ac:dyDescent="0.25">
      <c r="B150" t="s">
        <v>150</v>
      </c>
    </row>
    <row r="151" spans="2:4" x14ac:dyDescent="0.25">
      <c r="B151" t="s">
        <v>196</v>
      </c>
    </row>
    <row r="152" spans="2:4" x14ac:dyDescent="0.25">
      <c r="B152" t="s">
        <v>197</v>
      </c>
    </row>
    <row r="153" spans="2:4" x14ac:dyDescent="0.25">
      <c r="B153" t="s">
        <v>198</v>
      </c>
    </row>
    <row r="154" spans="2:4" x14ac:dyDescent="0.25">
      <c r="B154" t="s">
        <v>154</v>
      </c>
    </row>
    <row r="155" spans="2:4" x14ac:dyDescent="0.25">
      <c r="B155" t="s">
        <v>155</v>
      </c>
    </row>
    <row r="156" spans="2:4" x14ac:dyDescent="0.25">
      <c r="B156" t="s">
        <v>156</v>
      </c>
    </row>
    <row r="157" spans="2:4" x14ac:dyDescent="0.25">
      <c r="B157" t="s">
        <v>199</v>
      </c>
    </row>
    <row r="159" spans="2:4" x14ac:dyDescent="0.25">
      <c r="D159" t="s">
        <v>409</v>
      </c>
    </row>
    <row r="160" spans="2:4" x14ac:dyDescent="0.25">
      <c r="D160" t="s">
        <v>410</v>
      </c>
    </row>
    <row r="161" spans="3:6" x14ac:dyDescent="0.25">
      <c r="D161" t="s">
        <v>311</v>
      </c>
      <c r="E161" t="s">
        <v>417</v>
      </c>
    </row>
    <row r="162" spans="3:6" x14ac:dyDescent="0.25">
      <c r="D162" t="s">
        <v>418</v>
      </c>
    </row>
    <row r="163" spans="3:6" x14ac:dyDescent="0.25">
      <c r="C163" t="s">
        <v>149</v>
      </c>
    </row>
    <row r="165" spans="3:6" x14ac:dyDescent="0.25">
      <c r="D165" t="s">
        <v>172</v>
      </c>
    </row>
    <row r="166" spans="3:6" x14ac:dyDescent="0.25">
      <c r="D166" t="s">
        <v>316</v>
      </c>
    </row>
    <row r="167" spans="3:6" x14ac:dyDescent="0.25">
      <c r="D167" t="s">
        <v>173</v>
      </c>
      <c r="E167" t="s">
        <v>174</v>
      </c>
      <c r="F167" t="s">
        <v>174</v>
      </c>
    </row>
    <row r="168" spans="3:6" x14ac:dyDescent="0.25">
      <c r="D168" t="s">
        <v>175</v>
      </c>
      <c r="E168">
        <v>10</v>
      </c>
      <c r="F168">
        <v>11</v>
      </c>
    </row>
    <row r="169" spans="3:6" x14ac:dyDescent="0.25">
      <c r="D169" t="s">
        <v>176</v>
      </c>
      <c r="E169" t="s">
        <v>133</v>
      </c>
      <c r="F169" t="s">
        <v>133</v>
      </c>
    </row>
    <row r="170" spans="3:6" x14ac:dyDescent="0.25">
      <c r="D170" t="s">
        <v>177</v>
      </c>
      <c r="E170">
        <v>10</v>
      </c>
      <c r="F170">
        <v>11</v>
      </c>
    </row>
    <row r="171" spans="3:6" x14ac:dyDescent="0.25">
      <c r="D171" t="s">
        <v>178</v>
      </c>
      <c r="E171">
        <v>485.44</v>
      </c>
      <c r="F171">
        <v>446.43</v>
      </c>
    </row>
    <row r="172" spans="3:6" x14ac:dyDescent="0.25">
      <c r="D172" t="s">
        <v>179</v>
      </c>
      <c r="E172">
        <v>0</v>
      </c>
      <c r="F172">
        <v>0</v>
      </c>
    </row>
    <row r="173" spans="3:6" x14ac:dyDescent="0.25">
      <c r="D173" t="s">
        <v>180</v>
      </c>
      <c r="E173">
        <v>0</v>
      </c>
      <c r="F173">
        <v>0</v>
      </c>
    </row>
    <row r="174" spans="3:6" x14ac:dyDescent="0.25">
      <c r="D174" t="s">
        <v>181</v>
      </c>
      <c r="E174" t="s">
        <v>182</v>
      </c>
      <c r="F174" t="s">
        <v>182</v>
      </c>
    </row>
    <row r="175" spans="3:6" x14ac:dyDescent="0.25">
      <c r="D175" t="s">
        <v>200</v>
      </c>
    </row>
    <row r="177" spans="4:5" x14ac:dyDescent="0.25">
      <c r="D177" t="s">
        <v>159</v>
      </c>
    </row>
    <row r="178" spans="4:5" x14ac:dyDescent="0.25">
      <c r="D178" t="s">
        <v>160</v>
      </c>
    </row>
    <row r="179" spans="4:5" x14ac:dyDescent="0.25">
      <c r="D179" t="s">
        <v>161</v>
      </c>
      <c r="E179">
        <v>300</v>
      </c>
    </row>
    <row r="180" spans="4:5" x14ac:dyDescent="0.25">
      <c r="D180" t="s">
        <v>201</v>
      </c>
    </row>
    <row r="182" spans="4:5" x14ac:dyDescent="0.25">
      <c r="D182" t="s">
        <v>159</v>
      </c>
    </row>
    <row r="183" spans="4:5" x14ac:dyDescent="0.25">
      <c r="D183" t="s">
        <v>163</v>
      </c>
    </row>
    <row r="184" spans="4:5" x14ac:dyDescent="0.25">
      <c r="D184" t="s">
        <v>202</v>
      </c>
    </row>
    <row r="186" spans="4:5" x14ac:dyDescent="0.25">
      <c r="D186" t="s">
        <v>165</v>
      </c>
    </row>
    <row r="187" spans="4:5" x14ac:dyDescent="0.25">
      <c r="D187" t="s">
        <v>160</v>
      </c>
    </row>
    <row r="188" spans="4:5" x14ac:dyDescent="0.25">
      <c r="D188" t="s">
        <v>166</v>
      </c>
      <c r="E188">
        <v>350</v>
      </c>
    </row>
    <row r="189" spans="4:5" x14ac:dyDescent="0.25">
      <c r="D189" t="s">
        <v>161</v>
      </c>
      <c r="E189">
        <v>200.242718446601</v>
      </c>
    </row>
    <row r="190" spans="4:5" x14ac:dyDescent="0.25">
      <c r="D190" t="s">
        <v>203</v>
      </c>
    </row>
    <row r="195" spans="2:3" x14ac:dyDescent="0.25">
      <c r="B195" t="s">
        <v>145</v>
      </c>
    </row>
    <row r="196" spans="2:3" x14ac:dyDescent="0.25">
      <c r="B196" t="s">
        <v>204</v>
      </c>
    </row>
    <row r="197" spans="2:3" x14ac:dyDescent="0.25">
      <c r="B197" t="s">
        <v>205</v>
      </c>
    </row>
    <row r="198" spans="2:3" x14ac:dyDescent="0.25">
      <c r="B198" t="s">
        <v>148</v>
      </c>
    </row>
    <row r="200" spans="2:3" x14ac:dyDescent="0.25">
      <c r="C200" t="s">
        <v>149</v>
      </c>
    </row>
    <row r="205" spans="2:3" x14ac:dyDescent="0.25">
      <c r="B205" t="s">
        <v>150</v>
      </c>
    </row>
    <row r="206" spans="2:3" x14ac:dyDescent="0.25">
      <c r="B206" t="s">
        <v>206</v>
      </c>
    </row>
    <row r="207" spans="2:3" x14ac:dyDescent="0.25">
      <c r="B207" t="s">
        <v>207</v>
      </c>
    </row>
    <row r="208" spans="2:3" x14ac:dyDescent="0.25">
      <c r="B208" t="s">
        <v>208</v>
      </c>
    </row>
    <row r="209" spans="2:6" x14ac:dyDescent="0.25">
      <c r="B209" t="s">
        <v>154</v>
      </c>
    </row>
    <row r="210" spans="2:6" x14ac:dyDescent="0.25">
      <c r="B210" t="s">
        <v>155</v>
      </c>
    </row>
    <row r="211" spans="2:6" x14ac:dyDescent="0.25">
      <c r="B211" t="s">
        <v>156</v>
      </c>
    </row>
    <row r="212" spans="2:6" x14ac:dyDescent="0.25">
      <c r="B212" t="s">
        <v>199</v>
      </c>
    </row>
    <row r="214" spans="2:6" x14ac:dyDescent="0.25">
      <c r="D214" t="s">
        <v>409</v>
      </c>
    </row>
    <row r="215" spans="2:6" x14ac:dyDescent="0.25">
      <c r="D215" t="s">
        <v>410</v>
      </c>
    </row>
    <row r="216" spans="2:6" x14ac:dyDescent="0.25">
      <c r="D216" t="s">
        <v>311</v>
      </c>
      <c r="E216" t="s">
        <v>419</v>
      </c>
    </row>
    <row r="217" spans="2:6" x14ac:dyDescent="0.25">
      <c r="D217" t="s">
        <v>420</v>
      </c>
    </row>
    <row r="218" spans="2:6" x14ac:dyDescent="0.25">
      <c r="C218" t="s">
        <v>149</v>
      </c>
    </row>
    <row r="220" spans="2:6" x14ac:dyDescent="0.25">
      <c r="D220" t="s">
        <v>172</v>
      </c>
    </row>
    <row r="221" spans="2:6" x14ac:dyDescent="0.25">
      <c r="D221" t="s">
        <v>316</v>
      </c>
    </row>
    <row r="222" spans="2:6" x14ac:dyDescent="0.25">
      <c r="D222" t="s">
        <v>173</v>
      </c>
      <c r="E222" t="s">
        <v>174</v>
      </c>
      <c r="F222" t="s">
        <v>174</v>
      </c>
    </row>
    <row r="223" spans="2:6" x14ac:dyDescent="0.25">
      <c r="D223" t="s">
        <v>175</v>
      </c>
      <c r="E223">
        <v>10</v>
      </c>
      <c r="F223">
        <v>11</v>
      </c>
    </row>
    <row r="224" spans="2:6" x14ac:dyDescent="0.25">
      <c r="D224" t="s">
        <v>176</v>
      </c>
      <c r="E224" t="s">
        <v>137</v>
      </c>
      <c r="F224" t="s">
        <v>137</v>
      </c>
    </row>
    <row r="225" spans="4:6" x14ac:dyDescent="0.25">
      <c r="D225" t="s">
        <v>177</v>
      </c>
      <c r="E225">
        <v>10</v>
      </c>
      <c r="F225">
        <v>11</v>
      </c>
    </row>
    <row r="226" spans="4:6" x14ac:dyDescent="0.25">
      <c r="D226" t="s">
        <v>178</v>
      </c>
      <c r="E226">
        <v>485.44</v>
      </c>
      <c r="F226">
        <v>446.43</v>
      </c>
    </row>
    <row r="227" spans="4:6" x14ac:dyDescent="0.25">
      <c r="D227" t="s">
        <v>179</v>
      </c>
      <c r="E227">
        <v>0</v>
      </c>
      <c r="F227">
        <v>0</v>
      </c>
    </row>
    <row r="228" spans="4:6" x14ac:dyDescent="0.25">
      <c r="D228" t="s">
        <v>180</v>
      </c>
      <c r="E228">
        <v>0</v>
      </c>
      <c r="F228">
        <v>0</v>
      </c>
    </row>
    <row r="229" spans="4:6" x14ac:dyDescent="0.25">
      <c r="D229" t="s">
        <v>181</v>
      </c>
      <c r="E229" t="s">
        <v>182</v>
      </c>
      <c r="F229" t="s">
        <v>182</v>
      </c>
    </row>
    <row r="230" spans="4:6" x14ac:dyDescent="0.25">
      <c r="D230" t="s">
        <v>209</v>
      </c>
    </row>
    <row r="232" spans="4:6" x14ac:dyDescent="0.25">
      <c r="D232" t="s">
        <v>159</v>
      </c>
    </row>
    <row r="233" spans="4:6" x14ac:dyDescent="0.25">
      <c r="D233" t="s">
        <v>160</v>
      </c>
    </row>
    <row r="234" spans="4:6" x14ac:dyDescent="0.25">
      <c r="D234" t="s">
        <v>161</v>
      </c>
      <c r="E234">
        <v>300</v>
      </c>
    </row>
    <row r="235" spans="4:6" x14ac:dyDescent="0.25">
      <c r="D235" t="s">
        <v>210</v>
      </c>
    </row>
    <row r="237" spans="4:6" x14ac:dyDescent="0.25">
      <c r="D237" t="s">
        <v>159</v>
      </c>
    </row>
    <row r="238" spans="4:6" x14ac:dyDescent="0.25">
      <c r="D238" t="s">
        <v>163</v>
      </c>
    </row>
    <row r="239" spans="4:6" x14ac:dyDescent="0.25">
      <c r="D239" t="s">
        <v>211</v>
      </c>
    </row>
    <row r="241" spans="2:5" x14ac:dyDescent="0.25">
      <c r="D241" t="s">
        <v>165</v>
      </c>
    </row>
    <row r="242" spans="2:5" x14ac:dyDescent="0.25">
      <c r="D242" t="s">
        <v>160</v>
      </c>
    </row>
    <row r="243" spans="2:5" x14ac:dyDescent="0.25">
      <c r="D243" t="s">
        <v>166</v>
      </c>
      <c r="E243">
        <v>350</v>
      </c>
    </row>
    <row r="244" spans="2:5" x14ac:dyDescent="0.25">
      <c r="D244" t="s">
        <v>161</v>
      </c>
      <c r="E244">
        <v>200.242718446601</v>
      </c>
    </row>
    <row r="245" spans="2:5" x14ac:dyDescent="0.25">
      <c r="D245" t="s">
        <v>212</v>
      </c>
    </row>
    <row r="250" spans="2:5" x14ac:dyDescent="0.25">
      <c r="B250" t="s">
        <v>145</v>
      </c>
    </row>
    <row r="251" spans="2:5" x14ac:dyDescent="0.25">
      <c r="B251" t="s">
        <v>213</v>
      </c>
    </row>
    <row r="252" spans="2:5" x14ac:dyDescent="0.25">
      <c r="B252" t="s">
        <v>195</v>
      </c>
    </row>
    <row r="253" spans="2:5" x14ac:dyDescent="0.25">
      <c r="B253" t="s">
        <v>148</v>
      </c>
    </row>
    <row r="255" spans="2:5" x14ac:dyDescent="0.25">
      <c r="C255" t="s">
        <v>149</v>
      </c>
    </row>
    <row r="260" spans="2:5" x14ac:dyDescent="0.25">
      <c r="B260" t="s">
        <v>150</v>
      </c>
    </row>
    <row r="261" spans="2:5" x14ac:dyDescent="0.25">
      <c r="B261" t="s">
        <v>214</v>
      </c>
    </row>
    <row r="262" spans="2:5" x14ac:dyDescent="0.25">
      <c r="B262" t="s">
        <v>197</v>
      </c>
    </row>
    <row r="263" spans="2:5" x14ac:dyDescent="0.25">
      <c r="B263" t="s">
        <v>215</v>
      </c>
    </row>
    <row r="264" spans="2:5" x14ac:dyDescent="0.25">
      <c r="B264" t="s">
        <v>154</v>
      </c>
    </row>
    <row r="265" spans="2:5" x14ac:dyDescent="0.25">
      <c r="B265" t="s">
        <v>155</v>
      </c>
    </row>
    <row r="266" spans="2:5" x14ac:dyDescent="0.25">
      <c r="B266" t="s">
        <v>156</v>
      </c>
    </row>
    <row r="267" spans="2:5" x14ac:dyDescent="0.25">
      <c r="B267" t="s">
        <v>199</v>
      </c>
    </row>
    <row r="269" spans="2:5" x14ac:dyDescent="0.25">
      <c r="D269" t="s">
        <v>409</v>
      </c>
    </row>
    <row r="270" spans="2:5" x14ac:dyDescent="0.25">
      <c r="D270" t="s">
        <v>410</v>
      </c>
    </row>
    <row r="271" spans="2:5" x14ac:dyDescent="0.25">
      <c r="D271" t="s">
        <v>311</v>
      </c>
      <c r="E271" t="s">
        <v>421</v>
      </c>
    </row>
    <row r="272" spans="2:5" x14ac:dyDescent="0.25">
      <c r="D272" t="s">
        <v>422</v>
      </c>
    </row>
    <row r="273" spans="3:6" x14ac:dyDescent="0.25">
      <c r="C273" t="s">
        <v>149</v>
      </c>
    </row>
    <row r="275" spans="3:6" x14ac:dyDescent="0.25">
      <c r="D275" t="s">
        <v>172</v>
      </c>
    </row>
    <row r="276" spans="3:6" x14ac:dyDescent="0.25">
      <c r="D276" t="s">
        <v>316</v>
      </c>
    </row>
    <row r="277" spans="3:6" x14ac:dyDescent="0.25">
      <c r="D277" t="s">
        <v>173</v>
      </c>
      <c r="E277" t="s">
        <v>174</v>
      </c>
      <c r="F277" t="s">
        <v>174</v>
      </c>
    </row>
    <row r="278" spans="3:6" x14ac:dyDescent="0.25">
      <c r="D278" t="s">
        <v>175</v>
      </c>
      <c r="E278">
        <v>10</v>
      </c>
      <c r="F278">
        <v>11</v>
      </c>
    </row>
    <row r="279" spans="3:6" x14ac:dyDescent="0.25">
      <c r="D279" t="s">
        <v>176</v>
      </c>
      <c r="E279" t="s">
        <v>133</v>
      </c>
      <c r="F279" t="s">
        <v>133</v>
      </c>
    </row>
    <row r="280" spans="3:6" x14ac:dyDescent="0.25">
      <c r="D280" t="s">
        <v>177</v>
      </c>
      <c r="E280">
        <v>10</v>
      </c>
      <c r="F280">
        <v>11</v>
      </c>
    </row>
    <row r="281" spans="3:6" x14ac:dyDescent="0.25">
      <c r="D281" t="s">
        <v>178</v>
      </c>
      <c r="E281">
        <v>485.44</v>
      </c>
      <c r="F281">
        <v>446.43</v>
      </c>
    </row>
    <row r="282" spans="3:6" x14ac:dyDescent="0.25">
      <c r="D282" t="s">
        <v>179</v>
      </c>
      <c r="E282">
        <v>0</v>
      </c>
      <c r="F282">
        <v>0</v>
      </c>
    </row>
    <row r="283" spans="3:6" x14ac:dyDescent="0.25">
      <c r="D283" t="s">
        <v>180</v>
      </c>
      <c r="E283">
        <v>0</v>
      </c>
      <c r="F283">
        <v>0</v>
      </c>
    </row>
    <row r="284" spans="3:6" x14ac:dyDescent="0.25">
      <c r="D284" t="s">
        <v>181</v>
      </c>
      <c r="E284" t="s">
        <v>182</v>
      </c>
      <c r="F284" t="s">
        <v>182</v>
      </c>
    </row>
    <row r="285" spans="3:6" x14ac:dyDescent="0.25">
      <c r="D285" t="s">
        <v>216</v>
      </c>
    </row>
    <row r="287" spans="3:6" x14ac:dyDescent="0.25">
      <c r="D287" t="s">
        <v>159</v>
      </c>
    </row>
    <row r="288" spans="3:6" x14ac:dyDescent="0.25">
      <c r="D288" t="s">
        <v>160</v>
      </c>
    </row>
    <row r="289" spans="4:5" x14ac:dyDescent="0.25">
      <c r="D289" t="s">
        <v>161</v>
      </c>
      <c r="E289">
        <v>300</v>
      </c>
    </row>
    <row r="290" spans="4:5" x14ac:dyDescent="0.25">
      <c r="D290" t="s">
        <v>217</v>
      </c>
    </row>
    <row r="292" spans="4:5" x14ac:dyDescent="0.25">
      <c r="D292" t="s">
        <v>159</v>
      </c>
    </row>
    <row r="293" spans="4:5" x14ac:dyDescent="0.25">
      <c r="D293" t="s">
        <v>163</v>
      </c>
    </row>
    <row r="294" spans="4:5" x14ac:dyDescent="0.25">
      <c r="D294" t="s">
        <v>218</v>
      </c>
    </row>
    <row r="296" spans="4:5" x14ac:dyDescent="0.25">
      <c r="D296" t="s">
        <v>165</v>
      </c>
    </row>
    <row r="297" spans="4:5" x14ac:dyDescent="0.25">
      <c r="D297" t="s">
        <v>160</v>
      </c>
    </row>
    <row r="298" spans="4:5" x14ac:dyDescent="0.25">
      <c r="D298" t="s">
        <v>166</v>
      </c>
      <c r="E298">
        <v>350</v>
      </c>
    </row>
    <row r="299" spans="4:5" x14ac:dyDescent="0.25">
      <c r="D299" t="s">
        <v>161</v>
      </c>
      <c r="E299">
        <v>200.242718446601</v>
      </c>
    </row>
    <row r="300" spans="4:5" x14ac:dyDescent="0.25">
      <c r="D300" t="s">
        <v>219</v>
      </c>
    </row>
    <row r="305" spans="2:3" x14ac:dyDescent="0.25">
      <c r="B305" t="s">
        <v>145</v>
      </c>
    </row>
    <row r="306" spans="2:3" x14ac:dyDescent="0.25">
      <c r="B306" t="s">
        <v>220</v>
      </c>
    </row>
    <row r="307" spans="2:3" x14ac:dyDescent="0.25">
      <c r="B307" t="s">
        <v>205</v>
      </c>
    </row>
    <row r="308" spans="2:3" x14ac:dyDescent="0.25">
      <c r="B308" t="s">
        <v>148</v>
      </c>
    </row>
    <row r="310" spans="2:3" x14ac:dyDescent="0.25">
      <c r="C310" t="s">
        <v>149</v>
      </c>
    </row>
    <row r="315" spans="2:3" x14ac:dyDescent="0.25">
      <c r="B315" t="s">
        <v>150</v>
      </c>
    </row>
    <row r="316" spans="2:3" x14ac:dyDescent="0.25">
      <c r="B316" t="s">
        <v>221</v>
      </c>
    </row>
    <row r="317" spans="2:3" x14ac:dyDescent="0.25">
      <c r="B317" t="s">
        <v>207</v>
      </c>
    </row>
    <row r="318" spans="2:3" x14ac:dyDescent="0.25">
      <c r="B318" t="s">
        <v>222</v>
      </c>
    </row>
    <row r="319" spans="2:3" x14ac:dyDescent="0.25">
      <c r="B319" t="s">
        <v>154</v>
      </c>
    </row>
    <row r="320" spans="2:3" x14ac:dyDescent="0.25">
      <c r="B320" t="s">
        <v>155</v>
      </c>
    </row>
    <row r="321" spans="2:6" x14ac:dyDescent="0.25">
      <c r="B321" t="s">
        <v>156</v>
      </c>
    </row>
    <row r="322" spans="2:6" x14ac:dyDescent="0.25">
      <c r="B322" t="s">
        <v>199</v>
      </c>
    </row>
    <row r="324" spans="2:6" x14ac:dyDescent="0.25">
      <c r="D324" t="s">
        <v>409</v>
      </c>
    </row>
    <row r="325" spans="2:6" x14ac:dyDescent="0.25">
      <c r="D325" t="s">
        <v>410</v>
      </c>
    </row>
    <row r="326" spans="2:6" x14ac:dyDescent="0.25">
      <c r="D326" t="s">
        <v>311</v>
      </c>
      <c r="E326" t="s">
        <v>423</v>
      </c>
    </row>
    <row r="327" spans="2:6" x14ac:dyDescent="0.25">
      <c r="D327" t="s">
        <v>424</v>
      </c>
    </row>
    <row r="328" spans="2:6" x14ac:dyDescent="0.25">
      <c r="C328" t="s">
        <v>149</v>
      </c>
    </row>
    <row r="330" spans="2:6" x14ac:dyDescent="0.25">
      <c r="D330" t="s">
        <v>172</v>
      </c>
    </row>
    <row r="331" spans="2:6" x14ac:dyDescent="0.25">
      <c r="D331" t="s">
        <v>316</v>
      </c>
    </row>
    <row r="332" spans="2:6" x14ac:dyDescent="0.25">
      <c r="D332" t="s">
        <v>173</v>
      </c>
      <c r="E332" t="s">
        <v>174</v>
      </c>
      <c r="F332" t="s">
        <v>174</v>
      </c>
    </row>
    <row r="333" spans="2:6" x14ac:dyDescent="0.25">
      <c r="D333" t="s">
        <v>175</v>
      </c>
      <c r="E333">
        <v>10</v>
      </c>
      <c r="F333">
        <v>11</v>
      </c>
    </row>
    <row r="334" spans="2:6" x14ac:dyDescent="0.25">
      <c r="D334" t="s">
        <v>176</v>
      </c>
      <c r="E334" t="s">
        <v>137</v>
      </c>
      <c r="F334" t="s">
        <v>137</v>
      </c>
    </row>
    <row r="335" spans="2:6" x14ac:dyDescent="0.25">
      <c r="D335" t="s">
        <v>177</v>
      </c>
      <c r="E335">
        <v>10</v>
      </c>
      <c r="F335">
        <v>11</v>
      </c>
    </row>
    <row r="336" spans="2:6" x14ac:dyDescent="0.25">
      <c r="D336" t="s">
        <v>178</v>
      </c>
      <c r="E336">
        <v>485.44</v>
      </c>
      <c r="F336">
        <v>446.43</v>
      </c>
    </row>
    <row r="337" spans="4:6" x14ac:dyDescent="0.25">
      <c r="D337" t="s">
        <v>179</v>
      </c>
      <c r="E337">
        <v>0</v>
      </c>
      <c r="F337">
        <v>0</v>
      </c>
    </row>
    <row r="338" spans="4:6" x14ac:dyDescent="0.25">
      <c r="D338" t="s">
        <v>180</v>
      </c>
      <c r="E338">
        <v>0</v>
      </c>
      <c r="F338">
        <v>0</v>
      </c>
    </row>
    <row r="339" spans="4:6" x14ac:dyDescent="0.25">
      <c r="D339" t="s">
        <v>181</v>
      </c>
      <c r="E339" t="s">
        <v>182</v>
      </c>
      <c r="F339" t="s">
        <v>182</v>
      </c>
    </row>
    <row r="340" spans="4:6" x14ac:dyDescent="0.25">
      <c r="D340" t="s">
        <v>223</v>
      </c>
    </row>
    <row r="342" spans="4:6" x14ac:dyDescent="0.25">
      <c r="D342" t="s">
        <v>159</v>
      </c>
    </row>
    <row r="343" spans="4:6" x14ac:dyDescent="0.25">
      <c r="D343" t="s">
        <v>160</v>
      </c>
    </row>
    <row r="344" spans="4:6" x14ac:dyDescent="0.25">
      <c r="D344" t="s">
        <v>161</v>
      </c>
      <c r="E344">
        <v>300</v>
      </c>
    </row>
    <row r="345" spans="4:6" x14ac:dyDescent="0.25">
      <c r="D345" t="s">
        <v>224</v>
      </c>
    </row>
    <row r="347" spans="4:6" x14ac:dyDescent="0.25">
      <c r="D347" t="s">
        <v>159</v>
      </c>
    </row>
    <row r="348" spans="4:6" x14ac:dyDescent="0.25">
      <c r="D348" t="s">
        <v>163</v>
      </c>
    </row>
    <row r="349" spans="4:6" x14ac:dyDescent="0.25">
      <c r="D349" t="s">
        <v>225</v>
      </c>
    </row>
    <row r="351" spans="4:6" x14ac:dyDescent="0.25">
      <c r="D351" t="s">
        <v>165</v>
      </c>
    </row>
    <row r="352" spans="4:6" x14ac:dyDescent="0.25">
      <c r="D352" t="s">
        <v>160</v>
      </c>
    </row>
    <row r="353" spans="2:5" x14ac:dyDescent="0.25">
      <c r="D353" t="s">
        <v>166</v>
      </c>
      <c r="E353">
        <v>350</v>
      </c>
    </row>
    <row r="354" spans="2:5" x14ac:dyDescent="0.25">
      <c r="D354" t="s">
        <v>161</v>
      </c>
      <c r="E354">
        <v>200.242718446601</v>
      </c>
    </row>
    <row r="355" spans="2:5" x14ac:dyDescent="0.25">
      <c r="D355" t="s">
        <v>226</v>
      </c>
    </row>
    <row r="360" spans="2:5" x14ac:dyDescent="0.25">
      <c r="B360" t="s">
        <v>145</v>
      </c>
    </row>
    <row r="361" spans="2:5" x14ac:dyDescent="0.25">
      <c r="B361" t="s">
        <v>227</v>
      </c>
    </row>
    <row r="362" spans="2:5" x14ac:dyDescent="0.25">
      <c r="B362" t="s">
        <v>228</v>
      </c>
    </row>
    <row r="363" spans="2:5" x14ac:dyDescent="0.25">
      <c r="B363" t="s">
        <v>148</v>
      </c>
    </row>
    <row r="365" spans="2:5" x14ac:dyDescent="0.25">
      <c r="C365" t="s">
        <v>149</v>
      </c>
    </row>
    <row r="370" spans="2:5" x14ac:dyDescent="0.25">
      <c r="B370" t="s">
        <v>150</v>
      </c>
    </row>
    <row r="371" spans="2:5" x14ac:dyDescent="0.25">
      <c r="B371" t="s">
        <v>229</v>
      </c>
    </row>
    <row r="372" spans="2:5" x14ac:dyDescent="0.25">
      <c r="B372" t="s">
        <v>230</v>
      </c>
    </row>
    <row r="373" spans="2:5" x14ac:dyDescent="0.25">
      <c r="B373" t="s">
        <v>231</v>
      </c>
    </row>
    <row r="374" spans="2:5" x14ac:dyDescent="0.25">
      <c r="B374" t="s">
        <v>154</v>
      </c>
    </row>
    <row r="375" spans="2:5" x14ac:dyDescent="0.25">
      <c r="B375" t="s">
        <v>155</v>
      </c>
    </row>
    <row r="376" spans="2:5" x14ac:dyDescent="0.25">
      <c r="B376" t="s">
        <v>156</v>
      </c>
    </row>
    <row r="377" spans="2:5" x14ac:dyDescent="0.25">
      <c r="B377" t="s">
        <v>232</v>
      </c>
    </row>
    <row r="379" spans="2:5" x14ac:dyDescent="0.25">
      <c r="D379" t="s">
        <v>409</v>
      </c>
    </row>
    <row r="380" spans="2:5" x14ac:dyDescent="0.25">
      <c r="D380" t="s">
        <v>410</v>
      </c>
    </row>
    <row r="381" spans="2:5" x14ac:dyDescent="0.25">
      <c r="D381" t="s">
        <v>311</v>
      </c>
      <c r="E381" t="s">
        <v>425</v>
      </c>
    </row>
    <row r="382" spans="2:5" x14ac:dyDescent="0.25">
      <c r="D382" t="s">
        <v>426</v>
      </c>
    </row>
    <row r="383" spans="2:5" x14ac:dyDescent="0.25">
      <c r="C383" t="s">
        <v>149</v>
      </c>
    </row>
    <row r="385" spans="4:6" x14ac:dyDescent="0.25">
      <c r="D385" t="s">
        <v>172</v>
      </c>
    </row>
    <row r="386" spans="4:6" x14ac:dyDescent="0.25">
      <c r="D386" t="s">
        <v>316</v>
      </c>
    </row>
    <row r="387" spans="4:6" x14ac:dyDescent="0.25">
      <c r="D387" t="s">
        <v>173</v>
      </c>
      <c r="E387" t="s">
        <v>174</v>
      </c>
      <c r="F387" t="s">
        <v>174</v>
      </c>
    </row>
    <row r="388" spans="4:6" x14ac:dyDescent="0.25">
      <c r="D388" t="s">
        <v>175</v>
      </c>
      <c r="E388">
        <v>10</v>
      </c>
      <c r="F388">
        <v>11</v>
      </c>
    </row>
    <row r="389" spans="4:6" x14ac:dyDescent="0.25">
      <c r="D389" t="s">
        <v>176</v>
      </c>
      <c r="E389" t="s">
        <v>138</v>
      </c>
      <c r="F389" t="s">
        <v>138</v>
      </c>
    </row>
    <row r="390" spans="4:6" x14ac:dyDescent="0.25">
      <c r="D390" t="s">
        <v>177</v>
      </c>
      <c r="E390">
        <v>10</v>
      </c>
      <c r="F390">
        <v>11</v>
      </c>
    </row>
    <row r="391" spans="4:6" x14ac:dyDescent="0.25">
      <c r="D391" t="s">
        <v>178</v>
      </c>
      <c r="E391">
        <v>150</v>
      </c>
      <c r="F391">
        <v>150</v>
      </c>
    </row>
    <row r="392" spans="4:6" x14ac:dyDescent="0.25">
      <c r="D392" t="s">
        <v>179</v>
      </c>
      <c r="E392">
        <v>0</v>
      </c>
      <c r="F392">
        <v>0</v>
      </c>
    </row>
    <row r="393" spans="4:6" x14ac:dyDescent="0.25">
      <c r="D393" t="s">
        <v>180</v>
      </c>
      <c r="E393">
        <v>0</v>
      </c>
      <c r="F393">
        <v>0</v>
      </c>
    </row>
    <row r="394" spans="4:6" x14ac:dyDescent="0.25">
      <c r="D394" t="s">
        <v>181</v>
      </c>
      <c r="E394" t="s">
        <v>182</v>
      </c>
      <c r="F394" t="s">
        <v>182</v>
      </c>
    </row>
    <row r="395" spans="4:6" x14ac:dyDescent="0.25">
      <c r="D395" t="s">
        <v>233</v>
      </c>
    </row>
    <row r="397" spans="4:6" x14ac:dyDescent="0.25">
      <c r="D397" t="s">
        <v>159</v>
      </c>
    </row>
    <row r="398" spans="4:6" x14ac:dyDescent="0.25">
      <c r="D398" t="s">
        <v>160</v>
      </c>
    </row>
    <row r="399" spans="4:6" x14ac:dyDescent="0.25">
      <c r="D399" t="s">
        <v>161</v>
      </c>
      <c r="E399">
        <v>300</v>
      </c>
    </row>
    <row r="400" spans="4:6" x14ac:dyDescent="0.25">
      <c r="D400" t="s">
        <v>234</v>
      </c>
    </row>
    <row r="402" spans="2:5" x14ac:dyDescent="0.25">
      <c r="D402" t="s">
        <v>159</v>
      </c>
    </row>
    <row r="403" spans="2:5" x14ac:dyDescent="0.25">
      <c r="D403" t="s">
        <v>163</v>
      </c>
    </row>
    <row r="404" spans="2:5" x14ac:dyDescent="0.25">
      <c r="D404" t="s">
        <v>235</v>
      </c>
    </row>
    <row r="406" spans="2:5" x14ac:dyDescent="0.25">
      <c r="D406" t="s">
        <v>165</v>
      </c>
    </row>
    <row r="407" spans="2:5" x14ac:dyDescent="0.25">
      <c r="D407" t="s">
        <v>160</v>
      </c>
    </row>
    <row r="408" spans="2:5" x14ac:dyDescent="0.25">
      <c r="D408" t="s">
        <v>166</v>
      </c>
      <c r="E408">
        <v>350</v>
      </c>
    </row>
    <row r="409" spans="2:5" x14ac:dyDescent="0.25">
      <c r="D409" t="s">
        <v>161</v>
      </c>
      <c r="E409">
        <v>61.875</v>
      </c>
    </row>
    <row r="410" spans="2:5" x14ac:dyDescent="0.25">
      <c r="D410" t="s">
        <v>236</v>
      </c>
    </row>
    <row r="415" spans="2:5" x14ac:dyDescent="0.25">
      <c r="B415" t="s">
        <v>150</v>
      </c>
    </row>
    <row r="416" spans="2:5" x14ac:dyDescent="0.25">
      <c r="B416" t="s">
        <v>237</v>
      </c>
    </row>
    <row r="417" spans="2:6" x14ac:dyDescent="0.25">
      <c r="B417" t="s">
        <v>238</v>
      </c>
    </row>
    <row r="418" spans="2:6" x14ac:dyDescent="0.25">
      <c r="B418" t="s">
        <v>239</v>
      </c>
    </row>
    <row r="419" spans="2:6" x14ac:dyDescent="0.25">
      <c r="B419" t="s">
        <v>154</v>
      </c>
    </row>
    <row r="420" spans="2:6" x14ac:dyDescent="0.25">
      <c r="B420" t="s">
        <v>155</v>
      </c>
    </row>
    <row r="421" spans="2:6" x14ac:dyDescent="0.25">
      <c r="B421" t="s">
        <v>156</v>
      </c>
    </row>
    <row r="422" spans="2:6" x14ac:dyDescent="0.25">
      <c r="B422" t="s">
        <v>232</v>
      </c>
    </row>
    <row r="424" spans="2:6" x14ac:dyDescent="0.25">
      <c r="D424" t="s">
        <v>409</v>
      </c>
    </row>
    <row r="425" spans="2:6" x14ac:dyDescent="0.25">
      <c r="D425" t="s">
        <v>410</v>
      </c>
    </row>
    <row r="426" spans="2:6" x14ac:dyDescent="0.25">
      <c r="D426" t="s">
        <v>311</v>
      </c>
      <c r="E426" t="s">
        <v>427</v>
      </c>
    </row>
    <row r="427" spans="2:6" x14ac:dyDescent="0.25">
      <c r="D427" t="s">
        <v>428</v>
      </c>
    </row>
    <row r="428" spans="2:6" x14ac:dyDescent="0.25">
      <c r="C428" t="s">
        <v>149</v>
      </c>
    </row>
    <row r="430" spans="2:6" x14ac:dyDescent="0.25">
      <c r="D430" t="s">
        <v>172</v>
      </c>
    </row>
    <row r="431" spans="2:6" x14ac:dyDescent="0.25">
      <c r="D431" t="s">
        <v>316</v>
      </c>
    </row>
    <row r="432" spans="2:6" x14ac:dyDescent="0.25">
      <c r="D432" t="s">
        <v>173</v>
      </c>
      <c r="E432" t="s">
        <v>174</v>
      </c>
      <c r="F432" t="s">
        <v>174</v>
      </c>
    </row>
    <row r="433" spans="4:6" x14ac:dyDescent="0.25">
      <c r="D433" t="s">
        <v>175</v>
      </c>
      <c r="E433">
        <v>10</v>
      </c>
      <c r="F433">
        <v>11</v>
      </c>
    </row>
    <row r="434" spans="4:6" x14ac:dyDescent="0.25">
      <c r="D434" t="s">
        <v>176</v>
      </c>
      <c r="E434" t="s">
        <v>141</v>
      </c>
      <c r="F434" t="s">
        <v>141</v>
      </c>
    </row>
    <row r="435" spans="4:6" x14ac:dyDescent="0.25">
      <c r="D435" t="s">
        <v>177</v>
      </c>
      <c r="E435">
        <v>10</v>
      </c>
      <c r="F435">
        <v>11</v>
      </c>
    </row>
    <row r="436" spans="4:6" x14ac:dyDescent="0.25">
      <c r="D436" t="s">
        <v>178</v>
      </c>
      <c r="E436">
        <v>150</v>
      </c>
      <c r="F436">
        <v>150</v>
      </c>
    </row>
    <row r="437" spans="4:6" x14ac:dyDescent="0.25">
      <c r="D437" t="s">
        <v>179</v>
      </c>
      <c r="E437">
        <v>0</v>
      </c>
      <c r="F437">
        <v>0</v>
      </c>
    </row>
    <row r="438" spans="4:6" x14ac:dyDescent="0.25">
      <c r="D438" t="s">
        <v>180</v>
      </c>
      <c r="E438">
        <v>0</v>
      </c>
      <c r="F438">
        <v>0</v>
      </c>
    </row>
    <row r="439" spans="4:6" x14ac:dyDescent="0.25">
      <c r="D439" t="s">
        <v>181</v>
      </c>
      <c r="E439" t="s">
        <v>182</v>
      </c>
      <c r="F439" t="s">
        <v>182</v>
      </c>
    </row>
    <row r="440" spans="4:6" x14ac:dyDescent="0.25">
      <c r="D440" t="s">
        <v>240</v>
      </c>
    </row>
    <row r="442" spans="4:6" x14ac:dyDescent="0.25">
      <c r="D442" t="s">
        <v>159</v>
      </c>
    </row>
    <row r="443" spans="4:6" x14ac:dyDescent="0.25">
      <c r="D443" t="s">
        <v>160</v>
      </c>
    </row>
    <row r="444" spans="4:6" x14ac:dyDescent="0.25">
      <c r="D444" t="s">
        <v>161</v>
      </c>
      <c r="E444">
        <v>300</v>
      </c>
    </row>
    <row r="445" spans="4:6" x14ac:dyDescent="0.25">
      <c r="D445" t="s">
        <v>241</v>
      </c>
    </row>
    <row r="447" spans="4:6" x14ac:dyDescent="0.25">
      <c r="D447" t="s">
        <v>159</v>
      </c>
    </row>
    <row r="448" spans="4:6" x14ac:dyDescent="0.25">
      <c r="D448" t="s">
        <v>163</v>
      </c>
    </row>
    <row r="449" spans="2:5" x14ac:dyDescent="0.25">
      <c r="D449" t="s">
        <v>242</v>
      </c>
    </row>
    <row r="451" spans="2:5" x14ac:dyDescent="0.25">
      <c r="D451" t="s">
        <v>165</v>
      </c>
    </row>
    <row r="452" spans="2:5" x14ac:dyDescent="0.25">
      <c r="D452" t="s">
        <v>160</v>
      </c>
    </row>
    <row r="453" spans="2:5" x14ac:dyDescent="0.25">
      <c r="D453" t="s">
        <v>166</v>
      </c>
      <c r="E453">
        <v>350</v>
      </c>
    </row>
    <row r="454" spans="2:5" x14ac:dyDescent="0.25">
      <c r="D454" t="s">
        <v>161</v>
      </c>
      <c r="E454">
        <v>61.875</v>
      </c>
    </row>
    <row r="455" spans="2:5" x14ac:dyDescent="0.25">
      <c r="D455" t="s">
        <v>243</v>
      </c>
    </row>
    <row r="460" spans="2:5" x14ac:dyDescent="0.25">
      <c r="B460" t="s">
        <v>150</v>
      </c>
    </row>
    <row r="461" spans="2:5" x14ac:dyDescent="0.25">
      <c r="B461" t="s">
        <v>244</v>
      </c>
    </row>
    <row r="462" spans="2:5" x14ac:dyDescent="0.25">
      <c r="B462" t="s">
        <v>245</v>
      </c>
    </row>
    <row r="463" spans="2:5" x14ac:dyDescent="0.25">
      <c r="B463" t="s">
        <v>246</v>
      </c>
    </row>
    <row r="464" spans="2:5" x14ac:dyDescent="0.25">
      <c r="B464" t="s">
        <v>154</v>
      </c>
    </row>
    <row r="465" spans="2:6" x14ac:dyDescent="0.25">
      <c r="B465" t="s">
        <v>155</v>
      </c>
    </row>
    <row r="466" spans="2:6" x14ac:dyDescent="0.25">
      <c r="B466" t="s">
        <v>156</v>
      </c>
    </row>
    <row r="467" spans="2:6" x14ac:dyDescent="0.25">
      <c r="B467" t="s">
        <v>232</v>
      </c>
    </row>
    <row r="469" spans="2:6" x14ac:dyDescent="0.25">
      <c r="D469" t="s">
        <v>409</v>
      </c>
    </row>
    <row r="470" spans="2:6" x14ac:dyDescent="0.25">
      <c r="D470" t="s">
        <v>410</v>
      </c>
    </row>
    <row r="471" spans="2:6" x14ac:dyDescent="0.25">
      <c r="D471" t="s">
        <v>311</v>
      </c>
      <c r="E471" t="s">
        <v>429</v>
      </c>
    </row>
    <row r="472" spans="2:6" x14ac:dyDescent="0.25">
      <c r="D472" t="s">
        <v>430</v>
      </c>
    </row>
    <row r="473" spans="2:6" x14ac:dyDescent="0.25">
      <c r="C473" t="s">
        <v>149</v>
      </c>
    </row>
    <row r="475" spans="2:6" x14ac:dyDescent="0.25">
      <c r="D475" t="s">
        <v>172</v>
      </c>
    </row>
    <row r="476" spans="2:6" x14ac:dyDescent="0.25">
      <c r="D476" t="s">
        <v>316</v>
      </c>
    </row>
    <row r="477" spans="2:6" x14ac:dyDescent="0.25">
      <c r="D477" t="s">
        <v>173</v>
      </c>
      <c r="E477" t="s">
        <v>174</v>
      </c>
      <c r="F477" t="s">
        <v>174</v>
      </c>
    </row>
    <row r="478" spans="2:6" x14ac:dyDescent="0.25">
      <c r="D478" t="s">
        <v>175</v>
      </c>
      <c r="E478">
        <v>10</v>
      </c>
      <c r="F478">
        <v>11</v>
      </c>
    </row>
    <row r="479" spans="2:6" x14ac:dyDescent="0.25">
      <c r="D479" t="s">
        <v>176</v>
      </c>
      <c r="E479" t="s">
        <v>141</v>
      </c>
      <c r="F479" t="s">
        <v>141</v>
      </c>
    </row>
    <row r="480" spans="2:6" x14ac:dyDescent="0.25">
      <c r="D480" t="s">
        <v>177</v>
      </c>
      <c r="E480">
        <v>10</v>
      </c>
      <c r="F480">
        <v>11</v>
      </c>
    </row>
    <row r="481" spans="4:6" x14ac:dyDescent="0.25">
      <c r="D481" t="s">
        <v>178</v>
      </c>
      <c r="E481">
        <v>150</v>
      </c>
      <c r="F481">
        <v>150</v>
      </c>
    </row>
    <row r="482" spans="4:6" x14ac:dyDescent="0.25">
      <c r="D482" t="s">
        <v>179</v>
      </c>
      <c r="E482">
        <v>0</v>
      </c>
      <c r="F482">
        <v>0</v>
      </c>
    </row>
    <row r="483" spans="4:6" x14ac:dyDescent="0.25">
      <c r="D483" t="s">
        <v>180</v>
      </c>
      <c r="E483">
        <v>0</v>
      </c>
      <c r="F483">
        <v>0</v>
      </c>
    </row>
    <row r="484" spans="4:6" x14ac:dyDescent="0.25">
      <c r="D484" t="s">
        <v>181</v>
      </c>
      <c r="E484" t="s">
        <v>182</v>
      </c>
      <c r="F484" t="s">
        <v>182</v>
      </c>
    </row>
    <row r="485" spans="4:6" x14ac:dyDescent="0.25">
      <c r="D485" t="s">
        <v>247</v>
      </c>
    </row>
    <row r="487" spans="4:6" x14ac:dyDescent="0.25">
      <c r="D487" t="s">
        <v>159</v>
      </c>
    </row>
    <row r="488" spans="4:6" x14ac:dyDescent="0.25">
      <c r="D488" t="s">
        <v>160</v>
      </c>
    </row>
    <row r="489" spans="4:6" x14ac:dyDescent="0.25">
      <c r="D489" t="s">
        <v>161</v>
      </c>
      <c r="E489">
        <v>300</v>
      </c>
    </row>
    <row r="490" spans="4:6" x14ac:dyDescent="0.25">
      <c r="D490" t="s">
        <v>248</v>
      </c>
    </row>
    <row r="492" spans="4:6" x14ac:dyDescent="0.25">
      <c r="D492" t="s">
        <v>159</v>
      </c>
    </row>
    <row r="493" spans="4:6" x14ac:dyDescent="0.25">
      <c r="D493" t="s">
        <v>163</v>
      </c>
    </row>
    <row r="494" spans="4:6" x14ac:dyDescent="0.25">
      <c r="D494" t="s">
        <v>249</v>
      </c>
    </row>
    <row r="496" spans="4:6" x14ac:dyDescent="0.25">
      <c r="D496" t="s">
        <v>165</v>
      </c>
    </row>
    <row r="497" spans="2:5" x14ac:dyDescent="0.25">
      <c r="D497" t="s">
        <v>160</v>
      </c>
    </row>
    <row r="498" spans="2:5" x14ac:dyDescent="0.25">
      <c r="D498" t="s">
        <v>166</v>
      </c>
      <c r="E498">
        <v>350</v>
      </c>
    </row>
    <row r="499" spans="2:5" x14ac:dyDescent="0.25">
      <c r="D499" t="s">
        <v>161</v>
      </c>
      <c r="E499">
        <v>61.875</v>
      </c>
    </row>
    <row r="500" spans="2:5" x14ac:dyDescent="0.25">
      <c r="D500" t="s">
        <v>250</v>
      </c>
    </row>
    <row r="505" spans="2:5" x14ac:dyDescent="0.25">
      <c r="B505" t="s">
        <v>150</v>
      </c>
    </row>
    <row r="506" spans="2:5" x14ac:dyDescent="0.25">
      <c r="B506" t="s">
        <v>251</v>
      </c>
    </row>
    <row r="507" spans="2:5" x14ac:dyDescent="0.25">
      <c r="B507" t="s">
        <v>252</v>
      </c>
    </row>
    <row r="508" spans="2:5" x14ac:dyDescent="0.25">
      <c r="B508" t="s">
        <v>253</v>
      </c>
    </row>
    <row r="509" spans="2:5" x14ac:dyDescent="0.25">
      <c r="B509" t="s">
        <v>154</v>
      </c>
    </row>
    <row r="510" spans="2:5" x14ac:dyDescent="0.25">
      <c r="B510" t="s">
        <v>155</v>
      </c>
    </row>
    <row r="511" spans="2:5" x14ac:dyDescent="0.25">
      <c r="B511" t="s">
        <v>156</v>
      </c>
    </row>
    <row r="512" spans="2:5" x14ac:dyDescent="0.25">
      <c r="B512" t="s">
        <v>232</v>
      </c>
    </row>
    <row r="514" spans="3:6" x14ac:dyDescent="0.25">
      <c r="D514" t="s">
        <v>409</v>
      </c>
    </row>
    <row r="515" spans="3:6" x14ac:dyDescent="0.25">
      <c r="D515" t="s">
        <v>410</v>
      </c>
    </row>
    <row r="516" spans="3:6" x14ac:dyDescent="0.25">
      <c r="D516" t="s">
        <v>311</v>
      </c>
      <c r="E516" t="s">
        <v>431</v>
      </c>
    </row>
    <row r="517" spans="3:6" x14ac:dyDescent="0.25">
      <c r="D517" t="s">
        <v>432</v>
      </c>
    </row>
    <row r="518" spans="3:6" x14ac:dyDescent="0.25">
      <c r="C518" t="s">
        <v>149</v>
      </c>
    </row>
    <row r="520" spans="3:6" x14ac:dyDescent="0.25">
      <c r="D520" t="s">
        <v>172</v>
      </c>
    </row>
    <row r="521" spans="3:6" x14ac:dyDescent="0.25">
      <c r="D521" t="s">
        <v>316</v>
      </c>
    </row>
    <row r="522" spans="3:6" x14ac:dyDescent="0.25">
      <c r="D522" t="s">
        <v>173</v>
      </c>
      <c r="E522" t="s">
        <v>174</v>
      </c>
      <c r="F522" t="s">
        <v>174</v>
      </c>
    </row>
    <row r="523" spans="3:6" x14ac:dyDescent="0.25">
      <c r="D523" t="s">
        <v>175</v>
      </c>
      <c r="E523">
        <v>10</v>
      </c>
      <c r="F523">
        <v>11</v>
      </c>
    </row>
    <row r="524" spans="3:6" x14ac:dyDescent="0.25">
      <c r="D524" t="s">
        <v>176</v>
      </c>
      <c r="E524" t="s">
        <v>142</v>
      </c>
      <c r="F524" t="s">
        <v>142</v>
      </c>
    </row>
    <row r="525" spans="3:6" x14ac:dyDescent="0.25">
      <c r="D525" t="s">
        <v>177</v>
      </c>
      <c r="E525">
        <v>10</v>
      </c>
      <c r="F525">
        <v>11</v>
      </c>
    </row>
    <row r="526" spans="3:6" x14ac:dyDescent="0.25">
      <c r="D526" t="s">
        <v>178</v>
      </c>
      <c r="E526">
        <v>150</v>
      </c>
      <c r="F526">
        <v>150</v>
      </c>
    </row>
    <row r="527" spans="3:6" x14ac:dyDescent="0.25">
      <c r="D527" t="s">
        <v>179</v>
      </c>
      <c r="E527">
        <v>0</v>
      </c>
      <c r="F527">
        <v>0</v>
      </c>
    </row>
    <row r="528" spans="3:6" x14ac:dyDescent="0.25">
      <c r="D528" t="s">
        <v>180</v>
      </c>
      <c r="E528">
        <v>0</v>
      </c>
      <c r="F528">
        <v>0</v>
      </c>
    </row>
    <row r="529" spans="4:6" x14ac:dyDescent="0.25">
      <c r="D529" t="s">
        <v>181</v>
      </c>
      <c r="E529" t="s">
        <v>182</v>
      </c>
      <c r="F529" t="s">
        <v>182</v>
      </c>
    </row>
    <row r="530" spans="4:6" x14ac:dyDescent="0.25">
      <c r="D530" t="s">
        <v>254</v>
      </c>
    </row>
    <row r="532" spans="4:6" x14ac:dyDescent="0.25">
      <c r="D532" t="s">
        <v>159</v>
      </c>
    </row>
    <row r="533" spans="4:6" x14ac:dyDescent="0.25">
      <c r="D533" t="s">
        <v>160</v>
      </c>
    </row>
    <row r="534" spans="4:6" x14ac:dyDescent="0.25">
      <c r="D534" t="s">
        <v>161</v>
      </c>
      <c r="E534">
        <v>300</v>
      </c>
    </row>
    <row r="535" spans="4:6" x14ac:dyDescent="0.25">
      <c r="D535" t="s">
        <v>255</v>
      </c>
    </row>
    <row r="537" spans="4:6" x14ac:dyDescent="0.25">
      <c r="D537" t="s">
        <v>159</v>
      </c>
    </row>
    <row r="538" spans="4:6" x14ac:dyDescent="0.25">
      <c r="D538" t="s">
        <v>163</v>
      </c>
    </row>
    <row r="539" spans="4:6" x14ac:dyDescent="0.25">
      <c r="D539" t="s">
        <v>256</v>
      </c>
    </row>
    <row r="541" spans="4:6" x14ac:dyDescent="0.25">
      <c r="D541" t="s">
        <v>165</v>
      </c>
    </row>
    <row r="542" spans="4:6" x14ac:dyDescent="0.25">
      <c r="D542" t="s">
        <v>160</v>
      </c>
    </row>
    <row r="543" spans="4:6" x14ac:dyDescent="0.25">
      <c r="D543" t="s">
        <v>166</v>
      </c>
      <c r="E543">
        <v>350</v>
      </c>
    </row>
    <row r="544" spans="4:6" x14ac:dyDescent="0.25">
      <c r="D544" t="s">
        <v>161</v>
      </c>
      <c r="E544">
        <v>61.875</v>
      </c>
    </row>
    <row r="545" spans="2:4" x14ac:dyDescent="0.25">
      <c r="D545" t="s">
        <v>257</v>
      </c>
    </row>
    <row r="550" spans="2:4" x14ac:dyDescent="0.25">
      <c r="B550" t="s">
        <v>150</v>
      </c>
    </row>
    <row r="551" spans="2:4" x14ac:dyDescent="0.25">
      <c r="B551" t="s">
        <v>258</v>
      </c>
    </row>
    <row r="552" spans="2:4" x14ac:dyDescent="0.25">
      <c r="B552" t="s">
        <v>259</v>
      </c>
    </row>
    <row r="553" spans="2:4" x14ac:dyDescent="0.25">
      <c r="B553" t="s">
        <v>260</v>
      </c>
    </row>
    <row r="554" spans="2:4" x14ac:dyDescent="0.25">
      <c r="B554" t="s">
        <v>154</v>
      </c>
    </row>
    <row r="555" spans="2:4" x14ac:dyDescent="0.25">
      <c r="B555" t="s">
        <v>155</v>
      </c>
    </row>
    <row r="556" spans="2:4" x14ac:dyDescent="0.25">
      <c r="B556" t="s">
        <v>156</v>
      </c>
    </row>
    <row r="557" spans="2:4" x14ac:dyDescent="0.25">
      <c r="B557" t="s">
        <v>232</v>
      </c>
    </row>
    <row r="559" spans="2:4" x14ac:dyDescent="0.25">
      <c r="D559" t="s">
        <v>409</v>
      </c>
    </row>
    <row r="560" spans="2:4" x14ac:dyDescent="0.25">
      <c r="D560" t="s">
        <v>410</v>
      </c>
    </row>
    <row r="561" spans="3:6" x14ac:dyDescent="0.25">
      <c r="D561" t="s">
        <v>311</v>
      </c>
      <c r="E561" t="s">
        <v>433</v>
      </c>
    </row>
    <row r="562" spans="3:6" x14ac:dyDescent="0.25">
      <c r="D562" t="s">
        <v>434</v>
      </c>
    </row>
    <row r="563" spans="3:6" x14ac:dyDescent="0.25">
      <c r="C563" t="s">
        <v>149</v>
      </c>
    </row>
    <row r="565" spans="3:6" x14ac:dyDescent="0.25">
      <c r="D565" t="s">
        <v>172</v>
      </c>
    </row>
    <row r="566" spans="3:6" x14ac:dyDescent="0.25">
      <c r="D566" t="s">
        <v>316</v>
      </c>
    </row>
    <row r="567" spans="3:6" x14ac:dyDescent="0.25">
      <c r="D567" t="s">
        <v>173</v>
      </c>
      <c r="E567" t="s">
        <v>174</v>
      </c>
      <c r="F567" t="s">
        <v>174</v>
      </c>
    </row>
    <row r="568" spans="3:6" x14ac:dyDescent="0.25">
      <c r="D568" t="s">
        <v>175</v>
      </c>
      <c r="E568">
        <v>10</v>
      </c>
      <c r="F568">
        <v>11</v>
      </c>
    </row>
    <row r="569" spans="3:6" x14ac:dyDescent="0.25">
      <c r="D569" t="s">
        <v>176</v>
      </c>
      <c r="E569" t="s">
        <v>142</v>
      </c>
      <c r="F569" t="s">
        <v>142</v>
      </c>
    </row>
    <row r="570" spans="3:6" x14ac:dyDescent="0.25">
      <c r="D570" t="s">
        <v>177</v>
      </c>
      <c r="E570">
        <v>10</v>
      </c>
      <c r="F570">
        <v>11</v>
      </c>
    </row>
    <row r="571" spans="3:6" x14ac:dyDescent="0.25">
      <c r="D571" t="s">
        <v>178</v>
      </c>
      <c r="E571">
        <v>150</v>
      </c>
      <c r="F571">
        <v>150</v>
      </c>
    </row>
    <row r="572" spans="3:6" x14ac:dyDescent="0.25">
      <c r="D572" t="s">
        <v>179</v>
      </c>
      <c r="E572">
        <v>0</v>
      </c>
      <c r="F572">
        <v>0</v>
      </c>
    </row>
    <row r="573" spans="3:6" x14ac:dyDescent="0.25">
      <c r="D573" t="s">
        <v>180</v>
      </c>
      <c r="E573">
        <v>0</v>
      </c>
      <c r="F573">
        <v>0</v>
      </c>
    </row>
    <row r="574" spans="3:6" x14ac:dyDescent="0.25">
      <c r="D574" t="s">
        <v>181</v>
      </c>
      <c r="E574" t="s">
        <v>182</v>
      </c>
      <c r="F574" t="s">
        <v>182</v>
      </c>
    </row>
    <row r="575" spans="3:6" x14ac:dyDescent="0.25">
      <c r="D575" t="s">
        <v>261</v>
      </c>
    </row>
    <row r="577" spans="4:5" x14ac:dyDescent="0.25">
      <c r="D577" t="s">
        <v>159</v>
      </c>
    </row>
    <row r="578" spans="4:5" x14ac:dyDescent="0.25">
      <c r="D578" t="s">
        <v>160</v>
      </c>
    </row>
    <row r="579" spans="4:5" x14ac:dyDescent="0.25">
      <c r="D579" t="s">
        <v>161</v>
      </c>
      <c r="E579">
        <v>300</v>
      </c>
    </row>
    <row r="580" spans="4:5" x14ac:dyDescent="0.25">
      <c r="D580" t="s">
        <v>262</v>
      </c>
    </row>
    <row r="582" spans="4:5" x14ac:dyDescent="0.25">
      <c r="D582" t="s">
        <v>159</v>
      </c>
    </row>
    <row r="583" spans="4:5" x14ac:dyDescent="0.25">
      <c r="D583" t="s">
        <v>163</v>
      </c>
    </row>
    <row r="584" spans="4:5" x14ac:dyDescent="0.25">
      <c r="D584" t="s">
        <v>263</v>
      </c>
    </row>
    <row r="586" spans="4:5" x14ac:dyDescent="0.25">
      <c r="D586" t="s">
        <v>165</v>
      </c>
    </row>
    <row r="587" spans="4:5" x14ac:dyDescent="0.25">
      <c r="D587" t="s">
        <v>160</v>
      </c>
    </row>
    <row r="588" spans="4:5" x14ac:dyDescent="0.25">
      <c r="D588" t="s">
        <v>166</v>
      </c>
      <c r="E588">
        <v>350</v>
      </c>
    </row>
    <row r="589" spans="4:5" x14ac:dyDescent="0.25">
      <c r="D589" t="s">
        <v>161</v>
      </c>
      <c r="E589">
        <v>61.875</v>
      </c>
    </row>
    <row r="590" spans="4:5" x14ac:dyDescent="0.25">
      <c r="D590" t="s">
        <v>264</v>
      </c>
    </row>
    <row r="595" spans="2:5" x14ac:dyDescent="0.25">
      <c r="B595" t="s">
        <v>150</v>
      </c>
    </row>
    <row r="596" spans="2:5" x14ac:dyDescent="0.25">
      <c r="B596" t="s">
        <v>265</v>
      </c>
    </row>
    <row r="597" spans="2:5" x14ac:dyDescent="0.25">
      <c r="B597" t="s">
        <v>266</v>
      </c>
    </row>
    <row r="598" spans="2:5" x14ac:dyDescent="0.25">
      <c r="B598" t="s">
        <v>267</v>
      </c>
    </row>
    <row r="599" spans="2:5" x14ac:dyDescent="0.25">
      <c r="B599" t="s">
        <v>154</v>
      </c>
    </row>
    <row r="600" spans="2:5" x14ac:dyDescent="0.25">
      <c r="B600" t="s">
        <v>155</v>
      </c>
    </row>
    <row r="601" spans="2:5" x14ac:dyDescent="0.25">
      <c r="B601" t="s">
        <v>156</v>
      </c>
    </row>
    <row r="602" spans="2:5" x14ac:dyDescent="0.25">
      <c r="B602" t="s">
        <v>232</v>
      </c>
    </row>
    <row r="604" spans="2:5" x14ac:dyDescent="0.25">
      <c r="D604" t="s">
        <v>409</v>
      </c>
    </row>
    <row r="605" spans="2:5" x14ac:dyDescent="0.25">
      <c r="D605" t="s">
        <v>410</v>
      </c>
    </row>
    <row r="606" spans="2:5" x14ac:dyDescent="0.25">
      <c r="D606" t="s">
        <v>311</v>
      </c>
      <c r="E606" t="s">
        <v>435</v>
      </c>
    </row>
    <row r="607" spans="2:5" x14ac:dyDescent="0.25">
      <c r="D607" t="s">
        <v>436</v>
      </c>
    </row>
    <row r="608" spans="2:5" x14ac:dyDescent="0.25">
      <c r="C608" t="s">
        <v>149</v>
      </c>
    </row>
    <row r="610" spans="4:6" x14ac:dyDescent="0.25">
      <c r="D610" t="s">
        <v>172</v>
      </c>
    </row>
    <row r="611" spans="4:6" x14ac:dyDescent="0.25">
      <c r="D611" t="s">
        <v>316</v>
      </c>
    </row>
    <row r="612" spans="4:6" x14ac:dyDescent="0.25">
      <c r="D612" t="s">
        <v>173</v>
      </c>
      <c r="E612" t="s">
        <v>174</v>
      </c>
      <c r="F612" t="s">
        <v>174</v>
      </c>
    </row>
    <row r="613" spans="4:6" x14ac:dyDescent="0.25">
      <c r="D613" t="s">
        <v>175</v>
      </c>
      <c r="E613">
        <v>10</v>
      </c>
      <c r="F613">
        <v>11</v>
      </c>
    </row>
    <row r="614" spans="4:6" x14ac:dyDescent="0.25">
      <c r="D614" t="s">
        <v>176</v>
      </c>
      <c r="E614" t="s">
        <v>142</v>
      </c>
      <c r="F614" t="s">
        <v>142</v>
      </c>
    </row>
    <row r="615" spans="4:6" x14ac:dyDescent="0.25">
      <c r="D615" t="s">
        <v>177</v>
      </c>
      <c r="E615">
        <v>10</v>
      </c>
      <c r="F615">
        <v>11</v>
      </c>
    </row>
    <row r="616" spans="4:6" x14ac:dyDescent="0.25">
      <c r="D616" t="s">
        <v>178</v>
      </c>
      <c r="E616">
        <v>150</v>
      </c>
      <c r="F616">
        <v>150</v>
      </c>
    </row>
    <row r="617" spans="4:6" x14ac:dyDescent="0.25">
      <c r="D617" t="s">
        <v>179</v>
      </c>
      <c r="E617">
        <v>0</v>
      </c>
      <c r="F617">
        <v>0</v>
      </c>
    </row>
    <row r="618" spans="4:6" x14ac:dyDescent="0.25">
      <c r="D618" t="s">
        <v>180</v>
      </c>
      <c r="E618">
        <v>0</v>
      </c>
      <c r="F618">
        <v>0</v>
      </c>
    </row>
    <row r="619" spans="4:6" x14ac:dyDescent="0.25">
      <c r="D619" t="s">
        <v>181</v>
      </c>
      <c r="E619" t="s">
        <v>182</v>
      </c>
      <c r="F619" t="s">
        <v>182</v>
      </c>
    </row>
    <row r="620" spans="4:6" x14ac:dyDescent="0.25">
      <c r="D620" t="s">
        <v>268</v>
      </c>
    </row>
    <row r="622" spans="4:6" x14ac:dyDescent="0.25">
      <c r="D622" t="s">
        <v>159</v>
      </c>
    </row>
    <row r="623" spans="4:6" x14ac:dyDescent="0.25">
      <c r="D623" t="s">
        <v>160</v>
      </c>
    </row>
    <row r="624" spans="4:6" x14ac:dyDescent="0.25">
      <c r="D624" t="s">
        <v>161</v>
      </c>
      <c r="E624">
        <v>300</v>
      </c>
    </row>
    <row r="625" spans="2:5" x14ac:dyDescent="0.25">
      <c r="D625" t="s">
        <v>269</v>
      </c>
    </row>
    <row r="627" spans="2:5" x14ac:dyDescent="0.25">
      <c r="D627" t="s">
        <v>159</v>
      </c>
    </row>
    <row r="628" spans="2:5" x14ac:dyDescent="0.25">
      <c r="D628" t="s">
        <v>163</v>
      </c>
    </row>
    <row r="629" spans="2:5" x14ac:dyDescent="0.25">
      <c r="D629" t="s">
        <v>270</v>
      </c>
    </row>
    <row r="631" spans="2:5" x14ac:dyDescent="0.25">
      <c r="D631" t="s">
        <v>165</v>
      </c>
    </row>
    <row r="632" spans="2:5" x14ac:dyDescent="0.25">
      <c r="D632" t="s">
        <v>160</v>
      </c>
    </row>
    <row r="633" spans="2:5" x14ac:dyDescent="0.25">
      <c r="D633" t="s">
        <v>166</v>
      </c>
      <c r="E633">
        <v>350</v>
      </c>
    </row>
    <row r="634" spans="2:5" x14ac:dyDescent="0.25">
      <c r="D634" t="s">
        <v>161</v>
      </c>
      <c r="E634">
        <v>61.875</v>
      </c>
    </row>
    <row r="635" spans="2:5" x14ac:dyDescent="0.25">
      <c r="D635" t="s">
        <v>271</v>
      </c>
    </row>
    <row r="640" spans="2:5" x14ac:dyDescent="0.25">
      <c r="B640" t="s">
        <v>145</v>
      </c>
    </row>
    <row r="641" spans="2:3" x14ac:dyDescent="0.25">
      <c r="B641" t="s">
        <v>272</v>
      </c>
    </row>
    <row r="642" spans="2:3" x14ac:dyDescent="0.25">
      <c r="B642" t="s">
        <v>273</v>
      </c>
    </row>
    <row r="643" spans="2:3" x14ac:dyDescent="0.25">
      <c r="B643" t="s">
        <v>148</v>
      </c>
    </row>
    <row r="645" spans="2:3" x14ac:dyDescent="0.25">
      <c r="C645" t="s">
        <v>149</v>
      </c>
    </row>
    <row r="650" spans="2:3" x14ac:dyDescent="0.25">
      <c r="B650" t="s">
        <v>274</v>
      </c>
    </row>
    <row r="651" spans="2:3" x14ac:dyDescent="0.25">
      <c r="B651" t="s">
        <v>275</v>
      </c>
    </row>
    <row r="652" spans="2:3" x14ac:dyDescent="0.25">
      <c r="B652" t="s">
        <v>276</v>
      </c>
    </row>
    <row r="653" spans="2:3" x14ac:dyDescent="0.25">
      <c r="B653" t="s">
        <v>277</v>
      </c>
    </row>
    <row r="654" spans="2:3" x14ac:dyDescent="0.25">
      <c r="B654" t="s">
        <v>278</v>
      </c>
    </row>
    <row r="655" spans="2:3" x14ac:dyDescent="0.25">
      <c r="B655" t="s">
        <v>279</v>
      </c>
    </row>
    <row r="656" spans="2:3" x14ac:dyDescent="0.25">
      <c r="B656" t="s">
        <v>280</v>
      </c>
    </row>
    <row r="658" spans="3:6" x14ac:dyDescent="0.25">
      <c r="D658" t="s">
        <v>409</v>
      </c>
    </row>
    <row r="659" spans="3:6" x14ac:dyDescent="0.25">
      <c r="D659" t="s">
        <v>410</v>
      </c>
    </row>
    <row r="660" spans="3:6" x14ac:dyDescent="0.25">
      <c r="D660" t="s">
        <v>311</v>
      </c>
      <c r="E660" t="s">
        <v>437</v>
      </c>
    </row>
    <row r="661" spans="3:6" x14ac:dyDescent="0.25">
      <c r="D661" t="s">
        <v>438</v>
      </c>
    </row>
    <row r="662" spans="3:6" x14ac:dyDescent="0.25">
      <c r="C662" t="s">
        <v>149</v>
      </c>
    </row>
    <row r="664" spans="3:6" x14ac:dyDescent="0.25">
      <c r="D664" t="s">
        <v>172</v>
      </c>
    </row>
    <row r="665" spans="3:6" x14ac:dyDescent="0.25">
      <c r="D665" t="s">
        <v>316</v>
      </c>
    </row>
    <row r="666" spans="3:6" x14ac:dyDescent="0.25">
      <c r="D666" t="s">
        <v>173</v>
      </c>
      <c r="E666" t="s">
        <v>136</v>
      </c>
      <c r="F666" t="s">
        <v>136</v>
      </c>
    </row>
    <row r="667" spans="3:6" x14ac:dyDescent="0.25">
      <c r="D667" t="s">
        <v>175</v>
      </c>
      <c r="E667">
        <v>10</v>
      </c>
      <c r="F667">
        <v>11</v>
      </c>
    </row>
    <row r="668" spans="3:6" x14ac:dyDescent="0.25">
      <c r="D668" t="s">
        <v>176</v>
      </c>
      <c r="E668" t="s">
        <v>143</v>
      </c>
      <c r="F668" t="s">
        <v>143</v>
      </c>
    </row>
    <row r="669" spans="3:6" x14ac:dyDescent="0.25">
      <c r="D669" t="s">
        <v>177</v>
      </c>
      <c r="E669">
        <v>10</v>
      </c>
      <c r="F669">
        <v>11</v>
      </c>
    </row>
    <row r="670" spans="3:6" x14ac:dyDescent="0.25">
      <c r="D670" t="s">
        <v>178</v>
      </c>
      <c r="E670">
        <v>6.3</v>
      </c>
      <c r="F670">
        <v>6.3</v>
      </c>
    </row>
    <row r="671" spans="3:6" x14ac:dyDescent="0.25">
      <c r="D671" t="s">
        <v>179</v>
      </c>
      <c r="E671">
        <v>0</v>
      </c>
      <c r="F671">
        <v>0</v>
      </c>
    </row>
    <row r="672" spans="3:6" x14ac:dyDescent="0.25">
      <c r="D672" t="s">
        <v>180</v>
      </c>
      <c r="E672">
        <v>0</v>
      </c>
      <c r="F672">
        <v>0</v>
      </c>
    </row>
    <row r="673" spans="2:6" x14ac:dyDescent="0.25">
      <c r="D673" t="s">
        <v>181</v>
      </c>
      <c r="E673" t="s">
        <v>40</v>
      </c>
      <c r="F673" t="s">
        <v>40</v>
      </c>
    </row>
    <row r="674" spans="2:6" x14ac:dyDescent="0.25">
      <c r="D674" t="s">
        <v>281</v>
      </c>
    </row>
    <row r="679" spans="2:6" x14ac:dyDescent="0.25">
      <c r="B679" t="s">
        <v>150</v>
      </c>
    </row>
    <row r="680" spans="2:6" x14ac:dyDescent="0.25">
      <c r="B680" t="s">
        <v>282</v>
      </c>
    </row>
    <row r="681" spans="2:6" x14ac:dyDescent="0.25">
      <c r="B681" t="s">
        <v>283</v>
      </c>
    </row>
    <row r="682" spans="2:6" x14ac:dyDescent="0.25">
      <c r="B682" t="s">
        <v>284</v>
      </c>
    </row>
    <row r="683" spans="2:6" x14ac:dyDescent="0.25">
      <c r="B683" t="s">
        <v>154</v>
      </c>
    </row>
    <row r="684" spans="2:6" x14ac:dyDescent="0.25">
      <c r="B684" t="s">
        <v>155</v>
      </c>
    </row>
    <row r="685" spans="2:6" x14ac:dyDescent="0.25">
      <c r="B685" t="s">
        <v>156</v>
      </c>
    </row>
    <row r="686" spans="2:6" x14ac:dyDescent="0.25">
      <c r="B686" t="s">
        <v>232</v>
      </c>
    </row>
    <row r="688" spans="2:6" x14ac:dyDescent="0.25">
      <c r="D688" t="s">
        <v>409</v>
      </c>
    </row>
    <row r="689" spans="3:6" x14ac:dyDescent="0.25">
      <c r="D689" t="s">
        <v>410</v>
      </c>
    </row>
    <row r="690" spans="3:6" x14ac:dyDescent="0.25">
      <c r="D690" t="s">
        <v>311</v>
      </c>
      <c r="E690" t="s">
        <v>439</v>
      </c>
    </row>
    <row r="691" spans="3:6" x14ac:dyDescent="0.25">
      <c r="D691" t="s">
        <v>440</v>
      </c>
    </row>
    <row r="692" spans="3:6" x14ac:dyDescent="0.25">
      <c r="C692" t="s">
        <v>149</v>
      </c>
    </row>
    <row r="694" spans="3:6" x14ac:dyDescent="0.25">
      <c r="D694" t="s">
        <v>172</v>
      </c>
    </row>
    <row r="695" spans="3:6" x14ac:dyDescent="0.25">
      <c r="D695" t="s">
        <v>316</v>
      </c>
    </row>
    <row r="696" spans="3:6" x14ac:dyDescent="0.25">
      <c r="D696" t="s">
        <v>173</v>
      </c>
      <c r="E696" t="s">
        <v>174</v>
      </c>
      <c r="F696" t="s">
        <v>174</v>
      </c>
    </row>
    <row r="697" spans="3:6" x14ac:dyDescent="0.25">
      <c r="D697" t="s">
        <v>175</v>
      </c>
      <c r="E697">
        <v>10</v>
      </c>
      <c r="F697">
        <v>11</v>
      </c>
    </row>
    <row r="698" spans="3:6" x14ac:dyDescent="0.25">
      <c r="D698" t="s">
        <v>176</v>
      </c>
      <c r="E698" t="s">
        <v>144</v>
      </c>
      <c r="F698" t="s">
        <v>144</v>
      </c>
    </row>
    <row r="699" spans="3:6" x14ac:dyDescent="0.25">
      <c r="D699" t="s">
        <v>177</v>
      </c>
      <c r="E699">
        <v>10</v>
      </c>
      <c r="F699">
        <v>11</v>
      </c>
    </row>
    <row r="700" spans="3:6" x14ac:dyDescent="0.25">
      <c r="D700" t="s">
        <v>178</v>
      </c>
      <c r="E700">
        <v>150</v>
      </c>
      <c r="F700">
        <v>150</v>
      </c>
    </row>
    <row r="701" spans="3:6" x14ac:dyDescent="0.25">
      <c r="D701" t="s">
        <v>179</v>
      </c>
      <c r="E701">
        <v>0</v>
      </c>
      <c r="F701">
        <v>0</v>
      </c>
    </row>
    <row r="702" spans="3:6" x14ac:dyDescent="0.25">
      <c r="D702" t="s">
        <v>180</v>
      </c>
      <c r="E702">
        <v>0</v>
      </c>
      <c r="F702">
        <v>0</v>
      </c>
    </row>
    <row r="703" spans="3:6" x14ac:dyDescent="0.25">
      <c r="D703" t="s">
        <v>181</v>
      </c>
      <c r="E703" t="s">
        <v>182</v>
      </c>
      <c r="F703" t="s">
        <v>182</v>
      </c>
    </row>
    <row r="704" spans="3:6" x14ac:dyDescent="0.25">
      <c r="D704" t="s">
        <v>285</v>
      </c>
    </row>
    <row r="706" spans="4:5" x14ac:dyDescent="0.25">
      <c r="D706" t="s">
        <v>159</v>
      </c>
    </row>
    <row r="707" spans="4:5" x14ac:dyDescent="0.25">
      <c r="D707" t="s">
        <v>160</v>
      </c>
    </row>
    <row r="708" spans="4:5" x14ac:dyDescent="0.25">
      <c r="D708" t="s">
        <v>161</v>
      </c>
      <c r="E708">
        <v>300</v>
      </c>
    </row>
    <row r="709" spans="4:5" x14ac:dyDescent="0.25">
      <c r="D709" t="s">
        <v>286</v>
      </c>
    </row>
    <row r="711" spans="4:5" x14ac:dyDescent="0.25">
      <c r="D711" t="s">
        <v>159</v>
      </c>
    </row>
    <row r="712" spans="4:5" x14ac:dyDescent="0.25">
      <c r="D712" t="s">
        <v>163</v>
      </c>
    </row>
    <row r="713" spans="4:5" x14ac:dyDescent="0.25">
      <c r="D713" t="s">
        <v>287</v>
      </c>
    </row>
    <row r="715" spans="4:5" x14ac:dyDescent="0.25">
      <c r="D715" t="s">
        <v>165</v>
      </c>
    </row>
    <row r="716" spans="4:5" x14ac:dyDescent="0.25">
      <c r="D716" t="s">
        <v>160</v>
      </c>
    </row>
    <row r="717" spans="4:5" x14ac:dyDescent="0.25">
      <c r="D717" t="s">
        <v>166</v>
      </c>
      <c r="E717">
        <v>350</v>
      </c>
    </row>
    <row r="718" spans="4:5" x14ac:dyDescent="0.25">
      <c r="D718" t="s">
        <v>161</v>
      </c>
      <c r="E718">
        <v>61.875</v>
      </c>
    </row>
    <row r="719" spans="4:5" x14ac:dyDescent="0.25">
      <c r="D719" t="s">
        <v>288</v>
      </c>
    </row>
    <row r="724" spans="2:5" x14ac:dyDescent="0.25">
      <c r="B724" t="s">
        <v>150</v>
      </c>
    </row>
    <row r="725" spans="2:5" x14ac:dyDescent="0.25">
      <c r="B725" t="s">
        <v>289</v>
      </c>
    </row>
    <row r="726" spans="2:5" x14ac:dyDescent="0.25">
      <c r="B726" t="s">
        <v>290</v>
      </c>
    </row>
    <row r="727" spans="2:5" x14ac:dyDescent="0.25">
      <c r="B727" t="s">
        <v>291</v>
      </c>
    </row>
    <row r="728" spans="2:5" x14ac:dyDescent="0.25">
      <c r="B728" t="s">
        <v>154</v>
      </c>
    </row>
    <row r="729" spans="2:5" x14ac:dyDescent="0.25">
      <c r="B729" t="s">
        <v>155</v>
      </c>
    </row>
    <row r="730" spans="2:5" x14ac:dyDescent="0.25">
      <c r="B730" t="s">
        <v>156</v>
      </c>
    </row>
    <row r="731" spans="2:5" x14ac:dyDescent="0.25">
      <c r="B731" t="s">
        <v>232</v>
      </c>
    </row>
    <row r="733" spans="2:5" x14ac:dyDescent="0.25">
      <c r="D733" t="s">
        <v>409</v>
      </c>
    </row>
    <row r="734" spans="2:5" x14ac:dyDescent="0.25">
      <c r="D734" t="s">
        <v>410</v>
      </c>
    </row>
    <row r="735" spans="2:5" x14ac:dyDescent="0.25">
      <c r="D735" t="s">
        <v>311</v>
      </c>
      <c r="E735" t="s">
        <v>441</v>
      </c>
    </row>
    <row r="736" spans="2:5" x14ac:dyDescent="0.25">
      <c r="D736" t="s">
        <v>442</v>
      </c>
    </row>
    <row r="737" spans="3:6" x14ac:dyDescent="0.25">
      <c r="C737" t="s">
        <v>149</v>
      </c>
    </row>
    <row r="739" spans="3:6" x14ac:dyDescent="0.25">
      <c r="D739" t="s">
        <v>172</v>
      </c>
    </row>
    <row r="740" spans="3:6" x14ac:dyDescent="0.25">
      <c r="D740" t="s">
        <v>316</v>
      </c>
    </row>
    <row r="741" spans="3:6" x14ac:dyDescent="0.25">
      <c r="D741" t="s">
        <v>173</v>
      </c>
      <c r="E741" t="s">
        <v>174</v>
      </c>
      <c r="F741" t="s">
        <v>174</v>
      </c>
    </row>
    <row r="742" spans="3:6" x14ac:dyDescent="0.25">
      <c r="D742" t="s">
        <v>175</v>
      </c>
      <c r="E742">
        <v>10</v>
      </c>
      <c r="F742">
        <v>11</v>
      </c>
    </row>
    <row r="743" spans="3:6" x14ac:dyDescent="0.25">
      <c r="D743" t="s">
        <v>176</v>
      </c>
      <c r="E743" t="s">
        <v>144</v>
      </c>
      <c r="F743" t="s">
        <v>144</v>
      </c>
    </row>
    <row r="744" spans="3:6" x14ac:dyDescent="0.25">
      <c r="D744" t="s">
        <v>177</v>
      </c>
      <c r="E744">
        <v>10</v>
      </c>
      <c r="F744">
        <v>11</v>
      </c>
    </row>
    <row r="745" spans="3:6" x14ac:dyDescent="0.25">
      <c r="D745" t="s">
        <v>178</v>
      </c>
      <c r="E745">
        <v>150</v>
      </c>
      <c r="F745">
        <v>150</v>
      </c>
    </row>
    <row r="746" spans="3:6" x14ac:dyDescent="0.25">
      <c r="D746" t="s">
        <v>179</v>
      </c>
      <c r="E746">
        <v>0</v>
      </c>
      <c r="F746">
        <v>0</v>
      </c>
    </row>
    <row r="747" spans="3:6" x14ac:dyDescent="0.25">
      <c r="D747" t="s">
        <v>180</v>
      </c>
      <c r="E747">
        <v>0</v>
      </c>
      <c r="F747">
        <v>0</v>
      </c>
    </row>
    <row r="748" spans="3:6" x14ac:dyDescent="0.25">
      <c r="D748" t="s">
        <v>181</v>
      </c>
      <c r="E748" t="s">
        <v>182</v>
      </c>
      <c r="F748" t="s">
        <v>182</v>
      </c>
    </row>
    <row r="749" spans="3:6" x14ac:dyDescent="0.25">
      <c r="D749" t="s">
        <v>292</v>
      </c>
    </row>
    <row r="751" spans="3:6" x14ac:dyDescent="0.25">
      <c r="D751" t="s">
        <v>159</v>
      </c>
    </row>
    <row r="752" spans="3:6" x14ac:dyDescent="0.25">
      <c r="D752" t="s">
        <v>160</v>
      </c>
    </row>
    <row r="753" spans="4:5" x14ac:dyDescent="0.25">
      <c r="D753" t="s">
        <v>161</v>
      </c>
      <c r="E753">
        <v>300</v>
      </c>
    </row>
    <row r="754" spans="4:5" x14ac:dyDescent="0.25">
      <c r="D754" t="s">
        <v>293</v>
      </c>
    </row>
    <row r="756" spans="4:5" x14ac:dyDescent="0.25">
      <c r="D756" t="s">
        <v>159</v>
      </c>
    </row>
    <row r="757" spans="4:5" x14ac:dyDescent="0.25">
      <c r="D757" t="s">
        <v>163</v>
      </c>
    </row>
    <row r="758" spans="4:5" x14ac:dyDescent="0.25">
      <c r="D758" t="s">
        <v>294</v>
      </c>
    </row>
    <row r="760" spans="4:5" x14ac:dyDescent="0.25">
      <c r="D760" t="s">
        <v>165</v>
      </c>
    </row>
    <row r="761" spans="4:5" x14ac:dyDescent="0.25">
      <c r="D761" t="s">
        <v>160</v>
      </c>
    </row>
    <row r="762" spans="4:5" x14ac:dyDescent="0.25">
      <c r="D762" t="s">
        <v>166</v>
      </c>
      <c r="E762">
        <v>350</v>
      </c>
    </row>
    <row r="763" spans="4:5" x14ac:dyDescent="0.25">
      <c r="D763" t="s">
        <v>161</v>
      </c>
      <c r="E763">
        <v>61.875</v>
      </c>
    </row>
    <row r="764" spans="4:5" x14ac:dyDescent="0.25">
      <c r="D764" t="s">
        <v>295</v>
      </c>
    </row>
    <row r="769" spans="2:5" x14ac:dyDescent="0.25">
      <c r="B769" t="s">
        <v>150</v>
      </c>
    </row>
    <row r="770" spans="2:5" x14ac:dyDescent="0.25">
      <c r="B770" t="s">
        <v>296</v>
      </c>
    </row>
    <row r="771" spans="2:5" x14ac:dyDescent="0.25">
      <c r="B771" t="s">
        <v>297</v>
      </c>
    </row>
    <row r="772" spans="2:5" x14ac:dyDescent="0.25">
      <c r="B772" t="s">
        <v>298</v>
      </c>
    </row>
    <row r="773" spans="2:5" x14ac:dyDescent="0.25">
      <c r="B773" t="s">
        <v>154</v>
      </c>
    </row>
    <row r="774" spans="2:5" x14ac:dyDescent="0.25">
      <c r="B774" t="s">
        <v>155</v>
      </c>
    </row>
    <row r="775" spans="2:5" x14ac:dyDescent="0.25">
      <c r="B775" t="s">
        <v>156</v>
      </c>
    </row>
    <row r="776" spans="2:5" x14ac:dyDescent="0.25">
      <c r="B776" t="s">
        <v>232</v>
      </c>
    </row>
    <row r="778" spans="2:5" x14ac:dyDescent="0.25">
      <c r="D778" t="s">
        <v>409</v>
      </c>
    </row>
    <row r="779" spans="2:5" x14ac:dyDescent="0.25">
      <c r="D779" t="s">
        <v>410</v>
      </c>
    </row>
    <row r="780" spans="2:5" x14ac:dyDescent="0.25">
      <c r="D780" t="s">
        <v>311</v>
      </c>
      <c r="E780" t="s">
        <v>443</v>
      </c>
    </row>
    <row r="781" spans="2:5" x14ac:dyDescent="0.25">
      <c r="D781" t="s">
        <v>444</v>
      </c>
    </row>
    <row r="782" spans="2:5" x14ac:dyDescent="0.25">
      <c r="C782" t="s">
        <v>149</v>
      </c>
    </row>
    <row r="784" spans="2:5" x14ac:dyDescent="0.25">
      <c r="D784" t="s">
        <v>172</v>
      </c>
    </row>
    <row r="785" spans="4:6" x14ac:dyDescent="0.25">
      <c r="D785" t="s">
        <v>316</v>
      </c>
    </row>
    <row r="786" spans="4:6" x14ac:dyDescent="0.25">
      <c r="D786" t="s">
        <v>173</v>
      </c>
      <c r="E786" t="s">
        <v>174</v>
      </c>
      <c r="F786" t="s">
        <v>174</v>
      </c>
    </row>
    <row r="787" spans="4:6" x14ac:dyDescent="0.25">
      <c r="D787" t="s">
        <v>175</v>
      </c>
      <c r="E787">
        <v>10</v>
      </c>
      <c r="F787">
        <v>11</v>
      </c>
    </row>
    <row r="788" spans="4:6" x14ac:dyDescent="0.25">
      <c r="D788" t="s">
        <v>176</v>
      </c>
      <c r="E788" t="s">
        <v>144</v>
      </c>
      <c r="F788" t="s">
        <v>144</v>
      </c>
    </row>
    <row r="789" spans="4:6" x14ac:dyDescent="0.25">
      <c r="D789" t="s">
        <v>177</v>
      </c>
      <c r="E789">
        <v>10</v>
      </c>
      <c r="F789">
        <v>11</v>
      </c>
    </row>
    <row r="790" spans="4:6" x14ac:dyDescent="0.25">
      <c r="D790" t="s">
        <v>178</v>
      </c>
      <c r="E790">
        <v>150</v>
      </c>
      <c r="F790">
        <v>150</v>
      </c>
    </row>
    <row r="791" spans="4:6" x14ac:dyDescent="0.25">
      <c r="D791" t="s">
        <v>179</v>
      </c>
      <c r="E791">
        <v>0</v>
      </c>
      <c r="F791">
        <v>0</v>
      </c>
    </row>
    <row r="792" spans="4:6" x14ac:dyDescent="0.25">
      <c r="D792" t="s">
        <v>180</v>
      </c>
      <c r="E792">
        <v>0</v>
      </c>
      <c r="F792">
        <v>0</v>
      </c>
    </row>
    <row r="793" spans="4:6" x14ac:dyDescent="0.25">
      <c r="D793" t="s">
        <v>181</v>
      </c>
      <c r="E793" t="s">
        <v>182</v>
      </c>
      <c r="F793" t="s">
        <v>182</v>
      </c>
    </row>
    <row r="794" spans="4:6" x14ac:dyDescent="0.25">
      <c r="D794" t="s">
        <v>299</v>
      </c>
    </row>
    <row r="796" spans="4:6" x14ac:dyDescent="0.25">
      <c r="D796" t="s">
        <v>159</v>
      </c>
    </row>
    <row r="797" spans="4:6" x14ac:dyDescent="0.25">
      <c r="D797" t="s">
        <v>160</v>
      </c>
    </row>
    <row r="798" spans="4:6" x14ac:dyDescent="0.25">
      <c r="D798" t="s">
        <v>161</v>
      </c>
      <c r="E798">
        <v>300</v>
      </c>
    </row>
    <row r="799" spans="4:6" x14ac:dyDescent="0.25">
      <c r="D799" t="s">
        <v>300</v>
      </c>
    </row>
    <row r="801" spans="2:5" x14ac:dyDescent="0.25">
      <c r="D801" t="s">
        <v>159</v>
      </c>
    </row>
    <row r="802" spans="2:5" x14ac:dyDescent="0.25">
      <c r="D802" t="s">
        <v>163</v>
      </c>
    </row>
    <row r="803" spans="2:5" x14ac:dyDescent="0.25">
      <c r="D803" t="s">
        <v>301</v>
      </c>
    </row>
    <row r="805" spans="2:5" x14ac:dyDescent="0.25">
      <c r="D805" t="s">
        <v>165</v>
      </c>
    </row>
    <row r="806" spans="2:5" x14ac:dyDescent="0.25">
      <c r="D806" t="s">
        <v>160</v>
      </c>
    </row>
    <row r="807" spans="2:5" x14ac:dyDescent="0.25">
      <c r="D807" t="s">
        <v>166</v>
      </c>
      <c r="E807">
        <v>350</v>
      </c>
    </row>
    <row r="808" spans="2:5" x14ac:dyDescent="0.25">
      <c r="D808" t="s">
        <v>161</v>
      </c>
      <c r="E808">
        <v>61.875</v>
      </c>
    </row>
    <row r="809" spans="2:5" x14ac:dyDescent="0.25">
      <c r="D809" t="s">
        <v>302</v>
      </c>
    </row>
    <row r="814" spans="2:5" x14ac:dyDescent="0.25">
      <c r="B814" t="s">
        <v>303</v>
      </c>
    </row>
    <row r="815" spans="2:5" x14ac:dyDescent="0.25">
      <c r="B815" t="s">
        <v>304</v>
      </c>
    </row>
    <row r="816" spans="2:5" x14ac:dyDescent="0.25">
      <c r="B816" t="s">
        <v>305</v>
      </c>
    </row>
    <row r="817" spans="2:5" x14ac:dyDescent="0.25">
      <c r="B817" t="s">
        <v>306</v>
      </c>
    </row>
    <row r="818" spans="2:5" x14ac:dyDescent="0.25">
      <c r="B818" t="s">
        <v>307</v>
      </c>
    </row>
    <row r="820" spans="2:5" x14ac:dyDescent="0.25">
      <c r="C820" t="s">
        <v>149</v>
      </c>
    </row>
    <row r="822" spans="2:5" x14ac:dyDescent="0.25">
      <c r="D822" t="s">
        <v>308</v>
      </c>
    </row>
    <row r="823" spans="2:5" x14ac:dyDescent="0.25">
      <c r="D823" t="s">
        <v>309</v>
      </c>
    </row>
    <row r="824" spans="2:5" x14ac:dyDescent="0.25">
      <c r="D824" t="s">
        <v>163</v>
      </c>
      <c r="E824" t="s">
        <v>39</v>
      </c>
    </row>
    <row r="825" spans="2:5" x14ac:dyDescent="0.25">
      <c r="D825" t="s">
        <v>310</v>
      </c>
      <c r="E825" t="s">
        <v>127</v>
      </c>
    </row>
    <row r="826" spans="2:5" x14ac:dyDescent="0.25">
      <c r="D826" t="s">
        <v>311</v>
      </c>
      <c r="E826" t="s">
        <v>128</v>
      </c>
    </row>
    <row r="827" spans="2:5" x14ac:dyDescent="0.25">
      <c r="D827" t="s">
        <v>312</v>
      </c>
    </row>
    <row r="832" spans="2:5" x14ac:dyDescent="0.25">
      <c r="B832" t="s">
        <v>313</v>
      </c>
    </row>
    <row r="833" spans="2:3" x14ac:dyDescent="0.25">
      <c r="B833" t="s">
        <v>314</v>
      </c>
    </row>
    <row r="835" spans="2:3" x14ac:dyDescent="0.25">
      <c r="C835" t="s">
        <v>315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6:F1407"/>
  <sheetViews>
    <sheetView workbookViewId="0"/>
  </sheetViews>
  <sheetFormatPr defaultRowHeight="15" x14ac:dyDescent="0.25"/>
  <sheetData>
    <row r="6" spans="2:3" x14ac:dyDescent="0.25">
      <c r="B6" t="s">
        <v>145</v>
      </c>
    </row>
    <row r="7" spans="2:3" x14ac:dyDescent="0.25">
      <c r="B7" t="s">
        <v>146</v>
      </c>
    </row>
    <row r="8" spans="2:3" x14ac:dyDescent="0.25">
      <c r="B8" t="s">
        <v>147</v>
      </c>
    </row>
    <row r="9" spans="2:3" x14ac:dyDescent="0.25">
      <c r="B9" t="s">
        <v>148</v>
      </c>
    </row>
    <row r="11" spans="2:3" x14ac:dyDescent="0.25">
      <c r="C11" t="s">
        <v>149</v>
      </c>
    </row>
    <row r="16" spans="2:3" x14ac:dyDescent="0.25">
      <c r="B16" t="s">
        <v>150</v>
      </c>
    </row>
    <row r="17" spans="2:5" x14ac:dyDescent="0.25">
      <c r="B17" t="s">
        <v>151</v>
      </c>
    </row>
    <row r="18" spans="2:5" x14ac:dyDescent="0.25">
      <c r="B18" t="s">
        <v>152</v>
      </c>
    </row>
    <row r="19" spans="2:5" x14ac:dyDescent="0.25">
      <c r="B19" t="s">
        <v>153</v>
      </c>
    </row>
    <row r="20" spans="2:5" x14ac:dyDescent="0.25">
      <c r="B20" t="s">
        <v>154</v>
      </c>
    </row>
    <row r="21" spans="2:5" x14ac:dyDescent="0.25">
      <c r="B21" t="s">
        <v>155</v>
      </c>
    </row>
    <row r="22" spans="2:5" x14ac:dyDescent="0.25">
      <c r="B22" t="s">
        <v>156</v>
      </c>
    </row>
    <row r="23" spans="2:5" x14ac:dyDescent="0.25">
      <c r="B23" t="s">
        <v>157</v>
      </c>
    </row>
    <row r="25" spans="2:5" x14ac:dyDescent="0.25">
      <c r="D25" t="s">
        <v>325</v>
      </c>
    </row>
    <row r="26" spans="2:5" x14ac:dyDescent="0.25">
      <c r="D26" t="s">
        <v>326</v>
      </c>
    </row>
    <row r="27" spans="2:5" x14ac:dyDescent="0.25">
      <c r="D27" t="s">
        <v>176</v>
      </c>
      <c r="E27" t="s">
        <v>327</v>
      </c>
    </row>
    <row r="28" spans="2:5" x14ac:dyDescent="0.25">
      <c r="D28" t="s">
        <v>173</v>
      </c>
      <c r="E28" t="s">
        <v>328</v>
      </c>
    </row>
    <row r="29" spans="2:5" x14ac:dyDescent="0.25">
      <c r="D29" t="s">
        <v>329</v>
      </c>
      <c r="E29">
        <v>85</v>
      </c>
    </row>
    <row r="30" spans="2:5" x14ac:dyDescent="0.25">
      <c r="D30" t="s">
        <v>330</v>
      </c>
      <c r="E30">
        <v>73</v>
      </c>
    </row>
    <row r="31" spans="2:5" x14ac:dyDescent="0.25">
      <c r="D31" t="s">
        <v>331</v>
      </c>
      <c r="E31">
        <v>0</v>
      </c>
    </row>
    <row r="32" spans="2:5" x14ac:dyDescent="0.25">
      <c r="D32" t="s">
        <v>332</v>
      </c>
      <c r="E32">
        <v>0</v>
      </c>
    </row>
    <row r="33" spans="3:5" x14ac:dyDescent="0.25">
      <c r="D33" t="s">
        <v>333</v>
      </c>
    </row>
    <row r="35" spans="3:5" x14ac:dyDescent="0.25">
      <c r="D35" t="s">
        <v>325</v>
      </c>
    </row>
    <row r="36" spans="3:5" x14ac:dyDescent="0.25">
      <c r="D36" t="s">
        <v>326</v>
      </c>
    </row>
    <row r="37" spans="3:5" x14ac:dyDescent="0.25">
      <c r="D37" t="s">
        <v>176</v>
      </c>
      <c r="E37" t="s">
        <v>334</v>
      </c>
    </row>
    <row r="38" spans="3:5" x14ac:dyDescent="0.25">
      <c r="D38" t="s">
        <v>173</v>
      </c>
      <c r="E38" t="s">
        <v>335</v>
      </c>
    </row>
    <row r="39" spans="3:5" x14ac:dyDescent="0.25">
      <c r="D39" t="s">
        <v>329</v>
      </c>
      <c r="E39">
        <v>97</v>
      </c>
    </row>
    <row r="40" spans="3:5" x14ac:dyDescent="0.25">
      <c r="D40" t="s">
        <v>330</v>
      </c>
      <c r="E40">
        <v>89</v>
      </c>
    </row>
    <row r="41" spans="3:5" x14ac:dyDescent="0.25">
      <c r="D41" t="s">
        <v>331</v>
      </c>
      <c r="E41">
        <v>1</v>
      </c>
    </row>
    <row r="42" spans="3:5" x14ac:dyDescent="0.25">
      <c r="D42" t="s">
        <v>332</v>
      </c>
      <c r="E42">
        <v>0</v>
      </c>
    </row>
    <row r="43" spans="3:5" x14ac:dyDescent="0.25">
      <c r="D43" t="s">
        <v>162</v>
      </c>
    </row>
    <row r="45" spans="3:5" x14ac:dyDescent="0.25">
      <c r="C45" t="s">
        <v>158</v>
      </c>
    </row>
    <row r="48" spans="3:5" x14ac:dyDescent="0.25">
      <c r="D48" t="s">
        <v>159</v>
      </c>
    </row>
    <row r="49" spans="4:5" x14ac:dyDescent="0.25">
      <c r="D49" t="s">
        <v>160</v>
      </c>
    </row>
    <row r="50" spans="4:5" x14ac:dyDescent="0.25">
      <c r="D50" t="s">
        <v>161</v>
      </c>
      <c r="E50">
        <v>300</v>
      </c>
    </row>
    <row r="51" spans="4:5" x14ac:dyDescent="0.25">
      <c r="D51" t="s">
        <v>167</v>
      </c>
    </row>
    <row r="53" spans="4:5" x14ac:dyDescent="0.25">
      <c r="D53" t="s">
        <v>159</v>
      </c>
    </row>
    <row r="54" spans="4:5" x14ac:dyDescent="0.25">
      <c r="D54" t="s">
        <v>163</v>
      </c>
    </row>
    <row r="55" spans="4:5" x14ac:dyDescent="0.25">
      <c r="D55" t="s">
        <v>336</v>
      </c>
    </row>
    <row r="57" spans="4:5" x14ac:dyDescent="0.25">
      <c r="D57" t="s">
        <v>165</v>
      </c>
    </row>
    <row r="58" spans="4:5" x14ac:dyDescent="0.25">
      <c r="D58" t="s">
        <v>160</v>
      </c>
    </row>
    <row r="59" spans="4:5" x14ac:dyDescent="0.25">
      <c r="D59" t="s">
        <v>166</v>
      </c>
      <c r="E59">
        <v>350</v>
      </c>
    </row>
    <row r="60" spans="4:5" x14ac:dyDescent="0.25">
      <c r="D60" t="s">
        <v>161</v>
      </c>
      <c r="E60">
        <v>330</v>
      </c>
    </row>
    <row r="61" spans="4:5" x14ac:dyDescent="0.25">
      <c r="D61" t="s">
        <v>337</v>
      </c>
    </row>
    <row r="63" spans="4:5" x14ac:dyDescent="0.25">
      <c r="D63" t="s">
        <v>325</v>
      </c>
    </row>
    <row r="64" spans="4:5" x14ac:dyDescent="0.25">
      <c r="D64" t="s">
        <v>326</v>
      </c>
    </row>
    <row r="65" spans="4:5" x14ac:dyDescent="0.25">
      <c r="D65" t="s">
        <v>176</v>
      </c>
      <c r="E65" t="s">
        <v>335</v>
      </c>
    </row>
    <row r="66" spans="4:5" x14ac:dyDescent="0.25">
      <c r="D66" t="s">
        <v>173</v>
      </c>
      <c r="E66" t="s">
        <v>334</v>
      </c>
    </row>
    <row r="67" spans="4:5" x14ac:dyDescent="0.25">
      <c r="D67" t="s">
        <v>329</v>
      </c>
      <c r="E67">
        <v>97</v>
      </c>
    </row>
    <row r="68" spans="4:5" x14ac:dyDescent="0.25">
      <c r="D68" t="s">
        <v>330</v>
      </c>
      <c r="E68">
        <v>89</v>
      </c>
    </row>
    <row r="69" spans="4:5" x14ac:dyDescent="0.25">
      <c r="D69" t="s">
        <v>331</v>
      </c>
      <c r="E69">
        <v>0</v>
      </c>
    </row>
    <row r="70" spans="4:5" x14ac:dyDescent="0.25">
      <c r="D70" t="s">
        <v>332</v>
      </c>
      <c r="E70">
        <v>0</v>
      </c>
    </row>
    <row r="71" spans="4:5" x14ac:dyDescent="0.25">
      <c r="D71" t="s">
        <v>338</v>
      </c>
    </row>
    <row r="73" spans="4:5" x14ac:dyDescent="0.25">
      <c r="D73" t="s">
        <v>325</v>
      </c>
    </row>
    <row r="74" spans="4:5" x14ac:dyDescent="0.25">
      <c r="D74" t="s">
        <v>326</v>
      </c>
    </row>
    <row r="75" spans="4:5" x14ac:dyDescent="0.25">
      <c r="D75" t="s">
        <v>176</v>
      </c>
      <c r="E75" t="s">
        <v>328</v>
      </c>
    </row>
    <row r="76" spans="4:5" x14ac:dyDescent="0.25">
      <c r="D76" t="s">
        <v>173</v>
      </c>
      <c r="E76" t="s">
        <v>327</v>
      </c>
    </row>
    <row r="77" spans="4:5" x14ac:dyDescent="0.25">
      <c r="D77" t="s">
        <v>329</v>
      </c>
      <c r="E77">
        <v>85</v>
      </c>
    </row>
    <row r="78" spans="4:5" x14ac:dyDescent="0.25">
      <c r="D78" t="s">
        <v>330</v>
      </c>
      <c r="E78">
        <v>73</v>
      </c>
    </row>
    <row r="79" spans="4:5" x14ac:dyDescent="0.25">
      <c r="D79" t="s">
        <v>331</v>
      </c>
      <c r="E79">
        <v>1</v>
      </c>
    </row>
    <row r="80" spans="4:5" x14ac:dyDescent="0.25">
      <c r="D80" t="s">
        <v>332</v>
      </c>
      <c r="E80">
        <v>1</v>
      </c>
    </row>
    <row r="81" spans="2:4" x14ac:dyDescent="0.25">
      <c r="D81" t="s">
        <v>339</v>
      </c>
    </row>
    <row r="86" spans="2:4" x14ac:dyDescent="0.25">
      <c r="B86" t="s">
        <v>150</v>
      </c>
    </row>
    <row r="87" spans="2:4" x14ac:dyDescent="0.25">
      <c r="B87" t="s">
        <v>168</v>
      </c>
    </row>
    <row r="88" spans="2:4" x14ac:dyDescent="0.25">
      <c r="B88" t="s">
        <v>169</v>
      </c>
    </row>
    <row r="89" spans="2:4" x14ac:dyDescent="0.25">
      <c r="B89" t="s">
        <v>170</v>
      </c>
    </row>
    <row r="90" spans="2:4" x14ac:dyDescent="0.25">
      <c r="B90" t="s">
        <v>154</v>
      </c>
    </row>
    <row r="91" spans="2:4" x14ac:dyDescent="0.25">
      <c r="B91" t="s">
        <v>155</v>
      </c>
    </row>
    <row r="92" spans="2:4" x14ac:dyDescent="0.25">
      <c r="B92" t="s">
        <v>156</v>
      </c>
    </row>
    <row r="93" spans="2:4" x14ac:dyDescent="0.25">
      <c r="B93" t="s">
        <v>171</v>
      </c>
    </row>
    <row r="95" spans="2:4" x14ac:dyDescent="0.25">
      <c r="D95" t="s">
        <v>325</v>
      </c>
    </row>
    <row r="96" spans="2:4" x14ac:dyDescent="0.25">
      <c r="D96" t="s">
        <v>326</v>
      </c>
    </row>
    <row r="97" spans="4:5" x14ac:dyDescent="0.25">
      <c r="D97" t="s">
        <v>176</v>
      </c>
      <c r="E97" t="s">
        <v>327</v>
      </c>
    </row>
    <row r="98" spans="4:5" x14ac:dyDescent="0.25">
      <c r="D98" t="s">
        <v>173</v>
      </c>
      <c r="E98" t="s">
        <v>328</v>
      </c>
    </row>
    <row r="99" spans="4:5" x14ac:dyDescent="0.25">
      <c r="D99" t="s">
        <v>329</v>
      </c>
      <c r="E99">
        <v>85</v>
      </c>
    </row>
    <row r="100" spans="4:5" x14ac:dyDescent="0.25">
      <c r="D100" t="s">
        <v>330</v>
      </c>
      <c r="E100">
        <v>73</v>
      </c>
    </row>
    <row r="101" spans="4:5" x14ac:dyDescent="0.25">
      <c r="D101" t="s">
        <v>331</v>
      </c>
      <c r="E101">
        <v>0</v>
      </c>
    </row>
    <row r="102" spans="4:5" x14ac:dyDescent="0.25">
      <c r="D102" t="s">
        <v>332</v>
      </c>
      <c r="E102">
        <v>0</v>
      </c>
    </row>
    <row r="103" spans="4:5" x14ac:dyDescent="0.25">
      <c r="D103" t="s">
        <v>183</v>
      </c>
    </row>
    <row r="105" spans="4:5" x14ac:dyDescent="0.25">
      <c r="D105" t="s">
        <v>325</v>
      </c>
    </row>
    <row r="106" spans="4:5" x14ac:dyDescent="0.25">
      <c r="D106" t="s">
        <v>326</v>
      </c>
    </row>
    <row r="107" spans="4:5" x14ac:dyDescent="0.25">
      <c r="D107" t="s">
        <v>176</v>
      </c>
      <c r="E107" t="s">
        <v>334</v>
      </c>
    </row>
    <row r="108" spans="4:5" x14ac:dyDescent="0.25">
      <c r="D108" t="s">
        <v>173</v>
      </c>
      <c r="E108" t="s">
        <v>335</v>
      </c>
    </row>
    <row r="109" spans="4:5" x14ac:dyDescent="0.25">
      <c r="D109" t="s">
        <v>329</v>
      </c>
      <c r="E109">
        <v>97</v>
      </c>
    </row>
    <row r="110" spans="4:5" x14ac:dyDescent="0.25">
      <c r="D110" t="s">
        <v>330</v>
      </c>
      <c r="E110">
        <v>89</v>
      </c>
    </row>
    <row r="111" spans="4:5" x14ac:dyDescent="0.25">
      <c r="D111" t="s">
        <v>331</v>
      </c>
      <c r="E111">
        <v>1</v>
      </c>
    </row>
    <row r="112" spans="4:5" x14ac:dyDescent="0.25">
      <c r="D112" t="s">
        <v>332</v>
      </c>
      <c r="E112">
        <v>0</v>
      </c>
    </row>
    <row r="113" spans="3:6" x14ac:dyDescent="0.25">
      <c r="D113" t="s">
        <v>184</v>
      </c>
    </row>
    <row r="115" spans="3:6" x14ac:dyDescent="0.25">
      <c r="C115" t="s">
        <v>149</v>
      </c>
    </row>
    <row r="117" spans="3:6" x14ac:dyDescent="0.25">
      <c r="D117" t="s">
        <v>172</v>
      </c>
    </row>
    <row r="118" spans="3:6" x14ac:dyDescent="0.25">
      <c r="D118" t="s">
        <v>316</v>
      </c>
    </row>
    <row r="119" spans="3:6" x14ac:dyDescent="0.25">
      <c r="D119" t="s">
        <v>173</v>
      </c>
      <c r="E119" t="s">
        <v>174</v>
      </c>
      <c r="F119" t="s">
        <v>174</v>
      </c>
    </row>
    <row r="120" spans="3:6" x14ac:dyDescent="0.25">
      <c r="D120" t="s">
        <v>175</v>
      </c>
      <c r="E120">
        <v>1</v>
      </c>
      <c r="F120">
        <v>2</v>
      </c>
    </row>
    <row r="121" spans="3:6" x14ac:dyDescent="0.25">
      <c r="D121" t="s">
        <v>176</v>
      </c>
      <c r="E121" t="s">
        <v>340</v>
      </c>
      <c r="F121" t="s">
        <v>340</v>
      </c>
    </row>
    <row r="122" spans="3:6" x14ac:dyDescent="0.25">
      <c r="D122" t="s">
        <v>177</v>
      </c>
      <c r="E122">
        <v>1</v>
      </c>
      <c r="F122">
        <v>2</v>
      </c>
    </row>
    <row r="123" spans="3:6" x14ac:dyDescent="0.25">
      <c r="D123" t="s">
        <v>178</v>
      </c>
      <c r="E123">
        <v>600</v>
      </c>
      <c r="F123">
        <v>600</v>
      </c>
    </row>
    <row r="124" spans="3:6" x14ac:dyDescent="0.25">
      <c r="D124" t="s">
        <v>179</v>
      </c>
      <c r="E124">
        <v>0</v>
      </c>
      <c r="F124">
        <v>0</v>
      </c>
    </row>
    <row r="125" spans="3:6" x14ac:dyDescent="0.25">
      <c r="D125" t="s">
        <v>180</v>
      </c>
      <c r="E125">
        <v>0</v>
      </c>
      <c r="F125">
        <v>0</v>
      </c>
    </row>
    <row r="126" spans="3:6" x14ac:dyDescent="0.25">
      <c r="D126" t="s">
        <v>181</v>
      </c>
      <c r="E126" t="s">
        <v>182</v>
      </c>
      <c r="F126" t="s">
        <v>182</v>
      </c>
    </row>
    <row r="127" spans="3:6" x14ac:dyDescent="0.25">
      <c r="D127" t="s">
        <v>185</v>
      </c>
    </row>
    <row r="129" spans="4:5" x14ac:dyDescent="0.25">
      <c r="D129" t="s">
        <v>159</v>
      </c>
    </row>
    <row r="130" spans="4:5" x14ac:dyDescent="0.25">
      <c r="D130" t="s">
        <v>160</v>
      </c>
    </row>
    <row r="131" spans="4:5" x14ac:dyDescent="0.25">
      <c r="D131" t="s">
        <v>161</v>
      </c>
      <c r="E131">
        <v>300</v>
      </c>
    </row>
    <row r="132" spans="4:5" x14ac:dyDescent="0.25">
      <c r="D132" t="s">
        <v>186</v>
      </c>
    </row>
    <row r="134" spans="4:5" x14ac:dyDescent="0.25">
      <c r="D134" t="s">
        <v>159</v>
      </c>
    </row>
    <row r="135" spans="4:5" x14ac:dyDescent="0.25">
      <c r="D135" t="s">
        <v>163</v>
      </c>
    </row>
    <row r="136" spans="4:5" x14ac:dyDescent="0.25">
      <c r="D136" t="s">
        <v>341</v>
      </c>
    </row>
    <row r="138" spans="4:5" x14ac:dyDescent="0.25">
      <c r="D138" t="s">
        <v>165</v>
      </c>
    </row>
    <row r="139" spans="4:5" x14ac:dyDescent="0.25">
      <c r="D139" t="s">
        <v>160</v>
      </c>
    </row>
    <row r="140" spans="4:5" x14ac:dyDescent="0.25">
      <c r="D140" t="s">
        <v>166</v>
      </c>
      <c r="E140">
        <v>350</v>
      </c>
    </row>
    <row r="141" spans="4:5" x14ac:dyDescent="0.25">
      <c r="D141" t="s">
        <v>161</v>
      </c>
      <c r="E141">
        <v>247.5</v>
      </c>
    </row>
    <row r="142" spans="4:5" x14ac:dyDescent="0.25">
      <c r="D142" t="s">
        <v>342</v>
      </c>
    </row>
    <row r="144" spans="4:5" x14ac:dyDescent="0.25">
      <c r="D144" t="s">
        <v>325</v>
      </c>
    </row>
    <row r="145" spans="4:5" x14ac:dyDescent="0.25">
      <c r="D145" t="s">
        <v>326</v>
      </c>
    </row>
    <row r="146" spans="4:5" x14ac:dyDescent="0.25">
      <c r="D146" t="s">
        <v>176</v>
      </c>
      <c r="E146" t="s">
        <v>335</v>
      </c>
    </row>
    <row r="147" spans="4:5" x14ac:dyDescent="0.25">
      <c r="D147" t="s">
        <v>173</v>
      </c>
      <c r="E147" t="s">
        <v>334</v>
      </c>
    </row>
    <row r="148" spans="4:5" x14ac:dyDescent="0.25">
      <c r="D148" t="s">
        <v>329</v>
      </c>
      <c r="E148">
        <v>97</v>
      </c>
    </row>
    <row r="149" spans="4:5" x14ac:dyDescent="0.25">
      <c r="D149" t="s">
        <v>330</v>
      </c>
      <c r="E149">
        <v>89</v>
      </c>
    </row>
    <row r="150" spans="4:5" x14ac:dyDescent="0.25">
      <c r="D150" t="s">
        <v>331</v>
      </c>
      <c r="E150">
        <v>0</v>
      </c>
    </row>
    <row r="151" spans="4:5" x14ac:dyDescent="0.25">
      <c r="D151" t="s">
        <v>332</v>
      </c>
      <c r="E151">
        <v>0</v>
      </c>
    </row>
    <row r="152" spans="4:5" x14ac:dyDescent="0.25">
      <c r="D152" t="s">
        <v>343</v>
      </c>
    </row>
    <row r="154" spans="4:5" x14ac:dyDescent="0.25">
      <c r="D154" t="s">
        <v>325</v>
      </c>
    </row>
    <row r="155" spans="4:5" x14ac:dyDescent="0.25">
      <c r="D155" t="s">
        <v>326</v>
      </c>
    </row>
    <row r="156" spans="4:5" x14ac:dyDescent="0.25">
      <c r="D156" t="s">
        <v>176</v>
      </c>
      <c r="E156" t="s">
        <v>328</v>
      </c>
    </row>
    <row r="157" spans="4:5" x14ac:dyDescent="0.25">
      <c r="D157" t="s">
        <v>173</v>
      </c>
      <c r="E157" t="s">
        <v>327</v>
      </c>
    </row>
    <row r="158" spans="4:5" x14ac:dyDescent="0.25">
      <c r="D158" t="s">
        <v>329</v>
      </c>
      <c r="E158">
        <v>85</v>
      </c>
    </row>
    <row r="159" spans="4:5" x14ac:dyDescent="0.25">
      <c r="D159" t="s">
        <v>330</v>
      </c>
      <c r="E159">
        <v>73</v>
      </c>
    </row>
    <row r="160" spans="4:5" x14ac:dyDescent="0.25">
      <c r="D160" t="s">
        <v>331</v>
      </c>
      <c r="E160">
        <v>1</v>
      </c>
    </row>
    <row r="161" spans="2:5" x14ac:dyDescent="0.25">
      <c r="D161" t="s">
        <v>332</v>
      </c>
      <c r="E161">
        <v>1</v>
      </c>
    </row>
    <row r="162" spans="2:5" x14ac:dyDescent="0.25">
      <c r="D162" t="s">
        <v>344</v>
      </c>
    </row>
    <row r="167" spans="2:5" x14ac:dyDescent="0.25">
      <c r="B167" t="s">
        <v>150</v>
      </c>
    </row>
    <row r="168" spans="2:5" x14ac:dyDescent="0.25">
      <c r="B168" t="s">
        <v>187</v>
      </c>
    </row>
    <row r="169" spans="2:5" x14ac:dyDescent="0.25">
      <c r="B169" t="s">
        <v>188</v>
      </c>
    </row>
    <row r="170" spans="2:5" x14ac:dyDescent="0.25">
      <c r="B170" t="s">
        <v>189</v>
      </c>
    </row>
    <row r="171" spans="2:5" x14ac:dyDescent="0.25">
      <c r="B171" t="s">
        <v>154</v>
      </c>
    </row>
    <row r="172" spans="2:5" x14ac:dyDescent="0.25">
      <c r="B172" t="s">
        <v>155</v>
      </c>
    </row>
    <row r="173" spans="2:5" x14ac:dyDescent="0.25">
      <c r="B173" t="s">
        <v>156</v>
      </c>
    </row>
    <row r="174" spans="2:5" x14ac:dyDescent="0.25">
      <c r="B174" t="s">
        <v>171</v>
      </c>
    </row>
    <row r="176" spans="2:5" x14ac:dyDescent="0.25">
      <c r="D176" t="s">
        <v>325</v>
      </c>
    </row>
    <row r="177" spans="4:5" x14ac:dyDescent="0.25">
      <c r="D177" t="s">
        <v>326</v>
      </c>
    </row>
    <row r="178" spans="4:5" x14ac:dyDescent="0.25">
      <c r="D178" t="s">
        <v>176</v>
      </c>
      <c r="E178" t="s">
        <v>327</v>
      </c>
    </row>
    <row r="179" spans="4:5" x14ac:dyDescent="0.25">
      <c r="D179" t="s">
        <v>173</v>
      </c>
      <c r="E179" t="s">
        <v>328</v>
      </c>
    </row>
    <row r="180" spans="4:5" x14ac:dyDescent="0.25">
      <c r="D180" t="s">
        <v>329</v>
      </c>
      <c r="E180">
        <v>85</v>
      </c>
    </row>
    <row r="181" spans="4:5" x14ac:dyDescent="0.25">
      <c r="D181" t="s">
        <v>330</v>
      </c>
      <c r="E181">
        <v>73</v>
      </c>
    </row>
    <row r="182" spans="4:5" x14ac:dyDescent="0.25">
      <c r="D182" t="s">
        <v>331</v>
      </c>
      <c r="E182">
        <v>0</v>
      </c>
    </row>
    <row r="183" spans="4:5" x14ac:dyDescent="0.25">
      <c r="D183" t="s">
        <v>332</v>
      </c>
      <c r="E183">
        <v>0</v>
      </c>
    </row>
    <row r="184" spans="4:5" x14ac:dyDescent="0.25">
      <c r="D184" t="s">
        <v>190</v>
      </c>
    </row>
    <row r="186" spans="4:5" x14ac:dyDescent="0.25">
      <c r="D186" t="s">
        <v>325</v>
      </c>
    </row>
    <row r="187" spans="4:5" x14ac:dyDescent="0.25">
      <c r="D187" t="s">
        <v>326</v>
      </c>
    </row>
    <row r="188" spans="4:5" x14ac:dyDescent="0.25">
      <c r="D188" t="s">
        <v>176</v>
      </c>
      <c r="E188" t="s">
        <v>334</v>
      </c>
    </row>
    <row r="189" spans="4:5" x14ac:dyDescent="0.25">
      <c r="D189" t="s">
        <v>173</v>
      </c>
      <c r="E189" t="s">
        <v>335</v>
      </c>
    </row>
    <row r="190" spans="4:5" x14ac:dyDescent="0.25">
      <c r="D190" t="s">
        <v>329</v>
      </c>
      <c r="E190">
        <v>97</v>
      </c>
    </row>
    <row r="191" spans="4:5" x14ac:dyDescent="0.25">
      <c r="D191" t="s">
        <v>330</v>
      </c>
      <c r="E191">
        <v>89</v>
      </c>
    </row>
    <row r="192" spans="4:5" x14ac:dyDescent="0.25">
      <c r="D192" t="s">
        <v>331</v>
      </c>
      <c r="E192">
        <v>1</v>
      </c>
    </row>
    <row r="193" spans="3:6" x14ac:dyDescent="0.25">
      <c r="D193" t="s">
        <v>332</v>
      </c>
      <c r="E193">
        <v>0</v>
      </c>
    </row>
    <row r="194" spans="3:6" x14ac:dyDescent="0.25">
      <c r="D194" t="s">
        <v>191</v>
      </c>
    </row>
    <row r="196" spans="3:6" x14ac:dyDescent="0.25">
      <c r="C196" t="s">
        <v>149</v>
      </c>
    </row>
    <row r="198" spans="3:6" x14ac:dyDescent="0.25">
      <c r="D198" t="s">
        <v>172</v>
      </c>
    </row>
    <row r="199" spans="3:6" x14ac:dyDescent="0.25">
      <c r="D199" t="s">
        <v>316</v>
      </c>
    </row>
    <row r="200" spans="3:6" x14ac:dyDescent="0.25">
      <c r="D200" t="s">
        <v>173</v>
      </c>
      <c r="E200" t="s">
        <v>174</v>
      </c>
      <c r="F200" t="s">
        <v>174</v>
      </c>
    </row>
    <row r="201" spans="3:6" x14ac:dyDescent="0.25">
      <c r="D201" t="s">
        <v>175</v>
      </c>
      <c r="E201">
        <v>1</v>
      </c>
      <c r="F201">
        <v>2</v>
      </c>
    </row>
    <row r="202" spans="3:6" x14ac:dyDescent="0.25">
      <c r="D202" t="s">
        <v>176</v>
      </c>
      <c r="E202" t="s">
        <v>340</v>
      </c>
      <c r="F202" t="s">
        <v>340</v>
      </c>
    </row>
    <row r="203" spans="3:6" x14ac:dyDescent="0.25">
      <c r="D203" t="s">
        <v>177</v>
      </c>
      <c r="E203">
        <v>1</v>
      </c>
      <c r="F203">
        <v>2</v>
      </c>
    </row>
    <row r="204" spans="3:6" x14ac:dyDescent="0.25">
      <c r="D204" t="s">
        <v>178</v>
      </c>
      <c r="E204">
        <v>600</v>
      </c>
      <c r="F204">
        <v>600</v>
      </c>
    </row>
    <row r="205" spans="3:6" x14ac:dyDescent="0.25">
      <c r="D205" t="s">
        <v>179</v>
      </c>
      <c r="E205">
        <v>0</v>
      </c>
      <c r="F205">
        <v>0</v>
      </c>
    </row>
    <row r="206" spans="3:6" x14ac:dyDescent="0.25">
      <c r="D206" t="s">
        <v>180</v>
      </c>
      <c r="E206">
        <v>0</v>
      </c>
      <c r="F206">
        <v>0</v>
      </c>
    </row>
    <row r="207" spans="3:6" x14ac:dyDescent="0.25">
      <c r="D207" t="s">
        <v>181</v>
      </c>
      <c r="E207" t="s">
        <v>182</v>
      </c>
      <c r="F207" t="s">
        <v>182</v>
      </c>
    </row>
    <row r="208" spans="3:6" x14ac:dyDescent="0.25">
      <c r="D208" t="s">
        <v>192</v>
      </c>
    </row>
    <row r="210" spans="4:5" x14ac:dyDescent="0.25">
      <c r="D210" t="s">
        <v>159</v>
      </c>
    </row>
    <row r="211" spans="4:5" x14ac:dyDescent="0.25">
      <c r="D211" t="s">
        <v>160</v>
      </c>
    </row>
    <row r="212" spans="4:5" x14ac:dyDescent="0.25">
      <c r="D212" t="s">
        <v>161</v>
      </c>
      <c r="E212">
        <v>300</v>
      </c>
    </row>
    <row r="213" spans="4:5" x14ac:dyDescent="0.25">
      <c r="D213" t="s">
        <v>193</v>
      </c>
    </row>
    <row r="215" spans="4:5" x14ac:dyDescent="0.25">
      <c r="D215" t="s">
        <v>159</v>
      </c>
    </row>
    <row r="216" spans="4:5" x14ac:dyDescent="0.25">
      <c r="D216" t="s">
        <v>163</v>
      </c>
    </row>
    <row r="217" spans="4:5" x14ac:dyDescent="0.25">
      <c r="D217" t="s">
        <v>345</v>
      </c>
    </row>
    <row r="219" spans="4:5" x14ac:dyDescent="0.25">
      <c r="D219" t="s">
        <v>165</v>
      </c>
    </row>
    <row r="220" spans="4:5" x14ac:dyDescent="0.25">
      <c r="D220" t="s">
        <v>160</v>
      </c>
    </row>
    <row r="221" spans="4:5" x14ac:dyDescent="0.25">
      <c r="D221" t="s">
        <v>166</v>
      </c>
      <c r="E221">
        <v>350</v>
      </c>
    </row>
    <row r="222" spans="4:5" x14ac:dyDescent="0.25">
      <c r="D222" t="s">
        <v>161</v>
      </c>
      <c r="E222">
        <v>247.5</v>
      </c>
    </row>
    <row r="223" spans="4:5" x14ac:dyDescent="0.25">
      <c r="D223" t="s">
        <v>346</v>
      </c>
    </row>
    <row r="225" spans="4:5" x14ac:dyDescent="0.25">
      <c r="D225" t="s">
        <v>325</v>
      </c>
    </row>
    <row r="226" spans="4:5" x14ac:dyDescent="0.25">
      <c r="D226" t="s">
        <v>326</v>
      </c>
    </row>
    <row r="227" spans="4:5" x14ac:dyDescent="0.25">
      <c r="D227" t="s">
        <v>176</v>
      </c>
      <c r="E227" t="s">
        <v>335</v>
      </c>
    </row>
    <row r="228" spans="4:5" x14ac:dyDescent="0.25">
      <c r="D228" t="s">
        <v>173</v>
      </c>
      <c r="E228" t="s">
        <v>334</v>
      </c>
    </row>
    <row r="229" spans="4:5" x14ac:dyDescent="0.25">
      <c r="D229" t="s">
        <v>329</v>
      </c>
      <c r="E229">
        <v>97</v>
      </c>
    </row>
    <row r="230" spans="4:5" x14ac:dyDescent="0.25">
      <c r="D230" t="s">
        <v>330</v>
      </c>
      <c r="E230">
        <v>89</v>
      </c>
    </row>
    <row r="231" spans="4:5" x14ac:dyDescent="0.25">
      <c r="D231" t="s">
        <v>331</v>
      </c>
      <c r="E231">
        <v>0</v>
      </c>
    </row>
    <row r="232" spans="4:5" x14ac:dyDescent="0.25">
      <c r="D232" t="s">
        <v>332</v>
      </c>
      <c r="E232">
        <v>0</v>
      </c>
    </row>
    <row r="233" spans="4:5" x14ac:dyDescent="0.25">
      <c r="D233" t="s">
        <v>347</v>
      </c>
    </row>
    <row r="235" spans="4:5" x14ac:dyDescent="0.25">
      <c r="D235" t="s">
        <v>325</v>
      </c>
    </row>
    <row r="236" spans="4:5" x14ac:dyDescent="0.25">
      <c r="D236" t="s">
        <v>326</v>
      </c>
    </row>
    <row r="237" spans="4:5" x14ac:dyDescent="0.25">
      <c r="D237" t="s">
        <v>176</v>
      </c>
      <c r="E237" t="s">
        <v>328</v>
      </c>
    </row>
    <row r="238" spans="4:5" x14ac:dyDescent="0.25">
      <c r="D238" t="s">
        <v>173</v>
      </c>
      <c r="E238" t="s">
        <v>327</v>
      </c>
    </row>
    <row r="239" spans="4:5" x14ac:dyDescent="0.25">
      <c r="D239" t="s">
        <v>329</v>
      </c>
      <c r="E239">
        <v>85</v>
      </c>
    </row>
    <row r="240" spans="4:5" x14ac:dyDescent="0.25">
      <c r="D240" t="s">
        <v>330</v>
      </c>
      <c r="E240">
        <v>73</v>
      </c>
    </row>
    <row r="241" spans="2:5" x14ac:dyDescent="0.25">
      <c r="D241" t="s">
        <v>331</v>
      </c>
      <c r="E241">
        <v>1</v>
      </c>
    </row>
    <row r="242" spans="2:5" x14ac:dyDescent="0.25">
      <c r="D242" t="s">
        <v>332</v>
      </c>
      <c r="E242">
        <v>1</v>
      </c>
    </row>
    <row r="243" spans="2:5" x14ac:dyDescent="0.25">
      <c r="D243" t="s">
        <v>348</v>
      </c>
    </row>
    <row r="248" spans="2:5" x14ac:dyDescent="0.25">
      <c r="B248" t="s">
        <v>145</v>
      </c>
    </row>
    <row r="249" spans="2:5" x14ac:dyDescent="0.25">
      <c r="B249" t="s">
        <v>194</v>
      </c>
    </row>
    <row r="250" spans="2:5" x14ac:dyDescent="0.25">
      <c r="B250" t="s">
        <v>195</v>
      </c>
    </row>
    <row r="251" spans="2:5" x14ac:dyDescent="0.25">
      <c r="B251" t="s">
        <v>148</v>
      </c>
    </row>
    <row r="253" spans="2:5" x14ac:dyDescent="0.25">
      <c r="C253" t="s">
        <v>149</v>
      </c>
    </row>
    <row r="258" spans="2:5" x14ac:dyDescent="0.25">
      <c r="B258" t="s">
        <v>150</v>
      </c>
    </row>
    <row r="259" spans="2:5" x14ac:dyDescent="0.25">
      <c r="B259" t="s">
        <v>196</v>
      </c>
    </row>
    <row r="260" spans="2:5" x14ac:dyDescent="0.25">
      <c r="B260" t="s">
        <v>197</v>
      </c>
    </row>
    <row r="261" spans="2:5" x14ac:dyDescent="0.25">
      <c r="B261" t="s">
        <v>198</v>
      </c>
    </row>
    <row r="262" spans="2:5" x14ac:dyDescent="0.25">
      <c r="B262" t="s">
        <v>154</v>
      </c>
    </row>
    <row r="263" spans="2:5" x14ac:dyDescent="0.25">
      <c r="B263" t="s">
        <v>155</v>
      </c>
    </row>
    <row r="264" spans="2:5" x14ac:dyDescent="0.25">
      <c r="B264" t="s">
        <v>156</v>
      </c>
    </row>
    <row r="265" spans="2:5" x14ac:dyDescent="0.25">
      <c r="B265" t="s">
        <v>199</v>
      </c>
    </row>
    <row r="267" spans="2:5" x14ac:dyDescent="0.25">
      <c r="D267" t="s">
        <v>325</v>
      </c>
    </row>
    <row r="268" spans="2:5" x14ac:dyDescent="0.25">
      <c r="D268" t="s">
        <v>326</v>
      </c>
    </row>
    <row r="269" spans="2:5" x14ac:dyDescent="0.25">
      <c r="D269" t="s">
        <v>176</v>
      </c>
      <c r="E269" t="s">
        <v>349</v>
      </c>
    </row>
    <row r="270" spans="2:5" x14ac:dyDescent="0.25">
      <c r="D270" t="s">
        <v>173</v>
      </c>
      <c r="E270" t="s">
        <v>328</v>
      </c>
    </row>
    <row r="271" spans="2:5" x14ac:dyDescent="0.25">
      <c r="D271" t="s">
        <v>329</v>
      </c>
      <c r="E271">
        <v>85</v>
      </c>
    </row>
    <row r="272" spans="2:5" x14ac:dyDescent="0.25">
      <c r="D272" t="s">
        <v>330</v>
      </c>
      <c r="E272">
        <v>73</v>
      </c>
    </row>
    <row r="273" spans="3:5" x14ac:dyDescent="0.25">
      <c r="D273" t="s">
        <v>331</v>
      </c>
      <c r="E273">
        <v>0</v>
      </c>
    </row>
    <row r="274" spans="3:5" x14ac:dyDescent="0.25">
      <c r="D274" t="s">
        <v>332</v>
      </c>
      <c r="E274">
        <v>0</v>
      </c>
    </row>
    <row r="275" spans="3:5" x14ac:dyDescent="0.25">
      <c r="D275" t="s">
        <v>200</v>
      </c>
    </row>
    <row r="277" spans="3:5" x14ac:dyDescent="0.25">
      <c r="D277" t="s">
        <v>325</v>
      </c>
    </row>
    <row r="278" spans="3:5" x14ac:dyDescent="0.25">
      <c r="D278" t="s">
        <v>326</v>
      </c>
    </row>
    <row r="279" spans="3:5" x14ac:dyDescent="0.25">
      <c r="D279" t="s">
        <v>176</v>
      </c>
      <c r="E279" t="s">
        <v>334</v>
      </c>
    </row>
    <row r="280" spans="3:5" x14ac:dyDescent="0.25">
      <c r="D280" t="s">
        <v>173</v>
      </c>
      <c r="E280" t="s">
        <v>335</v>
      </c>
    </row>
    <row r="281" spans="3:5" x14ac:dyDescent="0.25">
      <c r="D281" t="s">
        <v>329</v>
      </c>
      <c r="E281">
        <v>97</v>
      </c>
    </row>
    <row r="282" spans="3:5" x14ac:dyDescent="0.25">
      <c r="D282" t="s">
        <v>330</v>
      </c>
      <c r="E282">
        <v>89</v>
      </c>
    </row>
    <row r="283" spans="3:5" x14ac:dyDescent="0.25">
      <c r="D283" t="s">
        <v>331</v>
      </c>
      <c r="E283">
        <v>1</v>
      </c>
    </row>
    <row r="284" spans="3:5" x14ac:dyDescent="0.25">
      <c r="D284" t="s">
        <v>332</v>
      </c>
      <c r="E284">
        <v>0</v>
      </c>
    </row>
    <row r="285" spans="3:5" x14ac:dyDescent="0.25">
      <c r="D285" t="s">
        <v>201</v>
      </c>
    </row>
    <row r="287" spans="3:5" x14ac:dyDescent="0.25">
      <c r="C287" t="s">
        <v>149</v>
      </c>
    </row>
    <row r="289" spans="4:6" x14ac:dyDescent="0.25">
      <c r="D289" t="s">
        <v>172</v>
      </c>
    </row>
    <row r="290" spans="4:6" x14ac:dyDescent="0.25">
      <c r="D290" t="s">
        <v>316</v>
      </c>
    </row>
    <row r="291" spans="4:6" x14ac:dyDescent="0.25">
      <c r="D291" t="s">
        <v>173</v>
      </c>
      <c r="E291" t="s">
        <v>174</v>
      </c>
      <c r="F291" t="s">
        <v>174</v>
      </c>
    </row>
    <row r="292" spans="4:6" x14ac:dyDescent="0.25">
      <c r="D292" t="s">
        <v>175</v>
      </c>
      <c r="E292">
        <v>1</v>
      </c>
      <c r="F292">
        <v>2</v>
      </c>
    </row>
    <row r="293" spans="4:6" x14ac:dyDescent="0.25">
      <c r="D293" t="s">
        <v>176</v>
      </c>
      <c r="E293" t="s">
        <v>350</v>
      </c>
      <c r="F293" t="s">
        <v>350</v>
      </c>
    </row>
    <row r="294" spans="4:6" x14ac:dyDescent="0.25">
      <c r="D294" t="s">
        <v>177</v>
      </c>
      <c r="E294">
        <v>1</v>
      </c>
      <c r="F294">
        <v>2</v>
      </c>
    </row>
    <row r="295" spans="4:6" x14ac:dyDescent="0.25">
      <c r="D295" t="s">
        <v>178</v>
      </c>
      <c r="E295">
        <v>485.44</v>
      </c>
      <c r="F295">
        <v>446.43</v>
      </c>
    </row>
    <row r="296" spans="4:6" x14ac:dyDescent="0.25">
      <c r="D296" t="s">
        <v>179</v>
      </c>
      <c r="E296">
        <v>0</v>
      </c>
      <c r="F296">
        <v>0</v>
      </c>
    </row>
    <row r="297" spans="4:6" x14ac:dyDescent="0.25">
      <c r="D297" t="s">
        <v>180</v>
      </c>
      <c r="E297">
        <v>0</v>
      </c>
      <c r="F297">
        <v>0</v>
      </c>
    </row>
    <row r="298" spans="4:6" x14ac:dyDescent="0.25">
      <c r="D298" t="s">
        <v>181</v>
      </c>
      <c r="E298" t="s">
        <v>182</v>
      </c>
      <c r="F298" t="s">
        <v>182</v>
      </c>
    </row>
    <row r="299" spans="4:6" x14ac:dyDescent="0.25">
      <c r="D299" t="s">
        <v>202</v>
      </c>
    </row>
    <row r="301" spans="4:6" x14ac:dyDescent="0.25">
      <c r="D301" t="s">
        <v>159</v>
      </c>
    </row>
    <row r="302" spans="4:6" x14ac:dyDescent="0.25">
      <c r="D302" t="s">
        <v>160</v>
      </c>
    </row>
    <row r="303" spans="4:6" x14ac:dyDescent="0.25">
      <c r="D303" t="s">
        <v>161</v>
      </c>
      <c r="E303">
        <v>300</v>
      </c>
    </row>
    <row r="304" spans="4:6" x14ac:dyDescent="0.25">
      <c r="D304" t="s">
        <v>203</v>
      </c>
    </row>
    <row r="306" spans="4:5" x14ac:dyDescent="0.25">
      <c r="D306" t="s">
        <v>159</v>
      </c>
    </row>
    <row r="307" spans="4:5" x14ac:dyDescent="0.25">
      <c r="D307" t="s">
        <v>163</v>
      </c>
    </row>
    <row r="308" spans="4:5" x14ac:dyDescent="0.25">
      <c r="D308" t="s">
        <v>351</v>
      </c>
    </row>
    <row r="310" spans="4:5" x14ac:dyDescent="0.25">
      <c r="D310" t="s">
        <v>165</v>
      </c>
    </row>
    <row r="311" spans="4:5" x14ac:dyDescent="0.25">
      <c r="D311" t="s">
        <v>160</v>
      </c>
    </row>
    <row r="312" spans="4:5" x14ac:dyDescent="0.25">
      <c r="D312" t="s">
        <v>166</v>
      </c>
      <c r="E312">
        <v>350</v>
      </c>
    </row>
    <row r="313" spans="4:5" x14ac:dyDescent="0.25">
      <c r="D313" t="s">
        <v>161</v>
      </c>
      <c r="E313">
        <v>200.242718446601</v>
      </c>
    </row>
    <row r="314" spans="4:5" x14ac:dyDescent="0.25">
      <c r="D314" t="s">
        <v>352</v>
      </c>
    </row>
    <row r="316" spans="4:5" x14ac:dyDescent="0.25">
      <c r="D316" t="s">
        <v>325</v>
      </c>
    </row>
    <row r="317" spans="4:5" x14ac:dyDescent="0.25">
      <c r="D317" t="s">
        <v>326</v>
      </c>
    </row>
    <row r="318" spans="4:5" x14ac:dyDescent="0.25">
      <c r="D318" t="s">
        <v>176</v>
      </c>
      <c r="E318" t="s">
        <v>335</v>
      </c>
    </row>
    <row r="319" spans="4:5" x14ac:dyDescent="0.25">
      <c r="D319" t="s">
        <v>173</v>
      </c>
      <c r="E319" t="s">
        <v>334</v>
      </c>
    </row>
    <row r="320" spans="4:5" x14ac:dyDescent="0.25">
      <c r="D320" t="s">
        <v>329</v>
      </c>
      <c r="E320">
        <v>97</v>
      </c>
    </row>
    <row r="321" spans="4:5" x14ac:dyDescent="0.25">
      <c r="D321" t="s">
        <v>330</v>
      </c>
      <c r="E321">
        <v>89</v>
      </c>
    </row>
    <row r="322" spans="4:5" x14ac:dyDescent="0.25">
      <c r="D322" t="s">
        <v>331</v>
      </c>
      <c r="E322">
        <v>0</v>
      </c>
    </row>
    <row r="323" spans="4:5" x14ac:dyDescent="0.25">
      <c r="D323" t="s">
        <v>332</v>
      </c>
      <c r="E323">
        <v>0</v>
      </c>
    </row>
    <row r="324" spans="4:5" x14ac:dyDescent="0.25">
      <c r="D324" t="s">
        <v>353</v>
      </c>
    </row>
    <row r="326" spans="4:5" x14ac:dyDescent="0.25">
      <c r="D326" t="s">
        <v>325</v>
      </c>
    </row>
    <row r="327" spans="4:5" x14ac:dyDescent="0.25">
      <c r="D327" t="s">
        <v>326</v>
      </c>
    </row>
    <row r="328" spans="4:5" x14ac:dyDescent="0.25">
      <c r="D328" t="s">
        <v>176</v>
      </c>
      <c r="E328" t="s">
        <v>328</v>
      </c>
    </row>
    <row r="329" spans="4:5" x14ac:dyDescent="0.25">
      <c r="D329" t="s">
        <v>173</v>
      </c>
      <c r="E329" t="s">
        <v>349</v>
      </c>
    </row>
    <row r="330" spans="4:5" x14ac:dyDescent="0.25">
      <c r="D330" t="s">
        <v>329</v>
      </c>
      <c r="E330">
        <v>85</v>
      </c>
    </row>
    <row r="331" spans="4:5" x14ac:dyDescent="0.25">
      <c r="D331" t="s">
        <v>330</v>
      </c>
      <c r="E331">
        <v>73</v>
      </c>
    </row>
    <row r="332" spans="4:5" x14ac:dyDescent="0.25">
      <c r="D332" t="s">
        <v>331</v>
      </c>
      <c r="E332">
        <v>1</v>
      </c>
    </row>
    <row r="333" spans="4:5" x14ac:dyDescent="0.25">
      <c r="D333" t="s">
        <v>332</v>
      </c>
      <c r="E333">
        <v>1</v>
      </c>
    </row>
    <row r="334" spans="4:5" x14ac:dyDescent="0.25">
      <c r="D334" t="s">
        <v>354</v>
      </c>
    </row>
    <row r="339" spans="2:3" x14ac:dyDescent="0.25">
      <c r="B339" t="s">
        <v>145</v>
      </c>
    </row>
    <row r="340" spans="2:3" x14ac:dyDescent="0.25">
      <c r="B340" t="s">
        <v>204</v>
      </c>
    </row>
    <row r="341" spans="2:3" x14ac:dyDescent="0.25">
      <c r="B341" t="s">
        <v>205</v>
      </c>
    </row>
    <row r="342" spans="2:3" x14ac:dyDescent="0.25">
      <c r="B342" t="s">
        <v>148</v>
      </c>
    </row>
    <row r="344" spans="2:3" x14ac:dyDescent="0.25">
      <c r="C344" t="s">
        <v>149</v>
      </c>
    </row>
    <row r="349" spans="2:3" x14ac:dyDescent="0.25">
      <c r="B349" t="s">
        <v>150</v>
      </c>
    </row>
    <row r="350" spans="2:3" x14ac:dyDescent="0.25">
      <c r="B350" t="s">
        <v>206</v>
      </c>
    </row>
    <row r="351" spans="2:3" x14ac:dyDescent="0.25">
      <c r="B351" t="s">
        <v>207</v>
      </c>
    </row>
    <row r="352" spans="2:3" x14ac:dyDescent="0.25">
      <c r="B352" t="s">
        <v>208</v>
      </c>
    </row>
    <row r="353" spans="2:5" x14ac:dyDescent="0.25">
      <c r="B353" t="s">
        <v>154</v>
      </c>
    </row>
    <row r="354" spans="2:5" x14ac:dyDescent="0.25">
      <c r="B354" t="s">
        <v>155</v>
      </c>
    </row>
    <row r="355" spans="2:5" x14ac:dyDescent="0.25">
      <c r="B355" t="s">
        <v>156</v>
      </c>
    </row>
    <row r="356" spans="2:5" x14ac:dyDescent="0.25">
      <c r="B356" t="s">
        <v>199</v>
      </c>
    </row>
    <row r="358" spans="2:5" x14ac:dyDescent="0.25">
      <c r="D358" t="s">
        <v>325</v>
      </c>
    </row>
    <row r="359" spans="2:5" x14ac:dyDescent="0.25">
      <c r="D359" t="s">
        <v>326</v>
      </c>
    </row>
    <row r="360" spans="2:5" x14ac:dyDescent="0.25">
      <c r="D360" t="s">
        <v>176</v>
      </c>
      <c r="E360" t="s">
        <v>350</v>
      </c>
    </row>
    <row r="361" spans="2:5" x14ac:dyDescent="0.25">
      <c r="D361" t="s">
        <v>173</v>
      </c>
      <c r="E361" t="s">
        <v>328</v>
      </c>
    </row>
    <row r="362" spans="2:5" x14ac:dyDescent="0.25">
      <c r="D362" t="s">
        <v>329</v>
      </c>
      <c r="E362">
        <v>85</v>
      </c>
    </row>
    <row r="363" spans="2:5" x14ac:dyDescent="0.25">
      <c r="D363" t="s">
        <v>330</v>
      </c>
      <c r="E363">
        <v>73</v>
      </c>
    </row>
    <row r="364" spans="2:5" x14ac:dyDescent="0.25">
      <c r="D364" t="s">
        <v>331</v>
      </c>
      <c r="E364">
        <v>0</v>
      </c>
    </row>
    <row r="365" spans="2:5" x14ac:dyDescent="0.25">
      <c r="D365" t="s">
        <v>332</v>
      </c>
      <c r="E365">
        <v>0</v>
      </c>
    </row>
    <row r="366" spans="2:5" x14ac:dyDescent="0.25">
      <c r="D366" t="s">
        <v>209</v>
      </c>
    </row>
    <row r="368" spans="2:5" x14ac:dyDescent="0.25">
      <c r="D368" t="s">
        <v>325</v>
      </c>
    </row>
    <row r="369" spans="3:6" x14ac:dyDescent="0.25">
      <c r="D369" t="s">
        <v>326</v>
      </c>
    </row>
    <row r="370" spans="3:6" x14ac:dyDescent="0.25">
      <c r="D370" t="s">
        <v>176</v>
      </c>
      <c r="E370" t="s">
        <v>334</v>
      </c>
    </row>
    <row r="371" spans="3:6" x14ac:dyDescent="0.25">
      <c r="D371" t="s">
        <v>173</v>
      </c>
      <c r="E371" t="s">
        <v>335</v>
      </c>
    </row>
    <row r="372" spans="3:6" x14ac:dyDescent="0.25">
      <c r="D372" t="s">
        <v>329</v>
      </c>
      <c r="E372">
        <v>97</v>
      </c>
    </row>
    <row r="373" spans="3:6" x14ac:dyDescent="0.25">
      <c r="D373" t="s">
        <v>330</v>
      </c>
      <c r="E373">
        <v>89</v>
      </c>
    </row>
    <row r="374" spans="3:6" x14ac:dyDescent="0.25">
      <c r="D374" t="s">
        <v>331</v>
      </c>
      <c r="E374">
        <v>1</v>
      </c>
    </row>
    <row r="375" spans="3:6" x14ac:dyDescent="0.25">
      <c r="D375" t="s">
        <v>332</v>
      </c>
      <c r="E375">
        <v>0</v>
      </c>
    </row>
    <row r="376" spans="3:6" x14ac:dyDescent="0.25">
      <c r="D376" t="s">
        <v>210</v>
      </c>
    </row>
    <row r="378" spans="3:6" x14ac:dyDescent="0.25">
      <c r="C378" t="s">
        <v>149</v>
      </c>
    </row>
    <row r="380" spans="3:6" x14ac:dyDescent="0.25">
      <c r="D380" t="s">
        <v>172</v>
      </c>
    </row>
    <row r="381" spans="3:6" x14ac:dyDescent="0.25">
      <c r="D381" t="s">
        <v>316</v>
      </c>
    </row>
    <row r="382" spans="3:6" x14ac:dyDescent="0.25">
      <c r="D382" t="s">
        <v>173</v>
      </c>
      <c r="E382" t="s">
        <v>174</v>
      </c>
      <c r="F382" t="s">
        <v>174</v>
      </c>
    </row>
    <row r="383" spans="3:6" x14ac:dyDescent="0.25">
      <c r="D383" t="s">
        <v>175</v>
      </c>
      <c r="E383">
        <v>1</v>
      </c>
      <c r="F383">
        <v>2</v>
      </c>
    </row>
    <row r="384" spans="3:6" x14ac:dyDescent="0.25">
      <c r="D384" t="s">
        <v>176</v>
      </c>
      <c r="E384" t="s">
        <v>349</v>
      </c>
      <c r="F384" t="s">
        <v>349</v>
      </c>
    </row>
    <row r="385" spans="4:6" x14ac:dyDescent="0.25">
      <c r="D385" t="s">
        <v>177</v>
      </c>
      <c r="E385">
        <v>1</v>
      </c>
      <c r="F385">
        <v>2</v>
      </c>
    </row>
    <row r="386" spans="4:6" x14ac:dyDescent="0.25">
      <c r="D386" t="s">
        <v>178</v>
      </c>
      <c r="E386">
        <v>485.44</v>
      </c>
      <c r="F386">
        <v>446.43</v>
      </c>
    </row>
    <row r="387" spans="4:6" x14ac:dyDescent="0.25">
      <c r="D387" t="s">
        <v>179</v>
      </c>
      <c r="E387">
        <v>0</v>
      </c>
      <c r="F387">
        <v>0</v>
      </c>
    </row>
    <row r="388" spans="4:6" x14ac:dyDescent="0.25">
      <c r="D388" t="s">
        <v>180</v>
      </c>
      <c r="E388">
        <v>0</v>
      </c>
      <c r="F388">
        <v>0</v>
      </c>
    </row>
    <row r="389" spans="4:6" x14ac:dyDescent="0.25">
      <c r="D389" t="s">
        <v>181</v>
      </c>
      <c r="E389" t="s">
        <v>182</v>
      </c>
      <c r="F389" t="s">
        <v>182</v>
      </c>
    </row>
    <row r="390" spans="4:6" x14ac:dyDescent="0.25">
      <c r="D390" t="s">
        <v>211</v>
      </c>
    </row>
    <row r="392" spans="4:6" x14ac:dyDescent="0.25">
      <c r="D392" t="s">
        <v>159</v>
      </c>
    </row>
    <row r="393" spans="4:6" x14ac:dyDescent="0.25">
      <c r="D393" t="s">
        <v>160</v>
      </c>
    </row>
    <row r="394" spans="4:6" x14ac:dyDescent="0.25">
      <c r="D394" t="s">
        <v>161</v>
      </c>
      <c r="E394">
        <v>300</v>
      </c>
    </row>
    <row r="395" spans="4:6" x14ac:dyDescent="0.25">
      <c r="D395" t="s">
        <v>212</v>
      </c>
    </row>
    <row r="397" spans="4:6" x14ac:dyDescent="0.25">
      <c r="D397" t="s">
        <v>159</v>
      </c>
    </row>
    <row r="398" spans="4:6" x14ac:dyDescent="0.25">
      <c r="D398" t="s">
        <v>163</v>
      </c>
    </row>
    <row r="399" spans="4:6" x14ac:dyDescent="0.25">
      <c r="D399" t="s">
        <v>355</v>
      </c>
    </row>
    <row r="401" spans="4:5" x14ac:dyDescent="0.25">
      <c r="D401" t="s">
        <v>165</v>
      </c>
    </row>
    <row r="402" spans="4:5" x14ac:dyDescent="0.25">
      <c r="D402" t="s">
        <v>160</v>
      </c>
    </row>
    <row r="403" spans="4:5" x14ac:dyDescent="0.25">
      <c r="D403" t="s">
        <v>166</v>
      </c>
      <c r="E403">
        <v>350</v>
      </c>
    </row>
    <row r="404" spans="4:5" x14ac:dyDescent="0.25">
      <c r="D404" t="s">
        <v>161</v>
      </c>
      <c r="E404">
        <v>200.242718446601</v>
      </c>
    </row>
    <row r="405" spans="4:5" x14ac:dyDescent="0.25">
      <c r="D405" t="s">
        <v>356</v>
      </c>
    </row>
    <row r="407" spans="4:5" x14ac:dyDescent="0.25">
      <c r="D407" t="s">
        <v>325</v>
      </c>
    </row>
    <row r="408" spans="4:5" x14ac:dyDescent="0.25">
      <c r="D408" t="s">
        <v>326</v>
      </c>
    </row>
    <row r="409" spans="4:5" x14ac:dyDescent="0.25">
      <c r="D409" t="s">
        <v>176</v>
      </c>
      <c r="E409" t="s">
        <v>335</v>
      </c>
    </row>
    <row r="410" spans="4:5" x14ac:dyDescent="0.25">
      <c r="D410" t="s">
        <v>173</v>
      </c>
      <c r="E410" t="s">
        <v>334</v>
      </c>
    </row>
    <row r="411" spans="4:5" x14ac:dyDescent="0.25">
      <c r="D411" t="s">
        <v>329</v>
      </c>
      <c r="E411">
        <v>97</v>
      </c>
    </row>
    <row r="412" spans="4:5" x14ac:dyDescent="0.25">
      <c r="D412" t="s">
        <v>330</v>
      </c>
      <c r="E412">
        <v>89</v>
      </c>
    </row>
    <row r="413" spans="4:5" x14ac:dyDescent="0.25">
      <c r="D413" t="s">
        <v>331</v>
      </c>
      <c r="E413">
        <v>0</v>
      </c>
    </row>
    <row r="414" spans="4:5" x14ac:dyDescent="0.25">
      <c r="D414" t="s">
        <v>332</v>
      </c>
      <c r="E414">
        <v>0</v>
      </c>
    </row>
    <row r="415" spans="4:5" x14ac:dyDescent="0.25">
      <c r="D415" t="s">
        <v>357</v>
      </c>
    </row>
    <row r="417" spans="2:5" x14ac:dyDescent="0.25">
      <c r="D417" t="s">
        <v>325</v>
      </c>
    </row>
    <row r="418" spans="2:5" x14ac:dyDescent="0.25">
      <c r="D418" t="s">
        <v>326</v>
      </c>
    </row>
    <row r="419" spans="2:5" x14ac:dyDescent="0.25">
      <c r="D419" t="s">
        <v>176</v>
      </c>
      <c r="E419" t="s">
        <v>328</v>
      </c>
    </row>
    <row r="420" spans="2:5" x14ac:dyDescent="0.25">
      <c r="D420" t="s">
        <v>173</v>
      </c>
      <c r="E420" t="s">
        <v>350</v>
      </c>
    </row>
    <row r="421" spans="2:5" x14ac:dyDescent="0.25">
      <c r="D421" t="s">
        <v>329</v>
      </c>
      <c r="E421">
        <v>85</v>
      </c>
    </row>
    <row r="422" spans="2:5" x14ac:dyDescent="0.25">
      <c r="D422" t="s">
        <v>330</v>
      </c>
      <c r="E422">
        <v>73</v>
      </c>
    </row>
    <row r="423" spans="2:5" x14ac:dyDescent="0.25">
      <c r="D423" t="s">
        <v>331</v>
      </c>
      <c r="E423">
        <v>1</v>
      </c>
    </row>
    <row r="424" spans="2:5" x14ac:dyDescent="0.25">
      <c r="D424" t="s">
        <v>332</v>
      </c>
      <c r="E424">
        <v>1</v>
      </c>
    </row>
    <row r="425" spans="2:5" x14ac:dyDescent="0.25">
      <c r="D425" t="s">
        <v>358</v>
      </c>
    </row>
    <row r="430" spans="2:5" x14ac:dyDescent="0.25">
      <c r="B430" t="s">
        <v>145</v>
      </c>
    </row>
    <row r="431" spans="2:5" x14ac:dyDescent="0.25">
      <c r="B431" t="s">
        <v>213</v>
      </c>
    </row>
    <row r="432" spans="2:5" x14ac:dyDescent="0.25">
      <c r="B432" t="s">
        <v>195</v>
      </c>
    </row>
    <row r="433" spans="2:3" x14ac:dyDescent="0.25">
      <c r="B433" t="s">
        <v>148</v>
      </c>
    </row>
    <row r="435" spans="2:3" x14ac:dyDescent="0.25">
      <c r="C435" t="s">
        <v>149</v>
      </c>
    </row>
    <row r="440" spans="2:3" x14ac:dyDescent="0.25">
      <c r="B440" t="s">
        <v>150</v>
      </c>
    </row>
    <row r="441" spans="2:3" x14ac:dyDescent="0.25">
      <c r="B441" t="s">
        <v>214</v>
      </c>
    </row>
    <row r="442" spans="2:3" x14ac:dyDescent="0.25">
      <c r="B442" t="s">
        <v>197</v>
      </c>
    </row>
    <row r="443" spans="2:3" x14ac:dyDescent="0.25">
      <c r="B443" t="s">
        <v>215</v>
      </c>
    </row>
    <row r="444" spans="2:3" x14ac:dyDescent="0.25">
      <c r="B444" t="s">
        <v>154</v>
      </c>
    </row>
    <row r="445" spans="2:3" x14ac:dyDescent="0.25">
      <c r="B445" t="s">
        <v>155</v>
      </c>
    </row>
    <row r="446" spans="2:3" x14ac:dyDescent="0.25">
      <c r="B446" t="s">
        <v>156</v>
      </c>
    </row>
    <row r="447" spans="2:3" x14ac:dyDescent="0.25">
      <c r="B447" t="s">
        <v>199</v>
      </c>
    </row>
    <row r="449" spans="4:5" x14ac:dyDescent="0.25">
      <c r="D449" t="s">
        <v>325</v>
      </c>
    </row>
    <row r="450" spans="4:5" x14ac:dyDescent="0.25">
      <c r="D450" t="s">
        <v>326</v>
      </c>
    </row>
    <row r="451" spans="4:5" x14ac:dyDescent="0.25">
      <c r="D451" t="s">
        <v>176</v>
      </c>
      <c r="E451" t="s">
        <v>349</v>
      </c>
    </row>
    <row r="452" spans="4:5" x14ac:dyDescent="0.25">
      <c r="D452" t="s">
        <v>173</v>
      </c>
      <c r="E452" t="s">
        <v>328</v>
      </c>
    </row>
    <row r="453" spans="4:5" x14ac:dyDescent="0.25">
      <c r="D453" t="s">
        <v>329</v>
      </c>
      <c r="E453">
        <v>85</v>
      </c>
    </row>
    <row r="454" spans="4:5" x14ac:dyDescent="0.25">
      <c r="D454" t="s">
        <v>330</v>
      </c>
      <c r="E454">
        <v>73</v>
      </c>
    </row>
    <row r="455" spans="4:5" x14ac:dyDescent="0.25">
      <c r="D455" t="s">
        <v>331</v>
      </c>
      <c r="E455">
        <v>0</v>
      </c>
    </row>
    <row r="456" spans="4:5" x14ac:dyDescent="0.25">
      <c r="D456" t="s">
        <v>332</v>
      </c>
      <c r="E456">
        <v>0</v>
      </c>
    </row>
    <row r="457" spans="4:5" x14ac:dyDescent="0.25">
      <c r="D457" t="s">
        <v>216</v>
      </c>
    </row>
    <row r="459" spans="4:5" x14ac:dyDescent="0.25">
      <c r="D459" t="s">
        <v>325</v>
      </c>
    </row>
    <row r="460" spans="4:5" x14ac:dyDescent="0.25">
      <c r="D460" t="s">
        <v>326</v>
      </c>
    </row>
    <row r="461" spans="4:5" x14ac:dyDescent="0.25">
      <c r="D461" t="s">
        <v>176</v>
      </c>
      <c r="E461" t="s">
        <v>334</v>
      </c>
    </row>
    <row r="462" spans="4:5" x14ac:dyDescent="0.25">
      <c r="D462" t="s">
        <v>173</v>
      </c>
      <c r="E462" t="s">
        <v>335</v>
      </c>
    </row>
    <row r="463" spans="4:5" x14ac:dyDescent="0.25">
      <c r="D463" t="s">
        <v>329</v>
      </c>
      <c r="E463">
        <v>97</v>
      </c>
    </row>
    <row r="464" spans="4:5" x14ac:dyDescent="0.25">
      <c r="D464" t="s">
        <v>330</v>
      </c>
      <c r="E464">
        <v>89</v>
      </c>
    </row>
    <row r="465" spans="3:6" x14ac:dyDescent="0.25">
      <c r="D465" t="s">
        <v>331</v>
      </c>
      <c r="E465">
        <v>1</v>
      </c>
    </row>
    <row r="466" spans="3:6" x14ac:dyDescent="0.25">
      <c r="D466" t="s">
        <v>332</v>
      </c>
      <c r="E466">
        <v>0</v>
      </c>
    </row>
    <row r="467" spans="3:6" x14ac:dyDescent="0.25">
      <c r="D467" t="s">
        <v>217</v>
      </c>
    </row>
    <row r="469" spans="3:6" x14ac:dyDescent="0.25">
      <c r="C469" t="s">
        <v>149</v>
      </c>
    </row>
    <row r="471" spans="3:6" x14ac:dyDescent="0.25">
      <c r="D471" t="s">
        <v>172</v>
      </c>
    </row>
    <row r="472" spans="3:6" x14ac:dyDescent="0.25">
      <c r="D472" t="s">
        <v>316</v>
      </c>
    </row>
    <row r="473" spans="3:6" x14ac:dyDescent="0.25">
      <c r="D473" t="s">
        <v>173</v>
      </c>
      <c r="E473" t="s">
        <v>174</v>
      </c>
      <c r="F473" t="s">
        <v>174</v>
      </c>
    </row>
    <row r="474" spans="3:6" x14ac:dyDescent="0.25">
      <c r="D474" t="s">
        <v>175</v>
      </c>
      <c r="E474">
        <v>1</v>
      </c>
      <c r="F474">
        <v>2</v>
      </c>
    </row>
    <row r="475" spans="3:6" x14ac:dyDescent="0.25">
      <c r="D475" t="s">
        <v>176</v>
      </c>
      <c r="E475" t="s">
        <v>350</v>
      </c>
      <c r="F475" t="s">
        <v>350</v>
      </c>
    </row>
    <row r="476" spans="3:6" x14ac:dyDescent="0.25">
      <c r="D476" t="s">
        <v>177</v>
      </c>
      <c r="E476">
        <v>1</v>
      </c>
      <c r="F476">
        <v>2</v>
      </c>
    </row>
    <row r="477" spans="3:6" x14ac:dyDescent="0.25">
      <c r="D477" t="s">
        <v>178</v>
      </c>
      <c r="E477">
        <v>485.44</v>
      </c>
      <c r="F477">
        <v>446.43</v>
      </c>
    </row>
    <row r="478" spans="3:6" x14ac:dyDescent="0.25">
      <c r="D478" t="s">
        <v>179</v>
      </c>
      <c r="E478">
        <v>0</v>
      </c>
      <c r="F478">
        <v>0</v>
      </c>
    </row>
    <row r="479" spans="3:6" x14ac:dyDescent="0.25">
      <c r="D479" t="s">
        <v>180</v>
      </c>
      <c r="E479">
        <v>0</v>
      </c>
      <c r="F479">
        <v>0</v>
      </c>
    </row>
    <row r="480" spans="3:6" x14ac:dyDescent="0.25">
      <c r="D480" t="s">
        <v>181</v>
      </c>
      <c r="E480" t="s">
        <v>182</v>
      </c>
      <c r="F480" t="s">
        <v>182</v>
      </c>
    </row>
    <row r="481" spans="4:5" x14ac:dyDescent="0.25">
      <c r="D481" t="s">
        <v>218</v>
      </c>
    </row>
    <row r="483" spans="4:5" x14ac:dyDescent="0.25">
      <c r="D483" t="s">
        <v>159</v>
      </c>
    </row>
    <row r="484" spans="4:5" x14ac:dyDescent="0.25">
      <c r="D484" t="s">
        <v>160</v>
      </c>
    </row>
    <row r="485" spans="4:5" x14ac:dyDescent="0.25">
      <c r="D485" t="s">
        <v>161</v>
      </c>
      <c r="E485">
        <v>300</v>
      </c>
    </row>
    <row r="486" spans="4:5" x14ac:dyDescent="0.25">
      <c r="D486" t="s">
        <v>219</v>
      </c>
    </row>
    <row r="488" spans="4:5" x14ac:dyDescent="0.25">
      <c r="D488" t="s">
        <v>159</v>
      </c>
    </row>
    <row r="489" spans="4:5" x14ac:dyDescent="0.25">
      <c r="D489" t="s">
        <v>163</v>
      </c>
    </row>
    <row r="490" spans="4:5" x14ac:dyDescent="0.25">
      <c r="D490" t="s">
        <v>359</v>
      </c>
    </row>
    <row r="492" spans="4:5" x14ac:dyDescent="0.25">
      <c r="D492" t="s">
        <v>165</v>
      </c>
    </row>
    <row r="493" spans="4:5" x14ac:dyDescent="0.25">
      <c r="D493" t="s">
        <v>160</v>
      </c>
    </row>
    <row r="494" spans="4:5" x14ac:dyDescent="0.25">
      <c r="D494" t="s">
        <v>166</v>
      </c>
      <c r="E494">
        <v>350</v>
      </c>
    </row>
    <row r="495" spans="4:5" x14ac:dyDescent="0.25">
      <c r="D495" t="s">
        <v>161</v>
      </c>
      <c r="E495">
        <v>200.242718446601</v>
      </c>
    </row>
    <row r="496" spans="4:5" x14ac:dyDescent="0.25">
      <c r="D496" t="s">
        <v>360</v>
      </c>
    </row>
    <row r="498" spans="4:5" x14ac:dyDescent="0.25">
      <c r="D498" t="s">
        <v>325</v>
      </c>
    </row>
    <row r="499" spans="4:5" x14ac:dyDescent="0.25">
      <c r="D499" t="s">
        <v>326</v>
      </c>
    </row>
    <row r="500" spans="4:5" x14ac:dyDescent="0.25">
      <c r="D500" t="s">
        <v>176</v>
      </c>
      <c r="E500" t="s">
        <v>335</v>
      </c>
    </row>
    <row r="501" spans="4:5" x14ac:dyDescent="0.25">
      <c r="D501" t="s">
        <v>173</v>
      </c>
      <c r="E501" t="s">
        <v>334</v>
      </c>
    </row>
    <row r="502" spans="4:5" x14ac:dyDescent="0.25">
      <c r="D502" t="s">
        <v>329</v>
      </c>
      <c r="E502">
        <v>97</v>
      </c>
    </row>
    <row r="503" spans="4:5" x14ac:dyDescent="0.25">
      <c r="D503" t="s">
        <v>330</v>
      </c>
      <c r="E503">
        <v>89</v>
      </c>
    </row>
    <row r="504" spans="4:5" x14ac:dyDescent="0.25">
      <c r="D504" t="s">
        <v>331</v>
      </c>
      <c r="E504">
        <v>0</v>
      </c>
    </row>
    <row r="505" spans="4:5" x14ac:dyDescent="0.25">
      <c r="D505" t="s">
        <v>332</v>
      </c>
      <c r="E505">
        <v>0</v>
      </c>
    </row>
    <row r="506" spans="4:5" x14ac:dyDescent="0.25">
      <c r="D506" t="s">
        <v>361</v>
      </c>
    </row>
    <row r="508" spans="4:5" x14ac:dyDescent="0.25">
      <c r="D508" t="s">
        <v>325</v>
      </c>
    </row>
    <row r="509" spans="4:5" x14ac:dyDescent="0.25">
      <c r="D509" t="s">
        <v>326</v>
      </c>
    </row>
    <row r="510" spans="4:5" x14ac:dyDescent="0.25">
      <c r="D510" t="s">
        <v>176</v>
      </c>
      <c r="E510" t="s">
        <v>328</v>
      </c>
    </row>
    <row r="511" spans="4:5" x14ac:dyDescent="0.25">
      <c r="D511" t="s">
        <v>173</v>
      </c>
      <c r="E511" t="s">
        <v>349</v>
      </c>
    </row>
    <row r="512" spans="4:5" x14ac:dyDescent="0.25">
      <c r="D512" t="s">
        <v>329</v>
      </c>
      <c r="E512">
        <v>85</v>
      </c>
    </row>
    <row r="513" spans="2:5" x14ac:dyDescent="0.25">
      <c r="D513" t="s">
        <v>330</v>
      </c>
      <c r="E513">
        <v>73</v>
      </c>
    </row>
    <row r="514" spans="2:5" x14ac:dyDescent="0.25">
      <c r="D514" t="s">
        <v>331</v>
      </c>
      <c r="E514">
        <v>1</v>
      </c>
    </row>
    <row r="515" spans="2:5" x14ac:dyDescent="0.25">
      <c r="D515" t="s">
        <v>332</v>
      </c>
      <c r="E515">
        <v>1</v>
      </c>
    </row>
    <row r="516" spans="2:5" x14ac:dyDescent="0.25">
      <c r="D516" t="s">
        <v>362</v>
      </c>
    </row>
    <row r="521" spans="2:5" x14ac:dyDescent="0.25">
      <c r="B521" t="s">
        <v>145</v>
      </c>
    </row>
    <row r="522" spans="2:5" x14ac:dyDescent="0.25">
      <c r="B522" t="s">
        <v>220</v>
      </c>
    </row>
    <row r="523" spans="2:5" x14ac:dyDescent="0.25">
      <c r="B523" t="s">
        <v>205</v>
      </c>
    </row>
    <row r="524" spans="2:5" x14ac:dyDescent="0.25">
      <c r="B524" t="s">
        <v>148</v>
      </c>
    </row>
    <row r="526" spans="2:5" x14ac:dyDescent="0.25">
      <c r="C526" t="s">
        <v>149</v>
      </c>
    </row>
    <row r="531" spans="2:5" x14ac:dyDescent="0.25">
      <c r="B531" t="s">
        <v>150</v>
      </c>
    </row>
    <row r="532" spans="2:5" x14ac:dyDescent="0.25">
      <c r="B532" t="s">
        <v>221</v>
      </c>
    </row>
    <row r="533" spans="2:5" x14ac:dyDescent="0.25">
      <c r="B533" t="s">
        <v>207</v>
      </c>
    </row>
    <row r="534" spans="2:5" x14ac:dyDescent="0.25">
      <c r="B534" t="s">
        <v>222</v>
      </c>
    </row>
    <row r="535" spans="2:5" x14ac:dyDescent="0.25">
      <c r="B535" t="s">
        <v>154</v>
      </c>
    </row>
    <row r="536" spans="2:5" x14ac:dyDescent="0.25">
      <c r="B536" t="s">
        <v>155</v>
      </c>
    </row>
    <row r="537" spans="2:5" x14ac:dyDescent="0.25">
      <c r="B537" t="s">
        <v>156</v>
      </c>
    </row>
    <row r="538" spans="2:5" x14ac:dyDescent="0.25">
      <c r="B538" t="s">
        <v>199</v>
      </c>
    </row>
    <row r="540" spans="2:5" x14ac:dyDescent="0.25">
      <c r="D540" t="s">
        <v>325</v>
      </c>
    </row>
    <row r="541" spans="2:5" x14ac:dyDescent="0.25">
      <c r="D541" t="s">
        <v>326</v>
      </c>
    </row>
    <row r="542" spans="2:5" x14ac:dyDescent="0.25">
      <c r="D542" t="s">
        <v>176</v>
      </c>
      <c r="E542" t="s">
        <v>350</v>
      </c>
    </row>
    <row r="543" spans="2:5" x14ac:dyDescent="0.25">
      <c r="D543" t="s">
        <v>173</v>
      </c>
      <c r="E543" t="s">
        <v>328</v>
      </c>
    </row>
    <row r="544" spans="2:5" x14ac:dyDescent="0.25">
      <c r="D544" t="s">
        <v>329</v>
      </c>
      <c r="E544">
        <v>85</v>
      </c>
    </row>
    <row r="545" spans="3:5" x14ac:dyDescent="0.25">
      <c r="D545" t="s">
        <v>330</v>
      </c>
      <c r="E545">
        <v>73</v>
      </c>
    </row>
    <row r="546" spans="3:5" x14ac:dyDescent="0.25">
      <c r="D546" t="s">
        <v>331</v>
      </c>
      <c r="E546">
        <v>0</v>
      </c>
    </row>
    <row r="547" spans="3:5" x14ac:dyDescent="0.25">
      <c r="D547" t="s">
        <v>332</v>
      </c>
      <c r="E547">
        <v>0</v>
      </c>
    </row>
    <row r="548" spans="3:5" x14ac:dyDescent="0.25">
      <c r="D548" t="s">
        <v>223</v>
      </c>
    </row>
    <row r="550" spans="3:5" x14ac:dyDescent="0.25">
      <c r="D550" t="s">
        <v>325</v>
      </c>
    </row>
    <row r="551" spans="3:5" x14ac:dyDescent="0.25">
      <c r="D551" t="s">
        <v>326</v>
      </c>
    </row>
    <row r="552" spans="3:5" x14ac:dyDescent="0.25">
      <c r="D552" t="s">
        <v>176</v>
      </c>
      <c r="E552" t="s">
        <v>334</v>
      </c>
    </row>
    <row r="553" spans="3:5" x14ac:dyDescent="0.25">
      <c r="D553" t="s">
        <v>173</v>
      </c>
      <c r="E553" t="s">
        <v>335</v>
      </c>
    </row>
    <row r="554" spans="3:5" x14ac:dyDescent="0.25">
      <c r="D554" t="s">
        <v>329</v>
      </c>
      <c r="E554">
        <v>97</v>
      </c>
    </row>
    <row r="555" spans="3:5" x14ac:dyDescent="0.25">
      <c r="D555" t="s">
        <v>330</v>
      </c>
      <c r="E555">
        <v>89</v>
      </c>
    </row>
    <row r="556" spans="3:5" x14ac:dyDescent="0.25">
      <c r="D556" t="s">
        <v>331</v>
      </c>
      <c r="E556">
        <v>1</v>
      </c>
    </row>
    <row r="557" spans="3:5" x14ac:dyDescent="0.25">
      <c r="D557" t="s">
        <v>332</v>
      </c>
      <c r="E557">
        <v>0</v>
      </c>
    </row>
    <row r="558" spans="3:5" x14ac:dyDescent="0.25">
      <c r="D558" t="s">
        <v>224</v>
      </c>
    </row>
    <row r="560" spans="3:5" x14ac:dyDescent="0.25">
      <c r="C560" t="s">
        <v>149</v>
      </c>
    </row>
    <row r="562" spans="4:6" x14ac:dyDescent="0.25">
      <c r="D562" t="s">
        <v>172</v>
      </c>
    </row>
    <row r="563" spans="4:6" x14ac:dyDescent="0.25">
      <c r="D563" t="s">
        <v>316</v>
      </c>
    </row>
    <row r="564" spans="4:6" x14ac:dyDescent="0.25">
      <c r="D564" t="s">
        <v>173</v>
      </c>
      <c r="E564" t="s">
        <v>174</v>
      </c>
      <c r="F564" t="s">
        <v>174</v>
      </c>
    </row>
    <row r="565" spans="4:6" x14ac:dyDescent="0.25">
      <c r="D565" t="s">
        <v>175</v>
      </c>
      <c r="E565">
        <v>1</v>
      </c>
      <c r="F565">
        <v>2</v>
      </c>
    </row>
    <row r="566" spans="4:6" x14ac:dyDescent="0.25">
      <c r="D566" t="s">
        <v>176</v>
      </c>
      <c r="E566" t="s">
        <v>349</v>
      </c>
      <c r="F566" t="s">
        <v>349</v>
      </c>
    </row>
    <row r="567" spans="4:6" x14ac:dyDescent="0.25">
      <c r="D567" t="s">
        <v>177</v>
      </c>
      <c r="E567">
        <v>1</v>
      </c>
      <c r="F567">
        <v>2</v>
      </c>
    </row>
    <row r="568" spans="4:6" x14ac:dyDescent="0.25">
      <c r="D568" t="s">
        <v>178</v>
      </c>
      <c r="E568">
        <v>485.44</v>
      </c>
      <c r="F568">
        <v>446.43</v>
      </c>
    </row>
    <row r="569" spans="4:6" x14ac:dyDescent="0.25">
      <c r="D569" t="s">
        <v>179</v>
      </c>
      <c r="E569">
        <v>0</v>
      </c>
      <c r="F569">
        <v>0</v>
      </c>
    </row>
    <row r="570" spans="4:6" x14ac:dyDescent="0.25">
      <c r="D570" t="s">
        <v>180</v>
      </c>
      <c r="E570">
        <v>0</v>
      </c>
      <c r="F570">
        <v>0</v>
      </c>
    </row>
    <row r="571" spans="4:6" x14ac:dyDescent="0.25">
      <c r="D571" t="s">
        <v>181</v>
      </c>
      <c r="E571" t="s">
        <v>182</v>
      </c>
      <c r="F571" t="s">
        <v>182</v>
      </c>
    </row>
    <row r="572" spans="4:6" x14ac:dyDescent="0.25">
      <c r="D572" t="s">
        <v>225</v>
      </c>
    </row>
    <row r="574" spans="4:6" x14ac:dyDescent="0.25">
      <c r="D574" t="s">
        <v>159</v>
      </c>
    </row>
    <row r="575" spans="4:6" x14ac:dyDescent="0.25">
      <c r="D575" t="s">
        <v>160</v>
      </c>
    </row>
    <row r="576" spans="4:6" x14ac:dyDescent="0.25">
      <c r="D576" t="s">
        <v>161</v>
      </c>
      <c r="E576">
        <v>300</v>
      </c>
    </row>
    <row r="577" spans="4:5" x14ac:dyDescent="0.25">
      <c r="D577" t="s">
        <v>226</v>
      </c>
    </row>
    <row r="579" spans="4:5" x14ac:dyDescent="0.25">
      <c r="D579" t="s">
        <v>159</v>
      </c>
    </row>
    <row r="580" spans="4:5" x14ac:dyDescent="0.25">
      <c r="D580" t="s">
        <v>163</v>
      </c>
    </row>
    <row r="581" spans="4:5" x14ac:dyDescent="0.25">
      <c r="D581" t="s">
        <v>363</v>
      </c>
    </row>
    <row r="583" spans="4:5" x14ac:dyDescent="0.25">
      <c r="D583" t="s">
        <v>165</v>
      </c>
    </row>
    <row r="584" spans="4:5" x14ac:dyDescent="0.25">
      <c r="D584" t="s">
        <v>160</v>
      </c>
    </row>
    <row r="585" spans="4:5" x14ac:dyDescent="0.25">
      <c r="D585" t="s">
        <v>166</v>
      </c>
      <c r="E585">
        <v>350</v>
      </c>
    </row>
    <row r="586" spans="4:5" x14ac:dyDescent="0.25">
      <c r="D586" t="s">
        <v>161</v>
      </c>
      <c r="E586">
        <v>200.242718446601</v>
      </c>
    </row>
    <row r="587" spans="4:5" x14ac:dyDescent="0.25">
      <c r="D587" t="s">
        <v>364</v>
      </c>
    </row>
    <row r="589" spans="4:5" x14ac:dyDescent="0.25">
      <c r="D589" t="s">
        <v>325</v>
      </c>
    </row>
    <row r="590" spans="4:5" x14ac:dyDescent="0.25">
      <c r="D590" t="s">
        <v>326</v>
      </c>
    </row>
    <row r="591" spans="4:5" x14ac:dyDescent="0.25">
      <c r="D591" t="s">
        <v>176</v>
      </c>
      <c r="E591" t="s">
        <v>335</v>
      </c>
    </row>
    <row r="592" spans="4:5" x14ac:dyDescent="0.25">
      <c r="D592" t="s">
        <v>173</v>
      </c>
      <c r="E592" t="s">
        <v>334</v>
      </c>
    </row>
    <row r="593" spans="4:5" x14ac:dyDescent="0.25">
      <c r="D593" t="s">
        <v>329</v>
      </c>
      <c r="E593">
        <v>97</v>
      </c>
    </row>
    <row r="594" spans="4:5" x14ac:dyDescent="0.25">
      <c r="D594" t="s">
        <v>330</v>
      </c>
      <c r="E594">
        <v>89</v>
      </c>
    </row>
    <row r="595" spans="4:5" x14ac:dyDescent="0.25">
      <c r="D595" t="s">
        <v>331</v>
      </c>
      <c r="E595">
        <v>0</v>
      </c>
    </row>
    <row r="596" spans="4:5" x14ac:dyDescent="0.25">
      <c r="D596" t="s">
        <v>332</v>
      </c>
      <c r="E596">
        <v>0</v>
      </c>
    </row>
    <row r="597" spans="4:5" x14ac:dyDescent="0.25">
      <c r="D597" t="s">
        <v>365</v>
      </c>
    </row>
    <row r="599" spans="4:5" x14ac:dyDescent="0.25">
      <c r="D599" t="s">
        <v>325</v>
      </c>
    </row>
    <row r="600" spans="4:5" x14ac:dyDescent="0.25">
      <c r="D600" t="s">
        <v>326</v>
      </c>
    </row>
    <row r="601" spans="4:5" x14ac:dyDescent="0.25">
      <c r="D601" t="s">
        <v>176</v>
      </c>
      <c r="E601" t="s">
        <v>328</v>
      </c>
    </row>
    <row r="602" spans="4:5" x14ac:dyDescent="0.25">
      <c r="D602" t="s">
        <v>173</v>
      </c>
      <c r="E602" t="s">
        <v>350</v>
      </c>
    </row>
    <row r="603" spans="4:5" x14ac:dyDescent="0.25">
      <c r="D603" t="s">
        <v>329</v>
      </c>
      <c r="E603">
        <v>85</v>
      </c>
    </row>
    <row r="604" spans="4:5" x14ac:dyDescent="0.25">
      <c r="D604" t="s">
        <v>330</v>
      </c>
      <c r="E604">
        <v>73</v>
      </c>
    </row>
    <row r="605" spans="4:5" x14ac:dyDescent="0.25">
      <c r="D605" t="s">
        <v>331</v>
      </c>
      <c r="E605">
        <v>1</v>
      </c>
    </row>
    <row r="606" spans="4:5" x14ac:dyDescent="0.25">
      <c r="D606" t="s">
        <v>332</v>
      </c>
      <c r="E606">
        <v>1</v>
      </c>
    </row>
    <row r="607" spans="4:5" x14ac:dyDescent="0.25">
      <c r="D607" t="s">
        <v>366</v>
      </c>
    </row>
    <row r="612" spans="2:3" x14ac:dyDescent="0.25">
      <c r="B612" t="s">
        <v>145</v>
      </c>
    </row>
    <row r="613" spans="2:3" x14ac:dyDescent="0.25">
      <c r="B613" t="s">
        <v>227</v>
      </c>
    </row>
    <row r="614" spans="2:3" x14ac:dyDescent="0.25">
      <c r="B614" t="s">
        <v>228</v>
      </c>
    </row>
    <row r="615" spans="2:3" x14ac:dyDescent="0.25">
      <c r="B615" t="s">
        <v>148</v>
      </c>
    </row>
    <row r="617" spans="2:3" x14ac:dyDescent="0.25">
      <c r="C617" t="s">
        <v>149</v>
      </c>
    </row>
    <row r="622" spans="2:3" x14ac:dyDescent="0.25">
      <c r="B622" t="s">
        <v>150</v>
      </c>
    </row>
    <row r="623" spans="2:3" x14ac:dyDescent="0.25">
      <c r="B623" t="s">
        <v>229</v>
      </c>
    </row>
    <row r="624" spans="2:3" x14ac:dyDescent="0.25">
      <c r="B624" t="s">
        <v>230</v>
      </c>
    </row>
    <row r="625" spans="2:5" x14ac:dyDescent="0.25">
      <c r="B625" t="s">
        <v>231</v>
      </c>
    </row>
    <row r="626" spans="2:5" x14ac:dyDescent="0.25">
      <c r="B626" t="s">
        <v>154</v>
      </c>
    </row>
    <row r="627" spans="2:5" x14ac:dyDescent="0.25">
      <c r="B627" t="s">
        <v>155</v>
      </c>
    </row>
    <row r="628" spans="2:5" x14ac:dyDescent="0.25">
      <c r="B628" t="s">
        <v>156</v>
      </c>
    </row>
    <row r="629" spans="2:5" x14ac:dyDescent="0.25">
      <c r="B629" t="s">
        <v>232</v>
      </c>
    </row>
    <row r="631" spans="2:5" x14ac:dyDescent="0.25">
      <c r="D631" t="s">
        <v>325</v>
      </c>
    </row>
    <row r="632" spans="2:5" x14ac:dyDescent="0.25">
      <c r="D632" t="s">
        <v>326</v>
      </c>
    </row>
    <row r="633" spans="2:5" x14ac:dyDescent="0.25">
      <c r="D633" t="s">
        <v>176</v>
      </c>
      <c r="E633" t="s">
        <v>367</v>
      </c>
    </row>
    <row r="634" spans="2:5" x14ac:dyDescent="0.25">
      <c r="D634" t="s">
        <v>173</v>
      </c>
      <c r="E634" t="s">
        <v>328</v>
      </c>
    </row>
    <row r="635" spans="2:5" x14ac:dyDescent="0.25">
      <c r="D635" t="s">
        <v>329</v>
      </c>
      <c r="E635">
        <v>85</v>
      </c>
    </row>
    <row r="636" spans="2:5" x14ac:dyDescent="0.25">
      <c r="D636" t="s">
        <v>330</v>
      </c>
      <c r="E636">
        <v>73</v>
      </c>
    </row>
    <row r="637" spans="2:5" x14ac:dyDescent="0.25">
      <c r="D637" t="s">
        <v>331</v>
      </c>
      <c r="E637">
        <v>0</v>
      </c>
    </row>
    <row r="638" spans="2:5" x14ac:dyDescent="0.25">
      <c r="D638" t="s">
        <v>332</v>
      </c>
      <c r="E638">
        <v>0</v>
      </c>
    </row>
    <row r="639" spans="2:5" x14ac:dyDescent="0.25">
      <c r="D639" t="s">
        <v>233</v>
      </c>
    </row>
    <row r="641" spans="3:6" x14ac:dyDescent="0.25">
      <c r="D641" t="s">
        <v>325</v>
      </c>
    </row>
    <row r="642" spans="3:6" x14ac:dyDescent="0.25">
      <c r="D642" t="s">
        <v>326</v>
      </c>
    </row>
    <row r="643" spans="3:6" x14ac:dyDescent="0.25">
      <c r="D643" t="s">
        <v>176</v>
      </c>
      <c r="E643" t="s">
        <v>334</v>
      </c>
    </row>
    <row r="644" spans="3:6" x14ac:dyDescent="0.25">
      <c r="D644" t="s">
        <v>173</v>
      </c>
      <c r="E644" t="s">
        <v>335</v>
      </c>
    </row>
    <row r="645" spans="3:6" x14ac:dyDescent="0.25">
      <c r="D645" t="s">
        <v>329</v>
      </c>
      <c r="E645">
        <v>97</v>
      </c>
    </row>
    <row r="646" spans="3:6" x14ac:dyDescent="0.25">
      <c r="D646" t="s">
        <v>330</v>
      </c>
      <c r="E646">
        <v>89</v>
      </c>
    </row>
    <row r="647" spans="3:6" x14ac:dyDescent="0.25">
      <c r="D647" t="s">
        <v>331</v>
      </c>
      <c r="E647">
        <v>1</v>
      </c>
    </row>
    <row r="648" spans="3:6" x14ac:dyDescent="0.25">
      <c r="D648" t="s">
        <v>332</v>
      </c>
      <c r="E648">
        <v>0</v>
      </c>
    </row>
    <row r="649" spans="3:6" x14ac:dyDescent="0.25">
      <c r="D649" t="s">
        <v>234</v>
      </c>
    </row>
    <row r="651" spans="3:6" x14ac:dyDescent="0.25">
      <c r="C651" t="s">
        <v>149</v>
      </c>
    </row>
    <row r="653" spans="3:6" x14ac:dyDescent="0.25">
      <c r="D653" t="s">
        <v>172</v>
      </c>
    </row>
    <row r="654" spans="3:6" x14ac:dyDescent="0.25">
      <c r="D654" t="s">
        <v>316</v>
      </c>
    </row>
    <row r="655" spans="3:6" x14ac:dyDescent="0.25">
      <c r="D655" t="s">
        <v>173</v>
      </c>
      <c r="E655" t="s">
        <v>174</v>
      </c>
      <c r="F655" t="s">
        <v>174</v>
      </c>
    </row>
    <row r="656" spans="3:6" x14ac:dyDescent="0.25">
      <c r="D656" t="s">
        <v>175</v>
      </c>
      <c r="E656">
        <v>1</v>
      </c>
      <c r="F656">
        <v>2</v>
      </c>
    </row>
    <row r="657" spans="4:6" x14ac:dyDescent="0.25">
      <c r="D657" t="s">
        <v>176</v>
      </c>
      <c r="E657" t="s">
        <v>340</v>
      </c>
      <c r="F657" t="s">
        <v>340</v>
      </c>
    </row>
    <row r="658" spans="4:6" x14ac:dyDescent="0.25">
      <c r="D658" t="s">
        <v>177</v>
      </c>
      <c r="E658">
        <v>1</v>
      </c>
      <c r="F658">
        <v>2</v>
      </c>
    </row>
    <row r="659" spans="4:6" x14ac:dyDescent="0.25">
      <c r="D659" t="s">
        <v>178</v>
      </c>
      <c r="E659">
        <v>150</v>
      </c>
      <c r="F659">
        <v>150</v>
      </c>
    </row>
    <row r="660" spans="4:6" x14ac:dyDescent="0.25">
      <c r="D660" t="s">
        <v>179</v>
      </c>
      <c r="E660">
        <v>0</v>
      </c>
      <c r="F660">
        <v>0</v>
      </c>
    </row>
    <row r="661" spans="4:6" x14ac:dyDescent="0.25">
      <c r="D661" t="s">
        <v>180</v>
      </c>
      <c r="E661">
        <v>0</v>
      </c>
      <c r="F661">
        <v>0</v>
      </c>
    </row>
    <row r="662" spans="4:6" x14ac:dyDescent="0.25">
      <c r="D662" t="s">
        <v>181</v>
      </c>
      <c r="E662" t="s">
        <v>182</v>
      </c>
      <c r="F662" t="s">
        <v>182</v>
      </c>
    </row>
    <row r="663" spans="4:6" x14ac:dyDescent="0.25">
      <c r="D663" t="s">
        <v>235</v>
      </c>
    </row>
    <row r="665" spans="4:6" x14ac:dyDescent="0.25">
      <c r="D665" t="s">
        <v>159</v>
      </c>
    </row>
    <row r="666" spans="4:6" x14ac:dyDescent="0.25">
      <c r="D666" t="s">
        <v>160</v>
      </c>
    </row>
    <row r="667" spans="4:6" x14ac:dyDescent="0.25">
      <c r="D667" t="s">
        <v>161</v>
      </c>
      <c r="E667">
        <v>300</v>
      </c>
    </row>
    <row r="668" spans="4:6" x14ac:dyDescent="0.25">
      <c r="D668" t="s">
        <v>236</v>
      </c>
    </row>
    <row r="670" spans="4:6" x14ac:dyDescent="0.25">
      <c r="D670" t="s">
        <v>159</v>
      </c>
    </row>
    <row r="671" spans="4:6" x14ac:dyDescent="0.25">
      <c r="D671" t="s">
        <v>163</v>
      </c>
    </row>
    <row r="672" spans="4:6" x14ac:dyDescent="0.25">
      <c r="D672" t="s">
        <v>368</v>
      </c>
    </row>
    <row r="674" spans="4:5" x14ac:dyDescent="0.25">
      <c r="D674" t="s">
        <v>165</v>
      </c>
    </row>
    <row r="675" spans="4:5" x14ac:dyDescent="0.25">
      <c r="D675" t="s">
        <v>160</v>
      </c>
    </row>
    <row r="676" spans="4:5" x14ac:dyDescent="0.25">
      <c r="D676" t="s">
        <v>166</v>
      </c>
      <c r="E676">
        <v>350</v>
      </c>
    </row>
    <row r="677" spans="4:5" x14ac:dyDescent="0.25">
      <c r="D677" t="s">
        <v>161</v>
      </c>
      <c r="E677">
        <v>61.875</v>
      </c>
    </row>
    <row r="678" spans="4:5" x14ac:dyDescent="0.25">
      <c r="D678" t="s">
        <v>369</v>
      </c>
    </row>
    <row r="680" spans="4:5" x14ac:dyDescent="0.25">
      <c r="D680" t="s">
        <v>325</v>
      </c>
    </row>
    <row r="681" spans="4:5" x14ac:dyDescent="0.25">
      <c r="D681" t="s">
        <v>326</v>
      </c>
    </row>
    <row r="682" spans="4:5" x14ac:dyDescent="0.25">
      <c r="D682" t="s">
        <v>176</v>
      </c>
      <c r="E682" t="s">
        <v>335</v>
      </c>
    </row>
    <row r="683" spans="4:5" x14ac:dyDescent="0.25">
      <c r="D683" t="s">
        <v>173</v>
      </c>
      <c r="E683" t="s">
        <v>334</v>
      </c>
    </row>
    <row r="684" spans="4:5" x14ac:dyDescent="0.25">
      <c r="D684" t="s">
        <v>329</v>
      </c>
      <c r="E684">
        <v>97</v>
      </c>
    </row>
    <row r="685" spans="4:5" x14ac:dyDescent="0.25">
      <c r="D685" t="s">
        <v>330</v>
      </c>
      <c r="E685">
        <v>89</v>
      </c>
    </row>
    <row r="686" spans="4:5" x14ac:dyDescent="0.25">
      <c r="D686" t="s">
        <v>331</v>
      </c>
      <c r="E686">
        <v>0</v>
      </c>
    </row>
    <row r="687" spans="4:5" x14ac:dyDescent="0.25">
      <c r="D687" t="s">
        <v>332</v>
      </c>
      <c r="E687">
        <v>0</v>
      </c>
    </row>
    <row r="688" spans="4:5" x14ac:dyDescent="0.25">
      <c r="D688" t="s">
        <v>370</v>
      </c>
    </row>
    <row r="690" spans="2:5" x14ac:dyDescent="0.25">
      <c r="D690" t="s">
        <v>325</v>
      </c>
    </row>
    <row r="691" spans="2:5" x14ac:dyDescent="0.25">
      <c r="D691" t="s">
        <v>326</v>
      </c>
    </row>
    <row r="692" spans="2:5" x14ac:dyDescent="0.25">
      <c r="D692" t="s">
        <v>176</v>
      </c>
      <c r="E692" t="s">
        <v>328</v>
      </c>
    </row>
    <row r="693" spans="2:5" x14ac:dyDescent="0.25">
      <c r="D693" t="s">
        <v>173</v>
      </c>
      <c r="E693" t="s">
        <v>367</v>
      </c>
    </row>
    <row r="694" spans="2:5" x14ac:dyDescent="0.25">
      <c r="D694" t="s">
        <v>329</v>
      </c>
      <c r="E694">
        <v>85</v>
      </c>
    </row>
    <row r="695" spans="2:5" x14ac:dyDescent="0.25">
      <c r="D695" t="s">
        <v>330</v>
      </c>
      <c r="E695">
        <v>73</v>
      </c>
    </row>
    <row r="696" spans="2:5" x14ac:dyDescent="0.25">
      <c r="D696" t="s">
        <v>331</v>
      </c>
      <c r="E696">
        <v>1</v>
      </c>
    </row>
    <row r="697" spans="2:5" x14ac:dyDescent="0.25">
      <c r="D697" t="s">
        <v>332</v>
      </c>
      <c r="E697">
        <v>1</v>
      </c>
    </row>
    <row r="698" spans="2:5" x14ac:dyDescent="0.25">
      <c r="D698" t="s">
        <v>371</v>
      </c>
    </row>
    <row r="703" spans="2:5" x14ac:dyDescent="0.25">
      <c r="B703" t="s">
        <v>150</v>
      </c>
    </row>
    <row r="704" spans="2:5" x14ac:dyDescent="0.25">
      <c r="B704" t="s">
        <v>237</v>
      </c>
    </row>
    <row r="705" spans="2:5" x14ac:dyDescent="0.25">
      <c r="B705" t="s">
        <v>238</v>
      </c>
    </row>
    <row r="706" spans="2:5" x14ac:dyDescent="0.25">
      <c r="B706" t="s">
        <v>239</v>
      </c>
    </row>
    <row r="707" spans="2:5" x14ac:dyDescent="0.25">
      <c r="B707" t="s">
        <v>154</v>
      </c>
    </row>
    <row r="708" spans="2:5" x14ac:dyDescent="0.25">
      <c r="B708" t="s">
        <v>155</v>
      </c>
    </row>
    <row r="709" spans="2:5" x14ac:dyDescent="0.25">
      <c r="B709" t="s">
        <v>156</v>
      </c>
    </row>
    <row r="710" spans="2:5" x14ac:dyDescent="0.25">
      <c r="B710" t="s">
        <v>232</v>
      </c>
    </row>
    <row r="712" spans="2:5" x14ac:dyDescent="0.25">
      <c r="D712" t="s">
        <v>325</v>
      </c>
    </row>
    <row r="713" spans="2:5" x14ac:dyDescent="0.25">
      <c r="D713" t="s">
        <v>326</v>
      </c>
    </row>
    <row r="714" spans="2:5" x14ac:dyDescent="0.25">
      <c r="D714" t="s">
        <v>176</v>
      </c>
      <c r="E714" t="s">
        <v>367</v>
      </c>
    </row>
    <row r="715" spans="2:5" x14ac:dyDescent="0.25">
      <c r="D715" t="s">
        <v>173</v>
      </c>
      <c r="E715" t="s">
        <v>328</v>
      </c>
    </row>
    <row r="716" spans="2:5" x14ac:dyDescent="0.25">
      <c r="D716" t="s">
        <v>329</v>
      </c>
      <c r="E716">
        <v>85</v>
      </c>
    </row>
    <row r="717" spans="2:5" x14ac:dyDescent="0.25">
      <c r="D717" t="s">
        <v>330</v>
      </c>
      <c r="E717">
        <v>73</v>
      </c>
    </row>
    <row r="718" spans="2:5" x14ac:dyDescent="0.25">
      <c r="D718" t="s">
        <v>331</v>
      </c>
      <c r="E718">
        <v>0</v>
      </c>
    </row>
    <row r="719" spans="2:5" x14ac:dyDescent="0.25">
      <c r="D719" t="s">
        <v>332</v>
      </c>
      <c r="E719">
        <v>0</v>
      </c>
    </row>
    <row r="720" spans="2:5" x14ac:dyDescent="0.25">
      <c r="D720" t="s">
        <v>240</v>
      </c>
    </row>
    <row r="722" spans="3:6" x14ac:dyDescent="0.25">
      <c r="D722" t="s">
        <v>325</v>
      </c>
    </row>
    <row r="723" spans="3:6" x14ac:dyDescent="0.25">
      <c r="D723" t="s">
        <v>326</v>
      </c>
    </row>
    <row r="724" spans="3:6" x14ac:dyDescent="0.25">
      <c r="D724" t="s">
        <v>176</v>
      </c>
      <c r="E724" t="s">
        <v>334</v>
      </c>
    </row>
    <row r="725" spans="3:6" x14ac:dyDescent="0.25">
      <c r="D725" t="s">
        <v>173</v>
      </c>
      <c r="E725" t="s">
        <v>335</v>
      </c>
    </row>
    <row r="726" spans="3:6" x14ac:dyDescent="0.25">
      <c r="D726" t="s">
        <v>329</v>
      </c>
      <c r="E726">
        <v>97</v>
      </c>
    </row>
    <row r="727" spans="3:6" x14ac:dyDescent="0.25">
      <c r="D727" t="s">
        <v>330</v>
      </c>
      <c r="E727">
        <v>89</v>
      </c>
    </row>
    <row r="728" spans="3:6" x14ac:dyDescent="0.25">
      <c r="D728" t="s">
        <v>331</v>
      </c>
      <c r="E728">
        <v>1</v>
      </c>
    </row>
    <row r="729" spans="3:6" x14ac:dyDescent="0.25">
      <c r="D729" t="s">
        <v>332</v>
      </c>
      <c r="E729">
        <v>0</v>
      </c>
    </row>
    <row r="730" spans="3:6" x14ac:dyDescent="0.25">
      <c r="D730" t="s">
        <v>241</v>
      </c>
    </row>
    <row r="732" spans="3:6" x14ac:dyDescent="0.25">
      <c r="C732" t="s">
        <v>149</v>
      </c>
    </row>
    <row r="734" spans="3:6" x14ac:dyDescent="0.25">
      <c r="D734" t="s">
        <v>172</v>
      </c>
    </row>
    <row r="735" spans="3:6" x14ac:dyDescent="0.25">
      <c r="D735" t="s">
        <v>316</v>
      </c>
    </row>
    <row r="736" spans="3:6" x14ac:dyDescent="0.25">
      <c r="D736" t="s">
        <v>173</v>
      </c>
      <c r="E736" t="s">
        <v>174</v>
      </c>
      <c r="F736" t="s">
        <v>174</v>
      </c>
    </row>
    <row r="737" spans="4:6" x14ac:dyDescent="0.25">
      <c r="D737" t="s">
        <v>175</v>
      </c>
      <c r="E737">
        <v>1</v>
      </c>
      <c r="F737">
        <v>2</v>
      </c>
    </row>
    <row r="738" spans="4:6" x14ac:dyDescent="0.25">
      <c r="D738" t="s">
        <v>176</v>
      </c>
      <c r="E738" t="s">
        <v>372</v>
      </c>
      <c r="F738" t="s">
        <v>372</v>
      </c>
    </row>
    <row r="739" spans="4:6" x14ac:dyDescent="0.25">
      <c r="D739" t="s">
        <v>177</v>
      </c>
      <c r="E739">
        <v>1</v>
      </c>
      <c r="F739">
        <v>2</v>
      </c>
    </row>
    <row r="740" spans="4:6" x14ac:dyDescent="0.25">
      <c r="D740" t="s">
        <v>178</v>
      </c>
      <c r="E740">
        <v>150</v>
      </c>
      <c r="F740">
        <v>150</v>
      </c>
    </row>
    <row r="741" spans="4:6" x14ac:dyDescent="0.25">
      <c r="D741" t="s">
        <v>179</v>
      </c>
      <c r="E741">
        <v>0</v>
      </c>
      <c r="F741">
        <v>0</v>
      </c>
    </row>
    <row r="742" spans="4:6" x14ac:dyDescent="0.25">
      <c r="D742" t="s">
        <v>180</v>
      </c>
      <c r="E742">
        <v>0</v>
      </c>
      <c r="F742">
        <v>0</v>
      </c>
    </row>
    <row r="743" spans="4:6" x14ac:dyDescent="0.25">
      <c r="D743" t="s">
        <v>181</v>
      </c>
      <c r="E743" t="s">
        <v>182</v>
      </c>
      <c r="F743" t="s">
        <v>182</v>
      </c>
    </row>
    <row r="744" spans="4:6" x14ac:dyDescent="0.25">
      <c r="D744" t="s">
        <v>242</v>
      </c>
    </row>
    <row r="746" spans="4:6" x14ac:dyDescent="0.25">
      <c r="D746" t="s">
        <v>159</v>
      </c>
    </row>
    <row r="747" spans="4:6" x14ac:dyDescent="0.25">
      <c r="D747" t="s">
        <v>160</v>
      </c>
    </row>
    <row r="748" spans="4:6" x14ac:dyDescent="0.25">
      <c r="D748" t="s">
        <v>161</v>
      </c>
      <c r="E748">
        <v>300</v>
      </c>
    </row>
    <row r="749" spans="4:6" x14ac:dyDescent="0.25">
      <c r="D749" t="s">
        <v>243</v>
      </c>
    </row>
    <row r="751" spans="4:6" x14ac:dyDescent="0.25">
      <c r="D751" t="s">
        <v>159</v>
      </c>
    </row>
    <row r="752" spans="4:6" x14ac:dyDescent="0.25">
      <c r="D752" t="s">
        <v>163</v>
      </c>
    </row>
    <row r="753" spans="4:5" x14ac:dyDescent="0.25">
      <c r="D753" t="s">
        <v>373</v>
      </c>
    </row>
    <row r="755" spans="4:5" x14ac:dyDescent="0.25">
      <c r="D755" t="s">
        <v>165</v>
      </c>
    </row>
    <row r="756" spans="4:5" x14ac:dyDescent="0.25">
      <c r="D756" t="s">
        <v>160</v>
      </c>
    </row>
    <row r="757" spans="4:5" x14ac:dyDescent="0.25">
      <c r="D757" t="s">
        <v>166</v>
      </c>
      <c r="E757">
        <v>350</v>
      </c>
    </row>
    <row r="758" spans="4:5" x14ac:dyDescent="0.25">
      <c r="D758" t="s">
        <v>161</v>
      </c>
      <c r="E758">
        <v>61.875</v>
      </c>
    </row>
    <row r="759" spans="4:5" x14ac:dyDescent="0.25">
      <c r="D759" t="s">
        <v>374</v>
      </c>
    </row>
    <row r="761" spans="4:5" x14ac:dyDescent="0.25">
      <c r="D761" t="s">
        <v>325</v>
      </c>
    </row>
    <row r="762" spans="4:5" x14ac:dyDescent="0.25">
      <c r="D762" t="s">
        <v>326</v>
      </c>
    </row>
    <row r="763" spans="4:5" x14ac:dyDescent="0.25">
      <c r="D763" t="s">
        <v>176</v>
      </c>
      <c r="E763" t="s">
        <v>335</v>
      </c>
    </row>
    <row r="764" spans="4:5" x14ac:dyDescent="0.25">
      <c r="D764" t="s">
        <v>173</v>
      </c>
      <c r="E764" t="s">
        <v>334</v>
      </c>
    </row>
    <row r="765" spans="4:5" x14ac:dyDescent="0.25">
      <c r="D765" t="s">
        <v>329</v>
      </c>
      <c r="E765">
        <v>97</v>
      </c>
    </row>
    <row r="766" spans="4:5" x14ac:dyDescent="0.25">
      <c r="D766" t="s">
        <v>330</v>
      </c>
      <c r="E766">
        <v>89</v>
      </c>
    </row>
    <row r="767" spans="4:5" x14ac:dyDescent="0.25">
      <c r="D767" t="s">
        <v>331</v>
      </c>
      <c r="E767">
        <v>0</v>
      </c>
    </row>
    <row r="768" spans="4:5" x14ac:dyDescent="0.25">
      <c r="D768" t="s">
        <v>332</v>
      </c>
      <c r="E768">
        <v>0</v>
      </c>
    </row>
    <row r="769" spans="2:5" x14ac:dyDescent="0.25">
      <c r="D769" t="s">
        <v>375</v>
      </c>
    </row>
    <row r="771" spans="2:5" x14ac:dyDescent="0.25">
      <c r="D771" t="s">
        <v>325</v>
      </c>
    </row>
    <row r="772" spans="2:5" x14ac:dyDescent="0.25">
      <c r="D772" t="s">
        <v>326</v>
      </c>
    </row>
    <row r="773" spans="2:5" x14ac:dyDescent="0.25">
      <c r="D773" t="s">
        <v>176</v>
      </c>
      <c r="E773" t="s">
        <v>328</v>
      </c>
    </row>
    <row r="774" spans="2:5" x14ac:dyDescent="0.25">
      <c r="D774" t="s">
        <v>173</v>
      </c>
      <c r="E774" t="s">
        <v>367</v>
      </c>
    </row>
    <row r="775" spans="2:5" x14ac:dyDescent="0.25">
      <c r="D775" t="s">
        <v>329</v>
      </c>
      <c r="E775">
        <v>85</v>
      </c>
    </row>
    <row r="776" spans="2:5" x14ac:dyDescent="0.25">
      <c r="D776" t="s">
        <v>330</v>
      </c>
      <c r="E776">
        <v>73</v>
      </c>
    </row>
    <row r="777" spans="2:5" x14ac:dyDescent="0.25">
      <c r="D777" t="s">
        <v>331</v>
      </c>
      <c r="E777">
        <v>1</v>
      </c>
    </row>
    <row r="778" spans="2:5" x14ac:dyDescent="0.25">
      <c r="D778" t="s">
        <v>332</v>
      </c>
      <c r="E778">
        <v>1</v>
      </c>
    </row>
    <row r="779" spans="2:5" x14ac:dyDescent="0.25">
      <c r="D779" t="s">
        <v>376</v>
      </c>
    </row>
    <row r="784" spans="2:5" x14ac:dyDescent="0.25">
      <c r="B784" t="s">
        <v>150</v>
      </c>
    </row>
    <row r="785" spans="2:5" x14ac:dyDescent="0.25">
      <c r="B785" t="s">
        <v>244</v>
      </c>
    </row>
    <row r="786" spans="2:5" x14ac:dyDescent="0.25">
      <c r="B786" t="s">
        <v>245</v>
      </c>
    </row>
    <row r="787" spans="2:5" x14ac:dyDescent="0.25">
      <c r="B787" t="s">
        <v>246</v>
      </c>
    </row>
    <row r="788" spans="2:5" x14ac:dyDescent="0.25">
      <c r="B788" t="s">
        <v>154</v>
      </c>
    </row>
    <row r="789" spans="2:5" x14ac:dyDescent="0.25">
      <c r="B789" t="s">
        <v>155</v>
      </c>
    </row>
    <row r="790" spans="2:5" x14ac:dyDescent="0.25">
      <c r="B790" t="s">
        <v>156</v>
      </c>
    </row>
    <row r="791" spans="2:5" x14ac:dyDescent="0.25">
      <c r="B791" t="s">
        <v>232</v>
      </c>
    </row>
    <row r="793" spans="2:5" x14ac:dyDescent="0.25">
      <c r="D793" t="s">
        <v>325</v>
      </c>
    </row>
    <row r="794" spans="2:5" x14ac:dyDescent="0.25">
      <c r="D794" t="s">
        <v>326</v>
      </c>
    </row>
    <row r="795" spans="2:5" x14ac:dyDescent="0.25">
      <c r="D795" t="s">
        <v>176</v>
      </c>
      <c r="E795" t="s">
        <v>367</v>
      </c>
    </row>
    <row r="796" spans="2:5" x14ac:dyDescent="0.25">
      <c r="D796" t="s">
        <v>173</v>
      </c>
      <c r="E796" t="s">
        <v>328</v>
      </c>
    </row>
    <row r="797" spans="2:5" x14ac:dyDescent="0.25">
      <c r="D797" t="s">
        <v>329</v>
      </c>
      <c r="E797">
        <v>85</v>
      </c>
    </row>
    <row r="798" spans="2:5" x14ac:dyDescent="0.25">
      <c r="D798" t="s">
        <v>330</v>
      </c>
      <c r="E798">
        <v>73</v>
      </c>
    </row>
    <row r="799" spans="2:5" x14ac:dyDescent="0.25">
      <c r="D799" t="s">
        <v>331</v>
      </c>
      <c r="E799">
        <v>0</v>
      </c>
    </row>
    <row r="800" spans="2:5" x14ac:dyDescent="0.25">
      <c r="D800" t="s">
        <v>332</v>
      </c>
      <c r="E800">
        <v>0</v>
      </c>
    </row>
    <row r="801" spans="3:5" x14ac:dyDescent="0.25">
      <c r="D801" t="s">
        <v>247</v>
      </c>
    </row>
    <row r="803" spans="3:5" x14ac:dyDescent="0.25">
      <c r="D803" t="s">
        <v>325</v>
      </c>
    </row>
    <row r="804" spans="3:5" x14ac:dyDescent="0.25">
      <c r="D804" t="s">
        <v>326</v>
      </c>
    </row>
    <row r="805" spans="3:5" x14ac:dyDescent="0.25">
      <c r="D805" t="s">
        <v>176</v>
      </c>
      <c r="E805" t="s">
        <v>334</v>
      </c>
    </row>
    <row r="806" spans="3:5" x14ac:dyDescent="0.25">
      <c r="D806" t="s">
        <v>173</v>
      </c>
      <c r="E806" t="s">
        <v>335</v>
      </c>
    </row>
    <row r="807" spans="3:5" x14ac:dyDescent="0.25">
      <c r="D807" t="s">
        <v>329</v>
      </c>
      <c r="E807">
        <v>97</v>
      </c>
    </row>
    <row r="808" spans="3:5" x14ac:dyDescent="0.25">
      <c r="D808" t="s">
        <v>330</v>
      </c>
      <c r="E808">
        <v>89</v>
      </c>
    </row>
    <row r="809" spans="3:5" x14ac:dyDescent="0.25">
      <c r="D809" t="s">
        <v>331</v>
      </c>
      <c r="E809">
        <v>1</v>
      </c>
    </row>
    <row r="810" spans="3:5" x14ac:dyDescent="0.25">
      <c r="D810" t="s">
        <v>332</v>
      </c>
      <c r="E810">
        <v>0</v>
      </c>
    </row>
    <row r="811" spans="3:5" x14ac:dyDescent="0.25">
      <c r="D811" t="s">
        <v>248</v>
      </c>
    </row>
    <row r="813" spans="3:5" x14ac:dyDescent="0.25">
      <c r="C813" t="s">
        <v>149</v>
      </c>
    </row>
    <row r="815" spans="3:5" x14ac:dyDescent="0.25">
      <c r="D815" t="s">
        <v>172</v>
      </c>
    </row>
    <row r="816" spans="3:5" x14ac:dyDescent="0.25">
      <c r="D816" t="s">
        <v>316</v>
      </c>
    </row>
    <row r="817" spans="4:6" x14ac:dyDescent="0.25">
      <c r="D817" t="s">
        <v>173</v>
      </c>
      <c r="E817" t="s">
        <v>174</v>
      </c>
      <c r="F817" t="s">
        <v>174</v>
      </c>
    </row>
    <row r="818" spans="4:6" x14ac:dyDescent="0.25">
      <c r="D818" t="s">
        <v>175</v>
      </c>
      <c r="E818">
        <v>1</v>
      </c>
      <c r="F818">
        <v>2</v>
      </c>
    </row>
    <row r="819" spans="4:6" x14ac:dyDescent="0.25">
      <c r="D819" t="s">
        <v>176</v>
      </c>
      <c r="E819" t="s">
        <v>372</v>
      </c>
      <c r="F819" t="s">
        <v>372</v>
      </c>
    </row>
    <row r="820" spans="4:6" x14ac:dyDescent="0.25">
      <c r="D820" t="s">
        <v>177</v>
      </c>
      <c r="E820">
        <v>1</v>
      </c>
      <c r="F820">
        <v>2</v>
      </c>
    </row>
    <row r="821" spans="4:6" x14ac:dyDescent="0.25">
      <c r="D821" t="s">
        <v>178</v>
      </c>
      <c r="E821">
        <v>150</v>
      </c>
      <c r="F821">
        <v>150</v>
      </c>
    </row>
    <row r="822" spans="4:6" x14ac:dyDescent="0.25">
      <c r="D822" t="s">
        <v>179</v>
      </c>
      <c r="E822">
        <v>0</v>
      </c>
      <c r="F822">
        <v>0</v>
      </c>
    </row>
    <row r="823" spans="4:6" x14ac:dyDescent="0.25">
      <c r="D823" t="s">
        <v>180</v>
      </c>
      <c r="E823">
        <v>0</v>
      </c>
      <c r="F823">
        <v>0</v>
      </c>
    </row>
    <row r="824" spans="4:6" x14ac:dyDescent="0.25">
      <c r="D824" t="s">
        <v>181</v>
      </c>
      <c r="E824" t="s">
        <v>182</v>
      </c>
      <c r="F824" t="s">
        <v>182</v>
      </c>
    </row>
    <row r="825" spans="4:6" x14ac:dyDescent="0.25">
      <c r="D825" t="s">
        <v>249</v>
      </c>
    </row>
    <row r="827" spans="4:6" x14ac:dyDescent="0.25">
      <c r="D827" t="s">
        <v>159</v>
      </c>
    </row>
    <row r="828" spans="4:6" x14ac:dyDescent="0.25">
      <c r="D828" t="s">
        <v>160</v>
      </c>
    </row>
    <row r="829" spans="4:6" x14ac:dyDescent="0.25">
      <c r="D829" t="s">
        <v>161</v>
      </c>
      <c r="E829">
        <v>300</v>
      </c>
    </row>
    <row r="830" spans="4:6" x14ac:dyDescent="0.25">
      <c r="D830" t="s">
        <v>250</v>
      </c>
    </row>
    <row r="832" spans="4:6" x14ac:dyDescent="0.25">
      <c r="D832" t="s">
        <v>159</v>
      </c>
    </row>
    <row r="833" spans="4:5" x14ac:dyDescent="0.25">
      <c r="D833" t="s">
        <v>163</v>
      </c>
    </row>
    <row r="834" spans="4:5" x14ac:dyDescent="0.25">
      <c r="D834" t="s">
        <v>377</v>
      </c>
    </row>
    <row r="836" spans="4:5" x14ac:dyDescent="0.25">
      <c r="D836" t="s">
        <v>165</v>
      </c>
    </row>
    <row r="837" spans="4:5" x14ac:dyDescent="0.25">
      <c r="D837" t="s">
        <v>160</v>
      </c>
    </row>
    <row r="838" spans="4:5" x14ac:dyDescent="0.25">
      <c r="D838" t="s">
        <v>166</v>
      </c>
      <c r="E838">
        <v>350</v>
      </c>
    </row>
    <row r="839" spans="4:5" x14ac:dyDescent="0.25">
      <c r="D839" t="s">
        <v>161</v>
      </c>
      <c r="E839">
        <v>61.875</v>
      </c>
    </row>
    <row r="840" spans="4:5" x14ac:dyDescent="0.25">
      <c r="D840" t="s">
        <v>378</v>
      </c>
    </row>
    <row r="842" spans="4:5" x14ac:dyDescent="0.25">
      <c r="D842" t="s">
        <v>325</v>
      </c>
    </row>
    <row r="843" spans="4:5" x14ac:dyDescent="0.25">
      <c r="D843" t="s">
        <v>326</v>
      </c>
    </row>
    <row r="844" spans="4:5" x14ac:dyDescent="0.25">
      <c r="D844" t="s">
        <v>176</v>
      </c>
      <c r="E844" t="s">
        <v>335</v>
      </c>
    </row>
    <row r="845" spans="4:5" x14ac:dyDescent="0.25">
      <c r="D845" t="s">
        <v>173</v>
      </c>
      <c r="E845" t="s">
        <v>334</v>
      </c>
    </row>
    <row r="846" spans="4:5" x14ac:dyDescent="0.25">
      <c r="D846" t="s">
        <v>329</v>
      </c>
      <c r="E846">
        <v>97</v>
      </c>
    </row>
    <row r="847" spans="4:5" x14ac:dyDescent="0.25">
      <c r="D847" t="s">
        <v>330</v>
      </c>
      <c r="E847">
        <v>89</v>
      </c>
    </row>
    <row r="848" spans="4:5" x14ac:dyDescent="0.25">
      <c r="D848" t="s">
        <v>331</v>
      </c>
      <c r="E848">
        <v>0</v>
      </c>
    </row>
    <row r="849" spans="4:5" x14ac:dyDescent="0.25">
      <c r="D849" t="s">
        <v>332</v>
      </c>
      <c r="E849">
        <v>0</v>
      </c>
    </row>
    <row r="850" spans="4:5" x14ac:dyDescent="0.25">
      <c r="D850" t="s">
        <v>379</v>
      </c>
    </row>
    <row r="852" spans="4:5" x14ac:dyDescent="0.25">
      <c r="D852" t="s">
        <v>325</v>
      </c>
    </row>
    <row r="853" spans="4:5" x14ac:dyDescent="0.25">
      <c r="D853" t="s">
        <v>326</v>
      </c>
    </row>
    <row r="854" spans="4:5" x14ac:dyDescent="0.25">
      <c r="D854" t="s">
        <v>176</v>
      </c>
      <c r="E854" t="s">
        <v>328</v>
      </c>
    </row>
    <row r="855" spans="4:5" x14ac:dyDescent="0.25">
      <c r="D855" t="s">
        <v>173</v>
      </c>
      <c r="E855" t="s">
        <v>367</v>
      </c>
    </row>
    <row r="856" spans="4:5" x14ac:dyDescent="0.25">
      <c r="D856" t="s">
        <v>329</v>
      </c>
      <c r="E856">
        <v>85</v>
      </c>
    </row>
    <row r="857" spans="4:5" x14ac:dyDescent="0.25">
      <c r="D857" t="s">
        <v>330</v>
      </c>
      <c r="E857">
        <v>73</v>
      </c>
    </row>
    <row r="858" spans="4:5" x14ac:dyDescent="0.25">
      <c r="D858" t="s">
        <v>331</v>
      </c>
      <c r="E858">
        <v>1</v>
      </c>
    </row>
    <row r="859" spans="4:5" x14ac:dyDescent="0.25">
      <c r="D859" t="s">
        <v>332</v>
      </c>
      <c r="E859">
        <v>1</v>
      </c>
    </row>
    <row r="860" spans="4:5" x14ac:dyDescent="0.25">
      <c r="D860" t="s">
        <v>380</v>
      </c>
    </row>
    <row r="865" spans="2:5" x14ac:dyDescent="0.25">
      <c r="B865" t="s">
        <v>150</v>
      </c>
    </row>
    <row r="866" spans="2:5" x14ac:dyDescent="0.25">
      <c r="B866" t="s">
        <v>251</v>
      </c>
    </row>
    <row r="867" spans="2:5" x14ac:dyDescent="0.25">
      <c r="B867" t="s">
        <v>252</v>
      </c>
    </row>
    <row r="868" spans="2:5" x14ac:dyDescent="0.25">
      <c r="B868" t="s">
        <v>253</v>
      </c>
    </row>
    <row r="869" spans="2:5" x14ac:dyDescent="0.25">
      <c r="B869" t="s">
        <v>154</v>
      </c>
    </row>
    <row r="870" spans="2:5" x14ac:dyDescent="0.25">
      <c r="B870" t="s">
        <v>155</v>
      </c>
    </row>
    <row r="871" spans="2:5" x14ac:dyDescent="0.25">
      <c r="B871" t="s">
        <v>156</v>
      </c>
    </row>
    <row r="872" spans="2:5" x14ac:dyDescent="0.25">
      <c r="B872" t="s">
        <v>232</v>
      </c>
    </row>
    <row r="874" spans="2:5" x14ac:dyDescent="0.25">
      <c r="D874" t="s">
        <v>325</v>
      </c>
    </row>
    <row r="875" spans="2:5" x14ac:dyDescent="0.25">
      <c r="D875" t="s">
        <v>326</v>
      </c>
    </row>
    <row r="876" spans="2:5" x14ac:dyDescent="0.25">
      <c r="D876" t="s">
        <v>176</v>
      </c>
      <c r="E876" t="s">
        <v>367</v>
      </c>
    </row>
    <row r="877" spans="2:5" x14ac:dyDescent="0.25">
      <c r="D877" t="s">
        <v>173</v>
      </c>
      <c r="E877" t="s">
        <v>328</v>
      </c>
    </row>
    <row r="878" spans="2:5" x14ac:dyDescent="0.25">
      <c r="D878" t="s">
        <v>329</v>
      </c>
      <c r="E878">
        <v>85</v>
      </c>
    </row>
    <row r="879" spans="2:5" x14ac:dyDescent="0.25">
      <c r="D879" t="s">
        <v>330</v>
      </c>
      <c r="E879">
        <v>73</v>
      </c>
    </row>
    <row r="880" spans="2:5" x14ac:dyDescent="0.25">
      <c r="D880" t="s">
        <v>331</v>
      </c>
      <c r="E880">
        <v>0</v>
      </c>
    </row>
    <row r="881" spans="3:5" x14ac:dyDescent="0.25">
      <c r="D881" t="s">
        <v>332</v>
      </c>
      <c r="E881">
        <v>0</v>
      </c>
    </row>
    <row r="882" spans="3:5" x14ac:dyDescent="0.25">
      <c r="D882" t="s">
        <v>254</v>
      </c>
    </row>
    <row r="884" spans="3:5" x14ac:dyDescent="0.25">
      <c r="D884" t="s">
        <v>325</v>
      </c>
    </row>
    <row r="885" spans="3:5" x14ac:dyDescent="0.25">
      <c r="D885" t="s">
        <v>326</v>
      </c>
    </row>
    <row r="886" spans="3:5" x14ac:dyDescent="0.25">
      <c r="D886" t="s">
        <v>176</v>
      </c>
      <c r="E886" t="s">
        <v>334</v>
      </c>
    </row>
    <row r="887" spans="3:5" x14ac:dyDescent="0.25">
      <c r="D887" t="s">
        <v>173</v>
      </c>
      <c r="E887" t="s">
        <v>335</v>
      </c>
    </row>
    <row r="888" spans="3:5" x14ac:dyDescent="0.25">
      <c r="D888" t="s">
        <v>329</v>
      </c>
      <c r="E888">
        <v>97</v>
      </c>
    </row>
    <row r="889" spans="3:5" x14ac:dyDescent="0.25">
      <c r="D889" t="s">
        <v>330</v>
      </c>
      <c r="E889">
        <v>89</v>
      </c>
    </row>
    <row r="890" spans="3:5" x14ac:dyDescent="0.25">
      <c r="D890" t="s">
        <v>331</v>
      </c>
      <c r="E890">
        <v>1</v>
      </c>
    </row>
    <row r="891" spans="3:5" x14ac:dyDescent="0.25">
      <c r="D891" t="s">
        <v>332</v>
      </c>
      <c r="E891">
        <v>0</v>
      </c>
    </row>
    <row r="892" spans="3:5" x14ac:dyDescent="0.25">
      <c r="D892" t="s">
        <v>255</v>
      </c>
    </row>
    <row r="894" spans="3:5" x14ac:dyDescent="0.25">
      <c r="C894" t="s">
        <v>149</v>
      </c>
    </row>
    <row r="896" spans="3:5" x14ac:dyDescent="0.25">
      <c r="D896" t="s">
        <v>172</v>
      </c>
    </row>
    <row r="897" spans="4:6" x14ac:dyDescent="0.25">
      <c r="D897" t="s">
        <v>316</v>
      </c>
    </row>
    <row r="898" spans="4:6" x14ac:dyDescent="0.25">
      <c r="D898" t="s">
        <v>173</v>
      </c>
      <c r="E898" t="s">
        <v>174</v>
      </c>
      <c r="F898" t="s">
        <v>174</v>
      </c>
    </row>
    <row r="899" spans="4:6" x14ac:dyDescent="0.25">
      <c r="D899" t="s">
        <v>175</v>
      </c>
      <c r="E899">
        <v>1</v>
      </c>
      <c r="F899">
        <v>2</v>
      </c>
    </row>
    <row r="900" spans="4:6" x14ac:dyDescent="0.25">
      <c r="D900" t="s">
        <v>176</v>
      </c>
      <c r="E900" t="s">
        <v>381</v>
      </c>
      <c r="F900" t="s">
        <v>381</v>
      </c>
    </row>
    <row r="901" spans="4:6" x14ac:dyDescent="0.25">
      <c r="D901" t="s">
        <v>177</v>
      </c>
      <c r="E901">
        <v>1</v>
      </c>
      <c r="F901">
        <v>2</v>
      </c>
    </row>
    <row r="902" spans="4:6" x14ac:dyDescent="0.25">
      <c r="D902" t="s">
        <v>178</v>
      </c>
      <c r="E902">
        <v>150</v>
      </c>
      <c r="F902">
        <v>150</v>
      </c>
    </row>
    <row r="903" spans="4:6" x14ac:dyDescent="0.25">
      <c r="D903" t="s">
        <v>179</v>
      </c>
      <c r="E903">
        <v>0</v>
      </c>
      <c r="F903">
        <v>0</v>
      </c>
    </row>
    <row r="904" spans="4:6" x14ac:dyDescent="0.25">
      <c r="D904" t="s">
        <v>180</v>
      </c>
      <c r="E904">
        <v>0</v>
      </c>
      <c r="F904">
        <v>0</v>
      </c>
    </row>
    <row r="905" spans="4:6" x14ac:dyDescent="0.25">
      <c r="D905" t="s">
        <v>181</v>
      </c>
      <c r="E905" t="s">
        <v>182</v>
      </c>
      <c r="F905" t="s">
        <v>182</v>
      </c>
    </row>
    <row r="906" spans="4:6" x14ac:dyDescent="0.25">
      <c r="D906" t="s">
        <v>256</v>
      </c>
    </row>
    <row r="908" spans="4:6" x14ac:dyDescent="0.25">
      <c r="D908" t="s">
        <v>159</v>
      </c>
    </row>
    <row r="909" spans="4:6" x14ac:dyDescent="0.25">
      <c r="D909" t="s">
        <v>160</v>
      </c>
    </row>
    <row r="910" spans="4:6" x14ac:dyDescent="0.25">
      <c r="D910" t="s">
        <v>161</v>
      </c>
      <c r="E910">
        <v>300</v>
      </c>
    </row>
    <row r="911" spans="4:6" x14ac:dyDescent="0.25">
      <c r="D911" t="s">
        <v>257</v>
      </c>
    </row>
    <row r="913" spans="4:5" x14ac:dyDescent="0.25">
      <c r="D913" t="s">
        <v>159</v>
      </c>
    </row>
    <row r="914" spans="4:5" x14ac:dyDescent="0.25">
      <c r="D914" t="s">
        <v>163</v>
      </c>
    </row>
    <row r="915" spans="4:5" x14ac:dyDescent="0.25">
      <c r="D915" t="s">
        <v>382</v>
      </c>
    </row>
    <row r="917" spans="4:5" x14ac:dyDescent="0.25">
      <c r="D917" t="s">
        <v>165</v>
      </c>
    </row>
    <row r="918" spans="4:5" x14ac:dyDescent="0.25">
      <c r="D918" t="s">
        <v>160</v>
      </c>
    </row>
    <row r="919" spans="4:5" x14ac:dyDescent="0.25">
      <c r="D919" t="s">
        <v>166</v>
      </c>
      <c r="E919">
        <v>350</v>
      </c>
    </row>
    <row r="920" spans="4:5" x14ac:dyDescent="0.25">
      <c r="D920" t="s">
        <v>161</v>
      </c>
      <c r="E920">
        <v>61.875</v>
      </c>
    </row>
    <row r="921" spans="4:5" x14ac:dyDescent="0.25">
      <c r="D921" t="s">
        <v>383</v>
      </c>
    </row>
    <row r="923" spans="4:5" x14ac:dyDescent="0.25">
      <c r="D923" t="s">
        <v>325</v>
      </c>
    </row>
    <row r="924" spans="4:5" x14ac:dyDescent="0.25">
      <c r="D924" t="s">
        <v>326</v>
      </c>
    </row>
    <row r="925" spans="4:5" x14ac:dyDescent="0.25">
      <c r="D925" t="s">
        <v>176</v>
      </c>
      <c r="E925" t="s">
        <v>335</v>
      </c>
    </row>
    <row r="926" spans="4:5" x14ac:dyDescent="0.25">
      <c r="D926" t="s">
        <v>173</v>
      </c>
      <c r="E926" t="s">
        <v>334</v>
      </c>
    </row>
    <row r="927" spans="4:5" x14ac:dyDescent="0.25">
      <c r="D927" t="s">
        <v>329</v>
      </c>
      <c r="E927">
        <v>97</v>
      </c>
    </row>
    <row r="928" spans="4:5" x14ac:dyDescent="0.25">
      <c r="D928" t="s">
        <v>330</v>
      </c>
      <c r="E928">
        <v>89</v>
      </c>
    </row>
    <row r="929" spans="4:5" x14ac:dyDescent="0.25">
      <c r="D929" t="s">
        <v>331</v>
      </c>
      <c r="E929">
        <v>0</v>
      </c>
    </row>
    <row r="930" spans="4:5" x14ac:dyDescent="0.25">
      <c r="D930" t="s">
        <v>332</v>
      </c>
      <c r="E930">
        <v>0</v>
      </c>
    </row>
    <row r="931" spans="4:5" x14ac:dyDescent="0.25">
      <c r="D931" t="s">
        <v>384</v>
      </c>
    </row>
    <row r="933" spans="4:5" x14ac:dyDescent="0.25">
      <c r="D933" t="s">
        <v>325</v>
      </c>
    </row>
    <row r="934" spans="4:5" x14ac:dyDescent="0.25">
      <c r="D934" t="s">
        <v>326</v>
      </c>
    </row>
    <row r="935" spans="4:5" x14ac:dyDescent="0.25">
      <c r="D935" t="s">
        <v>176</v>
      </c>
      <c r="E935" t="s">
        <v>328</v>
      </c>
    </row>
    <row r="936" spans="4:5" x14ac:dyDescent="0.25">
      <c r="D936" t="s">
        <v>173</v>
      </c>
      <c r="E936" t="s">
        <v>367</v>
      </c>
    </row>
    <row r="937" spans="4:5" x14ac:dyDescent="0.25">
      <c r="D937" t="s">
        <v>329</v>
      </c>
      <c r="E937">
        <v>85</v>
      </c>
    </row>
    <row r="938" spans="4:5" x14ac:dyDescent="0.25">
      <c r="D938" t="s">
        <v>330</v>
      </c>
      <c r="E938">
        <v>73</v>
      </c>
    </row>
    <row r="939" spans="4:5" x14ac:dyDescent="0.25">
      <c r="D939" t="s">
        <v>331</v>
      </c>
      <c r="E939">
        <v>1</v>
      </c>
    </row>
    <row r="940" spans="4:5" x14ac:dyDescent="0.25">
      <c r="D940" t="s">
        <v>332</v>
      </c>
      <c r="E940">
        <v>1</v>
      </c>
    </row>
    <row r="941" spans="4:5" x14ac:dyDescent="0.25">
      <c r="D941" t="s">
        <v>385</v>
      </c>
    </row>
    <row r="946" spans="2:5" x14ac:dyDescent="0.25">
      <c r="B946" t="s">
        <v>150</v>
      </c>
    </row>
    <row r="947" spans="2:5" x14ac:dyDescent="0.25">
      <c r="B947" t="s">
        <v>258</v>
      </c>
    </row>
    <row r="948" spans="2:5" x14ac:dyDescent="0.25">
      <c r="B948" t="s">
        <v>259</v>
      </c>
    </row>
    <row r="949" spans="2:5" x14ac:dyDescent="0.25">
      <c r="B949" t="s">
        <v>260</v>
      </c>
    </row>
    <row r="950" spans="2:5" x14ac:dyDescent="0.25">
      <c r="B950" t="s">
        <v>154</v>
      </c>
    </row>
    <row r="951" spans="2:5" x14ac:dyDescent="0.25">
      <c r="B951" t="s">
        <v>155</v>
      </c>
    </row>
    <row r="952" spans="2:5" x14ac:dyDescent="0.25">
      <c r="B952" t="s">
        <v>156</v>
      </c>
    </row>
    <row r="953" spans="2:5" x14ac:dyDescent="0.25">
      <c r="B953" t="s">
        <v>232</v>
      </c>
    </row>
    <row r="955" spans="2:5" x14ac:dyDescent="0.25">
      <c r="D955" t="s">
        <v>325</v>
      </c>
    </row>
    <row r="956" spans="2:5" x14ac:dyDescent="0.25">
      <c r="D956" t="s">
        <v>326</v>
      </c>
    </row>
    <row r="957" spans="2:5" x14ac:dyDescent="0.25">
      <c r="D957" t="s">
        <v>176</v>
      </c>
      <c r="E957" t="s">
        <v>367</v>
      </c>
    </row>
    <row r="958" spans="2:5" x14ac:dyDescent="0.25">
      <c r="D958" t="s">
        <v>173</v>
      </c>
      <c r="E958" t="s">
        <v>328</v>
      </c>
    </row>
    <row r="959" spans="2:5" x14ac:dyDescent="0.25">
      <c r="D959" t="s">
        <v>329</v>
      </c>
      <c r="E959">
        <v>85</v>
      </c>
    </row>
    <row r="960" spans="2:5" x14ac:dyDescent="0.25">
      <c r="D960" t="s">
        <v>330</v>
      </c>
      <c r="E960">
        <v>73</v>
      </c>
    </row>
    <row r="961" spans="3:5" x14ac:dyDescent="0.25">
      <c r="D961" t="s">
        <v>331</v>
      </c>
      <c r="E961">
        <v>0</v>
      </c>
    </row>
    <row r="962" spans="3:5" x14ac:dyDescent="0.25">
      <c r="D962" t="s">
        <v>332</v>
      </c>
      <c r="E962">
        <v>0</v>
      </c>
    </row>
    <row r="963" spans="3:5" x14ac:dyDescent="0.25">
      <c r="D963" t="s">
        <v>261</v>
      </c>
    </row>
    <row r="965" spans="3:5" x14ac:dyDescent="0.25">
      <c r="D965" t="s">
        <v>325</v>
      </c>
    </row>
    <row r="966" spans="3:5" x14ac:dyDescent="0.25">
      <c r="D966" t="s">
        <v>326</v>
      </c>
    </row>
    <row r="967" spans="3:5" x14ac:dyDescent="0.25">
      <c r="D967" t="s">
        <v>176</v>
      </c>
      <c r="E967" t="s">
        <v>334</v>
      </c>
    </row>
    <row r="968" spans="3:5" x14ac:dyDescent="0.25">
      <c r="D968" t="s">
        <v>173</v>
      </c>
      <c r="E968" t="s">
        <v>335</v>
      </c>
    </row>
    <row r="969" spans="3:5" x14ac:dyDescent="0.25">
      <c r="D969" t="s">
        <v>329</v>
      </c>
      <c r="E969">
        <v>97</v>
      </c>
    </row>
    <row r="970" spans="3:5" x14ac:dyDescent="0.25">
      <c r="D970" t="s">
        <v>330</v>
      </c>
      <c r="E970">
        <v>89</v>
      </c>
    </row>
    <row r="971" spans="3:5" x14ac:dyDescent="0.25">
      <c r="D971" t="s">
        <v>331</v>
      </c>
      <c r="E971">
        <v>1</v>
      </c>
    </row>
    <row r="972" spans="3:5" x14ac:dyDescent="0.25">
      <c r="D972" t="s">
        <v>332</v>
      </c>
      <c r="E972">
        <v>0</v>
      </c>
    </row>
    <row r="973" spans="3:5" x14ac:dyDescent="0.25">
      <c r="D973" t="s">
        <v>262</v>
      </c>
    </row>
    <row r="975" spans="3:5" x14ac:dyDescent="0.25">
      <c r="C975" t="s">
        <v>149</v>
      </c>
    </row>
    <row r="977" spans="4:6" x14ac:dyDescent="0.25">
      <c r="D977" t="s">
        <v>172</v>
      </c>
    </row>
    <row r="978" spans="4:6" x14ac:dyDescent="0.25">
      <c r="D978" t="s">
        <v>316</v>
      </c>
    </row>
    <row r="979" spans="4:6" x14ac:dyDescent="0.25">
      <c r="D979" t="s">
        <v>173</v>
      </c>
      <c r="E979" t="s">
        <v>174</v>
      </c>
      <c r="F979" t="s">
        <v>174</v>
      </c>
    </row>
    <row r="980" spans="4:6" x14ac:dyDescent="0.25">
      <c r="D980" t="s">
        <v>175</v>
      </c>
      <c r="E980">
        <v>1</v>
      </c>
      <c r="F980">
        <v>2</v>
      </c>
    </row>
    <row r="981" spans="4:6" x14ac:dyDescent="0.25">
      <c r="D981" t="s">
        <v>176</v>
      </c>
      <c r="E981" t="s">
        <v>381</v>
      </c>
      <c r="F981" t="s">
        <v>381</v>
      </c>
    </row>
    <row r="982" spans="4:6" x14ac:dyDescent="0.25">
      <c r="D982" t="s">
        <v>177</v>
      </c>
      <c r="E982">
        <v>1</v>
      </c>
      <c r="F982">
        <v>2</v>
      </c>
    </row>
    <row r="983" spans="4:6" x14ac:dyDescent="0.25">
      <c r="D983" t="s">
        <v>178</v>
      </c>
      <c r="E983">
        <v>150</v>
      </c>
      <c r="F983">
        <v>150</v>
      </c>
    </row>
    <row r="984" spans="4:6" x14ac:dyDescent="0.25">
      <c r="D984" t="s">
        <v>179</v>
      </c>
      <c r="E984">
        <v>0</v>
      </c>
      <c r="F984">
        <v>0</v>
      </c>
    </row>
    <row r="985" spans="4:6" x14ac:dyDescent="0.25">
      <c r="D985" t="s">
        <v>180</v>
      </c>
      <c r="E985">
        <v>0</v>
      </c>
      <c r="F985">
        <v>0</v>
      </c>
    </row>
    <row r="986" spans="4:6" x14ac:dyDescent="0.25">
      <c r="D986" t="s">
        <v>181</v>
      </c>
      <c r="E986" t="s">
        <v>182</v>
      </c>
      <c r="F986" t="s">
        <v>182</v>
      </c>
    </row>
    <row r="987" spans="4:6" x14ac:dyDescent="0.25">
      <c r="D987" t="s">
        <v>263</v>
      </c>
    </row>
    <row r="989" spans="4:6" x14ac:dyDescent="0.25">
      <c r="D989" t="s">
        <v>159</v>
      </c>
    </row>
    <row r="990" spans="4:6" x14ac:dyDescent="0.25">
      <c r="D990" t="s">
        <v>160</v>
      </c>
    </row>
    <row r="991" spans="4:6" x14ac:dyDescent="0.25">
      <c r="D991" t="s">
        <v>161</v>
      </c>
      <c r="E991">
        <v>300</v>
      </c>
    </row>
    <row r="992" spans="4:6" x14ac:dyDescent="0.25">
      <c r="D992" t="s">
        <v>264</v>
      </c>
    </row>
    <row r="994" spans="4:5" x14ac:dyDescent="0.25">
      <c r="D994" t="s">
        <v>159</v>
      </c>
    </row>
    <row r="995" spans="4:5" x14ac:dyDescent="0.25">
      <c r="D995" t="s">
        <v>163</v>
      </c>
    </row>
    <row r="996" spans="4:5" x14ac:dyDescent="0.25">
      <c r="D996" t="s">
        <v>386</v>
      </c>
    </row>
    <row r="998" spans="4:5" x14ac:dyDescent="0.25">
      <c r="D998" t="s">
        <v>165</v>
      </c>
    </row>
    <row r="999" spans="4:5" x14ac:dyDescent="0.25">
      <c r="D999" t="s">
        <v>160</v>
      </c>
    </row>
    <row r="1000" spans="4:5" x14ac:dyDescent="0.25">
      <c r="D1000" t="s">
        <v>166</v>
      </c>
      <c r="E1000">
        <v>350</v>
      </c>
    </row>
    <row r="1001" spans="4:5" x14ac:dyDescent="0.25">
      <c r="D1001" t="s">
        <v>161</v>
      </c>
      <c r="E1001">
        <v>61.875</v>
      </c>
    </row>
    <row r="1002" spans="4:5" x14ac:dyDescent="0.25">
      <c r="D1002" t="s">
        <v>387</v>
      </c>
    </row>
    <row r="1004" spans="4:5" x14ac:dyDescent="0.25">
      <c r="D1004" t="s">
        <v>325</v>
      </c>
    </row>
    <row r="1005" spans="4:5" x14ac:dyDescent="0.25">
      <c r="D1005" t="s">
        <v>326</v>
      </c>
    </row>
    <row r="1006" spans="4:5" x14ac:dyDescent="0.25">
      <c r="D1006" t="s">
        <v>176</v>
      </c>
      <c r="E1006" t="s">
        <v>335</v>
      </c>
    </row>
    <row r="1007" spans="4:5" x14ac:dyDescent="0.25">
      <c r="D1007" t="s">
        <v>173</v>
      </c>
      <c r="E1007" t="s">
        <v>334</v>
      </c>
    </row>
    <row r="1008" spans="4:5" x14ac:dyDescent="0.25">
      <c r="D1008" t="s">
        <v>329</v>
      </c>
      <c r="E1008">
        <v>97</v>
      </c>
    </row>
    <row r="1009" spans="4:5" x14ac:dyDescent="0.25">
      <c r="D1009" t="s">
        <v>330</v>
      </c>
      <c r="E1009">
        <v>89</v>
      </c>
    </row>
    <row r="1010" spans="4:5" x14ac:dyDescent="0.25">
      <c r="D1010" t="s">
        <v>331</v>
      </c>
      <c r="E1010">
        <v>0</v>
      </c>
    </row>
    <row r="1011" spans="4:5" x14ac:dyDescent="0.25">
      <c r="D1011" t="s">
        <v>332</v>
      </c>
      <c r="E1011">
        <v>0</v>
      </c>
    </row>
    <row r="1012" spans="4:5" x14ac:dyDescent="0.25">
      <c r="D1012" t="s">
        <v>388</v>
      </c>
    </row>
    <row r="1014" spans="4:5" x14ac:dyDescent="0.25">
      <c r="D1014" t="s">
        <v>325</v>
      </c>
    </row>
    <row r="1015" spans="4:5" x14ac:dyDescent="0.25">
      <c r="D1015" t="s">
        <v>326</v>
      </c>
    </row>
    <row r="1016" spans="4:5" x14ac:dyDescent="0.25">
      <c r="D1016" t="s">
        <v>176</v>
      </c>
      <c r="E1016" t="s">
        <v>328</v>
      </c>
    </row>
    <row r="1017" spans="4:5" x14ac:dyDescent="0.25">
      <c r="D1017" t="s">
        <v>173</v>
      </c>
      <c r="E1017" t="s">
        <v>367</v>
      </c>
    </row>
    <row r="1018" spans="4:5" x14ac:dyDescent="0.25">
      <c r="D1018" t="s">
        <v>329</v>
      </c>
      <c r="E1018">
        <v>85</v>
      </c>
    </row>
    <row r="1019" spans="4:5" x14ac:dyDescent="0.25">
      <c r="D1019" t="s">
        <v>330</v>
      </c>
      <c r="E1019">
        <v>73</v>
      </c>
    </row>
    <row r="1020" spans="4:5" x14ac:dyDescent="0.25">
      <c r="D1020" t="s">
        <v>331</v>
      </c>
      <c r="E1020">
        <v>1</v>
      </c>
    </row>
    <row r="1021" spans="4:5" x14ac:dyDescent="0.25">
      <c r="D1021" t="s">
        <v>332</v>
      </c>
      <c r="E1021">
        <v>1</v>
      </c>
    </row>
    <row r="1022" spans="4:5" x14ac:dyDescent="0.25">
      <c r="D1022" t="s">
        <v>389</v>
      </c>
    </row>
    <row r="1027" spans="2:5" x14ac:dyDescent="0.25">
      <c r="B1027" t="s">
        <v>150</v>
      </c>
    </row>
    <row r="1028" spans="2:5" x14ac:dyDescent="0.25">
      <c r="B1028" t="s">
        <v>265</v>
      </c>
    </row>
    <row r="1029" spans="2:5" x14ac:dyDescent="0.25">
      <c r="B1029" t="s">
        <v>266</v>
      </c>
    </row>
    <row r="1030" spans="2:5" x14ac:dyDescent="0.25">
      <c r="B1030" t="s">
        <v>267</v>
      </c>
    </row>
    <row r="1031" spans="2:5" x14ac:dyDescent="0.25">
      <c r="B1031" t="s">
        <v>154</v>
      </c>
    </row>
    <row r="1032" spans="2:5" x14ac:dyDescent="0.25">
      <c r="B1032" t="s">
        <v>155</v>
      </c>
    </row>
    <row r="1033" spans="2:5" x14ac:dyDescent="0.25">
      <c r="B1033" t="s">
        <v>156</v>
      </c>
    </row>
    <row r="1034" spans="2:5" x14ac:dyDescent="0.25">
      <c r="B1034" t="s">
        <v>232</v>
      </c>
    </row>
    <row r="1036" spans="2:5" x14ac:dyDescent="0.25">
      <c r="D1036" t="s">
        <v>325</v>
      </c>
    </row>
    <row r="1037" spans="2:5" x14ac:dyDescent="0.25">
      <c r="D1037" t="s">
        <v>326</v>
      </c>
    </row>
    <row r="1038" spans="2:5" x14ac:dyDescent="0.25">
      <c r="D1038" t="s">
        <v>176</v>
      </c>
      <c r="E1038" t="s">
        <v>367</v>
      </c>
    </row>
    <row r="1039" spans="2:5" x14ac:dyDescent="0.25">
      <c r="D1039" t="s">
        <v>173</v>
      </c>
      <c r="E1039" t="s">
        <v>328</v>
      </c>
    </row>
    <row r="1040" spans="2:5" x14ac:dyDescent="0.25">
      <c r="D1040" t="s">
        <v>329</v>
      </c>
      <c r="E1040">
        <v>85</v>
      </c>
    </row>
    <row r="1041" spans="3:5" x14ac:dyDescent="0.25">
      <c r="D1041" t="s">
        <v>330</v>
      </c>
      <c r="E1041">
        <v>73</v>
      </c>
    </row>
    <row r="1042" spans="3:5" x14ac:dyDescent="0.25">
      <c r="D1042" t="s">
        <v>331</v>
      </c>
      <c r="E1042">
        <v>0</v>
      </c>
    </row>
    <row r="1043" spans="3:5" x14ac:dyDescent="0.25">
      <c r="D1043" t="s">
        <v>332</v>
      </c>
      <c r="E1043">
        <v>0</v>
      </c>
    </row>
    <row r="1044" spans="3:5" x14ac:dyDescent="0.25">
      <c r="D1044" t="s">
        <v>268</v>
      </c>
    </row>
    <row r="1046" spans="3:5" x14ac:dyDescent="0.25">
      <c r="D1046" t="s">
        <v>325</v>
      </c>
    </row>
    <row r="1047" spans="3:5" x14ac:dyDescent="0.25">
      <c r="D1047" t="s">
        <v>326</v>
      </c>
    </row>
    <row r="1048" spans="3:5" x14ac:dyDescent="0.25">
      <c r="D1048" t="s">
        <v>176</v>
      </c>
      <c r="E1048" t="s">
        <v>334</v>
      </c>
    </row>
    <row r="1049" spans="3:5" x14ac:dyDescent="0.25">
      <c r="D1049" t="s">
        <v>173</v>
      </c>
      <c r="E1049" t="s">
        <v>335</v>
      </c>
    </row>
    <row r="1050" spans="3:5" x14ac:dyDescent="0.25">
      <c r="D1050" t="s">
        <v>329</v>
      </c>
      <c r="E1050">
        <v>97</v>
      </c>
    </row>
    <row r="1051" spans="3:5" x14ac:dyDescent="0.25">
      <c r="D1051" t="s">
        <v>330</v>
      </c>
      <c r="E1051">
        <v>89</v>
      </c>
    </row>
    <row r="1052" spans="3:5" x14ac:dyDescent="0.25">
      <c r="D1052" t="s">
        <v>331</v>
      </c>
      <c r="E1052">
        <v>1</v>
      </c>
    </row>
    <row r="1053" spans="3:5" x14ac:dyDescent="0.25">
      <c r="D1053" t="s">
        <v>332</v>
      </c>
      <c r="E1053">
        <v>0</v>
      </c>
    </row>
    <row r="1054" spans="3:5" x14ac:dyDescent="0.25">
      <c r="D1054" t="s">
        <v>269</v>
      </c>
    </row>
    <row r="1056" spans="3:5" x14ac:dyDescent="0.25">
      <c r="C1056" t="s">
        <v>149</v>
      </c>
    </row>
    <row r="1058" spans="4:6" x14ac:dyDescent="0.25">
      <c r="D1058" t="s">
        <v>172</v>
      </c>
    </row>
    <row r="1059" spans="4:6" x14ac:dyDescent="0.25">
      <c r="D1059" t="s">
        <v>316</v>
      </c>
    </row>
    <row r="1060" spans="4:6" x14ac:dyDescent="0.25">
      <c r="D1060" t="s">
        <v>173</v>
      </c>
      <c r="E1060" t="s">
        <v>174</v>
      </c>
      <c r="F1060" t="s">
        <v>174</v>
      </c>
    </row>
    <row r="1061" spans="4:6" x14ac:dyDescent="0.25">
      <c r="D1061" t="s">
        <v>175</v>
      </c>
      <c r="E1061">
        <v>1</v>
      </c>
      <c r="F1061">
        <v>2</v>
      </c>
    </row>
    <row r="1062" spans="4:6" x14ac:dyDescent="0.25">
      <c r="D1062" t="s">
        <v>176</v>
      </c>
      <c r="E1062" t="s">
        <v>381</v>
      </c>
      <c r="F1062" t="s">
        <v>381</v>
      </c>
    </row>
    <row r="1063" spans="4:6" x14ac:dyDescent="0.25">
      <c r="D1063" t="s">
        <v>177</v>
      </c>
      <c r="E1063">
        <v>1</v>
      </c>
      <c r="F1063">
        <v>2</v>
      </c>
    </row>
    <row r="1064" spans="4:6" x14ac:dyDescent="0.25">
      <c r="D1064" t="s">
        <v>178</v>
      </c>
      <c r="E1064">
        <v>150</v>
      </c>
      <c r="F1064">
        <v>150</v>
      </c>
    </row>
    <row r="1065" spans="4:6" x14ac:dyDescent="0.25">
      <c r="D1065" t="s">
        <v>179</v>
      </c>
      <c r="E1065">
        <v>0</v>
      </c>
      <c r="F1065">
        <v>0</v>
      </c>
    </row>
    <row r="1066" spans="4:6" x14ac:dyDescent="0.25">
      <c r="D1066" t="s">
        <v>180</v>
      </c>
      <c r="E1066">
        <v>0</v>
      </c>
      <c r="F1066">
        <v>0</v>
      </c>
    </row>
    <row r="1067" spans="4:6" x14ac:dyDescent="0.25">
      <c r="D1067" t="s">
        <v>181</v>
      </c>
      <c r="E1067" t="s">
        <v>182</v>
      </c>
      <c r="F1067" t="s">
        <v>182</v>
      </c>
    </row>
    <row r="1068" spans="4:6" x14ac:dyDescent="0.25">
      <c r="D1068" t="s">
        <v>270</v>
      </c>
    </row>
    <row r="1070" spans="4:6" x14ac:dyDescent="0.25">
      <c r="D1070" t="s">
        <v>159</v>
      </c>
    </row>
    <row r="1071" spans="4:6" x14ac:dyDescent="0.25">
      <c r="D1071" t="s">
        <v>160</v>
      </c>
    </row>
    <row r="1072" spans="4:6" x14ac:dyDescent="0.25">
      <c r="D1072" t="s">
        <v>161</v>
      </c>
      <c r="E1072">
        <v>300</v>
      </c>
    </row>
    <row r="1073" spans="4:5" x14ac:dyDescent="0.25">
      <c r="D1073" t="s">
        <v>271</v>
      </c>
    </row>
    <row r="1075" spans="4:5" x14ac:dyDescent="0.25">
      <c r="D1075" t="s">
        <v>159</v>
      </c>
    </row>
    <row r="1076" spans="4:5" x14ac:dyDescent="0.25">
      <c r="D1076" t="s">
        <v>163</v>
      </c>
    </row>
    <row r="1077" spans="4:5" x14ac:dyDescent="0.25">
      <c r="D1077" t="s">
        <v>390</v>
      </c>
    </row>
    <row r="1079" spans="4:5" x14ac:dyDescent="0.25">
      <c r="D1079" t="s">
        <v>165</v>
      </c>
    </row>
    <row r="1080" spans="4:5" x14ac:dyDescent="0.25">
      <c r="D1080" t="s">
        <v>160</v>
      </c>
    </row>
    <row r="1081" spans="4:5" x14ac:dyDescent="0.25">
      <c r="D1081" t="s">
        <v>166</v>
      </c>
      <c r="E1081">
        <v>350</v>
      </c>
    </row>
    <row r="1082" spans="4:5" x14ac:dyDescent="0.25">
      <c r="D1082" t="s">
        <v>161</v>
      </c>
      <c r="E1082">
        <v>61.875</v>
      </c>
    </row>
    <row r="1083" spans="4:5" x14ac:dyDescent="0.25">
      <c r="D1083" t="s">
        <v>391</v>
      </c>
    </row>
    <row r="1085" spans="4:5" x14ac:dyDescent="0.25">
      <c r="D1085" t="s">
        <v>325</v>
      </c>
    </row>
    <row r="1086" spans="4:5" x14ac:dyDescent="0.25">
      <c r="D1086" t="s">
        <v>326</v>
      </c>
    </row>
    <row r="1087" spans="4:5" x14ac:dyDescent="0.25">
      <c r="D1087" t="s">
        <v>176</v>
      </c>
      <c r="E1087" t="s">
        <v>335</v>
      </c>
    </row>
    <row r="1088" spans="4:5" x14ac:dyDescent="0.25">
      <c r="D1088" t="s">
        <v>173</v>
      </c>
      <c r="E1088" t="s">
        <v>334</v>
      </c>
    </row>
    <row r="1089" spans="4:5" x14ac:dyDescent="0.25">
      <c r="D1089" t="s">
        <v>329</v>
      </c>
      <c r="E1089">
        <v>97</v>
      </c>
    </row>
    <row r="1090" spans="4:5" x14ac:dyDescent="0.25">
      <c r="D1090" t="s">
        <v>330</v>
      </c>
      <c r="E1090">
        <v>89</v>
      </c>
    </row>
    <row r="1091" spans="4:5" x14ac:dyDescent="0.25">
      <c r="D1091" t="s">
        <v>331</v>
      </c>
      <c r="E1091">
        <v>0</v>
      </c>
    </row>
    <row r="1092" spans="4:5" x14ac:dyDescent="0.25">
      <c r="D1092" t="s">
        <v>332</v>
      </c>
      <c r="E1092">
        <v>0</v>
      </c>
    </row>
    <row r="1093" spans="4:5" x14ac:dyDescent="0.25">
      <c r="D1093" t="s">
        <v>392</v>
      </c>
    </row>
    <row r="1095" spans="4:5" x14ac:dyDescent="0.25">
      <c r="D1095" t="s">
        <v>325</v>
      </c>
    </row>
    <row r="1096" spans="4:5" x14ac:dyDescent="0.25">
      <c r="D1096" t="s">
        <v>326</v>
      </c>
    </row>
    <row r="1097" spans="4:5" x14ac:dyDescent="0.25">
      <c r="D1097" t="s">
        <v>176</v>
      </c>
      <c r="E1097" t="s">
        <v>328</v>
      </c>
    </row>
    <row r="1098" spans="4:5" x14ac:dyDescent="0.25">
      <c r="D1098" t="s">
        <v>173</v>
      </c>
      <c r="E1098" t="s">
        <v>367</v>
      </c>
    </row>
    <row r="1099" spans="4:5" x14ac:dyDescent="0.25">
      <c r="D1099" t="s">
        <v>329</v>
      </c>
      <c r="E1099">
        <v>85</v>
      </c>
    </row>
    <row r="1100" spans="4:5" x14ac:dyDescent="0.25">
      <c r="D1100" t="s">
        <v>330</v>
      </c>
      <c r="E1100">
        <v>73</v>
      </c>
    </row>
    <row r="1101" spans="4:5" x14ac:dyDescent="0.25">
      <c r="D1101" t="s">
        <v>331</v>
      </c>
      <c r="E1101">
        <v>1</v>
      </c>
    </row>
    <row r="1102" spans="4:5" x14ac:dyDescent="0.25">
      <c r="D1102" t="s">
        <v>332</v>
      </c>
      <c r="E1102">
        <v>1</v>
      </c>
    </row>
    <row r="1103" spans="4:5" x14ac:dyDescent="0.25">
      <c r="D1103" t="s">
        <v>393</v>
      </c>
    </row>
    <row r="1108" spans="2:3" x14ac:dyDescent="0.25">
      <c r="B1108" t="s">
        <v>145</v>
      </c>
    </row>
    <row r="1109" spans="2:3" x14ac:dyDescent="0.25">
      <c r="B1109" t="s">
        <v>272</v>
      </c>
    </row>
    <row r="1110" spans="2:3" x14ac:dyDescent="0.25">
      <c r="B1110" t="s">
        <v>273</v>
      </c>
    </row>
    <row r="1111" spans="2:3" x14ac:dyDescent="0.25">
      <c r="B1111" t="s">
        <v>148</v>
      </c>
    </row>
    <row r="1113" spans="2:3" x14ac:dyDescent="0.25">
      <c r="C1113" t="s">
        <v>149</v>
      </c>
    </row>
    <row r="1118" spans="2:3" x14ac:dyDescent="0.25">
      <c r="B1118" t="s">
        <v>274</v>
      </c>
    </row>
    <row r="1119" spans="2:3" x14ac:dyDescent="0.25">
      <c r="B1119" t="s">
        <v>275</v>
      </c>
    </row>
    <row r="1120" spans="2:3" x14ac:dyDescent="0.25">
      <c r="B1120" t="s">
        <v>276</v>
      </c>
    </row>
    <row r="1121" spans="2:6" x14ac:dyDescent="0.25">
      <c r="B1121" t="s">
        <v>277</v>
      </c>
    </row>
    <row r="1122" spans="2:6" x14ac:dyDescent="0.25">
      <c r="B1122" t="s">
        <v>278</v>
      </c>
    </row>
    <row r="1123" spans="2:6" x14ac:dyDescent="0.25">
      <c r="B1123" t="s">
        <v>279</v>
      </c>
    </row>
    <row r="1124" spans="2:6" x14ac:dyDescent="0.25">
      <c r="B1124" t="s">
        <v>280</v>
      </c>
    </row>
    <row r="1126" spans="2:6" x14ac:dyDescent="0.25">
      <c r="C1126" t="s">
        <v>149</v>
      </c>
    </row>
    <row r="1128" spans="2:6" x14ac:dyDescent="0.25">
      <c r="D1128" t="s">
        <v>172</v>
      </c>
    </row>
    <row r="1129" spans="2:6" x14ac:dyDescent="0.25">
      <c r="D1129" t="s">
        <v>316</v>
      </c>
    </row>
    <row r="1130" spans="2:6" x14ac:dyDescent="0.25">
      <c r="D1130" t="s">
        <v>173</v>
      </c>
      <c r="E1130" t="s">
        <v>394</v>
      </c>
      <c r="F1130" t="s">
        <v>394</v>
      </c>
    </row>
    <row r="1131" spans="2:6" x14ac:dyDescent="0.25">
      <c r="D1131" t="s">
        <v>175</v>
      </c>
      <c r="E1131">
        <v>1</v>
      </c>
      <c r="F1131">
        <v>2</v>
      </c>
    </row>
    <row r="1132" spans="2:6" x14ac:dyDescent="0.25">
      <c r="D1132" t="s">
        <v>176</v>
      </c>
      <c r="E1132" t="s">
        <v>395</v>
      </c>
      <c r="F1132" t="s">
        <v>395</v>
      </c>
    </row>
    <row r="1133" spans="2:6" x14ac:dyDescent="0.25">
      <c r="D1133" t="s">
        <v>177</v>
      </c>
      <c r="E1133">
        <v>1</v>
      </c>
      <c r="F1133">
        <v>2</v>
      </c>
    </row>
    <row r="1134" spans="2:6" x14ac:dyDescent="0.25">
      <c r="D1134" t="s">
        <v>178</v>
      </c>
      <c r="E1134">
        <v>6.3</v>
      </c>
      <c r="F1134">
        <v>6.3</v>
      </c>
    </row>
    <row r="1135" spans="2:6" x14ac:dyDescent="0.25">
      <c r="D1135" t="s">
        <v>179</v>
      </c>
      <c r="E1135">
        <v>0.01</v>
      </c>
      <c r="F1135">
        <v>0.01</v>
      </c>
    </row>
    <row r="1136" spans="2:6" x14ac:dyDescent="0.25">
      <c r="D1136" t="s">
        <v>180</v>
      </c>
      <c r="E1136">
        <v>0</v>
      </c>
      <c r="F1136">
        <v>0</v>
      </c>
    </row>
    <row r="1137" spans="2:6" x14ac:dyDescent="0.25">
      <c r="D1137" t="s">
        <v>181</v>
      </c>
      <c r="E1137" t="s">
        <v>40</v>
      </c>
      <c r="F1137" t="s">
        <v>40</v>
      </c>
    </row>
    <row r="1138" spans="2:6" x14ac:dyDescent="0.25">
      <c r="D1138" t="s">
        <v>281</v>
      </c>
    </row>
    <row r="1143" spans="2:6" x14ac:dyDescent="0.25">
      <c r="B1143" t="s">
        <v>150</v>
      </c>
    </row>
    <row r="1144" spans="2:6" x14ac:dyDescent="0.25">
      <c r="B1144" t="s">
        <v>282</v>
      </c>
    </row>
    <row r="1145" spans="2:6" x14ac:dyDescent="0.25">
      <c r="B1145" t="s">
        <v>283</v>
      </c>
    </row>
    <row r="1146" spans="2:6" x14ac:dyDescent="0.25">
      <c r="B1146" t="s">
        <v>284</v>
      </c>
    </row>
    <row r="1147" spans="2:6" x14ac:dyDescent="0.25">
      <c r="B1147" t="s">
        <v>154</v>
      </c>
    </row>
    <row r="1148" spans="2:6" x14ac:dyDescent="0.25">
      <c r="B1148" t="s">
        <v>155</v>
      </c>
    </row>
    <row r="1149" spans="2:6" x14ac:dyDescent="0.25">
      <c r="B1149" t="s">
        <v>156</v>
      </c>
    </row>
    <row r="1150" spans="2:6" x14ac:dyDescent="0.25">
      <c r="B1150" t="s">
        <v>232</v>
      </c>
    </row>
    <row r="1152" spans="2:6" x14ac:dyDescent="0.25">
      <c r="D1152" t="s">
        <v>325</v>
      </c>
    </row>
    <row r="1153" spans="4:5" x14ac:dyDescent="0.25">
      <c r="D1153" t="s">
        <v>326</v>
      </c>
    </row>
    <row r="1154" spans="4:5" x14ac:dyDescent="0.25">
      <c r="D1154" t="s">
        <v>176</v>
      </c>
      <c r="E1154" t="s">
        <v>394</v>
      </c>
    </row>
    <row r="1155" spans="4:5" x14ac:dyDescent="0.25">
      <c r="D1155" t="s">
        <v>173</v>
      </c>
      <c r="E1155" t="s">
        <v>328</v>
      </c>
    </row>
    <row r="1156" spans="4:5" x14ac:dyDescent="0.25">
      <c r="D1156" t="s">
        <v>329</v>
      </c>
      <c r="E1156">
        <v>85</v>
      </c>
    </row>
    <row r="1157" spans="4:5" x14ac:dyDescent="0.25">
      <c r="D1157" t="s">
        <v>330</v>
      </c>
      <c r="E1157">
        <v>73</v>
      </c>
    </row>
    <row r="1158" spans="4:5" x14ac:dyDescent="0.25">
      <c r="D1158" t="s">
        <v>331</v>
      </c>
      <c r="E1158">
        <v>0</v>
      </c>
    </row>
    <row r="1159" spans="4:5" x14ac:dyDescent="0.25">
      <c r="D1159" t="s">
        <v>332</v>
      </c>
      <c r="E1159">
        <v>0</v>
      </c>
    </row>
    <row r="1160" spans="4:5" x14ac:dyDescent="0.25">
      <c r="D1160" t="s">
        <v>285</v>
      </c>
    </row>
    <row r="1162" spans="4:5" x14ac:dyDescent="0.25">
      <c r="D1162" t="s">
        <v>325</v>
      </c>
    </row>
    <row r="1163" spans="4:5" x14ac:dyDescent="0.25">
      <c r="D1163" t="s">
        <v>326</v>
      </c>
    </row>
    <row r="1164" spans="4:5" x14ac:dyDescent="0.25">
      <c r="D1164" t="s">
        <v>176</v>
      </c>
      <c r="E1164" t="s">
        <v>334</v>
      </c>
    </row>
    <row r="1165" spans="4:5" x14ac:dyDescent="0.25">
      <c r="D1165" t="s">
        <v>173</v>
      </c>
      <c r="E1165" t="s">
        <v>335</v>
      </c>
    </row>
    <row r="1166" spans="4:5" x14ac:dyDescent="0.25">
      <c r="D1166" t="s">
        <v>329</v>
      </c>
      <c r="E1166">
        <v>97</v>
      </c>
    </row>
    <row r="1167" spans="4:5" x14ac:dyDescent="0.25">
      <c r="D1167" t="s">
        <v>330</v>
      </c>
      <c r="E1167">
        <v>89</v>
      </c>
    </row>
    <row r="1168" spans="4:5" x14ac:dyDescent="0.25">
      <c r="D1168" t="s">
        <v>331</v>
      </c>
      <c r="E1168">
        <v>1</v>
      </c>
    </row>
    <row r="1169" spans="3:6" x14ac:dyDescent="0.25">
      <c r="D1169" t="s">
        <v>332</v>
      </c>
      <c r="E1169">
        <v>0</v>
      </c>
    </row>
    <row r="1170" spans="3:6" x14ac:dyDescent="0.25">
      <c r="D1170" t="s">
        <v>286</v>
      </c>
    </row>
    <row r="1172" spans="3:6" x14ac:dyDescent="0.25">
      <c r="C1172" t="s">
        <v>149</v>
      </c>
    </row>
    <row r="1174" spans="3:6" x14ac:dyDescent="0.25">
      <c r="D1174" t="s">
        <v>172</v>
      </c>
    </row>
    <row r="1175" spans="3:6" x14ac:dyDescent="0.25">
      <c r="D1175" t="s">
        <v>316</v>
      </c>
    </row>
    <row r="1176" spans="3:6" x14ac:dyDescent="0.25">
      <c r="D1176" t="s">
        <v>173</v>
      </c>
      <c r="E1176" t="s">
        <v>174</v>
      </c>
      <c r="F1176" t="s">
        <v>174</v>
      </c>
    </row>
    <row r="1177" spans="3:6" x14ac:dyDescent="0.25">
      <c r="D1177" t="s">
        <v>175</v>
      </c>
      <c r="E1177">
        <v>1</v>
      </c>
      <c r="F1177">
        <v>2</v>
      </c>
    </row>
    <row r="1178" spans="3:6" x14ac:dyDescent="0.25">
      <c r="D1178" t="s">
        <v>176</v>
      </c>
      <c r="E1178" t="s">
        <v>396</v>
      </c>
      <c r="F1178" t="s">
        <v>396</v>
      </c>
    </row>
    <row r="1179" spans="3:6" x14ac:dyDescent="0.25">
      <c r="D1179" t="s">
        <v>177</v>
      </c>
      <c r="E1179">
        <v>1</v>
      </c>
      <c r="F1179">
        <v>2</v>
      </c>
    </row>
    <row r="1180" spans="3:6" x14ac:dyDescent="0.25">
      <c r="D1180" t="s">
        <v>178</v>
      </c>
      <c r="E1180">
        <v>150</v>
      </c>
      <c r="F1180">
        <v>150</v>
      </c>
    </row>
    <row r="1181" spans="3:6" x14ac:dyDescent="0.25">
      <c r="D1181" t="s">
        <v>179</v>
      </c>
      <c r="E1181">
        <v>0</v>
      </c>
      <c r="F1181">
        <v>0</v>
      </c>
    </row>
    <row r="1182" spans="3:6" x14ac:dyDescent="0.25">
      <c r="D1182" t="s">
        <v>180</v>
      </c>
      <c r="E1182">
        <v>0</v>
      </c>
      <c r="F1182">
        <v>0</v>
      </c>
    </row>
    <row r="1183" spans="3:6" x14ac:dyDescent="0.25">
      <c r="D1183" t="s">
        <v>181</v>
      </c>
      <c r="E1183" t="s">
        <v>182</v>
      </c>
      <c r="F1183" t="s">
        <v>182</v>
      </c>
    </row>
    <row r="1184" spans="3:6" x14ac:dyDescent="0.25">
      <c r="D1184" t="s">
        <v>287</v>
      </c>
    </row>
    <row r="1186" spans="4:5" x14ac:dyDescent="0.25">
      <c r="D1186" t="s">
        <v>159</v>
      </c>
    </row>
    <row r="1187" spans="4:5" x14ac:dyDescent="0.25">
      <c r="D1187" t="s">
        <v>160</v>
      </c>
    </row>
    <row r="1188" spans="4:5" x14ac:dyDescent="0.25">
      <c r="D1188" t="s">
        <v>161</v>
      </c>
      <c r="E1188">
        <v>300</v>
      </c>
    </row>
    <row r="1189" spans="4:5" x14ac:dyDescent="0.25">
      <c r="D1189" t="s">
        <v>288</v>
      </c>
    </row>
    <row r="1191" spans="4:5" x14ac:dyDescent="0.25">
      <c r="D1191" t="s">
        <v>159</v>
      </c>
    </row>
    <row r="1192" spans="4:5" x14ac:dyDescent="0.25">
      <c r="D1192" t="s">
        <v>163</v>
      </c>
    </row>
    <row r="1193" spans="4:5" x14ac:dyDescent="0.25">
      <c r="D1193" t="s">
        <v>397</v>
      </c>
    </row>
    <row r="1195" spans="4:5" x14ac:dyDescent="0.25">
      <c r="D1195" t="s">
        <v>165</v>
      </c>
    </row>
    <row r="1196" spans="4:5" x14ac:dyDescent="0.25">
      <c r="D1196" t="s">
        <v>160</v>
      </c>
    </row>
    <row r="1197" spans="4:5" x14ac:dyDescent="0.25">
      <c r="D1197" t="s">
        <v>166</v>
      </c>
      <c r="E1197">
        <v>350</v>
      </c>
    </row>
    <row r="1198" spans="4:5" x14ac:dyDescent="0.25">
      <c r="D1198" t="s">
        <v>161</v>
      </c>
      <c r="E1198">
        <v>61.875</v>
      </c>
    </row>
    <row r="1199" spans="4:5" x14ac:dyDescent="0.25">
      <c r="D1199" t="s">
        <v>398</v>
      </c>
    </row>
    <row r="1201" spans="4:5" x14ac:dyDescent="0.25">
      <c r="D1201" t="s">
        <v>325</v>
      </c>
    </row>
    <row r="1202" spans="4:5" x14ac:dyDescent="0.25">
      <c r="D1202" t="s">
        <v>326</v>
      </c>
    </row>
    <row r="1203" spans="4:5" x14ac:dyDescent="0.25">
      <c r="D1203" t="s">
        <v>176</v>
      </c>
      <c r="E1203" t="s">
        <v>335</v>
      </c>
    </row>
    <row r="1204" spans="4:5" x14ac:dyDescent="0.25">
      <c r="D1204" t="s">
        <v>173</v>
      </c>
      <c r="E1204" t="s">
        <v>334</v>
      </c>
    </row>
    <row r="1205" spans="4:5" x14ac:dyDescent="0.25">
      <c r="D1205" t="s">
        <v>329</v>
      </c>
      <c r="E1205">
        <v>97</v>
      </c>
    </row>
    <row r="1206" spans="4:5" x14ac:dyDescent="0.25">
      <c r="D1206" t="s">
        <v>330</v>
      </c>
      <c r="E1206">
        <v>89</v>
      </c>
    </row>
    <row r="1207" spans="4:5" x14ac:dyDescent="0.25">
      <c r="D1207" t="s">
        <v>331</v>
      </c>
      <c r="E1207">
        <v>0</v>
      </c>
    </row>
    <row r="1208" spans="4:5" x14ac:dyDescent="0.25">
      <c r="D1208" t="s">
        <v>332</v>
      </c>
      <c r="E1208">
        <v>0</v>
      </c>
    </row>
    <row r="1209" spans="4:5" x14ac:dyDescent="0.25">
      <c r="D1209" t="s">
        <v>399</v>
      </c>
    </row>
    <row r="1211" spans="4:5" x14ac:dyDescent="0.25">
      <c r="D1211" t="s">
        <v>325</v>
      </c>
    </row>
    <row r="1212" spans="4:5" x14ac:dyDescent="0.25">
      <c r="D1212" t="s">
        <v>326</v>
      </c>
    </row>
    <row r="1213" spans="4:5" x14ac:dyDescent="0.25">
      <c r="D1213" t="s">
        <v>176</v>
      </c>
      <c r="E1213" t="s">
        <v>328</v>
      </c>
    </row>
    <row r="1214" spans="4:5" x14ac:dyDescent="0.25">
      <c r="D1214" t="s">
        <v>173</v>
      </c>
      <c r="E1214" t="s">
        <v>394</v>
      </c>
    </row>
    <row r="1215" spans="4:5" x14ac:dyDescent="0.25">
      <c r="D1215" t="s">
        <v>329</v>
      </c>
      <c r="E1215">
        <v>85</v>
      </c>
    </row>
    <row r="1216" spans="4:5" x14ac:dyDescent="0.25">
      <c r="D1216" t="s">
        <v>330</v>
      </c>
      <c r="E1216">
        <v>73</v>
      </c>
    </row>
    <row r="1217" spans="2:5" x14ac:dyDescent="0.25">
      <c r="D1217" t="s">
        <v>331</v>
      </c>
      <c r="E1217">
        <v>1</v>
      </c>
    </row>
    <row r="1218" spans="2:5" x14ac:dyDescent="0.25">
      <c r="D1218" t="s">
        <v>332</v>
      </c>
      <c r="E1218">
        <v>1</v>
      </c>
    </row>
    <row r="1219" spans="2:5" x14ac:dyDescent="0.25">
      <c r="D1219" t="s">
        <v>400</v>
      </c>
    </row>
    <row r="1224" spans="2:5" x14ac:dyDescent="0.25">
      <c r="B1224" t="s">
        <v>150</v>
      </c>
    </row>
    <row r="1225" spans="2:5" x14ac:dyDescent="0.25">
      <c r="B1225" t="s">
        <v>289</v>
      </c>
    </row>
    <row r="1226" spans="2:5" x14ac:dyDescent="0.25">
      <c r="B1226" t="s">
        <v>290</v>
      </c>
    </row>
    <row r="1227" spans="2:5" x14ac:dyDescent="0.25">
      <c r="B1227" t="s">
        <v>291</v>
      </c>
    </row>
    <row r="1228" spans="2:5" x14ac:dyDescent="0.25">
      <c r="B1228" t="s">
        <v>154</v>
      </c>
    </row>
    <row r="1229" spans="2:5" x14ac:dyDescent="0.25">
      <c r="B1229" t="s">
        <v>155</v>
      </c>
    </row>
    <row r="1230" spans="2:5" x14ac:dyDescent="0.25">
      <c r="B1230" t="s">
        <v>156</v>
      </c>
    </row>
    <row r="1231" spans="2:5" x14ac:dyDescent="0.25">
      <c r="B1231" t="s">
        <v>232</v>
      </c>
    </row>
    <row r="1233" spans="4:5" x14ac:dyDescent="0.25">
      <c r="D1233" t="s">
        <v>325</v>
      </c>
    </row>
    <row r="1234" spans="4:5" x14ac:dyDescent="0.25">
      <c r="D1234" t="s">
        <v>326</v>
      </c>
    </row>
    <row r="1235" spans="4:5" x14ac:dyDescent="0.25">
      <c r="D1235" t="s">
        <v>176</v>
      </c>
      <c r="E1235" t="s">
        <v>394</v>
      </c>
    </row>
    <row r="1236" spans="4:5" x14ac:dyDescent="0.25">
      <c r="D1236" t="s">
        <v>173</v>
      </c>
      <c r="E1236" t="s">
        <v>328</v>
      </c>
    </row>
    <row r="1237" spans="4:5" x14ac:dyDescent="0.25">
      <c r="D1237" t="s">
        <v>329</v>
      </c>
      <c r="E1237">
        <v>85</v>
      </c>
    </row>
    <row r="1238" spans="4:5" x14ac:dyDescent="0.25">
      <c r="D1238" t="s">
        <v>330</v>
      </c>
      <c r="E1238">
        <v>73</v>
      </c>
    </row>
    <row r="1239" spans="4:5" x14ac:dyDescent="0.25">
      <c r="D1239" t="s">
        <v>331</v>
      </c>
      <c r="E1239">
        <v>0</v>
      </c>
    </row>
    <row r="1240" spans="4:5" x14ac:dyDescent="0.25">
      <c r="D1240" t="s">
        <v>332</v>
      </c>
      <c r="E1240">
        <v>0</v>
      </c>
    </row>
    <row r="1241" spans="4:5" x14ac:dyDescent="0.25">
      <c r="D1241" t="s">
        <v>292</v>
      </c>
    </row>
    <row r="1243" spans="4:5" x14ac:dyDescent="0.25">
      <c r="D1243" t="s">
        <v>325</v>
      </c>
    </row>
    <row r="1244" spans="4:5" x14ac:dyDescent="0.25">
      <c r="D1244" t="s">
        <v>326</v>
      </c>
    </row>
    <row r="1245" spans="4:5" x14ac:dyDescent="0.25">
      <c r="D1245" t="s">
        <v>176</v>
      </c>
      <c r="E1245" t="s">
        <v>334</v>
      </c>
    </row>
    <row r="1246" spans="4:5" x14ac:dyDescent="0.25">
      <c r="D1246" t="s">
        <v>173</v>
      </c>
      <c r="E1246" t="s">
        <v>335</v>
      </c>
    </row>
    <row r="1247" spans="4:5" x14ac:dyDescent="0.25">
      <c r="D1247" t="s">
        <v>329</v>
      </c>
      <c r="E1247">
        <v>97</v>
      </c>
    </row>
    <row r="1248" spans="4:5" x14ac:dyDescent="0.25">
      <c r="D1248" t="s">
        <v>330</v>
      </c>
      <c r="E1248">
        <v>89</v>
      </c>
    </row>
    <row r="1249" spans="3:6" x14ac:dyDescent="0.25">
      <c r="D1249" t="s">
        <v>331</v>
      </c>
      <c r="E1249">
        <v>1</v>
      </c>
    </row>
    <row r="1250" spans="3:6" x14ac:dyDescent="0.25">
      <c r="D1250" t="s">
        <v>332</v>
      </c>
      <c r="E1250">
        <v>0</v>
      </c>
    </row>
    <row r="1251" spans="3:6" x14ac:dyDescent="0.25">
      <c r="D1251" t="s">
        <v>293</v>
      </c>
    </row>
    <row r="1253" spans="3:6" x14ac:dyDescent="0.25">
      <c r="C1253" t="s">
        <v>149</v>
      </c>
    </row>
    <row r="1255" spans="3:6" x14ac:dyDescent="0.25">
      <c r="D1255" t="s">
        <v>172</v>
      </c>
    </row>
    <row r="1256" spans="3:6" x14ac:dyDescent="0.25">
      <c r="D1256" t="s">
        <v>316</v>
      </c>
    </row>
    <row r="1257" spans="3:6" x14ac:dyDescent="0.25">
      <c r="D1257" t="s">
        <v>173</v>
      </c>
      <c r="E1257" t="s">
        <v>174</v>
      </c>
      <c r="F1257" t="s">
        <v>174</v>
      </c>
    </row>
    <row r="1258" spans="3:6" x14ac:dyDescent="0.25">
      <c r="D1258" t="s">
        <v>175</v>
      </c>
      <c r="E1258">
        <v>1</v>
      </c>
      <c r="F1258">
        <v>2</v>
      </c>
    </row>
    <row r="1259" spans="3:6" x14ac:dyDescent="0.25">
      <c r="D1259" t="s">
        <v>176</v>
      </c>
      <c r="E1259" t="s">
        <v>396</v>
      </c>
      <c r="F1259" t="s">
        <v>396</v>
      </c>
    </row>
    <row r="1260" spans="3:6" x14ac:dyDescent="0.25">
      <c r="D1260" t="s">
        <v>177</v>
      </c>
      <c r="E1260">
        <v>1</v>
      </c>
      <c r="F1260">
        <v>2</v>
      </c>
    </row>
    <row r="1261" spans="3:6" x14ac:dyDescent="0.25">
      <c r="D1261" t="s">
        <v>178</v>
      </c>
      <c r="E1261">
        <v>150</v>
      </c>
      <c r="F1261">
        <v>150</v>
      </c>
    </row>
    <row r="1262" spans="3:6" x14ac:dyDescent="0.25">
      <c r="D1262" t="s">
        <v>179</v>
      </c>
      <c r="E1262">
        <v>0</v>
      </c>
      <c r="F1262">
        <v>0</v>
      </c>
    </row>
    <row r="1263" spans="3:6" x14ac:dyDescent="0.25">
      <c r="D1263" t="s">
        <v>180</v>
      </c>
      <c r="E1263">
        <v>0</v>
      </c>
      <c r="F1263">
        <v>0</v>
      </c>
    </row>
    <row r="1264" spans="3:6" x14ac:dyDescent="0.25">
      <c r="D1264" t="s">
        <v>181</v>
      </c>
      <c r="E1264" t="s">
        <v>182</v>
      </c>
      <c r="F1264" t="s">
        <v>182</v>
      </c>
    </row>
    <row r="1265" spans="4:5" x14ac:dyDescent="0.25">
      <c r="D1265" t="s">
        <v>294</v>
      </c>
    </row>
    <row r="1267" spans="4:5" x14ac:dyDescent="0.25">
      <c r="D1267" t="s">
        <v>159</v>
      </c>
    </row>
    <row r="1268" spans="4:5" x14ac:dyDescent="0.25">
      <c r="D1268" t="s">
        <v>160</v>
      </c>
    </row>
    <row r="1269" spans="4:5" x14ac:dyDescent="0.25">
      <c r="D1269" t="s">
        <v>161</v>
      </c>
      <c r="E1269">
        <v>300</v>
      </c>
    </row>
    <row r="1270" spans="4:5" x14ac:dyDescent="0.25">
      <c r="D1270" t="s">
        <v>295</v>
      </c>
    </row>
    <row r="1272" spans="4:5" x14ac:dyDescent="0.25">
      <c r="D1272" t="s">
        <v>159</v>
      </c>
    </row>
    <row r="1273" spans="4:5" x14ac:dyDescent="0.25">
      <c r="D1273" t="s">
        <v>163</v>
      </c>
    </row>
    <row r="1274" spans="4:5" x14ac:dyDescent="0.25">
      <c r="D1274" t="s">
        <v>401</v>
      </c>
    </row>
    <row r="1276" spans="4:5" x14ac:dyDescent="0.25">
      <c r="D1276" t="s">
        <v>165</v>
      </c>
    </row>
    <row r="1277" spans="4:5" x14ac:dyDescent="0.25">
      <c r="D1277" t="s">
        <v>160</v>
      </c>
    </row>
    <row r="1278" spans="4:5" x14ac:dyDescent="0.25">
      <c r="D1278" t="s">
        <v>166</v>
      </c>
      <c r="E1278">
        <v>350</v>
      </c>
    </row>
    <row r="1279" spans="4:5" x14ac:dyDescent="0.25">
      <c r="D1279" t="s">
        <v>161</v>
      </c>
      <c r="E1279">
        <v>61.875</v>
      </c>
    </row>
    <row r="1280" spans="4:5" x14ac:dyDescent="0.25">
      <c r="D1280" t="s">
        <v>402</v>
      </c>
    </row>
    <row r="1282" spans="4:5" x14ac:dyDescent="0.25">
      <c r="D1282" t="s">
        <v>325</v>
      </c>
    </row>
    <row r="1283" spans="4:5" x14ac:dyDescent="0.25">
      <c r="D1283" t="s">
        <v>326</v>
      </c>
    </row>
    <row r="1284" spans="4:5" x14ac:dyDescent="0.25">
      <c r="D1284" t="s">
        <v>176</v>
      </c>
      <c r="E1284" t="s">
        <v>335</v>
      </c>
    </row>
    <row r="1285" spans="4:5" x14ac:dyDescent="0.25">
      <c r="D1285" t="s">
        <v>173</v>
      </c>
      <c r="E1285" t="s">
        <v>334</v>
      </c>
    </row>
    <row r="1286" spans="4:5" x14ac:dyDescent="0.25">
      <c r="D1286" t="s">
        <v>329</v>
      </c>
      <c r="E1286">
        <v>97</v>
      </c>
    </row>
    <row r="1287" spans="4:5" x14ac:dyDescent="0.25">
      <c r="D1287" t="s">
        <v>330</v>
      </c>
      <c r="E1287">
        <v>89</v>
      </c>
    </row>
    <row r="1288" spans="4:5" x14ac:dyDescent="0.25">
      <c r="D1288" t="s">
        <v>331</v>
      </c>
      <c r="E1288">
        <v>0</v>
      </c>
    </row>
    <row r="1289" spans="4:5" x14ac:dyDescent="0.25">
      <c r="D1289" t="s">
        <v>332</v>
      </c>
      <c r="E1289">
        <v>0</v>
      </c>
    </row>
    <row r="1290" spans="4:5" x14ac:dyDescent="0.25">
      <c r="D1290" t="s">
        <v>403</v>
      </c>
    </row>
    <row r="1292" spans="4:5" x14ac:dyDescent="0.25">
      <c r="D1292" t="s">
        <v>325</v>
      </c>
    </row>
    <row r="1293" spans="4:5" x14ac:dyDescent="0.25">
      <c r="D1293" t="s">
        <v>326</v>
      </c>
    </row>
    <row r="1294" spans="4:5" x14ac:dyDescent="0.25">
      <c r="D1294" t="s">
        <v>176</v>
      </c>
      <c r="E1294" t="s">
        <v>328</v>
      </c>
    </row>
    <row r="1295" spans="4:5" x14ac:dyDescent="0.25">
      <c r="D1295" t="s">
        <v>173</v>
      </c>
      <c r="E1295" t="s">
        <v>394</v>
      </c>
    </row>
    <row r="1296" spans="4:5" x14ac:dyDescent="0.25">
      <c r="D1296" t="s">
        <v>329</v>
      </c>
      <c r="E1296">
        <v>85</v>
      </c>
    </row>
    <row r="1297" spans="2:5" x14ac:dyDescent="0.25">
      <c r="D1297" t="s">
        <v>330</v>
      </c>
      <c r="E1297">
        <v>73</v>
      </c>
    </row>
    <row r="1298" spans="2:5" x14ac:dyDescent="0.25">
      <c r="D1298" t="s">
        <v>331</v>
      </c>
      <c r="E1298">
        <v>1</v>
      </c>
    </row>
    <row r="1299" spans="2:5" x14ac:dyDescent="0.25">
      <c r="D1299" t="s">
        <v>332</v>
      </c>
      <c r="E1299">
        <v>1</v>
      </c>
    </row>
    <row r="1300" spans="2:5" x14ac:dyDescent="0.25">
      <c r="D1300" t="s">
        <v>404</v>
      </c>
    </row>
    <row r="1305" spans="2:5" x14ac:dyDescent="0.25">
      <c r="B1305" t="s">
        <v>150</v>
      </c>
    </row>
    <row r="1306" spans="2:5" x14ac:dyDescent="0.25">
      <c r="B1306" t="s">
        <v>296</v>
      </c>
    </row>
    <row r="1307" spans="2:5" x14ac:dyDescent="0.25">
      <c r="B1307" t="s">
        <v>297</v>
      </c>
    </row>
    <row r="1308" spans="2:5" x14ac:dyDescent="0.25">
      <c r="B1308" t="s">
        <v>298</v>
      </c>
    </row>
    <row r="1309" spans="2:5" x14ac:dyDescent="0.25">
      <c r="B1309" t="s">
        <v>154</v>
      </c>
    </row>
    <row r="1310" spans="2:5" x14ac:dyDescent="0.25">
      <c r="B1310" t="s">
        <v>155</v>
      </c>
    </row>
    <row r="1311" spans="2:5" x14ac:dyDescent="0.25">
      <c r="B1311" t="s">
        <v>156</v>
      </c>
    </row>
    <row r="1312" spans="2:5" x14ac:dyDescent="0.25">
      <c r="B1312" t="s">
        <v>232</v>
      </c>
    </row>
    <row r="1314" spans="4:5" x14ac:dyDescent="0.25">
      <c r="D1314" t="s">
        <v>325</v>
      </c>
    </row>
    <row r="1315" spans="4:5" x14ac:dyDescent="0.25">
      <c r="D1315" t="s">
        <v>326</v>
      </c>
    </row>
    <row r="1316" spans="4:5" x14ac:dyDescent="0.25">
      <c r="D1316" t="s">
        <v>176</v>
      </c>
      <c r="E1316" t="s">
        <v>394</v>
      </c>
    </row>
    <row r="1317" spans="4:5" x14ac:dyDescent="0.25">
      <c r="D1317" t="s">
        <v>173</v>
      </c>
      <c r="E1317" t="s">
        <v>328</v>
      </c>
    </row>
    <row r="1318" spans="4:5" x14ac:dyDescent="0.25">
      <c r="D1318" t="s">
        <v>329</v>
      </c>
      <c r="E1318">
        <v>85</v>
      </c>
    </row>
    <row r="1319" spans="4:5" x14ac:dyDescent="0.25">
      <c r="D1319" t="s">
        <v>330</v>
      </c>
      <c r="E1319">
        <v>73</v>
      </c>
    </row>
    <row r="1320" spans="4:5" x14ac:dyDescent="0.25">
      <c r="D1320" t="s">
        <v>331</v>
      </c>
      <c r="E1320">
        <v>0</v>
      </c>
    </row>
    <row r="1321" spans="4:5" x14ac:dyDescent="0.25">
      <c r="D1321" t="s">
        <v>332</v>
      </c>
      <c r="E1321">
        <v>0</v>
      </c>
    </row>
    <row r="1322" spans="4:5" x14ac:dyDescent="0.25">
      <c r="D1322" t="s">
        <v>299</v>
      </c>
    </row>
    <row r="1324" spans="4:5" x14ac:dyDescent="0.25">
      <c r="D1324" t="s">
        <v>325</v>
      </c>
    </row>
    <row r="1325" spans="4:5" x14ac:dyDescent="0.25">
      <c r="D1325" t="s">
        <v>326</v>
      </c>
    </row>
    <row r="1326" spans="4:5" x14ac:dyDescent="0.25">
      <c r="D1326" t="s">
        <v>176</v>
      </c>
      <c r="E1326" t="s">
        <v>334</v>
      </c>
    </row>
    <row r="1327" spans="4:5" x14ac:dyDescent="0.25">
      <c r="D1327" t="s">
        <v>173</v>
      </c>
      <c r="E1327" t="s">
        <v>335</v>
      </c>
    </row>
    <row r="1328" spans="4:5" x14ac:dyDescent="0.25">
      <c r="D1328" t="s">
        <v>329</v>
      </c>
      <c r="E1328">
        <v>97</v>
      </c>
    </row>
    <row r="1329" spans="3:6" x14ac:dyDescent="0.25">
      <c r="D1329" t="s">
        <v>330</v>
      </c>
      <c r="E1329">
        <v>89</v>
      </c>
    </row>
    <row r="1330" spans="3:6" x14ac:dyDescent="0.25">
      <c r="D1330" t="s">
        <v>331</v>
      </c>
      <c r="E1330">
        <v>1</v>
      </c>
    </row>
    <row r="1331" spans="3:6" x14ac:dyDescent="0.25">
      <c r="D1331" t="s">
        <v>332</v>
      </c>
      <c r="E1331">
        <v>0</v>
      </c>
    </row>
    <row r="1332" spans="3:6" x14ac:dyDescent="0.25">
      <c r="D1332" t="s">
        <v>300</v>
      </c>
    </row>
    <row r="1334" spans="3:6" x14ac:dyDescent="0.25">
      <c r="C1334" t="s">
        <v>149</v>
      </c>
    </row>
    <row r="1336" spans="3:6" x14ac:dyDescent="0.25">
      <c r="D1336" t="s">
        <v>172</v>
      </c>
    </row>
    <row r="1337" spans="3:6" x14ac:dyDescent="0.25">
      <c r="D1337" t="s">
        <v>316</v>
      </c>
    </row>
    <row r="1338" spans="3:6" x14ac:dyDescent="0.25">
      <c r="D1338" t="s">
        <v>173</v>
      </c>
      <c r="E1338" t="s">
        <v>174</v>
      </c>
      <c r="F1338" t="s">
        <v>174</v>
      </c>
    </row>
    <row r="1339" spans="3:6" x14ac:dyDescent="0.25">
      <c r="D1339" t="s">
        <v>175</v>
      </c>
      <c r="E1339">
        <v>1</v>
      </c>
      <c r="F1339">
        <v>2</v>
      </c>
    </row>
    <row r="1340" spans="3:6" x14ac:dyDescent="0.25">
      <c r="D1340" t="s">
        <v>176</v>
      </c>
      <c r="E1340" t="s">
        <v>396</v>
      </c>
      <c r="F1340" t="s">
        <v>396</v>
      </c>
    </row>
    <row r="1341" spans="3:6" x14ac:dyDescent="0.25">
      <c r="D1341" t="s">
        <v>177</v>
      </c>
      <c r="E1341">
        <v>1</v>
      </c>
      <c r="F1341">
        <v>2</v>
      </c>
    </row>
    <row r="1342" spans="3:6" x14ac:dyDescent="0.25">
      <c r="D1342" t="s">
        <v>178</v>
      </c>
      <c r="E1342">
        <v>150</v>
      </c>
      <c r="F1342">
        <v>150</v>
      </c>
    </row>
    <row r="1343" spans="3:6" x14ac:dyDescent="0.25">
      <c r="D1343" t="s">
        <v>179</v>
      </c>
      <c r="E1343">
        <v>0</v>
      </c>
      <c r="F1343">
        <v>0</v>
      </c>
    </row>
    <row r="1344" spans="3:6" x14ac:dyDescent="0.25">
      <c r="D1344" t="s">
        <v>180</v>
      </c>
      <c r="E1344">
        <v>0</v>
      </c>
      <c r="F1344">
        <v>0</v>
      </c>
    </row>
    <row r="1345" spans="4:6" x14ac:dyDescent="0.25">
      <c r="D1345" t="s">
        <v>181</v>
      </c>
      <c r="E1345" t="s">
        <v>182</v>
      </c>
      <c r="F1345" t="s">
        <v>182</v>
      </c>
    </row>
    <row r="1346" spans="4:6" x14ac:dyDescent="0.25">
      <c r="D1346" t="s">
        <v>301</v>
      </c>
    </row>
    <row r="1348" spans="4:6" x14ac:dyDescent="0.25">
      <c r="D1348" t="s">
        <v>159</v>
      </c>
    </row>
    <row r="1349" spans="4:6" x14ac:dyDescent="0.25">
      <c r="D1349" t="s">
        <v>160</v>
      </c>
    </row>
    <row r="1350" spans="4:6" x14ac:dyDescent="0.25">
      <c r="D1350" t="s">
        <v>161</v>
      </c>
      <c r="E1350">
        <v>300</v>
      </c>
    </row>
    <row r="1351" spans="4:6" x14ac:dyDescent="0.25">
      <c r="D1351" t="s">
        <v>302</v>
      </c>
    </row>
    <row r="1353" spans="4:6" x14ac:dyDescent="0.25">
      <c r="D1353" t="s">
        <v>159</v>
      </c>
    </row>
    <row r="1354" spans="4:6" x14ac:dyDescent="0.25">
      <c r="D1354" t="s">
        <v>163</v>
      </c>
    </row>
    <row r="1355" spans="4:6" x14ac:dyDescent="0.25">
      <c r="D1355" t="s">
        <v>405</v>
      </c>
    </row>
    <row r="1357" spans="4:6" x14ac:dyDescent="0.25">
      <c r="D1357" t="s">
        <v>165</v>
      </c>
    </row>
    <row r="1358" spans="4:6" x14ac:dyDescent="0.25">
      <c r="D1358" t="s">
        <v>160</v>
      </c>
    </row>
    <row r="1359" spans="4:6" x14ac:dyDescent="0.25">
      <c r="D1359" t="s">
        <v>166</v>
      </c>
      <c r="E1359">
        <v>350</v>
      </c>
    </row>
    <row r="1360" spans="4:6" x14ac:dyDescent="0.25">
      <c r="D1360" t="s">
        <v>161</v>
      </c>
      <c r="E1360">
        <v>61.875</v>
      </c>
    </row>
    <row r="1361" spans="4:5" x14ac:dyDescent="0.25">
      <c r="D1361" t="s">
        <v>406</v>
      </c>
    </row>
    <row r="1363" spans="4:5" x14ac:dyDescent="0.25">
      <c r="D1363" t="s">
        <v>325</v>
      </c>
    </row>
    <row r="1364" spans="4:5" x14ac:dyDescent="0.25">
      <c r="D1364" t="s">
        <v>326</v>
      </c>
    </row>
    <row r="1365" spans="4:5" x14ac:dyDescent="0.25">
      <c r="D1365" t="s">
        <v>176</v>
      </c>
      <c r="E1365" t="s">
        <v>335</v>
      </c>
    </row>
    <row r="1366" spans="4:5" x14ac:dyDescent="0.25">
      <c r="D1366" t="s">
        <v>173</v>
      </c>
      <c r="E1366" t="s">
        <v>334</v>
      </c>
    </row>
    <row r="1367" spans="4:5" x14ac:dyDescent="0.25">
      <c r="D1367" t="s">
        <v>329</v>
      </c>
      <c r="E1367">
        <v>97</v>
      </c>
    </row>
    <row r="1368" spans="4:5" x14ac:dyDescent="0.25">
      <c r="D1368" t="s">
        <v>330</v>
      </c>
      <c r="E1368">
        <v>89</v>
      </c>
    </row>
    <row r="1369" spans="4:5" x14ac:dyDescent="0.25">
      <c r="D1369" t="s">
        <v>331</v>
      </c>
      <c r="E1369">
        <v>0</v>
      </c>
    </row>
    <row r="1370" spans="4:5" x14ac:dyDescent="0.25">
      <c r="D1370" t="s">
        <v>332</v>
      </c>
      <c r="E1370">
        <v>0</v>
      </c>
    </row>
    <row r="1371" spans="4:5" x14ac:dyDescent="0.25">
      <c r="D1371" t="s">
        <v>407</v>
      </c>
    </row>
    <row r="1373" spans="4:5" x14ac:dyDescent="0.25">
      <c r="D1373" t="s">
        <v>325</v>
      </c>
    </row>
    <row r="1374" spans="4:5" x14ac:dyDescent="0.25">
      <c r="D1374" t="s">
        <v>326</v>
      </c>
    </row>
    <row r="1375" spans="4:5" x14ac:dyDescent="0.25">
      <c r="D1375" t="s">
        <v>176</v>
      </c>
      <c r="E1375" t="s">
        <v>328</v>
      </c>
    </row>
    <row r="1376" spans="4:5" x14ac:dyDescent="0.25">
      <c r="D1376" t="s">
        <v>173</v>
      </c>
      <c r="E1376" t="s">
        <v>394</v>
      </c>
    </row>
    <row r="1377" spans="2:5" x14ac:dyDescent="0.25">
      <c r="D1377" t="s">
        <v>329</v>
      </c>
      <c r="E1377">
        <v>85</v>
      </c>
    </row>
    <row r="1378" spans="2:5" x14ac:dyDescent="0.25">
      <c r="D1378" t="s">
        <v>330</v>
      </c>
      <c r="E1378">
        <v>73</v>
      </c>
    </row>
    <row r="1379" spans="2:5" x14ac:dyDescent="0.25">
      <c r="D1379" t="s">
        <v>331</v>
      </c>
      <c r="E1379">
        <v>1</v>
      </c>
    </row>
    <row r="1380" spans="2:5" x14ac:dyDescent="0.25">
      <c r="D1380" t="s">
        <v>332</v>
      </c>
      <c r="E1380">
        <v>1</v>
      </c>
    </row>
    <row r="1381" spans="2:5" x14ac:dyDescent="0.25">
      <c r="D1381" t="s">
        <v>408</v>
      </c>
    </row>
    <row r="1386" spans="2:5" x14ac:dyDescent="0.25">
      <c r="B1386" t="s">
        <v>303</v>
      </c>
    </row>
    <row r="1387" spans="2:5" x14ac:dyDescent="0.25">
      <c r="B1387" t="s">
        <v>304</v>
      </c>
    </row>
    <row r="1388" spans="2:5" x14ac:dyDescent="0.25">
      <c r="B1388" t="s">
        <v>305</v>
      </c>
    </row>
    <row r="1389" spans="2:5" x14ac:dyDescent="0.25">
      <c r="B1389" t="s">
        <v>306</v>
      </c>
    </row>
    <row r="1390" spans="2:5" x14ac:dyDescent="0.25">
      <c r="B1390" t="s">
        <v>307</v>
      </c>
    </row>
    <row r="1392" spans="2:5" x14ac:dyDescent="0.25">
      <c r="C1392" t="s">
        <v>149</v>
      </c>
    </row>
    <row r="1394" spans="2:5" x14ac:dyDescent="0.25">
      <c r="D1394" t="s">
        <v>308</v>
      </c>
    </row>
    <row r="1395" spans="2:5" x14ac:dyDescent="0.25">
      <c r="D1395" t="s">
        <v>309</v>
      </c>
    </row>
    <row r="1396" spans="2:5" x14ac:dyDescent="0.25">
      <c r="D1396" t="s">
        <v>163</v>
      </c>
      <c r="E1396" t="s">
        <v>39</v>
      </c>
    </row>
    <row r="1397" spans="2:5" x14ac:dyDescent="0.25">
      <c r="D1397" t="s">
        <v>310</v>
      </c>
      <c r="E1397" t="s">
        <v>127</v>
      </c>
    </row>
    <row r="1398" spans="2:5" x14ac:dyDescent="0.25">
      <c r="D1398" t="s">
        <v>311</v>
      </c>
      <c r="E1398" t="s">
        <v>128</v>
      </c>
    </row>
    <row r="1399" spans="2:5" x14ac:dyDescent="0.25">
      <c r="D1399" t="s">
        <v>312</v>
      </c>
    </row>
    <row r="1404" spans="2:5" x14ac:dyDescent="0.25">
      <c r="B1404" t="s">
        <v>313</v>
      </c>
    </row>
    <row r="1405" spans="2:5" x14ac:dyDescent="0.25">
      <c r="B1405" t="s">
        <v>314</v>
      </c>
    </row>
    <row r="1407" spans="2:5" x14ac:dyDescent="0.25">
      <c r="C1407" t="s">
        <v>315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___Dropdown values</vt:lpstr>
      <vt:lpstr>Building Blocks</vt:lpstr>
      <vt:lpstr>Method</vt:lpstr>
      <vt:lpstr>Worklist</vt:lpstr>
      <vt:lpstr>PrepList</vt:lpstr>
      <vt:lpstr>TestLog</vt:lpstr>
      <vt:lpstr>RunLog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2021-08-04T13:49:13Z</cp:lastPrinted>
  <dcterms:created xsi:type="dcterms:W3CDTF">2021-02-05T21:39:59Z</dcterms:created>
  <dcterms:modified xsi:type="dcterms:W3CDTF">2021-11-08T17:39:23Z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