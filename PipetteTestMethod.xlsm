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hamiltonvisualmethodeditor\"/>
    </mc:Choice>
  </mc:AlternateContent>
  <xr:revisionPtr revIDLastSave="0" documentId="13_ncr:1_{1A1B8CE9-47AC-4BD4-8ED1-2AB23FAB05E8}" xr6:coauthVersionLast="45" xr6:coauthVersionMax="45" xr10:uidLastSave="{00000000-0000-0000-0000-000000000000}"/>
  <bookViews>
    <workbookView xWindow="-120" yWindow="-120" windowWidth="29040" windowHeight="15840" firstSheet="1" activeTab="2" xr2:uid="{132869CD-930B-4C8C-A6DF-075DCD3A8DCC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2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2" l="1"/>
  <c r="E20" i="2"/>
  <c r="A5" i="3" l="1"/>
  <c r="B5" i="3" s="1"/>
  <c r="A4" i="3"/>
  <c r="B4" i="3" s="1"/>
  <c r="A3" i="3"/>
  <c r="B3" i="3" s="1"/>
  <c r="A2" i="3" l="1"/>
  <c r="B2" i="3" s="1"/>
</calcChain>
</file>

<file path=xl/sharedStrings.xml><?xml version="1.0" encoding="utf-8"?>
<sst xmlns="http://schemas.openxmlformats.org/spreadsheetml/2006/main" count="208" uniqueCount="96">
  <si>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</si>
  <si>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</si>
  <si>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</si>
  <si>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</si>
  <si>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</si>
  <si>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</si>
  <si>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</si>
  <si>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</si>
  <si>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</si>
  <si>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</si>
  <si>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</si>
  <si>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</si>
  <si>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</si>
  <si>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</si>
  <si>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</si>
  <si>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</si>
  <si>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</si>
  <si>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</si>
  <si>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</si>
  <si>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</si>
  <si>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</si>
  <si>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</si>
  <si>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</si>
  <si>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</si>
  <si>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</si>
  <si>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</si>
  <si>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</si>
  <si>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</si>
  <si>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</si>
  <si>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</si>
  <si>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</si>
  <si>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</si>
  <si>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</si>
  <si>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</si>
  <si>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</si>
  <si>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</si>
  <si>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</si>
  <si>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</si>
  <si>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</si>
  <si>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</si>
  <si>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</si>
  <si>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</si>
  <si>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</si>
  <si>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</si>
  <si>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</si>
  <si>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</si>
  <si>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</si>
  <si>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</si>
  <si>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</si>
  <si>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</si>
  <si>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</si>
  <si>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</si>
  <si>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</si>
  <si>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</si>
  <si>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</si>
  <si>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</si>
  <si>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</si>
  <si>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</si>
  <si>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</si>
  <si>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</si>
  <si>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</si>
  <si>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</si>
  <si>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</si>
  <si>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</si>
  <si>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</si>
  <si>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</si>
  <si>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</si>
  <si>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</si>
  <si>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</si>
  <si>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Time (sec)</t>
  </si>
  <si>
    <t>Source Plate</t>
  </si>
  <si>
    <t>Reagent</t>
  </si>
  <si>
    <t>Reagent Lot</t>
  </si>
  <si>
    <t>Reagent Volume</t>
  </si>
  <si>
    <t>Diluent Lot</t>
  </si>
  <si>
    <t>Diluent Volume</t>
  </si>
  <si>
    <t>Hamilton 1.5mL FlipTube</t>
  </si>
  <si>
    <t>Destination</t>
  </si>
  <si>
    <t>Solution 1</t>
  </si>
  <si>
    <t>Solutions List</t>
  </si>
  <si>
    <t>Solution 2</t>
  </si>
  <si>
    <t>Solution 3</t>
  </si>
  <si>
    <t>Solution 4</t>
  </si>
  <si>
    <t>Solution 5</t>
  </si>
  <si>
    <t>Second Destination</t>
  </si>
  <si>
    <t>Volumes List</t>
  </si>
  <si>
    <t>Destination: 200uL Biorad 96 Well PCR Plate</t>
  </si>
  <si>
    <t>A1: 81.0uL</t>
  </si>
  <si>
    <t>A2: 51.0uL</t>
  </si>
  <si>
    <t>A3: 31.0uL</t>
  </si>
  <si>
    <t>A4: 109.0uL</t>
  </si>
  <si>
    <t>Minimum Volume: 230.0uL</t>
  </si>
  <si>
    <t>Minimum Volume: 160.0uL</t>
  </si>
  <si>
    <t>Minimum Volume: 190.0uL</t>
  </si>
  <si>
    <t>Minimum Volume: 210.0uL</t>
  </si>
  <si>
    <t>Minimum Volume: 300.0uL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</si>
</sst>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5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1" xfId="0" applyFont="1" applyFill="1" applyBorder="1" applyAlignment="1">
      <alignment horizontal="center" vertical="center"/>
    </xf>
    <xf numFmtId="0" fontId="0" fillId="2" borderId="22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0" borderId="23" xfId="0" applyBorder="1"/>
    <xf numFmtId="0" fontId="0" fillId="0" borderId="0" xfId="0" applyBorder="1"/>
    <xf numFmtId="0" fontId="0" fillId="0" borderId="14" xfId="0" applyBorder="1"/>
    <xf numFmtId="0" fontId="0" fillId="0" borderId="8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7" xfId="0" applyBorder="1"/>
    <xf numFmtId="0" fontId="3" fillId="0" borderId="24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0" fillId="0" borderId="25" xfId="0" applyBorder="1"/>
    <xf numFmtId="0" fontId="2" fillId="0" borderId="24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117475</xdr:colOff>
          <xdr:row>0</xdr:row>
          <xdr:rowOff>109008</xdr:rowOff>
        </xdr:from>
        <xdr:to>
          <xdr:col>1</xdr:col>
          <xdr:colOff>993775</xdr:colOff>
          <xdr:row>5</xdr:row>
          <xdr:rowOff>62441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61A2F-2804-4954-A678-34DF23F027AB}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2" t="s">
        <v>30</v>
      </c>
      <c r="C3" s="42"/>
      <c r="D3" s="42" t="s">
        <v>52</v>
      </c>
      <c r="F3" s="64" t="s">
        <v>25</v>
      </c>
      <c r="G3" s="64"/>
      <c r="H3" s="64"/>
      <c r="I3" s="64"/>
      <c r="J3" s="64"/>
      <c r="K3" s="64"/>
      <c r="L3" s="64"/>
    </row>
    <row r="4" spans="2:12" x14ac:dyDescent="0.25">
      <c r="B4" t="s">
        <v>33</v>
      </c>
      <c r="D4" s="46" t="s">
        <v>66</v>
      </c>
      <c r="F4" s="42" t="s">
        <v>0</v>
      </c>
      <c r="G4" s="42" t="s">
        <v>16</v>
      </c>
      <c r="H4" s="42" t="s">
        <v>5</v>
      </c>
      <c r="I4" s="42" t="s">
        <v>20</v>
      </c>
      <c r="J4" s="42" t="s">
        <v>45</v>
      </c>
      <c r="K4" s="42" t="s">
        <v>38</v>
      </c>
      <c r="L4" s="42" t="s">
        <v>54</v>
      </c>
    </row>
    <row r="5" spans="2:12" x14ac:dyDescent="0.25">
      <c r="B5" t="s">
        <v>55</v>
      </c>
      <c r="D5" s="46" t="s">
        <v>67</v>
      </c>
      <c r="F5" t="s">
        <v>0</v>
      </c>
      <c r="G5" t="s">
        <v>16</v>
      </c>
      <c r="H5" t="s">
        <v>5</v>
      </c>
      <c r="I5" t="s">
        <v>20</v>
      </c>
      <c r="J5" t="s">
        <v>45</v>
      </c>
      <c r="K5" t="s">
        <v>38</v>
      </c>
      <c r="L5" t="s">
        <v>54</v>
      </c>
    </row>
    <row r="6" spans="2:12" x14ac:dyDescent="0.25">
      <c r="B6" t="s">
        <v>31</v>
      </c>
      <c r="D6" s="46"/>
      <c r="F6" t="s">
        <v>26</v>
      </c>
      <c r="G6" t="s">
        <v>27</v>
      </c>
      <c r="H6" t="s">
        <v>28</v>
      </c>
      <c r="I6" t="s">
        <v>29</v>
      </c>
      <c r="J6" t="s">
        <v>46</v>
      </c>
      <c r="K6" t="s">
        <v>39</v>
      </c>
      <c r="L6" t="s">
        <v>56</v>
      </c>
    </row>
    <row r="7" spans="2:12" x14ac:dyDescent="0.25">
      <c r="B7" t="s">
        <v>57</v>
      </c>
      <c r="D7" s="46"/>
    </row>
    <row r="9" spans="2:12" x14ac:dyDescent="0.25">
      <c r="B9" s="42" t="s">
        <v>53</v>
      </c>
      <c r="D9" s="35" t="s">
        <v>49</v>
      </c>
    </row>
    <row r="10" spans="2:12" x14ac:dyDescent="0.25">
      <c r="B10" t="s">
        <v>60</v>
      </c>
      <c r="D10" s="24" t="s">
        <v>41</v>
      </c>
    </row>
    <row r="11" spans="2:12" x14ac:dyDescent="0.25">
      <c r="B11" t="s">
        <v>61</v>
      </c>
      <c r="D11" s="24" t="s">
        <v>42</v>
      </c>
    </row>
    <row r="12" spans="2:12" x14ac:dyDescent="0.25">
      <c r="B12" t="s">
        <v>62</v>
      </c>
    </row>
    <row r="13" spans="2:12" x14ac:dyDescent="0.25">
      <c r="B13" t="s">
        <v>63</v>
      </c>
    </row>
    <row r="14" spans="2:12" x14ac:dyDescent="0.25">
      <c r="B14" t="s">
        <v>64</v>
      </c>
    </row>
    <row r="15" spans="2:12" x14ac:dyDescent="0.25">
      <c r="B15" t="s">
        <v>65</v>
      </c>
    </row>
    <row r="16" spans="2:12" x14ac:dyDescent="0.25">
      <c r="B16" t="s">
        <v>14</v>
      </c>
    </row>
    <row r="17" spans="2:2" x14ac:dyDescent="0.25">
      <c r="B17" t="s">
        <v>2</v>
      </c>
    </row>
    <row r="19" spans="2:2" x14ac:dyDescent="0.25">
      <c r="B19" s="42" t="s">
        <v>51</v>
      </c>
    </row>
    <row r="20" spans="2:2" x14ac:dyDescent="0.25">
      <c r="B20" t="s">
        <v>58</v>
      </c>
    </row>
    <row r="21" spans="2:2" x14ac:dyDescent="0.25">
      <c r="B21" t="s">
        <v>59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2BA43-E664-4C0E-82EF-315A761798FC}">
  <sheetPr codeName="Sheet2"/>
  <dimension ref="C2:Q21"/>
  <sheetViews>
    <sheetView topLeftCell="B1" zoomScale="80" zoomScaleNormal="80" workbookViewId="0">
      <selection activeCell="C13" sqref="C13:E1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70" t="s">
        <v>2</v>
      </c>
      <c r="D3" s="71"/>
      <c r="E3" s="47" t="s">
        <v>15</v>
      </c>
      <c r="G3" s="83" t="s">
        <v>16</v>
      </c>
      <c r="H3" s="84"/>
      <c r="I3" s="26" t="s">
        <v>15</v>
      </c>
      <c r="K3" s="87" t="s">
        <v>5</v>
      </c>
      <c r="L3" s="88"/>
      <c r="M3" s="27" t="s">
        <v>15</v>
      </c>
      <c r="O3" s="81" t="s">
        <v>38</v>
      </c>
      <c r="P3" s="82"/>
      <c r="Q3" s="28" t="s">
        <v>15</v>
      </c>
    </row>
    <row r="4" spans="3:17" x14ac:dyDescent="0.25">
      <c r="C4" s="31" t="s">
        <v>1</v>
      </c>
      <c r="D4" s="34"/>
      <c r="E4" s="75"/>
      <c r="G4" s="7" t="s">
        <v>37</v>
      </c>
      <c r="H4" s="15"/>
      <c r="I4" s="98"/>
      <c r="K4" s="5" t="s">
        <v>37</v>
      </c>
      <c r="L4" s="20"/>
      <c r="M4" s="101"/>
      <c r="O4" s="11" t="s">
        <v>12</v>
      </c>
      <c r="P4" s="22"/>
      <c r="Q4" s="67"/>
    </row>
    <row r="5" spans="3:17" ht="15.75" thickBot="1" x14ac:dyDescent="0.3">
      <c r="C5" s="48" t="s">
        <v>24</v>
      </c>
      <c r="D5" s="33"/>
      <c r="E5" s="76"/>
      <c r="G5" s="7" t="s">
        <v>3</v>
      </c>
      <c r="H5" s="15"/>
      <c r="I5" s="99"/>
      <c r="K5" s="5" t="s">
        <v>36</v>
      </c>
      <c r="L5" s="20"/>
      <c r="M5" s="102"/>
      <c r="O5" s="11" t="s">
        <v>9</v>
      </c>
      <c r="P5" s="22"/>
      <c r="Q5" s="68"/>
    </row>
    <row r="6" spans="3:17" ht="15.75" thickBot="1" x14ac:dyDescent="0.3">
      <c r="G6" s="7" t="s">
        <v>6</v>
      </c>
      <c r="H6" s="15"/>
      <c r="I6" s="99"/>
      <c r="K6" s="6" t="s">
        <v>24</v>
      </c>
      <c r="L6" s="21"/>
      <c r="M6" s="103"/>
      <c r="O6" s="12" t="s">
        <v>19</v>
      </c>
      <c r="P6" s="23"/>
      <c r="Q6" s="69"/>
    </row>
    <row r="7" spans="3:17" ht="15.75" thickBot="1" x14ac:dyDescent="0.3">
      <c r="G7" s="7" t="s">
        <v>7</v>
      </c>
      <c r="H7" s="15"/>
      <c r="I7" s="99"/>
    </row>
    <row r="8" spans="3:17" ht="15.75" thickBot="1" x14ac:dyDescent="0.3">
      <c r="C8" s="85" t="s">
        <v>4</v>
      </c>
      <c r="D8" s="86"/>
      <c r="E8" s="25" t="s">
        <v>15</v>
      </c>
      <c r="G8" s="8" t="s">
        <v>10</v>
      </c>
      <c r="H8" s="16"/>
      <c r="I8" s="100"/>
    </row>
    <row r="9" spans="3:17" ht="15.75" thickBot="1" x14ac:dyDescent="0.3">
      <c r="C9" s="9" t="s">
        <v>23</v>
      </c>
      <c r="D9" s="18"/>
      <c r="E9" s="89"/>
      <c r="K9" s="70" t="s">
        <v>20</v>
      </c>
      <c r="L9" s="71"/>
      <c r="M9" s="44" t="s">
        <v>15</v>
      </c>
    </row>
    <row r="10" spans="3:17" x14ac:dyDescent="0.25">
      <c r="C10" s="9" t="s">
        <v>34</v>
      </c>
      <c r="D10" s="18"/>
      <c r="E10" s="90"/>
      <c r="G10" s="104" t="s">
        <v>0</v>
      </c>
      <c r="H10" s="105"/>
      <c r="I10" s="29" t="s">
        <v>15</v>
      </c>
      <c r="K10" s="31" t="s">
        <v>48</v>
      </c>
      <c r="L10" s="32"/>
      <c r="M10" s="92"/>
    </row>
    <row r="11" spans="3:17" ht="15.75" thickBot="1" x14ac:dyDescent="0.3">
      <c r="C11" s="10" t="s">
        <v>35</v>
      </c>
      <c r="D11" s="19"/>
      <c r="E11" s="91"/>
      <c r="G11" s="3" t="s">
        <v>1</v>
      </c>
      <c r="H11" s="13"/>
      <c r="I11" s="95"/>
      <c r="K11" s="31" t="s">
        <v>21</v>
      </c>
      <c r="L11" s="52"/>
      <c r="M11" s="93"/>
    </row>
    <row r="12" spans="3:17" ht="15.75" thickBot="1" x14ac:dyDescent="0.3">
      <c r="G12" s="3" t="s">
        <v>53</v>
      </c>
      <c r="H12" s="13"/>
      <c r="I12" s="96"/>
      <c r="K12" s="1" t="s">
        <v>22</v>
      </c>
      <c r="L12" s="51"/>
      <c r="M12" s="94"/>
    </row>
    <row r="13" spans="3:17" x14ac:dyDescent="0.25">
      <c r="C13" s="70" t="s">
        <v>50</v>
      </c>
      <c r="D13" s="71"/>
      <c r="E13" s="43" t="s">
        <v>15</v>
      </c>
      <c r="G13" s="3" t="s">
        <v>51</v>
      </c>
      <c r="H13" s="13"/>
      <c r="I13" s="96"/>
    </row>
    <row r="14" spans="3:17" x14ac:dyDescent="0.25">
      <c r="C14" s="77"/>
      <c r="D14" s="78"/>
      <c r="E14" s="75"/>
      <c r="G14" s="3" t="s">
        <v>11</v>
      </c>
      <c r="H14" s="13"/>
      <c r="I14" s="96"/>
    </row>
    <row r="15" spans="3:17" ht="15.75" thickBot="1" x14ac:dyDescent="0.3">
      <c r="C15" s="79"/>
      <c r="D15" s="80"/>
      <c r="E15" s="76"/>
      <c r="G15" s="4" t="s">
        <v>40</v>
      </c>
      <c r="H15" s="14" t="s">
        <v>41</v>
      </c>
      <c r="I15" s="97"/>
    </row>
    <row r="17" spans="7:9" ht="15.75" thickBot="1" x14ac:dyDescent="0.3"/>
    <row r="18" spans="7:9" x14ac:dyDescent="0.25">
      <c r="G18" s="65" t="s">
        <v>43</v>
      </c>
      <c r="H18" s="66"/>
      <c r="I18" s="36" t="s">
        <v>15</v>
      </c>
    </row>
    <row r="19" spans="7:9" x14ac:dyDescent="0.25">
      <c r="G19" s="49" t="s">
        <v>70</v>
      </c>
      <c r="H19" s="50"/>
      <c r="I19" s="72"/>
    </row>
    <row r="20" spans="7:9" x14ac:dyDescent="0.25">
      <c r="G20" s="37" t="s">
        <v>68</v>
      </c>
      <c r="H20" s="38"/>
      <c r="I20" s="73"/>
    </row>
    <row r="21" spans="7:9" ht="15.75" thickBot="1" x14ac:dyDescent="0.3">
      <c r="G21" s="39" t="s">
        <v>69</v>
      </c>
      <c r="H21" s="40"/>
      <c r="I21" s="74"/>
    </row>
  </sheetData>
  <mergeCells count="19"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  <mergeCell ref="G18:H18"/>
    <mergeCell ref="Q4:Q6"/>
    <mergeCell ref="K9:L9"/>
    <mergeCell ref="I19:I21"/>
    <mergeCell ref="E4:E5"/>
    <mergeCell ref="E14:E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7B7FEB9-4E8E-42EA-B6C5-6BC938B15EDF}">
          <x14:formula1>
            <xm:f>'___Dropdown values'!$B$20:$B$21</xm:f>
          </x14:formula1>
          <xm:sqref>H13</xm:sqref>
        </x14:dataValidation>
        <x14:dataValidation type="list" allowBlank="1" showInputMessage="1" showErrorMessage="1" xr:uid="{1E957757-AC11-4539-9F2A-0034AB82DA48}">
          <x14:formula1>
            <xm:f>'___Dropdown values'!$H$5:$H$6</xm:f>
          </x14:formula1>
          <xm:sqref>K3:L3</xm:sqref>
        </x14:dataValidation>
        <x14:dataValidation type="list" allowBlank="1" showInputMessage="1" showErrorMessage="1" xr:uid="{00FFBF95-D92A-4EC6-A3D7-E52A5CC60F7C}">
          <x14:formula1>
            <xm:f>'___Dropdown values'!$I$5:$I$6</xm:f>
          </x14:formula1>
          <xm:sqref>K9:L9</xm:sqref>
        </x14:dataValidation>
        <x14:dataValidation type="list" allowBlank="1" showInputMessage="1" showErrorMessage="1" xr:uid="{297C32CA-C02E-4E01-A4CD-4ECEDA0F68B7}">
          <x14:formula1>
            <xm:f>'___Dropdown values'!$K$5:$K$6</xm:f>
          </x14:formula1>
          <xm:sqref>O3:P3</xm:sqref>
        </x14:dataValidation>
        <x14:dataValidation type="list" allowBlank="1" showInputMessage="1" showErrorMessage="1" xr:uid="{0EB2AB26-95FB-457C-BC05-2F40488B0593}">
          <x14:formula1>
            <xm:f>'___Dropdown values'!$D$10:$D$11</xm:f>
          </x14:formula1>
          <xm:sqref>H15 L10</xm:sqref>
        </x14:dataValidation>
        <x14:dataValidation type="list" allowBlank="1" showInputMessage="1" showErrorMessage="1" xr:uid="{DCE90996-E256-430A-ADF7-A9ADA249193A}">
          <x14:formula1>
            <xm:f>'___Dropdown values'!$F$5:$F$6</xm:f>
          </x14:formula1>
          <xm:sqref>G10:H10</xm:sqref>
        </x14:dataValidation>
        <x14:dataValidation type="list" allowBlank="1" showInputMessage="1" showErrorMessage="1" xr:uid="{4DB9BCF0-B414-482A-80BD-C38D6428C44E}">
          <x14:formula1>
            <xm:f>'___Dropdown values'!$G$5:$G$6</xm:f>
          </x14:formula1>
          <xm:sqref>G3:H3</xm:sqref>
        </x14:dataValidation>
        <x14:dataValidation type="list" allowBlank="1" showInputMessage="1" showErrorMessage="1" xr:uid="{2C8FE1E6-8557-429D-923A-74A7E769B8B4}">
          <x14:formula1>
            <xm:f>'___Dropdown values'!$B$10:$B$17</xm:f>
          </x14:formula1>
          <xm:sqref>H12</xm:sqref>
        </x14:dataValidation>
        <x14:dataValidation type="list" allowBlank="1" showInputMessage="1" showErrorMessage="1" xr:uid="{FB148A77-7292-4C2D-A64A-C8315CF04711}">
          <x14:formula1>
            <xm:f>'___Dropdown values'!$D$4:$D$5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64F8-85B5-4C5D-8958-0F9155266F29}">
  <sheetPr codeName="Sheet3"/>
  <dimension ref="D1:O39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37.1406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0" t="s">
        <v>2</v>
      </c>
      <c r="E2" s="71"/>
      <c r="F2" s="30" t="s">
        <v>15</v>
      </c>
    </row>
    <row r="3" spans="4:15" x14ac:dyDescent="0.25">
      <c r="D3" s="31" t="s">
        <v>1</v>
      </c>
      <c r="E3" s="34" t="s">
        <v>13</v>
      </c>
      <c r="F3" s="75" t="s">
        <v>44</v>
      </c>
    </row>
    <row r="4" spans="4:15" ht="15.75" thickBot="1" x14ac:dyDescent="0.3">
      <c r="D4" s="1" t="s">
        <v>24</v>
      </c>
      <c r="E4" s="17" t="s">
        <v>33</v>
      </c>
      <c r="F4" s="76"/>
    </row>
    <row r="6" spans="4:15" s="2" customFormat="1" ht="15.75" thickBot="1" x14ac:dyDescent="0.3">
      <c r="D6" s="110" t="s">
        <v>8</v>
      </c>
      <c r="E6" s="110"/>
    </row>
    <row r="7" spans="4:15" ht="15.75" thickBot="1" x14ac:dyDescent="0.3"/>
    <row r="8" spans="4:15" x14ac:dyDescent="0.25">
      <c r="D8" s="106" t="s">
        <v>2</v>
      </c>
      <c r="E8" s="107"/>
      <c r="F8" s="41" t="s">
        <v>15</v>
      </c>
    </row>
    <row r="9" spans="4:15" x14ac:dyDescent="0.25">
      <c r="D9" s="31" t="s">
        <v>1</v>
      </c>
      <c r="E9" s="34" t="s">
        <v>77</v>
      </c>
      <c r="F9" s="108"/>
    </row>
    <row r="10" spans="4:15" ht="15.75" thickBot="1" x14ac:dyDescent="0.3">
      <c r="D10" s="1" t="s">
        <v>24</v>
      </c>
      <c r="E10" s="17" t="s">
        <v>33</v>
      </c>
      <c r="F10" s="109"/>
    </row>
    <row r="11" spans="4:15" ht="15.75" thickBot="1" x14ac:dyDescent="0.3">
      <c r="I11" s="24"/>
      <c r="J11" s="24"/>
      <c r="N11"/>
      <c r="O11"/>
    </row>
    <row r="12" spans="4:15" x14ac:dyDescent="0.25">
      <c r="D12" s="111" t="s">
        <v>0</v>
      </c>
      <c r="E12" s="112"/>
      <c r="F12" s="45" t="s">
        <v>15</v>
      </c>
      <c r="N12"/>
      <c r="O12"/>
    </row>
    <row r="13" spans="4:15" x14ac:dyDescent="0.25">
      <c r="D13" s="3" t="s">
        <v>1</v>
      </c>
      <c r="E13" s="13" t="s">
        <v>78</v>
      </c>
      <c r="F13" s="95"/>
      <c r="N13"/>
      <c r="O13"/>
    </row>
    <row r="14" spans="4:15" x14ac:dyDescent="0.25">
      <c r="D14" s="3" t="s">
        <v>53</v>
      </c>
      <c r="E14" s="13" t="s">
        <v>60</v>
      </c>
      <c r="F14" s="96"/>
      <c r="K14" s="24"/>
      <c r="L14" s="24"/>
      <c r="N14"/>
      <c r="O14"/>
    </row>
    <row r="15" spans="4:15" x14ac:dyDescent="0.25">
      <c r="D15" s="3" t="s">
        <v>51</v>
      </c>
      <c r="E15" s="13" t="s">
        <v>58</v>
      </c>
      <c r="F15" s="96"/>
      <c r="K15" s="24"/>
      <c r="L15" s="24"/>
      <c r="N15"/>
      <c r="O15"/>
    </row>
    <row r="16" spans="4:15" x14ac:dyDescent="0.25">
      <c r="D16" s="3" t="s">
        <v>11</v>
      </c>
      <c r="E16" s="13">
        <v>20</v>
      </c>
      <c r="F16" s="96"/>
      <c r="K16" s="24"/>
      <c r="L16" s="24"/>
      <c r="N16"/>
      <c r="O16"/>
    </row>
    <row r="17" spans="4:15" ht="15.75" thickBot="1" x14ac:dyDescent="0.3">
      <c r="D17" s="4" t="s">
        <v>40</v>
      </c>
      <c r="E17" s="14" t="s">
        <v>42</v>
      </c>
      <c r="F17" s="97"/>
      <c r="K17" s="24"/>
      <c r="L17" s="24"/>
      <c r="N17"/>
      <c r="O17"/>
    </row>
    <row r="18" spans="4:15" ht="15.75" thickBot="1" x14ac:dyDescent="0.3">
      <c r="K18" s="24"/>
      <c r="L18" s="24"/>
      <c r="N18"/>
      <c r="O18"/>
    </row>
    <row r="19" spans="4:15" x14ac:dyDescent="0.25">
      <c r="D19" s="111" t="s">
        <v>0</v>
      </c>
      <c r="E19" s="112"/>
      <c r="F19" s="62" t="s">
        <v>15</v>
      </c>
      <c r="K19" s="24"/>
      <c r="L19" s="24"/>
      <c r="N19"/>
      <c r="O19"/>
    </row>
    <row r="20" spans="4:15" x14ac:dyDescent="0.25">
      <c r="D20" s="3" t="s">
        <v>1</v>
      </c>
      <c r="E20" s="13" t="str">
        <f>Worklist!D1</f>
        <v>Solutions List</v>
      </c>
      <c r="F20" s="95"/>
      <c r="K20" s="24"/>
      <c r="L20" s="24"/>
      <c r="N20"/>
      <c r="O20"/>
    </row>
    <row r="21" spans="4:15" x14ac:dyDescent="0.25">
      <c r="D21" s="3" t="s">
        <v>53</v>
      </c>
      <c r="E21" s="13" t="s">
        <v>60</v>
      </c>
      <c r="F21" s="96"/>
      <c r="K21" s="24"/>
      <c r="L21" s="24"/>
      <c r="N21"/>
      <c r="O21"/>
    </row>
    <row r="22" spans="4:15" x14ac:dyDescent="0.25">
      <c r="D22" s="3" t="s">
        <v>51</v>
      </c>
      <c r="E22" s="13" t="s">
        <v>58</v>
      </c>
      <c r="F22" s="96"/>
      <c r="K22" s="24"/>
      <c r="L22" s="24"/>
      <c r="N22"/>
      <c r="O22"/>
    </row>
    <row r="23" spans="4:15" x14ac:dyDescent="0.25">
      <c r="D23" s="3" t="s">
        <v>11</v>
      </c>
      <c r="E23" s="13" t="str">
        <f>Worklist!E1</f>
        <v>Volumes List</v>
      </c>
      <c r="F23" s="96"/>
      <c r="K23" s="24"/>
      <c r="L23" s="24"/>
      <c r="N23"/>
      <c r="O23"/>
    </row>
    <row r="24" spans="4:15" ht="15.75" thickBot="1" x14ac:dyDescent="0.3">
      <c r="D24" s="4" t="s">
        <v>40</v>
      </c>
      <c r="E24" s="14" t="s">
        <v>42</v>
      </c>
      <c r="F24" s="97"/>
      <c r="K24" s="24"/>
      <c r="L24" s="24"/>
      <c r="N24"/>
      <c r="O24"/>
    </row>
    <row r="25" spans="4:15" ht="15.75" thickBot="1" x14ac:dyDescent="0.3">
      <c r="K25" s="24"/>
      <c r="L25" s="24"/>
      <c r="N25"/>
      <c r="O25"/>
    </row>
    <row r="26" spans="4:15" x14ac:dyDescent="0.25">
      <c r="D26" s="106" t="s">
        <v>2</v>
      </c>
      <c r="E26" s="107"/>
      <c r="F26" s="63" t="s">
        <v>15</v>
      </c>
      <c r="K26" s="24"/>
      <c r="L26" s="24"/>
      <c r="N26"/>
      <c r="O26"/>
    </row>
    <row r="27" spans="4:15" x14ac:dyDescent="0.25">
      <c r="D27" s="31" t="s">
        <v>1</v>
      </c>
      <c r="E27" s="34" t="s">
        <v>84</v>
      </c>
      <c r="F27" s="108"/>
      <c r="K27" s="24"/>
      <c r="L27" s="24"/>
      <c r="N27"/>
      <c r="O27"/>
    </row>
    <row r="28" spans="4:15" ht="15.75" thickBot="1" x14ac:dyDescent="0.3">
      <c r="D28" s="1" t="s">
        <v>24</v>
      </c>
      <c r="E28" s="17" t="s">
        <v>33</v>
      </c>
      <c r="F28" s="109"/>
      <c r="K28" s="24"/>
      <c r="L28" s="24"/>
      <c r="N28"/>
      <c r="O28"/>
    </row>
    <row r="29" spans="4:15" ht="15.75" thickBot="1" x14ac:dyDescent="0.3">
      <c r="K29" s="24"/>
      <c r="L29" s="24"/>
      <c r="N29"/>
      <c r="O29"/>
    </row>
    <row r="30" spans="4:15" x14ac:dyDescent="0.25">
      <c r="D30" s="111" t="s">
        <v>0</v>
      </c>
      <c r="E30" s="112"/>
      <c r="F30" s="62" t="s">
        <v>15</v>
      </c>
    </row>
    <row r="31" spans="4:15" x14ac:dyDescent="0.25">
      <c r="D31" s="3" t="s">
        <v>1</v>
      </c>
      <c r="E31" s="13" t="s">
        <v>77</v>
      </c>
      <c r="F31" s="95"/>
    </row>
    <row r="32" spans="4:15" x14ac:dyDescent="0.25">
      <c r="D32" s="3" t="s">
        <v>53</v>
      </c>
      <c r="E32" s="13" t="s">
        <v>60</v>
      </c>
      <c r="F32" s="96"/>
    </row>
    <row r="33" spans="4:6" x14ac:dyDescent="0.25">
      <c r="D33" s="3" t="s">
        <v>51</v>
      </c>
      <c r="E33" s="13" t="s">
        <v>58</v>
      </c>
      <c r="F33" s="96"/>
    </row>
    <row r="34" spans="4:6" x14ac:dyDescent="0.25">
      <c r="D34" s="3" t="s">
        <v>11</v>
      </c>
      <c r="E34" s="13">
        <v>86</v>
      </c>
      <c r="F34" s="96"/>
    </row>
    <row r="35" spans="4:6" ht="15.75" thickBot="1" x14ac:dyDescent="0.3">
      <c r="D35" s="4" t="s">
        <v>40</v>
      </c>
      <c r="E35" s="14" t="s">
        <v>42</v>
      </c>
      <c r="F35" s="97"/>
    </row>
    <row r="36" spans="4:6" ht="15.75" thickBot="1" x14ac:dyDescent="0.3"/>
    <row r="37" spans="4:6" x14ac:dyDescent="0.25">
      <c r="D37" s="70" t="s">
        <v>50</v>
      </c>
      <c r="E37" s="71"/>
      <c r="F37" s="63" t="s">
        <v>15</v>
      </c>
    </row>
    <row r="38" spans="4:6" x14ac:dyDescent="0.25">
      <c r="D38" s="77"/>
      <c r="E38" s="78"/>
      <c r="F38" s="75"/>
    </row>
    <row r="39" spans="4:6" ht="15.75" thickBot="1" x14ac:dyDescent="0.3">
      <c r="D39" s="79"/>
      <c r="E39" s="80"/>
      <c r="F39" s="76"/>
    </row>
  </sheetData>
  <mergeCells count="16">
    <mergeCell ref="F31:F35"/>
    <mergeCell ref="D30:E30"/>
    <mergeCell ref="F20:F24"/>
    <mergeCell ref="D19:E19"/>
    <mergeCell ref="D26:E26"/>
    <mergeCell ref="F27:F28"/>
    <mergeCell ref="D37:E37"/>
    <mergeCell ref="D38:E39"/>
    <mergeCell ref="F38:F39"/>
    <mergeCell ref="D2:E2"/>
    <mergeCell ref="F3:F4"/>
    <mergeCell ref="F9:F10"/>
    <mergeCell ref="D8:E8"/>
    <mergeCell ref="D6:E6"/>
    <mergeCell ref="D12:E12"/>
    <mergeCell ref="F13:F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neratePrepSheet">
                <anchor moveWithCells="1">
                  <from>
                    <xdr:col>0</xdr:col>
                    <xdr:colOff>114300</xdr:colOff>
                    <xdr:row>0</xdr:row>
                    <xdr:rowOff>104775</xdr:rowOff>
                  </from>
                  <to>
                    <xdr:col>1</xdr:col>
                    <xdr:colOff>990600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F3BF063-FCC1-43B0-AFB1-C6F9111B94FE}">
          <x14:formula1>
            <xm:f>'___Dropdown values'!$B$4:$B$6</xm:f>
          </x14:formula1>
          <xm:sqref>E4 E10 E28</xm:sqref>
        </x14:dataValidation>
        <x14:dataValidation type="list" allowBlank="1" showInputMessage="1" showErrorMessage="1" xr:uid="{7C6B8CA4-BBDF-4720-83DB-EEB75CAAC296}">
          <x14:formula1>
            <xm:f>'___Dropdown values'!$B$10:$B$17</xm:f>
          </x14:formula1>
          <xm:sqref>E14 E21 E32</xm:sqref>
        </x14:dataValidation>
        <x14:dataValidation type="list" allowBlank="1" showInputMessage="1" showErrorMessage="1" xr:uid="{934B1DA1-8C91-4057-973F-82597951F8B7}">
          <x14:formula1>
            <xm:f>'___Dropdown values'!$F$5:$F$6</xm:f>
          </x14:formula1>
          <xm:sqref>D12:E12 D19:E19 D30:E30</xm:sqref>
        </x14:dataValidation>
        <x14:dataValidation type="list" allowBlank="1" showInputMessage="1" showErrorMessage="1" xr:uid="{C1EA7122-9BB0-47F3-A320-6D1AE93FB4E0}">
          <x14:formula1>
            <xm:f>'___Dropdown values'!$D$10:$D$11</xm:f>
          </x14:formula1>
          <xm:sqref>E17 E24 E35</xm:sqref>
        </x14:dataValidation>
        <x14:dataValidation type="list" allowBlank="1" showInputMessage="1" showErrorMessage="1" xr:uid="{6BE6F825-91BE-4CEC-9D14-5710077D0618}">
          <x14:formula1>
            <xm:f>'___Dropdown values'!$B$20:$B$21</xm:f>
          </x14:formula1>
          <xm:sqref>E15 E22 E33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29AF6-49B7-49B9-A330-C878FB7908FD}">
  <sheetPr codeName="Sheet4"/>
  <dimension ref="A1:E5"/>
  <sheetViews>
    <sheetView workbookViewId="0">
      <selection activeCell="E6" sqref="E6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2.7109375" bestFit="1" customWidth="1"/>
    <col min="5" max="5" width="12.28515625" bestFit="1" customWidth="1"/>
    <col min="6" max="6" width="7.855468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5" x14ac:dyDescent="0.25">
      <c r="A1" t="s">
        <v>32</v>
      </c>
      <c r="B1" t="s">
        <v>47</v>
      </c>
      <c r="C1" t="s">
        <v>17</v>
      </c>
      <c r="D1" t="s">
        <v>79</v>
      </c>
      <c r="E1" t="s">
        <v>85</v>
      </c>
    </row>
    <row r="2" spans="1:5" x14ac:dyDescent="0.25">
      <c r="A2">
        <f t="shared" ref="A2:A5" si="0">ROW(A1)</f>
        <v>1</v>
      </c>
      <c r="B2">
        <f t="shared" ref="B2:B5" si="1">A2</f>
        <v>1</v>
      </c>
      <c r="C2" t="s">
        <v>18</v>
      </c>
      <c r="D2" t="s">
        <v>80</v>
      </c>
      <c r="E2">
        <v>10</v>
      </c>
    </row>
    <row r="3" spans="1:5" x14ac:dyDescent="0.25">
      <c r="A3">
        <f t="shared" si="0"/>
        <v>2</v>
      </c>
      <c r="B3">
        <f t="shared" si="1"/>
        <v>2</v>
      </c>
      <c r="C3" t="s">
        <v>18</v>
      </c>
      <c r="D3" t="s">
        <v>81</v>
      </c>
      <c r="E3">
        <v>40</v>
      </c>
    </row>
    <row r="4" spans="1:5" x14ac:dyDescent="0.25">
      <c r="A4">
        <f t="shared" si="0"/>
        <v>3</v>
      </c>
      <c r="B4">
        <f t="shared" si="1"/>
        <v>3</v>
      </c>
      <c r="C4" t="s">
        <v>18</v>
      </c>
      <c r="D4" t="s">
        <v>82</v>
      </c>
      <c r="E4">
        <v>60</v>
      </c>
    </row>
    <row r="5" spans="1:5" x14ac:dyDescent="0.25">
      <c r="A5">
        <f t="shared" si="0"/>
        <v>4</v>
      </c>
      <c r="B5">
        <f t="shared" si="1"/>
        <v>4</v>
      </c>
      <c r="C5" t="s">
        <v>18</v>
      </c>
      <c r="D5" t="s">
        <v>83</v>
      </c>
      <c r="E5">
        <v>150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B50E-22AE-46CA-87CA-BAF83F845590}">
  <dimension ref="B1:M47"/>
  <sheetViews>
    <sheetView topLeftCell="A13" workbookViewId="0"/>
  </sheetViews>
  <sheetFormatPr defaultRowHeight="15" x14ac:dyDescent="0.25"/>
  <cols>
    <col min="2" max="2" width="10.85546875" bestFit="1" customWidth="1"/>
  </cols>
  <sheetData>
    <row r="1" spans="2:13" ht="15.75" thickBot="1" x14ac:dyDescent="0.3"/>
    <row r="2" spans="2:13" ht="27" thickBot="1" x14ac:dyDescent="0.45">
      <c r="B2" s="128" t="s">
        <v>86</v>
      </c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30"/>
    </row>
    <row r="3" spans="2:13" x14ac:dyDescent="0.25">
      <c r="B3" s="53" t="s">
        <v>87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5"/>
    </row>
    <row r="4" spans="2:13" x14ac:dyDescent="0.25">
      <c r="B4" s="56" t="s">
        <v>88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8"/>
    </row>
    <row r="5" spans="2:13" x14ac:dyDescent="0.25">
      <c r="B5" s="56" t="s">
        <v>89</v>
      </c>
      <c r="C5" s="57"/>
      <c r="D5" s="57"/>
      <c r="E5" s="57"/>
      <c r="F5" s="57"/>
      <c r="G5" s="57"/>
      <c r="H5" s="57"/>
      <c r="I5" s="57"/>
      <c r="J5" s="57"/>
      <c r="K5" s="57"/>
      <c r="L5" s="57"/>
      <c r="M5" s="58"/>
    </row>
    <row r="6" spans="2:13" x14ac:dyDescent="0.25">
      <c r="B6" s="56" t="s">
        <v>90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8"/>
    </row>
    <row r="7" spans="2:13" x14ac:dyDescent="0.25">
      <c r="B7" s="56"/>
      <c r="C7" s="57"/>
      <c r="D7" s="57"/>
      <c r="E7" s="57"/>
      <c r="F7" s="57"/>
      <c r="G7" s="57"/>
      <c r="H7" s="57"/>
      <c r="I7" s="57"/>
      <c r="J7" s="57"/>
      <c r="K7" s="57"/>
      <c r="L7" s="57"/>
      <c r="M7" s="58"/>
    </row>
    <row r="8" spans="2:13" x14ac:dyDescent="0.25">
      <c r="B8" s="56"/>
      <c r="C8" s="57"/>
      <c r="D8" s="57"/>
      <c r="E8" s="57"/>
      <c r="F8" s="57"/>
      <c r="G8" s="57"/>
      <c r="H8" s="57"/>
      <c r="I8" s="57"/>
      <c r="J8" s="57"/>
      <c r="K8" s="57"/>
      <c r="L8" s="57"/>
      <c r="M8" s="58"/>
    </row>
    <row r="9" spans="2:13" x14ac:dyDescent="0.25">
      <c r="B9" s="56"/>
      <c r="C9" s="57"/>
      <c r="D9" s="57"/>
      <c r="E9" s="57"/>
      <c r="F9" s="57"/>
      <c r="G9" s="57"/>
      <c r="H9" s="57"/>
      <c r="I9" s="57"/>
      <c r="J9" s="57"/>
      <c r="K9" s="57"/>
      <c r="L9" s="57"/>
      <c r="M9" s="58"/>
    </row>
    <row r="10" spans="2:13" ht="15.75" thickBot="1" x14ac:dyDescent="0.3">
      <c r="B10" s="60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61"/>
    </row>
    <row r="14" spans="2:13" ht="15.75" thickBot="1" x14ac:dyDescent="0.3"/>
    <row r="15" spans="2:13" ht="19.5" thickBot="1" x14ac:dyDescent="0.35">
      <c r="B15" s="121" t="s">
        <v>78</v>
      </c>
      <c r="C15" s="122"/>
      <c r="D15" s="122"/>
      <c r="E15" s="122"/>
      <c r="F15" s="123"/>
      <c r="I15" s="121" t="s">
        <v>80</v>
      </c>
      <c r="J15" s="122"/>
      <c r="K15" s="122"/>
      <c r="L15" s="122"/>
      <c r="M15" s="123"/>
    </row>
    <row r="16" spans="2:13" ht="16.5" thickBot="1" x14ac:dyDescent="0.3">
      <c r="B16" s="124" t="s">
        <v>76</v>
      </c>
      <c r="C16" s="125"/>
      <c r="D16" s="125"/>
      <c r="E16" s="125"/>
      <c r="F16" s="126"/>
      <c r="I16" s="124" t="s">
        <v>76</v>
      </c>
      <c r="J16" s="125"/>
      <c r="K16" s="125"/>
      <c r="L16" s="125"/>
      <c r="M16" s="126"/>
    </row>
    <row r="17" spans="2:13" ht="16.5" thickBot="1" x14ac:dyDescent="0.3">
      <c r="B17" s="124" t="s">
        <v>91</v>
      </c>
      <c r="C17" s="125"/>
      <c r="D17" s="125"/>
      <c r="E17" s="125"/>
      <c r="F17" s="126"/>
      <c r="I17" s="124" t="s">
        <v>92</v>
      </c>
      <c r="J17" s="125"/>
      <c r="K17" s="125"/>
      <c r="L17" s="125"/>
      <c r="M17" s="126"/>
    </row>
    <row r="18" spans="2:13" x14ac:dyDescent="0.25">
      <c r="B18" s="127" t="s">
        <v>71</v>
      </c>
      <c r="C18" s="117"/>
      <c r="D18" s="117"/>
      <c r="E18" s="117"/>
      <c r="F18" s="118"/>
      <c r="I18" s="127" t="s">
        <v>71</v>
      </c>
      <c r="J18" s="117"/>
      <c r="K18" s="117"/>
      <c r="L18" s="117"/>
      <c r="M18" s="118"/>
    </row>
    <row r="19" spans="2:13" x14ac:dyDescent="0.25">
      <c r="B19" s="113" t="s">
        <v>72</v>
      </c>
      <c r="C19" s="114"/>
      <c r="D19" s="114"/>
      <c r="E19" s="114"/>
      <c r="F19" s="119"/>
      <c r="I19" s="113" t="s">
        <v>72</v>
      </c>
      <c r="J19" s="114"/>
      <c r="K19" s="114"/>
      <c r="L19" s="114"/>
      <c r="M19" s="119"/>
    </row>
    <row r="20" spans="2:13" x14ac:dyDescent="0.25">
      <c r="B20" s="113" t="s">
        <v>73</v>
      </c>
      <c r="C20" s="114"/>
      <c r="D20" s="114"/>
      <c r="E20" s="114"/>
      <c r="F20" s="119"/>
      <c r="I20" s="113" t="s">
        <v>73</v>
      </c>
      <c r="J20" s="114"/>
      <c r="K20" s="114"/>
      <c r="L20" s="114"/>
      <c r="M20" s="119"/>
    </row>
    <row r="21" spans="2:13" x14ac:dyDescent="0.25">
      <c r="B21" s="113" t="s">
        <v>3</v>
      </c>
      <c r="C21" s="114"/>
      <c r="D21" s="114"/>
      <c r="E21" s="114"/>
      <c r="F21" s="119"/>
      <c r="I21" s="113" t="s">
        <v>3</v>
      </c>
      <c r="J21" s="114"/>
      <c r="K21" s="114"/>
      <c r="L21" s="114"/>
      <c r="M21" s="119"/>
    </row>
    <row r="22" spans="2:13" x14ac:dyDescent="0.25">
      <c r="B22" s="113" t="s">
        <v>74</v>
      </c>
      <c r="C22" s="114"/>
      <c r="D22" s="114"/>
      <c r="E22" s="114"/>
      <c r="F22" s="119"/>
      <c r="I22" s="113" t="s">
        <v>74</v>
      </c>
      <c r="J22" s="114"/>
      <c r="K22" s="114"/>
      <c r="L22" s="114"/>
      <c r="M22" s="119"/>
    </row>
    <row r="23" spans="2:13" ht="15.75" thickBot="1" x14ac:dyDescent="0.3">
      <c r="B23" s="115" t="s">
        <v>75</v>
      </c>
      <c r="C23" s="116"/>
      <c r="D23" s="116"/>
      <c r="E23" s="116"/>
      <c r="F23" s="120"/>
      <c r="I23" s="115" t="s">
        <v>75</v>
      </c>
      <c r="J23" s="116"/>
      <c r="K23" s="116"/>
      <c r="L23" s="116"/>
      <c r="M23" s="120"/>
    </row>
    <row r="26" spans="2:13" ht="15.75" thickBot="1" x14ac:dyDescent="0.3"/>
    <row r="27" spans="2:13" ht="19.5" thickBot="1" x14ac:dyDescent="0.35">
      <c r="B27" s="121" t="s">
        <v>81</v>
      </c>
      <c r="C27" s="122"/>
      <c r="D27" s="122"/>
      <c r="E27" s="122"/>
      <c r="F27" s="123"/>
      <c r="I27" s="121" t="s">
        <v>82</v>
      </c>
      <c r="J27" s="122"/>
      <c r="K27" s="122"/>
      <c r="L27" s="122"/>
      <c r="M27" s="123"/>
    </row>
    <row r="28" spans="2:13" ht="16.5" thickBot="1" x14ac:dyDescent="0.3">
      <c r="B28" s="124" t="s">
        <v>76</v>
      </c>
      <c r="C28" s="125"/>
      <c r="D28" s="125"/>
      <c r="E28" s="125"/>
      <c r="F28" s="126"/>
      <c r="I28" s="124" t="s">
        <v>76</v>
      </c>
      <c r="J28" s="125"/>
      <c r="K28" s="125"/>
      <c r="L28" s="125"/>
      <c r="M28" s="126"/>
    </row>
    <row r="29" spans="2:13" ht="16.5" thickBot="1" x14ac:dyDescent="0.3">
      <c r="B29" s="124" t="s">
        <v>93</v>
      </c>
      <c r="C29" s="125"/>
      <c r="D29" s="125"/>
      <c r="E29" s="125"/>
      <c r="F29" s="126"/>
      <c r="I29" s="124" t="s">
        <v>94</v>
      </c>
      <c r="J29" s="125"/>
      <c r="K29" s="125"/>
      <c r="L29" s="125"/>
      <c r="M29" s="126"/>
    </row>
    <row r="30" spans="2:13" x14ac:dyDescent="0.25">
      <c r="B30" s="127" t="s">
        <v>71</v>
      </c>
      <c r="C30" s="117"/>
      <c r="D30" s="117"/>
      <c r="E30" s="117"/>
      <c r="F30" s="118"/>
      <c r="I30" s="127" t="s">
        <v>71</v>
      </c>
      <c r="J30" s="117"/>
      <c r="K30" s="117"/>
      <c r="L30" s="117"/>
      <c r="M30" s="118"/>
    </row>
    <row r="31" spans="2:13" x14ac:dyDescent="0.25">
      <c r="B31" s="113" t="s">
        <v>72</v>
      </c>
      <c r="C31" s="114"/>
      <c r="D31" s="114"/>
      <c r="E31" s="114"/>
      <c r="F31" s="119"/>
      <c r="I31" s="113" t="s">
        <v>72</v>
      </c>
      <c r="J31" s="114"/>
      <c r="K31" s="114"/>
      <c r="L31" s="114"/>
      <c r="M31" s="119"/>
    </row>
    <row r="32" spans="2:13" x14ac:dyDescent="0.25">
      <c r="B32" s="113" t="s">
        <v>73</v>
      </c>
      <c r="C32" s="114"/>
      <c r="D32" s="114"/>
      <c r="E32" s="114"/>
      <c r="F32" s="119"/>
      <c r="I32" s="113" t="s">
        <v>73</v>
      </c>
      <c r="J32" s="114"/>
      <c r="K32" s="114"/>
      <c r="L32" s="114"/>
      <c r="M32" s="119"/>
    </row>
    <row r="33" spans="2:13" x14ac:dyDescent="0.25">
      <c r="B33" s="113" t="s">
        <v>3</v>
      </c>
      <c r="C33" s="114"/>
      <c r="D33" s="114"/>
      <c r="E33" s="114"/>
      <c r="F33" s="119"/>
      <c r="I33" s="113" t="s">
        <v>3</v>
      </c>
      <c r="J33" s="114"/>
      <c r="K33" s="114"/>
      <c r="L33" s="114"/>
      <c r="M33" s="119"/>
    </row>
    <row r="34" spans="2:13" x14ac:dyDescent="0.25">
      <c r="B34" s="113" t="s">
        <v>74</v>
      </c>
      <c r="C34" s="114"/>
      <c r="D34" s="114"/>
      <c r="E34" s="114"/>
      <c r="F34" s="119"/>
      <c r="I34" s="113" t="s">
        <v>74</v>
      </c>
      <c r="J34" s="114"/>
      <c r="K34" s="114"/>
      <c r="L34" s="114"/>
      <c r="M34" s="119"/>
    </row>
    <row r="35" spans="2:13" ht="15.75" thickBot="1" x14ac:dyDescent="0.3">
      <c r="B35" s="115" t="s">
        <v>75</v>
      </c>
      <c r="C35" s="116"/>
      <c r="D35" s="116"/>
      <c r="E35" s="116"/>
      <c r="F35" s="120"/>
      <c r="I35" s="115" t="s">
        <v>75</v>
      </c>
      <c r="J35" s="116"/>
      <c r="K35" s="116"/>
      <c r="L35" s="116"/>
      <c r="M35" s="120"/>
    </row>
    <row r="38" spans="2:13" ht="15.75" thickBot="1" x14ac:dyDescent="0.3"/>
    <row r="39" spans="2:13" ht="19.5" thickBot="1" x14ac:dyDescent="0.35">
      <c r="B39" s="121" t="s">
        <v>83</v>
      </c>
      <c r="C39" s="122"/>
      <c r="D39" s="122"/>
      <c r="E39" s="122"/>
      <c r="F39" s="123"/>
    </row>
    <row r="40" spans="2:13" ht="16.5" thickBot="1" x14ac:dyDescent="0.3">
      <c r="B40" s="124" t="s">
        <v>76</v>
      </c>
      <c r="C40" s="125"/>
      <c r="D40" s="125"/>
      <c r="E40" s="125"/>
      <c r="F40" s="126"/>
    </row>
    <row r="41" spans="2:13" ht="16.5" thickBot="1" x14ac:dyDescent="0.3">
      <c r="B41" s="124" t="s">
        <v>95</v>
      </c>
      <c r="C41" s="125"/>
      <c r="D41" s="125"/>
      <c r="E41" s="125"/>
      <c r="F41" s="126"/>
    </row>
    <row r="42" spans="2:13" x14ac:dyDescent="0.25">
      <c r="B42" s="127" t="s">
        <v>71</v>
      </c>
      <c r="C42" s="117"/>
      <c r="D42" s="117"/>
      <c r="E42" s="117"/>
      <c r="F42" s="118"/>
    </row>
    <row r="43" spans="2:13" x14ac:dyDescent="0.25">
      <c r="B43" s="113" t="s">
        <v>72</v>
      </c>
      <c r="C43" s="114"/>
      <c r="D43" s="114"/>
      <c r="E43" s="114"/>
      <c r="F43" s="119"/>
    </row>
    <row r="44" spans="2:13" x14ac:dyDescent="0.25">
      <c r="B44" s="113" t="s">
        <v>73</v>
      </c>
      <c r="C44" s="114"/>
      <c r="D44" s="114"/>
      <c r="E44" s="114"/>
      <c r="F44" s="119"/>
    </row>
    <row r="45" spans="2:13" x14ac:dyDescent="0.25">
      <c r="B45" s="113" t="s">
        <v>3</v>
      </c>
      <c r="C45" s="114"/>
      <c r="D45" s="114"/>
      <c r="E45" s="114"/>
      <c r="F45" s="119"/>
    </row>
    <row r="46" spans="2:13" x14ac:dyDescent="0.25">
      <c r="B46" s="113" t="s">
        <v>74</v>
      </c>
      <c r="C46" s="114"/>
      <c r="D46" s="114"/>
      <c r="E46" s="114"/>
      <c r="F46" s="119"/>
    </row>
    <row r="47" spans="2:13" ht="15.75" thickBot="1" x14ac:dyDescent="0.3">
      <c r="B47" s="115" t="s">
        <v>75</v>
      </c>
      <c r="C47" s="116"/>
      <c r="D47" s="116"/>
      <c r="E47" s="116"/>
      <c r="F47" s="120"/>
    </row>
  </sheetData>
  <mergeCells count="76"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2021-08-04T18:52:24Z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