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B85AB2A9-B7CB-4B25-AF77-D623DEF66EA8}" xr6:coauthVersionLast="46" xr6:coauthVersionMax="46" xr10:uidLastSave="{00000000-0000-0000-0000-000000000000}"/>
  <bookViews>
    <workbookView xWindow="-120" yWindow="-120" windowWidth="25440" windowHeight="15390" firstSheet="1" activeTab="3" xr2:uid="{00000000-000D-0000-FFFF-FFFF00000000}"/>
  </bookViews>
  <sheets>
    <sheet name="___Dropdown values" sheetId="4" state="hidden" r:id="rId1"/>
    <sheet name="Building Blocks" sheetId="1" r:id="rId2"/>
    <sheet name="Method" sheetId="54" r:id="rId3"/>
    <sheet name="Worklist"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9" i="54" l="1"/>
  <c r="E93" i="54"/>
  <c r="E86" i="54"/>
  <c r="K3" i="3"/>
  <c r="J3" i="3"/>
  <c r="K2" i="3"/>
  <c r="J2" i="3"/>
  <c r="H3" i="3"/>
  <c r="H2" i="3"/>
  <c r="E77" i="54" l="1"/>
  <c r="E76" i="54"/>
  <c r="E75" i="54"/>
  <c r="E61" i="54"/>
  <c r="E27" i="54"/>
  <c r="E25" i="54"/>
  <c r="E18" i="54"/>
  <c r="E14" i="54"/>
  <c r="E13" i="54"/>
  <c r="A3" i="3"/>
  <c r="B3" i="3" s="1"/>
  <c r="D3" i="3" l="1"/>
  <c r="A2" i="3" l="1"/>
  <c r="D2" i="3" l="1"/>
  <c r="B2" i="3"/>
</calcChain>
</file>

<file path=xl/sharedStrings.xml><?xml version="1.0" encoding="utf-8"?>
<sst xmlns="http://schemas.openxmlformats.org/spreadsheetml/2006/main" count="366" uniqueCount="120">
  <si>
    <t>Liquid Transfer</t>
  </si>
  <si>
    <t>Name</t>
  </si>
  <si>
    <t>Plate</t>
  </si>
  <si>
    <t>Diluent</t>
  </si>
  <si>
    <t>Split Plate</t>
  </si>
  <si>
    <t>Desalt</t>
  </si>
  <si>
    <t>Starting Concentration (mg/mL)</t>
  </si>
  <si>
    <t>Target Concentration (mg/mL)</t>
  </si>
  <si>
    <t>Start Method Below</t>
  </si>
  <si>
    <t>Time (min)</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</si>
  <si>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</si>
  <si>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</si>
  <si>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</si>
  <si>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</si>
  <si>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</si>
  <si>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</si>
  <si>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</si>
  <si>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</si>
  <si>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</si>
  <si>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</si>
  <si>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</si>
  <si>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</si>
  <si>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</si>
  <si>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</si>
  <si>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</si>
  <si>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</si>
  <si>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</si>
  <si>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</si>
  <si>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</si>
  <si>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</si>
  <si>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</si>
  <si>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</si>
  <si>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</si>
  <si>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</si>
  <si>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</si>
  <si>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</si>
  <si>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</si>
  <si>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</si>
  <si>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</si>
  <si>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</si>
  <si>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</si>
  <si>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</si>
  <si>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</si>
  <si>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</si>
  <si>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</si>
  <si>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</si>
  <si>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</si>
  <si>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</si>
  <si>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</si>
  <si>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</si>
  <si>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</si>
  <si>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</si>
  <si>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</si>
  <si>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</si>
  <si>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</si>
  <si>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</si>
  <si>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</si>
  <si>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</si>
  <si>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</si>
  <si>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</si>
  <si>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</si>
  <si>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</si>
  <si>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</si>
  <si>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</si>
  <si>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</si>
  <si>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</si>
  <si>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</si>
  <si>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SizeX:100</t>
  </si>
  <si>
    <t>SizeX:100,SizeX:100</t>
  </si>
  <si>
    <t>Pressure Difference (mTorr)</t>
  </si>
  <si>
    <t>Desalting Concentration</t>
  </si>
  <si>
    <t>``</t>
  </si>
  <si>
    <t>Aliquot</t>
  </si>
  <si>
    <t>Start Position</t>
  </si>
  <si>
    <t>Starting Position</t>
  </si>
  <si>
    <t>Sample Start Position</t>
  </si>
  <si>
    <t>Plate Start Position (A1)</t>
  </si>
  <si>
    <t>Pool</t>
  </si>
  <si>
    <t>Pathways</t>
  </si>
  <si>
    <t>Actions</t>
  </si>
  <si>
    <t>Modifiers</t>
  </si>
  <si>
    <t>Aspirate Location</t>
  </si>
  <si>
    <t>Dispense Location</t>
  </si>
  <si>
    <t>Sample Location</t>
  </si>
  <si>
    <t>Vacuum Plate</t>
  </si>
  <si>
    <t>Normal</t>
  </si>
  <si>
    <t>Vacuum Options</t>
  </si>
  <si>
    <t>Low</t>
  </si>
  <si>
    <t>High</t>
  </si>
  <si>
    <t>Manual (Remove validation then enter custom value)</t>
  </si>
  <si>
    <t>Vacuum Plates</t>
  </si>
  <si>
    <t>0.45um Self Poured ProA Plate</t>
  </si>
  <si>
    <t>Pre Vacuum Wait (min)</t>
  </si>
  <si>
    <t>Vacuum Time (min)</t>
  </si>
  <si>
    <t>Preload Liquid</t>
  </si>
  <si>
    <t>Volume</t>
  </si>
  <si>
    <t>Denaturation</t>
  </si>
  <si>
    <t>7M GnHCl, 100mM Tris pH 8.3, 5mM L-Met</t>
  </si>
  <si>
    <t>This is used to force the Denaturant into the Denaturant loading position. The actual step will be skipped because the pipetting volume is 0uL</t>
  </si>
  <si>
    <t>150mM TCEP in 7M GnHCl, 100mM Tris pH 8.3, 5mM L-Met</t>
  </si>
  <si>
    <t>150mM IAA in 7M GnHCl, 100mM Tris pH 8.3, 5mM L-Met</t>
  </si>
  <si>
    <t>Desalting</t>
  </si>
  <si>
    <t>Digestion</t>
  </si>
  <si>
    <t>50mM Tris pH 7.9</t>
  </si>
  <si>
    <t>Hamilton Desalting Finished</t>
  </si>
  <si>
    <t>Desalting Complete. Please measure concentrations in the Desalting plate then enter the concentrations in the Desalting Concentration column in the worklist. Finally, hit OK after placing the Desalting plate back on deck.</t>
  </si>
  <si>
    <t>8M GnHCl</t>
  </si>
  <si>
    <t>Max Source Volume (uL)</t>
  </si>
  <si>
    <t>1mg/mL LysC in water</t>
  </si>
  <si>
    <t>Final</t>
  </si>
  <si>
    <t>50% TFA</t>
  </si>
  <si>
    <t>_55min</t>
  </si>
  <si>
    <t>Do 55 minute incubation?</t>
  </si>
  <si>
    <t xml:space="preserve">This set of samples will be a 55 minute digestion. </t>
  </si>
  <si>
    <t>1.1M</t>
  </si>
  <si>
    <t>0.9M</t>
  </si>
  <si>
    <t>Water</t>
  </si>
  <si>
    <t>Post Desalting Denaturant Concentration</t>
  </si>
  <si>
    <t>Water Volume</t>
  </si>
  <si>
    <t>GnHCl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</si>
</sst>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s>
  <fills count="8">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bgColor indexed="64"/>
      </patternFill>
    </fill>
  </fills>
  <borders count="23">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diagonal/>
    </border>
  </borders>
  <cellStyleXfs count="1">
    <xf numFmtId="0" fontId="0" fillId="0" borderId="0"/>
  </cellStyleXfs>
  <cellXfs count="127">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0" fillId="2" borderId="3" xfId="0" applyFill="1" applyBorder="1" applyAlignment="1">
      <alignment horizontal="center" vertical="center"/>
    </xf>
    <xf numFmtId="0" fontId="0" fillId="2" borderId="5"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0" borderId="6" xfId="0" applyBorder="1" applyAlignment="1">
      <alignment wrapText="1"/>
    </xf>
    <xf numFmtId="0" fontId="0" fillId="0" borderId="4" xfId="0" applyBorder="1" applyAlignment="1">
      <alignment wrapText="1"/>
    </xf>
    <xf numFmtId="0" fontId="1" fillId="3" borderId="9" xfId="0" applyFont="1" applyFill="1" applyBorder="1" applyAlignment="1">
      <alignment horizontal="center"/>
    </xf>
    <xf numFmtId="0" fontId="0" fillId="0" borderId="0" xfId="0" applyBorder="1"/>
    <xf numFmtId="0" fontId="1" fillId="2" borderId="9"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0" fillId="3" borderId="21" xfId="0" applyFont="1" applyFill="1" applyBorder="1" applyAlignment="1">
      <alignment vertical="center" wrapText="1"/>
    </xf>
    <xf numFmtId="0" fontId="0" fillId="0" borderId="4" xfId="0" applyBorder="1" applyAlignment="1">
      <alignment horizontal="center"/>
    </xf>
    <xf numFmtId="0" fontId="0" fillId="0" borderId="0" xfId="0" applyAlignment="1">
      <alignment horizontal="center" vertical="center" wrapText="1"/>
    </xf>
    <xf numFmtId="0" fontId="0" fillId="0" borderId="0" xfId="0" applyFill="1" applyBorder="1"/>
    <xf numFmtId="0" fontId="0" fillId="0" borderId="0" xfId="0" applyFont="1" applyBorder="1" applyAlignment="1">
      <alignment horizontal="center" vertical="center" wrapText="1"/>
    </xf>
    <xf numFmtId="0" fontId="1" fillId="0" borderId="0" xfId="0" applyFont="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3" fillId="0" borderId="1" xfId="0" applyFont="1" applyBorder="1" applyAlignment="1">
      <alignment horizontal="center" vertical="center"/>
    </xf>
    <xf numFmtId="0" fontId="3" fillId="0" borderId="19"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6"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2" xfId="0"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4" borderId="14" xfId="0" applyFill="1" applyBorder="1" applyAlignment="1">
      <alignment horizontal="center" vertical="center" wrapText="1"/>
    </xf>
    <xf numFmtId="0" fontId="0" fillId="4" borderId="22" xfId="0" applyFill="1" applyBorder="1" applyAlignment="1">
      <alignment horizontal="center" vertical="center" wrapText="1"/>
    </xf>
    <xf numFmtId="0" fontId="0" fillId="4" borderId="7"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1" fillId="0" borderId="8" xfId="0" applyFont="1" applyBorder="1" applyAlignment="1">
      <alignment horizontal="center"/>
    </xf>
    <xf numFmtId="0" fontId="0" fillId="7" borderId="6" xfId="0" applyFill="1" applyBorder="1" applyAlignment="1">
      <alignment horizontal="center"/>
    </xf>
    <xf numFmtId="0" fontId="0" fillId="7" borderId="4" xfId="0" applyFill="1" applyBorder="1" applyAlignment="1">
      <alignment horizont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F8D6F1FA-E4FC-4B7E-B18C-40DD81B7FE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40C02907-0DA8-4075-A84B-294ABF3640B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5"/>
  <sheetViews>
    <sheetView topLeftCell="A10" workbookViewId="0">
      <selection activeCell="D25" sqref="D25"/>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37" t="s">
        <v>31</v>
      </c>
      <c r="C3" s="37"/>
      <c r="D3" s="37" t="s">
        <v>53</v>
      </c>
      <c r="F3" s="56" t="s">
        <v>26</v>
      </c>
      <c r="G3" s="56"/>
      <c r="H3" s="56"/>
      <c r="I3" s="56"/>
      <c r="J3" s="56"/>
      <c r="K3" s="56"/>
      <c r="L3" s="56"/>
    </row>
    <row r="4" spans="2:12" x14ac:dyDescent="0.25">
      <c r="B4" t="s">
        <v>34</v>
      </c>
      <c r="D4" s="40" t="s">
        <v>67</v>
      </c>
      <c r="F4" s="37" t="s">
        <v>0</v>
      </c>
      <c r="G4" s="37" t="s">
        <v>16</v>
      </c>
      <c r="H4" s="37" t="s">
        <v>5</v>
      </c>
      <c r="I4" s="37" t="s">
        <v>21</v>
      </c>
      <c r="J4" s="37" t="s">
        <v>46</v>
      </c>
      <c r="K4" s="37" t="s">
        <v>39</v>
      </c>
      <c r="L4" s="37" t="s">
        <v>55</v>
      </c>
    </row>
    <row r="5" spans="2:12" x14ac:dyDescent="0.25">
      <c r="B5" t="s">
        <v>56</v>
      </c>
      <c r="D5" s="40" t="s">
        <v>68</v>
      </c>
      <c r="F5" t="s">
        <v>0</v>
      </c>
      <c r="G5" t="s">
        <v>16</v>
      </c>
      <c r="H5" t="s">
        <v>5</v>
      </c>
      <c r="I5" t="s">
        <v>21</v>
      </c>
      <c r="J5" t="s">
        <v>46</v>
      </c>
      <c r="K5" t="s">
        <v>39</v>
      </c>
      <c r="L5" t="s">
        <v>55</v>
      </c>
    </row>
    <row r="6" spans="2:12" x14ac:dyDescent="0.25">
      <c r="B6" t="s">
        <v>32</v>
      </c>
      <c r="D6" s="40"/>
      <c r="F6" t="s">
        <v>27</v>
      </c>
      <c r="G6" t="s">
        <v>28</v>
      </c>
      <c r="H6" t="s">
        <v>29</v>
      </c>
      <c r="I6" t="s">
        <v>30</v>
      </c>
      <c r="J6" t="s">
        <v>47</v>
      </c>
      <c r="K6" t="s">
        <v>40</v>
      </c>
      <c r="L6" t="s">
        <v>57</v>
      </c>
    </row>
    <row r="7" spans="2:12" x14ac:dyDescent="0.25">
      <c r="B7" t="s">
        <v>58</v>
      </c>
      <c r="D7" s="40"/>
    </row>
    <row r="9" spans="2:12" x14ac:dyDescent="0.25">
      <c r="B9" s="37" t="s">
        <v>54</v>
      </c>
      <c r="D9" s="34" t="s">
        <v>50</v>
      </c>
    </row>
    <row r="10" spans="2:12" x14ac:dyDescent="0.25">
      <c r="B10" t="s">
        <v>61</v>
      </c>
      <c r="D10" s="24" t="s">
        <v>42</v>
      </c>
    </row>
    <row r="11" spans="2:12" x14ac:dyDescent="0.25">
      <c r="B11" t="s">
        <v>62</v>
      </c>
      <c r="D11" s="24" t="s">
        <v>43</v>
      </c>
    </row>
    <row r="12" spans="2:12" x14ac:dyDescent="0.25">
      <c r="B12" t="s">
        <v>63</v>
      </c>
    </row>
    <row r="13" spans="2:12" x14ac:dyDescent="0.25">
      <c r="B13" t="s">
        <v>64</v>
      </c>
      <c r="D13" s="37" t="s">
        <v>74</v>
      </c>
    </row>
    <row r="14" spans="2:12" x14ac:dyDescent="0.25">
      <c r="B14" t="s">
        <v>65</v>
      </c>
      <c r="D14" t="s">
        <v>75</v>
      </c>
    </row>
    <row r="15" spans="2:12" x14ac:dyDescent="0.25">
      <c r="B15" t="s">
        <v>66</v>
      </c>
      <c r="D15" t="s">
        <v>76</v>
      </c>
    </row>
    <row r="16" spans="2:12" x14ac:dyDescent="0.25">
      <c r="B16" t="s">
        <v>14</v>
      </c>
    </row>
    <row r="17" spans="2:4" x14ac:dyDescent="0.25">
      <c r="B17" t="s">
        <v>2</v>
      </c>
    </row>
    <row r="18" spans="2:4" x14ac:dyDescent="0.25">
      <c r="D18" s="37" t="s">
        <v>86</v>
      </c>
    </row>
    <row r="19" spans="2:4" x14ac:dyDescent="0.25">
      <c r="B19" s="37" t="s">
        <v>52</v>
      </c>
      <c r="D19" t="s">
        <v>87</v>
      </c>
    </row>
    <row r="20" spans="2:4" x14ac:dyDescent="0.25">
      <c r="B20" t="s">
        <v>59</v>
      </c>
      <c r="D20" t="s">
        <v>85</v>
      </c>
    </row>
    <row r="21" spans="2:4" x14ac:dyDescent="0.25">
      <c r="B21" t="s">
        <v>60</v>
      </c>
      <c r="D21" t="s">
        <v>88</v>
      </c>
    </row>
    <row r="22" spans="2:4" x14ac:dyDescent="0.25">
      <c r="D22" t="s">
        <v>89</v>
      </c>
    </row>
    <row r="24" spans="2:4" x14ac:dyDescent="0.25">
      <c r="D24" s="37" t="s">
        <v>90</v>
      </c>
    </row>
    <row r="25" spans="2:4" x14ac:dyDescent="0.25">
      <c r="D25" t="s">
        <v>91</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40"/>
  <sheetViews>
    <sheetView zoomScale="80" zoomScaleNormal="80" workbookViewId="0">
      <selection activeCell="H7" sqref="H7"/>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89" t="s">
        <v>78</v>
      </c>
      <c r="D2" s="90"/>
      <c r="E2" s="91"/>
      <c r="G2" s="95" t="s">
        <v>79</v>
      </c>
      <c r="H2" s="96"/>
      <c r="I2" s="97"/>
      <c r="K2" s="95" t="s">
        <v>80</v>
      </c>
      <c r="L2" s="96"/>
      <c r="M2" s="97"/>
    </row>
    <row r="3" spans="3:13" ht="15.75" thickBot="1" x14ac:dyDescent="0.3">
      <c r="C3" s="92"/>
      <c r="D3" s="93"/>
      <c r="E3" s="94"/>
      <c r="G3" s="98"/>
      <c r="H3" s="99"/>
      <c r="I3" s="100"/>
      <c r="K3" s="98"/>
      <c r="L3" s="99"/>
      <c r="M3" s="100"/>
    </row>
    <row r="4" spans="3:13" ht="15.75" thickBot="1" x14ac:dyDescent="0.3"/>
    <row r="5" spans="3:13" x14ac:dyDescent="0.25">
      <c r="C5" s="71" t="s">
        <v>2</v>
      </c>
      <c r="D5" s="72"/>
      <c r="E5" s="41" t="s">
        <v>15</v>
      </c>
      <c r="G5" s="108" t="s">
        <v>0</v>
      </c>
      <c r="H5" s="109"/>
      <c r="I5" s="29" t="s">
        <v>15</v>
      </c>
      <c r="K5" s="69" t="s">
        <v>72</v>
      </c>
      <c r="L5" s="70"/>
      <c r="M5" s="45" t="s">
        <v>15</v>
      </c>
    </row>
    <row r="6" spans="3:13" x14ac:dyDescent="0.25">
      <c r="C6" s="30" t="s">
        <v>1</v>
      </c>
      <c r="D6" s="33"/>
      <c r="E6" s="82"/>
      <c r="G6" s="3" t="s">
        <v>38</v>
      </c>
      <c r="H6" s="13"/>
      <c r="I6" s="60"/>
      <c r="K6" s="5" t="s">
        <v>38</v>
      </c>
      <c r="L6" s="20"/>
      <c r="M6" s="66"/>
    </row>
    <row r="7" spans="3:13" ht="15.75" thickBot="1" x14ac:dyDescent="0.3">
      <c r="C7" s="42" t="s">
        <v>25</v>
      </c>
      <c r="D7" s="32"/>
      <c r="E7" s="83"/>
      <c r="G7" s="3" t="s">
        <v>54</v>
      </c>
      <c r="H7" s="13"/>
      <c r="I7" s="61"/>
      <c r="K7" s="5" t="s">
        <v>81</v>
      </c>
      <c r="L7" s="20"/>
      <c r="M7" s="67"/>
    </row>
    <row r="8" spans="3:13" ht="15.75" thickBot="1" x14ac:dyDescent="0.3">
      <c r="G8" s="3" t="s">
        <v>52</v>
      </c>
      <c r="H8" s="13"/>
      <c r="I8" s="61"/>
      <c r="K8" s="6" t="s">
        <v>73</v>
      </c>
      <c r="L8" s="21" t="s">
        <v>75</v>
      </c>
      <c r="M8" s="68"/>
    </row>
    <row r="9" spans="3:13" ht="15.75" thickBot="1" x14ac:dyDescent="0.3">
      <c r="C9" s="103" t="s">
        <v>4</v>
      </c>
      <c r="D9" s="104"/>
      <c r="E9" s="25" t="s">
        <v>15</v>
      </c>
      <c r="G9" s="3" t="s">
        <v>11</v>
      </c>
      <c r="H9" s="13"/>
      <c r="I9" s="61"/>
    </row>
    <row r="10" spans="3:13" ht="15.75" thickBot="1" x14ac:dyDescent="0.3">
      <c r="C10" s="9" t="s">
        <v>24</v>
      </c>
      <c r="D10" s="18"/>
      <c r="E10" s="105"/>
      <c r="G10" s="4" t="s">
        <v>41</v>
      </c>
      <c r="H10" s="14" t="s">
        <v>42</v>
      </c>
      <c r="I10" s="62"/>
      <c r="K10" s="69" t="s">
        <v>77</v>
      </c>
      <c r="L10" s="70"/>
      <c r="M10" s="45" t="s">
        <v>15</v>
      </c>
    </row>
    <row r="11" spans="3:13" ht="15.75" thickBot="1" x14ac:dyDescent="0.3">
      <c r="C11" s="9" t="s">
        <v>35</v>
      </c>
      <c r="D11" s="18"/>
      <c r="E11" s="106"/>
      <c r="K11" s="5" t="s">
        <v>38</v>
      </c>
      <c r="L11" s="20"/>
      <c r="M11" s="66"/>
    </row>
    <row r="12" spans="3:13" ht="15.75" thickBot="1" x14ac:dyDescent="0.3">
      <c r="C12" s="10" t="s">
        <v>36</v>
      </c>
      <c r="D12" s="19"/>
      <c r="E12" s="107"/>
      <c r="G12" s="101" t="s">
        <v>16</v>
      </c>
      <c r="H12" s="102"/>
      <c r="I12" s="26" t="s">
        <v>15</v>
      </c>
      <c r="K12" s="5" t="s">
        <v>82</v>
      </c>
      <c r="L12" s="20"/>
      <c r="M12" s="67"/>
    </row>
    <row r="13" spans="3:13" ht="15.75" thickBot="1" x14ac:dyDescent="0.3">
      <c r="G13" s="7" t="s">
        <v>38</v>
      </c>
      <c r="H13" s="15"/>
      <c r="I13" s="63"/>
      <c r="K13" s="6" t="s">
        <v>73</v>
      </c>
      <c r="L13" s="21" t="s">
        <v>75</v>
      </c>
      <c r="M13" s="68"/>
    </row>
    <row r="14" spans="3:13" ht="15.75" thickBot="1" x14ac:dyDescent="0.3">
      <c r="C14" s="71" t="s">
        <v>51</v>
      </c>
      <c r="D14" s="72"/>
      <c r="E14" s="38" t="s">
        <v>15</v>
      </c>
      <c r="G14" s="7" t="s">
        <v>3</v>
      </c>
      <c r="H14" s="15"/>
      <c r="I14" s="64"/>
    </row>
    <row r="15" spans="3:13" x14ac:dyDescent="0.25">
      <c r="C15" s="73"/>
      <c r="D15" s="74"/>
      <c r="E15" s="82"/>
      <c r="G15" s="7" t="s">
        <v>6</v>
      </c>
      <c r="H15" s="15"/>
      <c r="I15" s="64"/>
      <c r="K15" s="69" t="s">
        <v>94</v>
      </c>
      <c r="L15" s="70"/>
      <c r="M15" s="45" t="s">
        <v>15</v>
      </c>
    </row>
    <row r="16" spans="3:13" ht="15.75" thickBot="1" x14ac:dyDescent="0.3">
      <c r="C16" s="75"/>
      <c r="D16" s="76"/>
      <c r="E16" s="83"/>
      <c r="G16" s="7" t="s">
        <v>7</v>
      </c>
      <c r="H16" s="15"/>
      <c r="I16" s="64"/>
      <c r="K16" s="6" t="s">
        <v>95</v>
      </c>
      <c r="L16" s="21"/>
      <c r="M16" s="51"/>
    </row>
    <row r="17" spans="7:9" ht="15.75" thickBot="1" x14ac:dyDescent="0.3">
      <c r="G17" s="8" t="s">
        <v>10</v>
      </c>
      <c r="H17" s="16"/>
      <c r="I17" s="65"/>
    </row>
    <row r="18" spans="7:9" ht="15.75" thickBot="1" x14ac:dyDescent="0.3"/>
    <row r="19" spans="7:9" x14ac:dyDescent="0.25">
      <c r="G19" s="77" t="s">
        <v>39</v>
      </c>
      <c r="H19" s="78"/>
      <c r="I19" s="28" t="s">
        <v>15</v>
      </c>
    </row>
    <row r="20" spans="7:9" x14ac:dyDescent="0.25">
      <c r="G20" s="11" t="s">
        <v>12</v>
      </c>
      <c r="H20" s="22"/>
      <c r="I20" s="79"/>
    </row>
    <row r="21" spans="7:9" x14ac:dyDescent="0.25">
      <c r="G21" s="11" t="s">
        <v>9</v>
      </c>
      <c r="H21" s="22"/>
      <c r="I21" s="80"/>
    </row>
    <row r="22" spans="7:9" ht="15.75" thickBot="1" x14ac:dyDescent="0.3">
      <c r="G22" s="12" t="s">
        <v>20</v>
      </c>
      <c r="H22" s="23"/>
      <c r="I22" s="81"/>
    </row>
    <row r="23" spans="7:9" ht="15.75" thickBot="1" x14ac:dyDescent="0.3"/>
    <row r="24" spans="7:9" x14ac:dyDescent="0.25">
      <c r="G24" s="69" t="s">
        <v>5</v>
      </c>
      <c r="H24" s="70"/>
      <c r="I24" s="27" t="s">
        <v>15</v>
      </c>
    </row>
    <row r="25" spans="7:9" x14ac:dyDescent="0.25">
      <c r="G25" s="5" t="s">
        <v>38</v>
      </c>
      <c r="H25" s="20"/>
      <c r="I25" s="66"/>
    </row>
    <row r="26" spans="7:9" x14ac:dyDescent="0.25">
      <c r="G26" s="5" t="s">
        <v>37</v>
      </c>
      <c r="H26" s="20"/>
      <c r="I26" s="67"/>
    </row>
    <row r="27" spans="7:9" ht="15.75" thickBot="1" x14ac:dyDescent="0.3">
      <c r="G27" s="6" t="s">
        <v>25</v>
      </c>
      <c r="H27" s="21"/>
      <c r="I27" s="68"/>
    </row>
    <row r="28" spans="7:9" ht="15.75" thickBot="1" x14ac:dyDescent="0.3">
      <c r="G28" s="37"/>
    </row>
    <row r="29" spans="7:9" x14ac:dyDescent="0.25">
      <c r="G29" s="84" t="s">
        <v>44</v>
      </c>
      <c r="H29" s="85"/>
      <c r="I29" s="47" t="s">
        <v>15</v>
      </c>
    </row>
    <row r="30" spans="7:9" x14ac:dyDescent="0.25">
      <c r="G30" s="35" t="s">
        <v>38</v>
      </c>
      <c r="H30" s="48"/>
      <c r="I30" s="86"/>
    </row>
    <row r="31" spans="7:9" x14ac:dyDescent="0.25">
      <c r="G31" s="35" t="s">
        <v>11</v>
      </c>
      <c r="H31" s="49"/>
      <c r="I31" s="87"/>
    </row>
    <row r="32" spans="7:9" x14ac:dyDescent="0.25">
      <c r="G32" s="35" t="s">
        <v>84</v>
      </c>
      <c r="H32" s="49"/>
      <c r="I32" s="87"/>
    </row>
    <row r="33" spans="7:9" x14ac:dyDescent="0.25">
      <c r="G33" s="35" t="s">
        <v>92</v>
      </c>
      <c r="H33" s="49"/>
      <c r="I33" s="87"/>
    </row>
    <row r="34" spans="7:9" x14ac:dyDescent="0.25">
      <c r="G34" s="35" t="s">
        <v>69</v>
      </c>
      <c r="H34" s="49" t="s">
        <v>85</v>
      </c>
      <c r="I34" s="87"/>
    </row>
    <row r="35" spans="7:9" ht="15.75" thickBot="1" x14ac:dyDescent="0.3">
      <c r="G35" s="36" t="s">
        <v>93</v>
      </c>
      <c r="H35" s="50"/>
      <c r="I35" s="88"/>
    </row>
    <row r="36" spans="7:9" ht="15.75" thickBot="1" x14ac:dyDescent="0.3"/>
    <row r="37" spans="7:9" x14ac:dyDescent="0.25">
      <c r="G37" s="71" t="s">
        <v>21</v>
      </c>
      <c r="H37" s="72"/>
      <c r="I37" s="39" t="s">
        <v>15</v>
      </c>
    </row>
    <row r="38" spans="7:9" x14ac:dyDescent="0.25">
      <c r="G38" s="30" t="s">
        <v>49</v>
      </c>
      <c r="H38" s="31"/>
      <c r="I38" s="57"/>
    </row>
    <row r="39" spans="7:9" x14ac:dyDescent="0.25">
      <c r="G39" s="30" t="s">
        <v>22</v>
      </c>
      <c r="H39" s="44"/>
      <c r="I39" s="58"/>
    </row>
    <row r="40" spans="7:9" ht="15.75" thickBot="1" x14ac:dyDescent="0.3">
      <c r="G40" s="1" t="s">
        <v>23</v>
      </c>
      <c r="H40" s="43"/>
      <c r="I40" s="59"/>
    </row>
  </sheetData>
  <mergeCells count="27">
    <mergeCell ref="K5:L5"/>
    <mergeCell ref="M6:M8"/>
    <mergeCell ref="K10:L10"/>
    <mergeCell ref="M11:M13"/>
    <mergeCell ref="C2:E3"/>
    <mergeCell ref="G2:I3"/>
    <mergeCell ref="K2:M3"/>
    <mergeCell ref="C5:D5"/>
    <mergeCell ref="G12:H12"/>
    <mergeCell ref="C9:D9"/>
    <mergeCell ref="E10:E12"/>
    <mergeCell ref="G5:H5"/>
    <mergeCell ref="E6:E7"/>
    <mergeCell ref="C14:D14"/>
    <mergeCell ref="C15:D16"/>
    <mergeCell ref="G19:H19"/>
    <mergeCell ref="I20:I22"/>
    <mergeCell ref="G37:H37"/>
    <mergeCell ref="E15:E16"/>
    <mergeCell ref="G24:H24"/>
    <mergeCell ref="G29:H29"/>
    <mergeCell ref="I30:I35"/>
    <mergeCell ref="I38:I40"/>
    <mergeCell ref="I6:I10"/>
    <mergeCell ref="I13:I17"/>
    <mergeCell ref="I25:I27"/>
    <mergeCell ref="K15:L15"/>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3">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G37:H37</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H38</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00000000-0002-0000-0100-00000A000000}">
          <x14:formula1>
            <xm:f>'___Dropdown values'!$D$14:$D$15</xm:f>
          </x14:formula1>
          <xm:sqref>L8 L13</xm:sqref>
        </x14:dataValidation>
        <x14:dataValidation type="list" allowBlank="1" showInputMessage="1" showErrorMessage="1" xr:uid="{00000000-0002-0000-0100-00000B000000}">
          <x14:formula1>
            <xm:f>'___Dropdown values'!$D$25</xm:f>
          </x14:formula1>
          <xm:sqref>H32:H33</xm:sqref>
        </x14:dataValidation>
        <x14:dataValidation type="list" allowBlank="1" showInputMessage="1" showErrorMessage="1" xr:uid="{00000000-0002-0000-0100-00000C000000}">
          <x14:formula1>
            <xm:f>'___Dropdown values'!$D$19:$D$22</xm:f>
          </x14:formula1>
          <xm:sqref>H34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0A81A-3841-4F6C-91D4-6D379D7363BF}">
  <sheetPr codeName="Sheet5"/>
  <dimension ref="A1:O142"/>
  <sheetViews>
    <sheetView topLeftCell="A100" zoomScale="80" zoomScaleNormal="80" workbookViewId="0">
      <selection activeCell="D2" sqref="D2:E2"/>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customWidth="1"/>
    <col min="9" max="9" width="28" customWidth="1"/>
    <col min="10" max="10" width="13.42578125" customWidth="1"/>
    <col min="14" max="14" width="9.5703125" style="46" customWidth="1"/>
    <col min="15" max="15" width="9.140625" style="46"/>
  </cols>
  <sheetData>
    <row r="1" spans="4:15" ht="15.75" thickBot="1" x14ac:dyDescent="0.3"/>
    <row r="2" spans="4:15" x14ac:dyDescent="0.25">
      <c r="D2" s="71" t="s">
        <v>2</v>
      </c>
      <c r="E2" s="72"/>
      <c r="F2" s="41" t="s">
        <v>15</v>
      </c>
    </row>
    <row r="3" spans="4:15" x14ac:dyDescent="0.25">
      <c r="D3" s="30" t="s">
        <v>1</v>
      </c>
      <c r="E3" s="33" t="s">
        <v>13</v>
      </c>
      <c r="F3" s="82" t="s">
        <v>45</v>
      </c>
    </row>
    <row r="4" spans="4:15" ht="15.75" thickBot="1" x14ac:dyDescent="0.3">
      <c r="D4" s="1" t="s">
        <v>25</v>
      </c>
      <c r="E4" s="17" t="s">
        <v>34</v>
      </c>
      <c r="F4" s="83"/>
    </row>
    <row r="6" spans="4:15" s="2" customFormat="1" ht="15.75" thickBot="1" x14ac:dyDescent="0.3">
      <c r="D6" s="124" t="s">
        <v>8</v>
      </c>
      <c r="E6" s="124"/>
    </row>
    <row r="7" spans="4:15" ht="15.75" thickBot="1" x14ac:dyDescent="0.3">
      <c r="D7" s="46"/>
      <c r="E7" s="46"/>
      <c r="N7"/>
      <c r="O7"/>
    </row>
    <row r="8" spans="4:15" x14ac:dyDescent="0.25">
      <c r="D8" s="71" t="s">
        <v>2</v>
      </c>
      <c r="E8" s="72"/>
      <c r="F8" s="41" t="s">
        <v>15</v>
      </c>
      <c r="N8"/>
      <c r="O8"/>
    </row>
    <row r="9" spans="4:15" x14ac:dyDescent="0.25">
      <c r="D9" s="30" t="s">
        <v>1</v>
      </c>
      <c r="E9" s="52" t="s">
        <v>96</v>
      </c>
      <c r="F9" s="113"/>
      <c r="N9"/>
      <c r="O9"/>
    </row>
    <row r="10" spans="4:15" ht="15.75" thickBot="1" x14ac:dyDescent="0.3">
      <c r="D10" s="1" t="s">
        <v>25</v>
      </c>
      <c r="E10" s="17" t="s">
        <v>34</v>
      </c>
      <c r="F10" s="114"/>
      <c r="N10"/>
      <c r="O10"/>
    </row>
    <row r="11" spans="4:15" ht="15.75" thickBot="1" x14ac:dyDescent="0.3">
      <c r="E11" s="40"/>
      <c r="F11" s="53"/>
      <c r="N11"/>
      <c r="O11"/>
    </row>
    <row r="12" spans="4:15" x14ac:dyDescent="0.25">
      <c r="D12" s="69" t="s">
        <v>72</v>
      </c>
      <c r="E12" s="70"/>
      <c r="F12" s="45" t="s">
        <v>15</v>
      </c>
      <c r="N12"/>
      <c r="O12"/>
    </row>
    <row r="13" spans="4:15" x14ac:dyDescent="0.25">
      <c r="D13" s="5" t="s">
        <v>38</v>
      </c>
      <c r="E13" s="20" t="str">
        <f>E3</f>
        <v>Sample</v>
      </c>
      <c r="F13" s="121"/>
      <c r="N13"/>
      <c r="O13"/>
    </row>
    <row r="14" spans="4:15" x14ac:dyDescent="0.25">
      <c r="D14" s="5" t="s">
        <v>81</v>
      </c>
      <c r="E14" s="20" t="str">
        <f>Worklist!D1</f>
        <v>Sample Location</v>
      </c>
      <c r="F14" s="122"/>
      <c r="N14"/>
      <c r="O14"/>
    </row>
    <row r="15" spans="4:15" ht="15.75" thickBot="1" x14ac:dyDescent="0.3">
      <c r="D15" s="6" t="s">
        <v>73</v>
      </c>
      <c r="E15" s="21" t="s">
        <v>75</v>
      </c>
      <c r="F15" s="123"/>
      <c r="N15"/>
      <c r="O15"/>
    </row>
    <row r="16" spans="4:15" ht="15.75" thickBot="1" x14ac:dyDescent="0.3">
      <c r="N16"/>
      <c r="O16"/>
    </row>
    <row r="17" spans="1:15" x14ac:dyDescent="0.25">
      <c r="D17" s="108" t="s">
        <v>0</v>
      </c>
      <c r="E17" s="109"/>
      <c r="F17" s="29" t="s">
        <v>15</v>
      </c>
      <c r="N17"/>
      <c r="O17"/>
    </row>
    <row r="18" spans="1:15" x14ac:dyDescent="0.25">
      <c r="A18" t="s">
        <v>71</v>
      </c>
      <c r="D18" s="3" t="s">
        <v>38</v>
      </c>
      <c r="E18" s="13" t="str">
        <f>E26</f>
        <v>7M GnHCl, 100mM Tris pH 8.3, 5mM L-Met</v>
      </c>
      <c r="F18" s="110" t="s">
        <v>98</v>
      </c>
      <c r="N18"/>
      <c r="O18"/>
    </row>
    <row r="19" spans="1:15" x14ac:dyDescent="0.25">
      <c r="D19" s="3" t="s">
        <v>54</v>
      </c>
      <c r="E19" s="13" t="s">
        <v>66</v>
      </c>
      <c r="F19" s="111"/>
      <c r="N19"/>
      <c r="O19"/>
    </row>
    <row r="20" spans="1:15" x14ac:dyDescent="0.25">
      <c r="D20" s="3" t="s">
        <v>52</v>
      </c>
      <c r="E20" s="13" t="s">
        <v>59</v>
      </c>
      <c r="F20" s="111"/>
      <c r="N20"/>
      <c r="O20"/>
    </row>
    <row r="21" spans="1:15" x14ac:dyDescent="0.25">
      <c r="D21" s="3" t="s">
        <v>11</v>
      </c>
      <c r="E21" s="13">
        <v>0</v>
      </c>
      <c r="F21" s="111"/>
      <c r="N21"/>
      <c r="O21"/>
    </row>
    <row r="22" spans="1:15" ht="15.75" thickBot="1" x14ac:dyDescent="0.3">
      <c r="D22" s="4" t="s">
        <v>41</v>
      </c>
      <c r="E22" s="14" t="s">
        <v>42</v>
      </c>
      <c r="F22" s="112"/>
      <c r="N22"/>
      <c r="O22"/>
    </row>
    <row r="23" spans="1:15" ht="15.75" thickBot="1" x14ac:dyDescent="0.3">
      <c r="N23"/>
      <c r="O23"/>
    </row>
    <row r="24" spans="1:15" x14ac:dyDescent="0.25">
      <c r="D24" s="101" t="s">
        <v>16</v>
      </c>
      <c r="E24" s="102"/>
      <c r="F24" s="26" t="s">
        <v>15</v>
      </c>
      <c r="N24"/>
      <c r="O24"/>
    </row>
    <row r="25" spans="1:15" x14ac:dyDescent="0.25">
      <c r="D25" s="7" t="s">
        <v>38</v>
      </c>
      <c r="E25" s="15" t="str">
        <f>E3</f>
        <v>Sample</v>
      </c>
      <c r="F25" s="118"/>
      <c r="N25"/>
      <c r="O25"/>
    </row>
    <row r="26" spans="1:15" x14ac:dyDescent="0.25">
      <c r="D26" s="7" t="s">
        <v>3</v>
      </c>
      <c r="E26" s="15" t="s">
        <v>97</v>
      </c>
      <c r="F26" s="119"/>
      <c r="N26"/>
      <c r="O26"/>
    </row>
    <row r="27" spans="1:15" x14ac:dyDescent="0.25">
      <c r="D27" s="7" t="s">
        <v>6</v>
      </c>
      <c r="E27" s="15" t="str">
        <f>Worklist!E1</f>
        <v>Concentration</v>
      </c>
      <c r="F27" s="119"/>
      <c r="N27"/>
      <c r="O27"/>
    </row>
    <row r="28" spans="1:15" x14ac:dyDescent="0.25">
      <c r="D28" s="7" t="s">
        <v>7</v>
      </c>
      <c r="E28" s="15">
        <v>1</v>
      </c>
      <c r="F28" s="119"/>
      <c r="N28"/>
      <c r="O28"/>
    </row>
    <row r="29" spans="1:15" x14ac:dyDescent="0.25">
      <c r="D29" s="7" t="s">
        <v>10</v>
      </c>
      <c r="E29" s="15">
        <v>100</v>
      </c>
      <c r="F29" s="119"/>
      <c r="N29"/>
      <c r="O29"/>
    </row>
    <row r="30" spans="1:15" ht="15.75" thickBot="1" x14ac:dyDescent="0.3">
      <c r="D30" s="8" t="s">
        <v>107</v>
      </c>
      <c r="E30" s="16">
        <v>100</v>
      </c>
      <c r="F30" s="120"/>
      <c r="N30"/>
      <c r="O30"/>
    </row>
    <row r="31" spans="1:15" ht="15.75" thickBot="1" x14ac:dyDescent="0.3">
      <c r="D31" s="46"/>
      <c r="E31" s="46"/>
      <c r="N31"/>
      <c r="O31"/>
    </row>
    <row r="32" spans="1:15" x14ac:dyDescent="0.25">
      <c r="D32" s="108" t="s">
        <v>0</v>
      </c>
      <c r="E32" s="109"/>
      <c r="F32" s="29" t="s">
        <v>15</v>
      </c>
      <c r="N32"/>
      <c r="O32"/>
    </row>
    <row r="33" spans="4:15" x14ac:dyDescent="0.25">
      <c r="D33" s="3" t="s">
        <v>38</v>
      </c>
      <c r="E33" s="13" t="s">
        <v>99</v>
      </c>
      <c r="F33" s="110"/>
      <c r="N33"/>
      <c r="O33"/>
    </row>
    <row r="34" spans="4:15" x14ac:dyDescent="0.25">
      <c r="D34" s="3" t="s">
        <v>54</v>
      </c>
      <c r="E34" s="13" t="s">
        <v>62</v>
      </c>
      <c r="F34" s="111"/>
      <c r="N34"/>
      <c r="O34"/>
    </row>
    <row r="35" spans="4:15" x14ac:dyDescent="0.25">
      <c r="D35" s="3" t="s">
        <v>52</v>
      </c>
      <c r="E35" s="13" t="s">
        <v>59</v>
      </c>
      <c r="F35" s="111"/>
      <c r="N35"/>
      <c r="O35"/>
    </row>
    <row r="36" spans="4:15" x14ac:dyDescent="0.25">
      <c r="D36" s="3" t="s">
        <v>11</v>
      </c>
      <c r="E36" s="13">
        <v>4</v>
      </c>
      <c r="F36" s="111"/>
      <c r="N36"/>
      <c r="O36"/>
    </row>
    <row r="37" spans="4:15" ht="15.75" thickBot="1" x14ac:dyDescent="0.3">
      <c r="D37" s="4" t="s">
        <v>41</v>
      </c>
      <c r="E37" s="14" t="s">
        <v>42</v>
      </c>
      <c r="F37" s="112"/>
      <c r="N37"/>
      <c r="O37"/>
    </row>
    <row r="38" spans="4:15" ht="15.75" thickBot="1" x14ac:dyDescent="0.3">
      <c r="N38"/>
      <c r="O38"/>
    </row>
    <row r="39" spans="4:15" x14ac:dyDescent="0.25">
      <c r="D39" s="77" t="s">
        <v>39</v>
      </c>
      <c r="E39" s="78"/>
      <c r="F39" s="28" t="s">
        <v>15</v>
      </c>
      <c r="N39"/>
      <c r="O39"/>
    </row>
    <row r="40" spans="4:15" x14ac:dyDescent="0.25">
      <c r="D40" s="11" t="s">
        <v>12</v>
      </c>
      <c r="E40" s="22">
        <v>30</v>
      </c>
      <c r="F40" s="115"/>
      <c r="N40"/>
      <c r="O40"/>
    </row>
    <row r="41" spans="4:15" x14ac:dyDescent="0.25">
      <c r="D41" s="11" t="s">
        <v>9</v>
      </c>
      <c r="E41" s="22">
        <v>30</v>
      </c>
      <c r="F41" s="116"/>
      <c r="N41"/>
      <c r="O41"/>
    </row>
    <row r="42" spans="4:15" ht="15.75" thickBot="1" x14ac:dyDescent="0.3">
      <c r="D42" s="12" t="s">
        <v>20</v>
      </c>
      <c r="E42" s="23">
        <v>0</v>
      </c>
      <c r="F42" s="117"/>
      <c r="N42"/>
      <c r="O42"/>
    </row>
    <row r="43" spans="4:15" ht="15.75" thickBot="1" x14ac:dyDescent="0.3">
      <c r="N43"/>
      <c r="O43"/>
    </row>
    <row r="44" spans="4:15" x14ac:dyDescent="0.25">
      <c r="D44" s="108" t="s">
        <v>0</v>
      </c>
      <c r="E44" s="109"/>
      <c r="F44" s="29" t="s">
        <v>15</v>
      </c>
      <c r="N44"/>
      <c r="O44"/>
    </row>
    <row r="45" spans="4:15" x14ac:dyDescent="0.25">
      <c r="D45" s="3" t="s">
        <v>38</v>
      </c>
      <c r="E45" s="13" t="s">
        <v>100</v>
      </c>
      <c r="F45" s="110"/>
      <c r="N45"/>
      <c r="O45"/>
    </row>
    <row r="46" spans="4:15" x14ac:dyDescent="0.25">
      <c r="D46" s="3" t="s">
        <v>54</v>
      </c>
      <c r="E46" s="13" t="s">
        <v>63</v>
      </c>
      <c r="F46" s="111"/>
      <c r="N46"/>
      <c r="O46"/>
    </row>
    <row r="47" spans="4:15" x14ac:dyDescent="0.25">
      <c r="D47" s="3" t="s">
        <v>52</v>
      </c>
      <c r="E47" s="13" t="s">
        <v>59</v>
      </c>
      <c r="F47" s="111"/>
      <c r="N47"/>
      <c r="O47"/>
    </row>
    <row r="48" spans="4:15" x14ac:dyDescent="0.25">
      <c r="D48" s="3" t="s">
        <v>11</v>
      </c>
      <c r="E48" s="13">
        <v>6</v>
      </c>
      <c r="F48" s="111"/>
      <c r="N48"/>
      <c r="O48"/>
    </row>
    <row r="49" spans="4:15" ht="15.75" thickBot="1" x14ac:dyDescent="0.3">
      <c r="D49" s="4" t="s">
        <v>41</v>
      </c>
      <c r="E49" s="14" t="s">
        <v>42</v>
      </c>
      <c r="F49" s="112"/>
      <c r="N49"/>
      <c r="O49"/>
    </row>
    <row r="50" spans="4:15" ht="15.75" thickBot="1" x14ac:dyDescent="0.3">
      <c r="N50"/>
      <c r="O50"/>
    </row>
    <row r="51" spans="4:15" x14ac:dyDescent="0.25">
      <c r="D51" s="77" t="s">
        <v>39</v>
      </c>
      <c r="E51" s="78"/>
      <c r="F51" s="28" t="s">
        <v>15</v>
      </c>
      <c r="N51"/>
      <c r="O51"/>
    </row>
    <row r="52" spans="4:15" x14ac:dyDescent="0.25">
      <c r="D52" s="11" t="s">
        <v>12</v>
      </c>
      <c r="E52" s="22">
        <v>25</v>
      </c>
      <c r="F52" s="115"/>
      <c r="N52"/>
      <c r="O52"/>
    </row>
    <row r="53" spans="4:15" x14ac:dyDescent="0.25">
      <c r="D53" s="11" t="s">
        <v>9</v>
      </c>
      <c r="E53" s="22">
        <v>30</v>
      </c>
      <c r="F53" s="116"/>
      <c r="N53"/>
      <c r="O53"/>
    </row>
    <row r="54" spans="4:15" ht="15.75" thickBot="1" x14ac:dyDescent="0.3">
      <c r="D54" s="12" t="s">
        <v>20</v>
      </c>
      <c r="E54" s="23">
        <v>0</v>
      </c>
      <c r="F54" s="117"/>
      <c r="N54"/>
      <c r="O54"/>
    </row>
    <row r="55" spans="4:15" ht="15.75" thickBot="1" x14ac:dyDescent="0.3">
      <c r="D55" s="46"/>
      <c r="E55" s="46"/>
      <c r="N55"/>
      <c r="O55"/>
    </row>
    <row r="56" spans="4:15" x14ac:dyDescent="0.25">
      <c r="D56" s="71" t="s">
        <v>2</v>
      </c>
      <c r="E56" s="72"/>
      <c r="F56" s="41" t="s">
        <v>15</v>
      </c>
      <c r="N56"/>
      <c r="O56"/>
    </row>
    <row r="57" spans="4:15" x14ac:dyDescent="0.25">
      <c r="D57" s="30" t="s">
        <v>1</v>
      </c>
      <c r="E57" s="52" t="s">
        <v>101</v>
      </c>
      <c r="F57" s="113"/>
      <c r="N57"/>
      <c r="O57"/>
    </row>
    <row r="58" spans="4:15" ht="15.75" thickBot="1" x14ac:dyDescent="0.3">
      <c r="D58" s="1" t="s">
        <v>25</v>
      </c>
      <c r="E58" s="32" t="s">
        <v>34</v>
      </c>
      <c r="F58" s="114"/>
      <c r="N58"/>
      <c r="O58"/>
    </row>
    <row r="59" spans="4:15" ht="15.75" thickBot="1" x14ac:dyDescent="0.3">
      <c r="N59"/>
      <c r="O59"/>
    </row>
    <row r="60" spans="4:15" x14ac:dyDescent="0.25">
      <c r="D60" s="69" t="s">
        <v>5</v>
      </c>
      <c r="E60" s="70"/>
      <c r="F60" s="45" t="s">
        <v>15</v>
      </c>
      <c r="N60"/>
      <c r="O60"/>
    </row>
    <row r="61" spans="4:15" x14ac:dyDescent="0.25">
      <c r="D61" s="5" t="s">
        <v>38</v>
      </c>
      <c r="E61" s="20" t="str">
        <f>E9</f>
        <v>Denaturation</v>
      </c>
      <c r="F61" s="121"/>
      <c r="N61"/>
      <c r="O61"/>
    </row>
    <row r="62" spans="4:15" x14ac:dyDescent="0.25">
      <c r="D62" s="5" t="s">
        <v>37</v>
      </c>
      <c r="E62" s="20" t="s">
        <v>103</v>
      </c>
      <c r="F62" s="122"/>
      <c r="N62"/>
      <c r="O62"/>
    </row>
    <row r="63" spans="4:15" ht="15.75" thickBot="1" x14ac:dyDescent="0.3">
      <c r="D63" s="6" t="s">
        <v>25</v>
      </c>
      <c r="E63" s="21" t="s">
        <v>67</v>
      </c>
      <c r="F63" s="123"/>
      <c r="N63"/>
      <c r="O63"/>
    </row>
    <row r="64" spans="4:15" ht="15.75" thickBot="1" x14ac:dyDescent="0.3">
      <c r="N64"/>
      <c r="O64"/>
    </row>
    <row r="65" spans="4:15" x14ac:dyDescent="0.25">
      <c r="D65" s="71" t="s">
        <v>2</v>
      </c>
      <c r="E65" s="72"/>
      <c r="F65" s="41" t="s">
        <v>15</v>
      </c>
      <c r="N65"/>
      <c r="O65"/>
    </row>
    <row r="66" spans="4:15" x14ac:dyDescent="0.25">
      <c r="D66" s="30" t="s">
        <v>1</v>
      </c>
      <c r="E66" s="52" t="s">
        <v>102</v>
      </c>
      <c r="F66" s="113"/>
      <c r="N66"/>
      <c r="O66"/>
    </row>
    <row r="67" spans="4:15" ht="15.75" thickBot="1" x14ac:dyDescent="0.3">
      <c r="D67" s="1" t="s">
        <v>25</v>
      </c>
      <c r="E67" s="32" t="s">
        <v>34</v>
      </c>
      <c r="F67" s="114"/>
      <c r="N67"/>
      <c r="O67"/>
    </row>
    <row r="68" spans="4:15" ht="15.75" thickBot="1" x14ac:dyDescent="0.3">
      <c r="D68" s="46"/>
      <c r="E68" s="46"/>
      <c r="N68"/>
      <c r="O68"/>
    </row>
    <row r="69" spans="4:15" x14ac:dyDescent="0.25">
      <c r="D69" s="71" t="s">
        <v>21</v>
      </c>
      <c r="E69" s="72"/>
      <c r="F69" s="39" t="s">
        <v>15</v>
      </c>
      <c r="N69"/>
      <c r="O69"/>
    </row>
    <row r="70" spans="4:15" x14ac:dyDescent="0.25">
      <c r="D70" s="30" t="s">
        <v>49</v>
      </c>
      <c r="E70" s="31" t="s">
        <v>42</v>
      </c>
      <c r="F70" s="57"/>
      <c r="N70"/>
      <c r="O70"/>
    </row>
    <row r="71" spans="4:15" x14ac:dyDescent="0.25">
      <c r="D71" s="30" t="s">
        <v>22</v>
      </c>
      <c r="E71" s="44" t="s">
        <v>104</v>
      </c>
      <c r="F71" s="58"/>
      <c r="N71"/>
      <c r="O71"/>
    </row>
    <row r="72" spans="4:15" ht="60.75" thickBot="1" x14ac:dyDescent="0.3">
      <c r="D72" s="1" t="s">
        <v>23</v>
      </c>
      <c r="E72" s="43" t="s">
        <v>105</v>
      </c>
      <c r="F72" s="59"/>
      <c r="N72"/>
      <c r="O72"/>
    </row>
    <row r="73" spans="4:15" ht="15.75" thickBot="1" x14ac:dyDescent="0.3">
      <c r="D73" s="46"/>
      <c r="E73" s="46"/>
      <c r="N73"/>
      <c r="O73"/>
    </row>
    <row r="74" spans="4:15" x14ac:dyDescent="0.25">
      <c r="D74" s="101" t="s">
        <v>16</v>
      </c>
      <c r="E74" s="102"/>
      <c r="F74" s="26" t="s">
        <v>15</v>
      </c>
      <c r="N74"/>
      <c r="O74"/>
    </row>
    <row r="75" spans="4:15" x14ac:dyDescent="0.25">
      <c r="D75" s="7" t="s">
        <v>38</v>
      </c>
      <c r="E75" s="15" t="str">
        <f>E57</f>
        <v>Desalting</v>
      </c>
      <c r="F75" s="118"/>
      <c r="N75"/>
      <c r="O75"/>
    </row>
    <row r="76" spans="4:15" x14ac:dyDescent="0.25">
      <c r="D76" s="7" t="s">
        <v>3</v>
      </c>
      <c r="E76" s="15" t="str">
        <f>E62</f>
        <v>50mM Tris pH 7.9</v>
      </c>
      <c r="F76" s="119"/>
      <c r="N76"/>
      <c r="O76"/>
    </row>
    <row r="77" spans="4:15" x14ac:dyDescent="0.25">
      <c r="D77" s="7" t="s">
        <v>6</v>
      </c>
      <c r="E77" s="15" t="str">
        <f>Worklist!F1</f>
        <v>Desalting Concentration</v>
      </c>
      <c r="F77" s="119"/>
      <c r="N77"/>
      <c r="O77"/>
    </row>
    <row r="78" spans="4:15" x14ac:dyDescent="0.25">
      <c r="D78" s="7" t="s">
        <v>7</v>
      </c>
      <c r="E78" s="15">
        <v>0.5</v>
      </c>
      <c r="F78" s="119"/>
      <c r="N78"/>
      <c r="O78"/>
    </row>
    <row r="79" spans="4:15" x14ac:dyDescent="0.25">
      <c r="D79" s="7" t="s">
        <v>10</v>
      </c>
      <c r="E79" s="15">
        <v>100</v>
      </c>
      <c r="F79" s="119"/>
      <c r="N79"/>
      <c r="O79"/>
    </row>
    <row r="80" spans="4:15" ht="15.75" thickBot="1" x14ac:dyDescent="0.3">
      <c r="D80" s="8" t="s">
        <v>107</v>
      </c>
      <c r="E80" s="16">
        <v>70</v>
      </c>
      <c r="F80" s="120"/>
      <c r="N80"/>
      <c r="O80"/>
    </row>
    <row r="81" spans="4:15" ht="15.75" thickBot="1" x14ac:dyDescent="0.3"/>
    <row r="82" spans="4:15" x14ac:dyDescent="0.25">
      <c r="D82" s="108" t="s">
        <v>0</v>
      </c>
      <c r="E82" s="109"/>
      <c r="F82" s="29" t="s">
        <v>15</v>
      </c>
    </row>
    <row r="83" spans="4:15" x14ac:dyDescent="0.25">
      <c r="D83" s="3" t="s">
        <v>38</v>
      </c>
      <c r="E83" s="13" t="s">
        <v>106</v>
      </c>
      <c r="F83" s="110"/>
    </row>
    <row r="84" spans="4:15" x14ac:dyDescent="0.25">
      <c r="D84" s="3" t="s">
        <v>54</v>
      </c>
      <c r="E84" s="13" t="s">
        <v>66</v>
      </c>
      <c r="F84" s="111"/>
    </row>
    <row r="85" spans="4:15" x14ac:dyDescent="0.25">
      <c r="D85" s="3" t="s">
        <v>52</v>
      </c>
      <c r="E85" s="13" t="s">
        <v>59</v>
      </c>
      <c r="F85" s="111"/>
    </row>
    <row r="86" spans="4:15" x14ac:dyDescent="0.25">
      <c r="D86" s="3" t="s">
        <v>11</v>
      </c>
      <c r="E86" s="13" t="str">
        <f>Worklist!J1</f>
        <v>GnHCl Volume</v>
      </c>
      <c r="F86" s="111"/>
    </row>
    <row r="87" spans="4:15" ht="15.75" thickBot="1" x14ac:dyDescent="0.3">
      <c r="D87" s="4" t="s">
        <v>41</v>
      </c>
      <c r="E87" s="14" t="s">
        <v>42</v>
      </c>
      <c r="F87" s="112"/>
    </row>
    <row r="88" spans="4:15" ht="15.75" thickBot="1" x14ac:dyDescent="0.3"/>
    <row r="89" spans="4:15" x14ac:dyDescent="0.25">
      <c r="D89" s="108" t="s">
        <v>0</v>
      </c>
      <c r="E89" s="109"/>
      <c r="F89" s="29" t="s">
        <v>15</v>
      </c>
    </row>
    <row r="90" spans="4:15" x14ac:dyDescent="0.25">
      <c r="D90" s="3" t="s">
        <v>38</v>
      </c>
      <c r="E90" s="13" t="s">
        <v>116</v>
      </c>
      <c r="F90" s="110"/>
    </row>
    <row r="91" spans="4:15" x14ac:dyDescent="0.25">
      <c r="D91" s="3" t="s">
        <v>54</v>
      </c>
      <c r="E91" s="13" t="s">
        <v>65</v>
      </c>
      <c r="F91" s="111"/>
    </row>
    <row r="92" spans="4:15" x14ac:dyDescent="0.25">
      <c r="D92" s="3" t="s">
        <v>52</v>
      </c>
      <c r="E92" s="13" t="s">
        <v>59</v>
      </c>
      <c r="F92" s="111"/>
    </row>
    <row r="93" spans="4:15" x14ac:dyDescent="0.25">
      <c r="D93" s="3" t="s">
        <v>11</v>
      </c>
      <c r="E93" s="13" t="str">
        <f>Worklist!K1</f>
        <v>Water Volume</v>
      </c>
      <c r="F93" s="111"/>
    </row>
    <row r="94" spans="4:15" ht="15.75" thickBot="1" x14ac:dyDescent="0.3">
      <c r="D94" s="4" t="s">
        <v>41</v>
      </c>
      <c r="E94" s="14" t="s">
        <v>42</v>
      </c>
      <c r="F94" s="112"/>
    </row>
    <row r="95" spans="4:15" ht="15.75" thickBot="1" x14ac:dyDescent="0.3"/>
    <row r="96" spans="4:15" x14ac:dyDescent="0.25">
      <c r="D96" s="108" t="s">
        <v>0</v>
      </c>
      <c r="E96" s="109"/>
      <c r="F96" s="29" t="s">
        <v>15</v>
      </c>
      <c r="N96"/>
      <c r="O96"/>
    </row>
    <row r="97" spans="1:15" x14ac:dyDescent="0.25">
      <c r="D97" s="3" t="s">
        <v>38</v>
      </c>
      <c r="E97" s="13" t="s">
        <v>108</v>
      </c>
      <c r="F97" s="110"/>
      <c r="N97"/>
      <c r="O97"/>
    </row>
    <row r="98" spans="1:15" x14ac:dyDescent="0.25">
      <c r="D98" s="3" t="s">
        <v>54</v>
      </c>
      <c r="E98" s="13" t="s">
        <v>14</v>
      </c>
      <c r="F98" s="111"/>
      <c r="N98"/>
      <c r="O98"/>
    </row>
    <row r="99" spans="1:15" x14ac:dyDescent="0.25">
      <c r="D99" s="3" t="s">
        <v>52</v>
      </c>
      <c r="E99" s="13" t="s">
        <v>60</v>
      </c>
      <c r="F99" s="111"/>
      <c r="N99"/>
      <c r="O99"/>
    </row>
    <row r="100" spans="1:15" x14ac:dyDescent="0.25">
      <c r="D100" s="3" t="s">
        <v>11</v>
      </c>
      <c r="E100" s="13">
        <v>5</v>
      </c>
      <c r="F100" s="111"/>
      <c r="N100"/>
      <c r="O100"/>
    </row>
    <row r="101" spans="1:15" ht="15.75" thickBot="1" x14ac:dyDescent="0.3">
      <c r="A101" t="s">
        <v>114</v>
      </c>
      <c r="D101" s="4" t="s">
        <v>41</v>
      </c>
      <c r="E101" s="14" t="s">
        <v>42</v>
      </c>
      <c r="F101" s="112"/>
      <c r="N101"/>
      <c r="O101"/>
    </row>
    <row r="102" spans="1:15" ht="15.75" thickBot="1" x14ac:dyDescent="0.3">
      <c r="A102" t="s">
        <v>115</v>
      </c>
      <c r="D102" s="46"/>
      <c r="E102" s="46"/>
      <c r="N102"/>
      <c r="O102"/>
    </row>
    <row r="103" spans="1:15" x14ac:dyDescent="0.25">
      <c r="D103" s="77" t="s">
        <v>39</v>
      </c>
      <c r="E103" s="78"/>
      <c r="F103" s="28" t="s">
        <v>15</v>
      </c>
      <c r="N103"/>
      <c r="O103"/>
    </row>
    <row r="104" spans="1:15" x14ac:dyDescent="0.25">
      <c r="D104" s="11" t="s">
        <v>12</v>
      </c>
      <c r="E104" s="22">
        <v>30</v>
      </c>
      <c r="F104" s="115"/>
      <c r="N104"/>
      <c r="O104"/>
    </row>
    <row r="105" spans="1:15" x14ac:dyDescent="0.25">
      <c r="D105" s="11" t="s">
        <v>9</v>
      </c>
      <c r="E105" s="22">
        <v>55</v>
      </c>
      <c r="F105" s="116"/>
      <c r="N105"/>
      <c r="O105"/>
    </row>
    <row r="106" spans="1:15" ht="15.75" thickBot="1" x14ac:dyDescent="0.3">
      <c r="D106" s="12" t="s">
        <v>20</v>
      </c>
      <c r="E106" s="23">
        <v>0</v>
      </c>
      <c r="F106" s="117"/>
      <c r="N106"/>
      <c r="O106"/>
    </row>
    <row r="107" spans="1:15" ht="16.5" customHeight="1" thickBot="1" x14ac:dyDescent="0.3">
      <c r="N107"/>
      <c r="O107"/>
    </row>
    <row r="108" spans="1:15" ht="15.75" customHeight="1" x14ac:dyDescent="0.25">
      <c r="D108" s="103" t="s">
        <v>4</v>
      </c>
      <c r="E108" s="104"/>
      <c r="F108" s="25" t="s">
        <v>15</v>
      </c>
      <c r="N108"/>
      <c r="O108"/>
    </row>
    <row r="109" spans="1:15" ht="15.75" customHeight="1" x14ac:dyDescent="0.25">
      <c r="D109" s="9" t="s">
        <v>24</v>
      </c>
      <c r="E109" s="18" t="str">
        <f>Worklist!H1</f>
        <v>_55min</v>
      </c>
      <c r="F109" s="105"/>
      <c r="N109"/>
      <c r="O109"/>
    </row>
    <row r="110" spans="1:15" ht="15.75" customHeight="1" x14ac:dyDescent="0.25">
      <c r="D110" s="9" t="s">
        <v>35</v>
      </c>
      <c r="E110" s="18" t="s">
        <v>109</v>
      </c>
      <c r="F110" s="106"/>
      <c r="N110"/>
      <c r="O110"/>
    </row>
    <row r="111" spans="1:15" ht="15.75" customHeight="1" thickBot="1" x14ac:dyDescent="0.3">
      <c r="D111" s="10" t="s">
        <v>36</v>
      </c>
      <c r="E111" s="19" t="s">
        <v>102</v>
      </c>
      <c r="F111" s="107"/>
      <c r="N111"/>
      <c r="O111"/>
    </row>
    <row r="112" spans="1:15" ht="15.75" customHeight="1" thickBot="1" x14ac:dyDescent="0.3">
      <c r="N112"/>
      <c r="O112"/>
    </row>
    <row r="113" spans="2:15" ht="24.75" customHeight="1" x14ac:dyDescent="0.25">
      <c r="B113" s="71" t="s">
        <v>2</v>
      </c>
      <c r="C113" s="72"/>
      <c r="D113" s="41" t="s">
        <v>15</v>
      </c>
      <c r="F113" s="71" t="s">
        <v>2</v>
      </c>
      <c r="G113" s="72"/>
      <c r="H113" s="41" t="s">
        <v>15</v>
      </c>
      <c r="N113"/>
      <c r="O113"/>
    </row>
    <row r="114" spans="2:15" ht="24.75" customHeight="1" thickBot="1" x14ac:dyDescent="0.3">
      <c r="B114" s="30" t="s">
        <v>1</v>
      </c>
      <c r="C114" s="125" t="s">
        <v>102</v>
      </c>
      <c r="D114" s="82"/>
      <c r="F114" s="30" t="s">
        <v>1</v>
      </c>
      <c r="G114" s="126" t="s">
        <v>109</v>
      </c>
      <c r="H114" s="82" t="s">
        <v>113</v>
      </c>
      <c r="N114"/>
      <c r="O114"/>
    </row>
    <row r="115" spans="2:15" ht="15.75" thickBot="1" x14ac:dyDescent="0.3">
      <c r="B115" s="42" t="s">
        <v>25</v>
      </c>
      <c r="C115" s="32" t="s">
        <v>34</v>
      </c>
      <c r="D115" s="83"/>
      <c r="F115" s="42" t="s">
        <v>25</v>
      </c>
      <c r="G115" s="32" t="s">
        <v>34</v>
      </c>
      <c r="H115" s="83"/>
      <c r="N115"/>
      <c r="O115"/>
    </row>
    <row r="116" spans="2:15" ht="15.75" thickBot="1" x14ac:dyDescent="0.3">
      <c r="F116" s="54"/>
      <c r="G116" s="46"/>
      <c r="H116" s="55"/>
      <c r="N116"/>
      <c r="O116"/>
    </row>
    <row r="117" spans="2:15" x14ac:dyDescent="0.25">
      <c r="B117" s="77" t="s">
        <v>39</v>
      </c>
      <c r="C117" s="78"/>
      <c r="D117" s="28" t="s">
        <v>15</v>
      </c>
      <c r="F117" s="108" t="s">
        <v>0</v>
      </c>
      <c r="G117" s="109"/>
      <c r="H117" s="29" t="s">
        <v>15</v>
      </c>
      <c r="N117"/>
      <c r="O117"/>
    </row>
    <row r="118" spans="2:15" x14ac:dyDescent="0.25">
      <c r="B118" s="11" t="s">
        <v>12</v>
      </c>
      <c r="C118" s="22">
        <v>30</v>
      </c>
      <c r="D118" s="115"/>
      <c r="F118" s="3" t="s">
        <v>38</v>
      </c>
      <c r="G118" s="13" t="s">
        <v>102</v>
      </c>
      <c r="H118" s="110"/>
      <c r="N118"/>
      <c r="O118"/>
    </row>
    <row r="119" spans="2:15" x14ac:dyDescent="0.25">
      <c r="B119" s="11" t="s">
        <v>9</v>
      </c>
      <c r="C119" s="22">
        <v>10</v>
      </c>
      <c r="D119" s="116"/>
      <c r="F119" s="3" t="s">
        <v>54</v>
      </c>
      <c r="G119" s="13" t="s">
        <v>2</v>
      </c>
      <c r="H119" s="111"/>
      <c r="N119"/>
      <c r="O119"/>
    </row>
    <row r="120" spans="2:15" ht="15.75" thickBot="1" x14ac:dyDescent="0.3">
      <c r="B120" s="12" t="s">
        <v>20</v>
      </c>
      <c r="C120" s="23">
        <v>0</v>
      </c>
      <c r="D120" s="117"/>
      <c r="F120" s="3" t="s">
        <v>52</v>
      </c>
      <c r="G120" s="13" t="s">
        <v>59</v>
      </c>
      <c r="H120" s="111"/>
      <c r="N120"/>
      <c r="O120"/>
    </row>
    <row r="121" spans="2:15" ht="15.75" thickBot="1" x14ac:dyDescent="0.3">
      <c r="F121" s="3" t="s">
        <v>11</v>
      </c>
      <c r="G121" s="13">
        <v>120</v>
      </c>
      <c r="H121" s="111"/>
      <c r="N121"/>
      <c r="O121"/>
    </row>
    <row r="122" spans="2:15" ht="15.75" thickBot="1" x14ac:dyDescent="0.3">
      <c r="B122" s="71" t="s">
        <v>2</v>
      </c>
      <c r="C122" s="72"/>
      <c r="D122" s="41" t="s">
        <v>15</v>
      </c>
      <c r="F122" s="4" t="s">
        <v>41</v>
      </c>
      <c r="G122" s="14" t="s">
        <v>43</v>
      </c>
      <c r="H122" s="112"/>
      <c r="N122"/>
      <c r="O122"/>
    </row>
    <row r="123" spans="2:15" ht="15.75" thickBot="1" x14ac:dyDescent="0.3">
      <c r="B123" s="30" t="s">
        <v>1</v>
      </c>
      <c r="C123" s="126" t="s">
        <v>109</v>
      </c>
      <c r="D123" s="82" t="s">
        <v>113</v>
      </c>
      <c r="N123"/>
      <c r="O123"/>
    </row>
    <row r="124" spans="2:15" ht="15.75" thickBot="1" x14ac:dyDescent="0.3">
      <c r="B124" s="42" t="s">
        <v>25</v>
      </c>
      <c r="C124" s="32" t="s">
        <v>34</v>
      </c>
      <c r="D124" s="83"/>
      <c r="F124" s="108" t="s">
        <v>0</v>
      </c>
      <c r="G124" s="109"/>
      <c r="H124" s="29" t="s">
        <v>15</v>
      </c>
      <c r="N124"/>
      <c r="O124"/>
    </row>
    <row r="125" spans="2:15" ht="15.75" thickBot="1" x14ac:dyDescent="0.3">
      <c r="B125" s="54"/>
      <c r="C125" s="46"/>
      <c r="D125" s="55"/>
      <c r="F125" s="3" t="s">
        <v>38</v>
      </c>
      <c r="G125" s="13" t="s">
        <v>110</v>
      </c>
      <c r="H125" s="110"/>
      <c r="N125"/>
      <c r="O125"/>
    </row>
    <row r="126" spans="2:15" x14ac:dyDescent="0.25">
      <c r="B126" s="108" t="s">
        <v>0</v>
      </c>
      <c r="C126" s="109"/>
      <c r="D126" s="29" t="s">
        <v>15</v>
      </c>
      <c r="F126" s="3" t="s">
        <v>54</v>
      </c>
      <c r="G126" s="13" t="s">
        <v>64</v>
      </c>
      <c r="H126" s="111"/>
      <c r="N126"/>
      <c r="O126"/>
    </row>
    <row r="127" spans="2:15" x14ac:dyDescent="0.25">
      <c r="B127" s="3" t="s">
        <v>38</v>
      </c>
      <c r="C127" s="13" t="s">
        <v>102</v>
      </c>
      <c r="D127" s="110"/>
      <c r="F127" s="3" t="s">
        <v>52</v>
      </c>
      <c r="G127" s="13" t="s">
        <v>59</v>
      </c>
      <c r="H127" s="111"/>
      <c r="N127"/>
      <c r="O127"/>
    </row>
    <row r="128" spans="2:15" x14ac:dyDescent="0.25">
      <c r="B128" s="3" t="s">
        <v>54</v>
      </c>
      <c r="C128" s="13" t="s">
        <v>2</v>
      </c>
      <c r="D128" s="111"/>
      <c r="F128" s="3" t="s">
        <v>11</v>
      </c>
      <c r="G128" s="13">
        <v>2</v>
      </c>
      <c r="H128" s="111"/>
      <c r="N128"/>
      <c r="O128"/>
    </row>
    <row r="129" spans="2:15" ht="15.75" thickBot="1" x14ac:dyDescent="0.3">
      <c r="B129" s="3" t="s">
        <v>52</v>
      </c>
      <c r="C129" s="13" t="s">
        <v>59</v>
      </c>
      <c r="D129" s="111"/>
      <c r="F129" s="4" t="s">
        <v>41</v>
      </c>
      <c r="G129" s="14" t="s">
        <v>42</v>
      </c>
      <c r="H129" s="112"/>
      <c r="N129"/>
      <c r="O129"/>
    </row>
    <row r="130" spans="2:15" ht="15.75" thickBot="1" x14ac:dyDescent="0.3">
      <c r="B130" s="3" t="s">
        <v>11</v>
      </c>
      <c r="C130" s="13">
        <v>120</v>
      </c>
      <c r="D130" s="111"/>
      <c r="N130"/>
      <c r="O130"/>
    </row>
    <row r="131" spans="2:15" ht="15.75" thickBot="1" x14ac:dyDescent="0.3">
      <c r="B131" s="4" t="s">
        <v>41</v>
      </c>
      <c r="C131" s="14" t="s">
        <v>43</v>
      </c>
      <c r="D131" s="112"/>
      <c r="F131" s="71" t="s">
        <v>51</v>
      </c>
      <c r="G131" s="72"/>
      <c r="H131" s="41" t="s">
        <v>15</v>
      </c>
      <c r="N131"/>
      <c r="O131"/>
    </row>
    <row r="132" spans="2:15" ht="15.75" thickBot="1" x14ac:dyDescent="0.3">
      <c r="F132" s="73"/>
      <c r="G132" s="74"/>
      <c r="H132" s="82"/>
      <c r="N132"/>
      <c r="O132"/>
    </row>
    <row r="133" spans="2:15" ht="15.75" thickBot="1" x14ac:dyDescent="0.3">
      <c r="B133" s="108" t="s">
        <v>0</v>
      </c>
      <c r="C133" s="109"/>
      <c r="D133" s="29" t="s">
        <v>15</v>
      </c>
      <c r="F133" s="75"/>
      <c r="G133" s="76"/>
      <c r="H133" s="83"/>
      <c r="N133"/>
      <c r="O133"/>
    </row>
    <row r="134" spans="2:15" x14ac:dyDescent="0.25">
      <c r="B134" s="3" t="s">
        <v>38</v>
      </c>
      <c r="C134" s="13" t="s">
        <v>110</v>
      </c>
      <c r="D134" s="110"/>
      <c r="N134"/>
      <c r="O134"/>
    </row>
    <row r="135" spans="2:15" x14ac:dyDescent="0.25">
      <c r="B135" s="3" t="s">
        <v>54</v>
      </c>
      <c r="C135" s="13" t="s">
        <v>64</v>
      </c>
      <c r="D135" s="111"/>
    </row>
    <row r="136" spans="2:15" x14ac:dyDescent="0.25">
      <c r="B136" s="3" t="s">
        <v>52</v>
      </c>
      <c r="C136" s="13" t="s">
        <v>59</v>
      </c>
      <c r="D136" s="111"/>
    </row>
    <row r="137" spans="2:15" x14ac:dyDescent="0.25">
      <c r="B137" s="3" t="s">
        <v>11</v>
      </c>
      <c r="C137" s="13">
        <v>2</v>
      </c>
      <c r="D137" s="111"/>
    </row>
    <row r="138" spans="2:15" ht="15.75" thickBot="1" x14ac:dyDescent="0.3">
      <c r="B138" s="4" t="s">
        <v>41</v>
      </c>
      <c r="C138" s="14" t="s">
        <v>42</v>
      </c>
      <c r="D138" s="112"/>
    </row>
    <row r="139" spans="2:15" ht="15.75" thickBot="1" x14ac:dyDescent="0.3"/>
    <row r="140" spans="2:15" x14ac:dyDescent="0.25">
      <c r="B140" s="71" t="s">
        <v>51</v>
      </c>
      <c r="C140" s="72"/>
      <c r="D140" s="41" t="s">
        <v>15</v>
      </c>
    </row>
    <row r="141" spans="2:15" x14ac:dyDescent="0.25">
      <c r="B141" s="73"/>
      <c r="C141" s="74"/>
      <c r="D141" s="82"/>
    </row>
    <row r="142" spans="2:15" ht="15.75" thickBot="1" x14ac:dyDescent="0.3">
      <c r="B142" s="75"/>
      <c r="C142" s="76"/>
      <c r="D142" s="83"/>
    </row>
  </sheetData>
  <mergeCells count="61">
    <mergeCell ref="B140:C140"/>
    <mergeCell ref="B141:C142"/>
    <mergeCell ref="D141:D142"/>
    <mergeCell ref="F131:G131"/>
    <mergeCell ref="F132:G133"/>
    <mergeCell ref="H132:H133"/>
    <mergeCell ref="D123:D124"/>
    <mergeCell ref="B126:C126"/>
    <mergeCell ref="D127:D131"/>
    <mergeCell ref="B133:C133"/>
    <mergeCell ref="D134:D138"/>
    <mergeCell ref="B113:C113"/>
    <mergeCell ref="F113:G113"/>
    <mergeCell ref="D114:D115"/>
    <mergeCell ref="H114:H115"/>
    <mergeCell ref="B117:C117"/>
    <mergeCell ref="B122:C122"/>
    <mergeCell ref="D82:E82"/>
    <mergeCell ref="F83:F87"/>
    <mergeCell ref="D89:E89"/>
    <mergeCell ref="H125:H129"/>
    <mergeCell ref="F117:G117"/>
    <mergeCell ref="D118:D120"/>
    <mergeCell ref="H118:H122"/>
    <mergeCell ref="D108:E108"/>
    <mergeCell ref="F109:F111"/>
    <mergeCell ref="D96:E96"/>
    <mergeCell ref="F97:F101"/>
    <mergeCell ref="D103:E103"/>
    <mergeCell ref="F104:F106"/>
    <mergeCell ref="F90:F94"/>
    <mergeCell ref="F124:G124"/>
    <mergeCell ref="F66:F67"/>
    <mergeCell ref="D69:E69"/>
    <mergeCell ref="F70:F72"/>
    <mergeCell ref="D74:E74"/>
    <mergeCell ref="F75:F80"/>
    <mergeCell ref="F52:F54"/>
    <mergeCell ref="D56:E56"/>
    <mergeCell ref="F57:F58"/>
    <mergeCell ref="D60:E60"/>
    <mergeCell ref="F61:F63"/>
    <mergeCell ref="D65:E65"/>
    <mergeCell ref="F33:F37"/>
    <mergeCell ref="D39:E39"/>
    <mergeCell ref="F40:F42"/>
    <mergeCell ref="D44:E44"/>
    <mergeCell ref="F45:F49"/>
    <mergeCell ref="D51:E51"/>
    <mergeCell ref="F13:F15"/>
    <mergeCell ref="D17:E17"/>
    <mergeCell ref="F18:F22"/>
    <mergeCell ref="D24:E24"/>
    <mergeCell ref="F25:F30"/>
    <mergeCell ref="D32:E32"/>
    <mergeCell ref="D2:E2"/>
    <mergeCell ref="F3:F4"/>
    <mergeCell ref="D6:E6"/>
    <mergeCell ref="D8:E8"/>
    <mergeCell ref="F9:F10"/>
    <mergeCell ref="D12:E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27650"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68809278-9CB6-44CD-8C18-213D032AA5A9}">
          <x14:formula1>
            <xm:f>'___Dropdown values'!$B$4:$B$6</xm:f>
          </x14:formula1>
          <xm:sqref>E4</xm:sqref>
        </x14:dataValidation>
        <x14:dataValidation type="list" allowBlank="1" showInputMessage="1" showErrorMessage="1" xr:uid="{B68315FB-3BB8-4A54-A720-D29D259D3427}">
          <x14:formula1>
            <xm:f>'___Dropdown values'!$B$10:$B$17</xm:f>
          </x14:formula1>
          <xm:sqref>E84 E91 G119 C128</xm:sqref>
        </x14:dataValidation>
        <x14:dataValidation type="list" allowBlank="1" showInputMessage="1" showErrorMessage="1" xr:uid="{43BC0249-E84E-44B5-ABA9-C1A2C331037C}">
          <x14:formula1>
            <xm:f>'___Dropdown values'!$B$4:$B$7</xm:f>
          </x14:formula1>
          <xm:sqref>C115 G115:G116 C124:C125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
  <sheetViews>
    <sheetView tabSelected="1" workbookViewId="0">
      <selection activeCell="G3" sqref="G3"/>
    </sheetView>
  </sheetViews>
  <sheetFormatPr defaultRowHeight="15" x14ac:dyDescent="0.25"/>
  <cols>
    <col min="1" max="1" width="9" bestFit="1" customWidth="1"/>
    <col min="2" max="2" width="20.42578125" customWidth="1"/>
    <col min="3" max="3" width="11.140625" bestFit="1" customWidth="1"/>
    <col min="4" max="4" width="17" bestFit="1" customWidth="1"/>
    <col min="5" max="5" width="14.5703125" customWidth="1"/>
    <col min="6" max="6" width="22.7109375" bestFit="1" customWidth="1"/>
    <col min="7" max="7" width="24" bestFit="1" customWidth="1"/>
    <col min="8" max="8" width="11.42578125" bestFit="1" customWidth="1"/>
    <col min="9" max="9" width="38" bestFit="1" customWidth="1"/>
    <col min="10" max="10" width="17.85546875" bestFit="1" customWidth="1"/>
  </cols>
  <sheetData>
    <row r="1" spans="1:11" x14ac:dyDescent="0.25">
      <c r="A1" t="s">
        <v>33</v>
      </c>
      <c r="B1" t="s">
        <v>48</v>
      </c>
      <c r="C1" t="s">
        <v>17</v>
      </c>
      <c r="D1" t="s">
        <v>83</v>
      </c>
      <c r="E1" t="s">
        <v>18</v>
      </c>
      <c r="F1" t="s">
        <v>70</v>
      </c>
      <c r="G1" t="s">
        <v>112</v>
      </c>
      <c r="H1" t="s">
        <v>111</v>
      </c>
      <c r="I1" t="s">
        <v>117</v>
      </c>
      <c r="J1" t="s">
        <v>119</v>
      </c>
      <c r="K1" t="s">
        <v>118</v>
      </c>
    </row>
    <row r="2" spans="1:11" x14ac:dyDescent="0.25">
      <c r="A2">
        <f t="shared" ref="A2:A3" si="0">ROW(A1)</f>
        <v>1</v>
      </c>
      <c r="B2">
        <f t="shared" ref="B2" si="1">A2</f>
        <v>1</v>
      </c>
      <c r="C2" t="s">
        <v>19</v>
      </c>
      <c r="D2">
        <f>A2</f>
        <v>1</v>
      </c>
      <c r="E2">
        <v>10</v>
      </c>
      <c r="F2">
        <v>0</v>
      </c>
      <c r="G2" t="s">
        <v>43</v>
      </c>
      <c r="H2" t="str">
        <f>IF(Worklist!G2="Yes",Method!E$110,Method!E$111)</f>
        <v>Digestion</v>
      </c>
      <c r="I2">
        <v>1.1000000000000001</v>
      </c>
      <c r="J2">
        <f>I2*120/8</f>
        <v>16.5</v>
      </c>
      <c r="K2">
        <f>20-J2</f>
        <v>3.5</v>
      </c>
    </row>
    <row r="3" spans="1:11" x14ac:dyDescent="0.25">
      <c r="A3">
        <f t="shared" si="0"/>
        <v>2</v>
      </c>
      <c r="B3">
        <f t="shared" ref="B3" si="2">A3</f>
        <v>2</v>
      </c>
      <c r="C3" t="s">
        <v>19</v>
      </c>
      <c r="D3">
        <f>A3</f>
        <v>2</v>
      </c>
      <c r="E3">
        <v>50</v>
      </c>
      <c r="F3">
        <v>0</v>
      </c>
      <c r="G3" t="s">
        <v>42</v>
      </c>
      <c r="H3" t="str">
        <f>IF(Worklist!G3="Yes",Method!E$110,Method!E$111)</f>
        <v>Final</v>
      </c>
      <c r="I3">
        <v>0.9</v>
      </c>
      <c r="J3">
        <f>I3*120/8</f>
        <v>13.5</v>
      </c>
      <c r="K3">
        <f>20-J3</f>
        <v>6.5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customXml/itemProps2.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___Dropdown values</vt:lpstr>
      <vt:lpstr>Building Blocks</vt:lpstr>
      <vt:lpstr>Method</vt:lpstr>
      <vt:lpstr>Worklist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2021-11-09T18:26:34Z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