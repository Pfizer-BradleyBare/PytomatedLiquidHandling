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CAD6B15-17BF-44A8-B4E2-EF261C224159}" xr6:coauthVersionLast="46" xr6:coauthVersionMax="47" xr10:uidLastSave="{00000000-0000-0000-0000-000000000000}"/>
  <bookViews>
    <workbookView xWindow="11835" yWindow="150" windowWidth="13320" windowHeight="15600" firstSheet="1" activeTab="3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1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1" i="2" l="1"/>
  <c r="G115" i="2"/>
  <c r="G108" i="2"/>
  <c r="G101" i="2"/>
  <c r="G89" i="2"/>
  <c r="G78" i="2"/>
  <c r="G71" i="2"/>
  <c r="G90" i="2"/>
  <c r="E53" i="2"/>
  <c r="E52" i="2"/>
  <c r="E16" i="2"/>
  <c r="A5" i="3"/>
  <c r="A4" i="3"/>
  <c r="A3" i="3"/>
  <c r="E15" i="2"/>
  <c r="E13" i="2"/>
  <c r="A2" i="3"/>
</calcChain>
</file>

<file path=xl/sharedStrings.xml><?xml version="1.0" encoding="utf-8"?>
<sst xmlns="http://schemas.openxmlformats.org/spreadsheetml/2006/main" count="1616" uniqueCount="346">
  <si>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</si>
  <si>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</si>
  <si>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</si>
  <si>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</si>
  <si>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</si>
  <si>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</si>
  <si>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</si>
  <si>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</si>
  <si>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</si>
  <si>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</si>
  <si>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</si>
  <si>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</si>
  <si>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</si>
  <si>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</si>
  <si>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</si>
  <si>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</si>
  <si>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</si>
  <si>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</si>
  <si>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</si>
  <si>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</si>
  <si>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</si>
  <si>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</si>
  <si>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</si>
  <si>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</si>
  <si>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</si>
  <si>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</si>
  <si>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</si>
  <si>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</si>
  <si>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</si>
  <si>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</si>
  <si>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</si>
  <si>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</si>
  <si>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</si>
  <si>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</si>
  <si>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</si>
  <si>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</si>
  <si>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</si>
  <si>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</si>
  <si>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</si>
  <si>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</si>
  <si>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</si>
  <si>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</si>
  <si>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</si>
  <si>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</si>
  <si>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</si>
  <si>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</si>
  <si>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</si>
  <si>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</si>
  <si>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</si>
  <si>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</si>
  <si>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</si>
  <si>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</si>
  <si>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</si>
  <si>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</si>
  <si>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</si>
  <si>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</si>
  <si>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</si>
  <si>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</si>
  <si>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</si>
  <si>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</si>
  <si>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</si>
  <si>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</si>
  <si>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</si>
  <si>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</si>
  <si>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</si>
  <si>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</si>
  <si>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</si>
  <si>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</si>
  <si>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</si>
  <si>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</si>
  <si>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</si>
  <si>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</si>
  <si>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</si>
  <si>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</si>
  <si>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</si>
  <si>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</si>
  <si>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</si>
  <si>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</si>
  <si>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</si>
  <si>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</si>
  <si>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</si>
  <si>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Merge Plate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</si>
  <si>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</si>
  <si>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</si>
  <si>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</si>
  <si>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</si>
  <si>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</si>
  <si>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</si>
  <si>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</si>
  <si>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</si>
  <si>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</si>
  <si>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</si>
  <si>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</si>
  <si>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</si>
  <si>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</si>
  <si>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</si>
  <si>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</si>
  <si>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Blank</t>
  </si>
  <si>
    <t>Sample Vol</t>
  </si>
  <si>
    <t>Diluent Volume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</si>
  <si>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</si>
  <si>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</si>
  <si>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</si>
  <si>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</si>
  <si>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</si>
  <si>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</si>
  <si>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</si>
  <si>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</si>
  <si>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</si>
  <si>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</si>
  <si>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</si>
  <si>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</si>
  <si>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</si>
  <si>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</si>
  <si>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</si>
  <si>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</si>
  <si>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</si>
  <si>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</si>
  <si>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</si>
  <si>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</si>
  <si>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</si>
  <si>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</si>
  <si>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</si>
  <si>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</si>
  <si>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</si>
  <si>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</si>
  <si>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</si>
  <si>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</si>
  <si>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</si>
  <si>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</si>
  <si>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</si>
  <si>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</si>
  <si>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</si>
  <si>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</si>
  <si>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</si>
  <si>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</si>
  <si>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</si>
  <si>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</si>
  <si>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</si>
  <si>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</si>
  <si>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True or Fals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</si>
  <si>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</si>
  <si>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</si>
  <si>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</si>
  <si>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</si>
  <si>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</si>
  <si>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</si>
  <si>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</si>
  <si>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</si>
  <si>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</si>
  <si>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</si>
  <si>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</si>
  <si>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</si>
  <si>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</si>
  <si>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</si>
  <si>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</si>
  <si>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</si>
  <si>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</si>
  <si>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</si>
  <si>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</si>
  <si>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</si>
  <si>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</si>
  <si>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</si>
  <si>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Waste 1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</si>
  <si>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</si>
  <si>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</si>
  <si>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</si>
  <si>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</si>
  <si>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</si>
  <si>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</si>
  <si>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</si>
  <si>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</si>
  <si>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</si>
  <si>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</si>
  <si>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</si>
  <si>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</si>
  <si>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</si>
  <si>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</si>
  <si>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</si>
  <si>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</si>
  <si>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</si>
  <si>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</si>
  <si>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</si>
  <si>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</si>
  <si>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</si>
  <si>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</si>
  <si>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</si>
  <si>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</si>
  <si>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</si>
  <si>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</si>
  <si>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</si>
  <si>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</si>
  <si>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</si>
  <si>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</si>
  <si>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</si>
  <si>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</si>
  <si>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</si>
  <si>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</si>
  <si>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GetReservationHeaterTansportType</t>
  </si>
  <si>
    <t>##9.4##</t>
  </si>
  <si>
    <t>Lid</t>
  </si>
  <si>
    <t>##9.5##</t>
  </si>
  <si>
    <t>GetReservationLidSequenceString</t>
  </si>
  <si>
    <t>##9.6##</t>
  </si>
  <si>
    <t>GetReservationLidTansportType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</si>
  <si>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</si>
  <si>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</si>
  <si>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</si>
  <si>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</si>
  <si>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</si>
  <si>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</si>
  <si>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</si>
  <si>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</si>
  <si>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</si>
  <si>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</si>
  <si>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</si>
  <si>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</si>
  <si>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</si>
  <si>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</si>
  <si>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</si>
  <si>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</si>
  <si>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</si>
  <si>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</si>
  <si>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</si>
  <si>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</si>
  <si>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##10.2##</t>
  </si>
  <si>
    <t>##10.3##</t>
  </si>
  <si>
    <t>Excel Location (Row,Col): (65,5)</t>
  </si>
  <si>
    <t>Name: Waste 1</t>
  </si>
  <si>
    <t>Step Title: Magnetic Beads</t>
  </si>
  <si>
    <t>Excel Location (Row,Col): (69,5)</t>
  </si>
  <si>
    <t>Storage Buffer: B&amp;W Buffer</t>
  </si>
  <si>
    <t>Storage Buffer Volume (uL): 150.0</t>
  </si>
  <si>
    <t>Hold Time (min): 2.0</t>
  </si>
  <si>
    <t>Repititions: 3.0</t>
  </si>
  <si>
    <t xml:space="preserve">Waste </t>
  </si>
  <si>
    <t>##12.1##</t>
  </si>
  <si>
    <t>##12.2##</t>
  </si>
  <si>
    <t>GetMagneticRackPlateSequenceString</t>
  </si>
  <si>
    <t>##12.3##</t>
  </si>
  <si>
    <t>GetMagneticRackPlateTransportType</t>
  </si>
  <si>
    <t>##12.4##</t>
  </si>
  <si>
    <t>Afte</t>
  </si>
  <si>
    <t>##12.5##</t>
  </si>
  <si>
    <t>Timer</t>
  </si>
  <si>
    <t>Start</t>
  </si>
  <si>
    <t>[WaitTime]</t>
  </si>
  <si>
    <t>##12.6##</t>
  </si>
  <si>
    <t>Wai</t>
  </si>
  <si>
    <t>##12.7##</t>
  </si>
  <si>
    <t>##12.8##</t>
  </si>
  <si>
    <t>##12.9##</t>
  </si>
  <si>
    <t>##12.10##</t>
  </si>
  <si>
    <t>##12.11##</t>
  </si>
  <si>
    <t>GetCondensedBeadsLiquidClassStrings</t>
  </si>
  <si>
    <t>##12.12##</t>
  </si>
  <si>
    <t>TransferVolume</t>
  </si>
  <si>
    <t>##12.13##</t>
  </si>
  <si>
    <t>GetGeneralLiquidTransferLiquidClassStrings</t>
  </si>
  <si>
    <t>[TransferVolumes]</t>
  </si>
  <si>
    <t>##12.14##</t>
  </si>
  <si>
    <t>##12.15##</t>
  </si>
  <si>
    <t>##12.16##</t>
  </si>
  <si>
    <t>##12.17##</t>
  </si>
  <si>
    <t>##12.18##</t>
  </si>
  <si>
    <t>##12.19##</t>
  </si>
  <si>
    <t>##12.20##</t>
  </si>
  <si>
    <t>##12.21##</t>
  </si>
  <si>
    <t>##12.22##</t>
  </si>
  <si>
    <t>##12.23##</t>
  </si>
  <si>
    <t>##12.24##</t>
  </si>
  <si>
    <t>##12.25##</t>
  </si>
  <si>
    <t>##12.26##</t>
  </si>
  <si>
    <t>##12.27##</t>
  </si>
  <si>
    <t>##12.28##</t>
  </si>
  <si>
    <t>##12.29##</t>
  </si>
  <si>
    <t>##12.30##</t>
  </si>
  <si>
    <t>##12.31##</t>
  </si>
  <si>
    <t>##12.32##</t>
  </si>
  <si>
    <t>##12.33##</t>
  </si>
  <si>
    <t>##12.34##</t>
  </si>
  <si>
    <t>##12.35##</t>
  </si>
  <si>
    <t>##12.36##</t>
  </si>
  <si>
    <t>##12.37##</t>
  </si>
  <si>
    <t>##12.38##</t>
  </si>
  <si>
    <t>##12.39##</t>
  </si>
  <si>
    <t>##12.40##</t>
  </si>
  <si>
    <t>##12.41##</t>
  </si>
  <si>
    <t>##12.42##</t>
  </si>
  <si>
    <t>##12.43##</t>
  </si>
  <si>
    <t>##12.44##</t>
  </si>
  <si>
    <t>##12.45##</t>
  </si>
  <si>
    <t>##12.46##</t>
  </si>
  <si>
    <t>##12.47##</t>
  </si>
  <si>
    <t>##12.48##</t>
  </si>
  <si>
    <t>Excel Location (Row,Col): (76,5)</t>
  </si>
  <si>
    <t>Storage Buffer: Solution B</t>
  </si>
  <si>
    <t>Repititions: 2.0</t>
  </si>
  <si>
    <t>##13.1##</t>
  </si>
  <si>
    <t>##13.2##</t>
  </si>
  <si>
    <t>##13.3##</t>
  </si>
  <si>
    <t>##13.4##</t>
  </si>
  <si>
    <t>##13.5##</t>
  </si>
  <si>
    <t>##13.6##</t>
  </si>
  <si>
    <t>##13.7##</t>
  </si>
  <si>
    <t>##13.8##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</si>
  <si>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</si>
  <si>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</si>
  <si>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</si>
  <si>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</si>
  <si>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</si>
  <si>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</si>
  <si>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</si>
  <si>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</si>
  <si>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</si>
  <si>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##13.18##</t>
  </si>
  <si>
    <t>##13.19##</t>
  </si>
  <si>
    <t>##13.20##</t>
  </si>
  <si>
    <t>##13.21##</t>
  </si>
  <si>
    <t>##13.22##</t>
  </si>
  <si>
    <t>##13.23##</t>
  </si>
  <si>
    <t>##13.24##</t>
  </si>
  <si>
    <t>##13.25##</t>
  </si>
  <si>
    <t>##13.26##</t>
  </si>
  <si>
    <t>##13.27##</t>
  </si>
  <si>
    <t>##13.28##</t>
  </si>
  <si>
    <t>##13.29##</t>
  </si>
  <si>
    <t>##13.30##</t>
  </si>
  <si>
    <t>##13.31##</t>
  </si>
  <si>
    <t>##13.32##</t>
  </si>
  <si>
    <t>Step Title: Merge Plate</t>
  </si>
  <si>
    <t>Excel Location (Row,Col): (83,5)</t>
  </si>
  <si>
    <t>After</t>
  </si>
  <si>
    <t>##12.49##</t>
  </si>
  <si>
    <t>##12.50##</t>
  </si>
  <si>
    <t>##12.51##</t>
  </si>
  <si>
    <t>##12.52##</t>
  </si>
  <si>
    <t>##12.53##</t>
  </si>
  <si>
    <t>##12.54##</t>
  </si>
  <si>
    <t>##13.33##</t>
  </si>
  <si>
    <t>##13.34##</t>
  </si>
  <si>
    <t>##13.35##</t>
  </si>
  <si>
    <t>##13.36##</t>
  </si>
  <si>
    <t>Beads</t>
  </si>
  <si>
    <t>Plate Name 2: Beads</t>
  </si>
  <si>
    <t>Magnetic Beads Plate: Beads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</si>
</sst>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3" t="s">
        <v>0</v>
      </c>
      <c r="C3" s="33"/>
      <c r="D3" s="33" t="s">
        <v>1</v>
      </c>
      <c r="F3" s="41" t="s">
        <v>2</v>
      </c>
      <c r="G3" s="41"/>
      <c r="H3" s="41"/>
      <c r="I3" s="41"/>
      <c r="J3" s="41"/>
      <c r="K3" s="41"/>
      <c r="L3" s="41"/>
    </row>
    <row r="4" spans="2:12" x14ac:dyDescent="0.25">
      <c r="B4" t="s">
        <v>3</v>
      </c>
      <c r="D4" s="35" t="s">
        <v>4</v>
      </c>
      <c r="F4" s="33" t="s">
        <v>5</v>
      </c>
      <c r="G4" s="33" t="s">
        <v>6</v>
      </c>
      <c r="H4" s="33" t="s">
        <v>7</v>
      </c>
      <c r="I4" s="33" t="s">
        <v>8</v>
      </c>
      <c r="J4" s="33" t="s">
        <v>9</v>
      </c>
      <c r="K4" s="33" t="s">
        <v>10</v>
      </c>
      <c r="L4" s="33" t="s">
        <v>11</v>
      </c>
    </row>
    <row r="5" spans="2:12" x14ac:dyDescent="0.25">
      <c r="B5" t="s">
        <v>12</v>
      </c>
      <c r="D5" s="35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5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5"/>
    </row>
    <row r="9" spans="2:12" x14ac:dyDescent="0.25">
      <c r="B9" s="33" t="s">
        <v>23</v>
      </c>
      <c r="D9" s="3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3" t="s">
        <v>38</v>
      </c>
    </row>
    <row r="19" spans="2:4" x14ac:dyDescent="0.25">
      <c r="B19" s="3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9"/>
  <sheetViews>
    <sheetView topLeftCell="F33" zoomScale="90" zoomScaleNormal="90" workbookViewId="0">
      <selection activeCell="G57" sqref="G57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53" t="s">
        <v>37</v>
      </c>
      <c r="E2" s="54"/>
      <c r="F2" s="28" t="s">
        <v>48</v>
      </c>
    </row>
    <row r="3" spans="4:6" x14ac:dyDescent="0.25">
      <c r="D3" s="29" t="s">
        <v>49</v>
      </c>
      <c r="E3" s="32" t="s">
        <v>50</v>
      </c>
      <c r="F3" s="46" t="s">
        <v>51</v>
      </c>
    </row>
    <row r="4" spans="4:6" ht="15.75" thickBot="1" x14ac:dyDescent="0.3">
      <c r="D4" s="1" t="s">
        <v>52</v>
      </c>
      <c r="E4" s="17" t="s">
        <v>3</v>
      </c>
      <c r="F4" s="47"/>
    </row>
    <row r="6" spans="4:6" s="2" customFormat="1" ht="15.75" thickBot="1" x14ac:dyDescent="0.3">
      <c r="D6" s="75" t="s">
        <v>53</v>
      </c>
      <c r="E6" s="75"/>
    </row>
    <row r="7" spans="4:6" ht="15.75" thickBot="1" x14ac:dyDescent="0.3"/>
    <row r="8" spans="4:6" x14ac:dyDescent="0.25">
      <c r="D8" s="53" t="s">
        <v>37</v>
      </c>
      <c r="E8" s="54"/>
      <c r="F8" s="28" t="s">
        <v>48</v>
      </c>
    </row>
    <row r="9" spans="4:6" x14ac:dyDescent="0.25">
      <c r="D9" s="29" t="s">
        <v>49</v>
      </c>
      <c r="E9" s="32" t="s">
        <v>54</v>
      </c>
      <c r="F9" s="46"/>
    </row>
    <row r="10" spans="4:6" ht="15.75" thickBot="1" x14ac:dyDescent="0.3">
      <c r="D10" s="1" t="s">
        <v>52</v>
      </c>
      <c r="E10" s="31" t="s">
        <v>3</v>
      </c>
      <c r="F10" s="47"/>
    </row>
    <row r="11" spans="4:6" ht="15.75" thickBot="1" x14ac:dyDescent="0.3"/>
    <row r="12" spans="4:6" x14ac:dyDescent="0.25">
      <c r="D12" s="70" t="s">
        <v>6</v>
      </c>
      <c r="E12" s="71"/>
      <c r="F12" s="25" t="s">
        <v>48</v>
      </c>
    </row>
    <row r="13" spans="4:6" x14ac:dyDescent="0.25">
      <c r="D13" s="7" t="s">
        <v>55</v>
      </c>
      <c r="E13" s="15" t="str">
        <f>E3</f>
        <v>Sample</v>
      </c>
      <c r="F13" s="72"/>
    </row>
    <row r="14" spans="4:6" x14ac:dyDescent="0.25">
      <c r="D14" s="7" t="s">
        <v>56</v>
      </c>
      <c r="E14" s="15" t="s">
        <v>57</v>
      </c>
      <c r="F14" s="73"/>
    </row>
    <row r="15" spans="4:6" x14ac:dyDescent="0.25">
      <c r="D15" s="7" t="s">
        <v>58</v>
      </c>
      <c r="E15" s="15" t="str">
        <f>Worklist!C1</f>
        <v>Starting Concentration (mg/mL)</v>
      </c>
      <c r="F15" s="73"/>
    </row>
    <row r="16" spans="4:6" x14ac:dyDescent="0.25">
      <c r="D16" s="7" t="s">
        <v>59</v>
      </c>
      <c r="E16" s="15">
        <f>40*1388651*0.000001/E17</f>
        <v>0.65348282352941178</v>
      </c>
      <c r="F16" s="73"/>
    </row>
    <row r="17" spans="1:6" x14ac:dyDescent="0.25">
      <c r="D17" s="7" t="s">
        <v>60</v>
      </c>
      <c r="E17" s="15">
        <v>85</v>
      </c>
      <c r="F17" s="73"/>
    </row>
    <row r="18" spans="1:6" ht="15.75" thickBot="1" x14ac:dyDescent="0.3">
      <c r="A18" t="s">
        <v>61</v>
      </c>
      <c r="D18" s="8" t="s">
        <v>62</v>
      </c>
      <c r="E18" s="16">
        <v>85</v>
      </c>
      <c r="F18" s="74"/>
    </row>
    <row r="19" spans="1:6" ht="15.75" thickBot="1" x14ac:dyDescent="0.3"/>
    <row r="20" spans="1:6" x14ac:dyDescent="0.25">
      <c r="D20" s="48" t="s">
        <v>5</v>
      </c>
      <c r="E20" s="49"/>
      <c r="F20" s="27" t="s">
        <v>48</v>
      </c>
    </row>
    <row r="21" spans="1:6" x14ac:dyDescent="0.25">
      <c r="D21" s="3" t="s">
        <v>55</v>
      </c>
      <c r="E21" s="13" t="s">
        <v>63</v>
      </c>
      <c r="F21" s="50"/>
    </row>
    <row r="22" spans="1:6" x14ac:dyDescent="0.25">
      <c r="D22" s="3" t="s">
        <v>23</v>
      </c>
      <c r="E22" s="13" t="s">
        <v>32</v>
      </c>
      <c r="F22" s="51"/>
    </row>
    <row r="23" spans="1:6" x14ac:dyDescent="0.25">
      <c r="D23" s="3" t="s">
        <v>39</v>
      </c>
      <c r="E23" s="13" t="s">
        <v>41</v>
      </c>
      <c r="F23" s="51"/>
    </row>
    <row r="24" spans="1:6" x14ac:dyDescent="0.25">
      <c r="D24" s="3" t="s">
        <v>64</v>
      </c>
      <c r="E24" s="13">
        <v>10</v>
      </c>
      <c r="F24" s="51"/>
    </row>
    <row r="25" spans="1:6" ht="15.75" thickBot="1" x14ac:dyDescent="0.3">
      <c r="D25" s="4" t="s">
        <v>65</v>
      </c>
      <c r="E25" s="14" t="s">
        <v>26</v>
      </c>
      <c r="F25" s="52"/>
    </row>
    <row r="26" spans="1:6" ht="15.75" thickBot="1" x14ac:dyDescent="0.3"/>
    <row r="27" spans="1:6" x14ac:dyDescent="0.25">
      <c r="D27" s="48" t="s">
        <v>5</v>
      </c>
      <c r="E27" s="49"/>
      <c r="F27" s="27" t="s">
        <v>48</v>
      </c>
    </row>
    <row r="28" spans="1:6" x14ac:dyDescent="0.25">
      <c r="D28" s="3" t="s">
        <v>55</v>
      </c>
      <c r="E28" s="13" t="s">
        <v>66</v>
      </c>
      <c r="F28" s="50"/>
    </row>
    <row r="29" spans="1:6" x14ac:dyDescent="0.25">
      <c r="D29" s="3" t="s">
        <v>23</v>
      </c>
      <c r="E29" s="13" t="s">
        <v>25</v>
      </c>
      <c r="F29" s="51"/>
    </row>
    <row r="30" spans="1:6" x14ac:dyDescent="0.25">
      <c r="D30" s="3" t="s">
        <v>39</v>
      </c>
      <c r="E30" s="13" t="s">
        <v>41</v>
      </c>
      <c r="F30" s="51"/>
    </row>
    <row r="31" spans="1:6" x14ac:dyDescent="0.25">
      <c r="D31" s="3" t="s">
        <v>64</v>
      </c>
      <c r="E31" s="13">
        <v>5</v>
      </c>
      <c r="F31" s="51"/>
    </row>
    <row r="32" spans="1:6" ht="15.75" thickBot="1" x14ac:dyDescent="0.3">
      <c r="D32" s="4" t="s">
        <v>65</v>
      </c>
      <c r="E32" s="14" t="s">
        <v>26</v>
      </c>
      <c r="F32" s="52"/>
    </row>
    <row r="33" spans="4:6" ht="15.75" thickBot="1" x14ac:dyDescent="0.3"/>
    <row r="34" spans="4:6" x14ac:dyDescent="0.25">
      <c r="D34" s="60" t="s">
        <v>162</v>
      </c>
      <c r="E34" s="61"/>
      <c r="F34" s="26" t="s">
        <v>48</v>
      </c>
    </row>
    <row r="35" spans="4:6" x14ac:dyDescent="0.25">
      <c r="D35" s="11" t="s">
        <v>67</v>
      </c>
      <c r="E35" s="22" t="s">
        <v>68</v>
      </c>
      <c r="F35" s="39"/>
    </row>
    <row r="36" spans="4:6" ht="15.75" thickBot="1" x14ac:dyDescent="0.3">
      <c r="D36" s="12" t="s">
        <v>69</v>
      </c>
      <c r="E36" s="23" t="s">
        <v>70</v>
      </c>
      <c r="F36" s="40"/>
    </row>
    <row r="37" spans="4:6" ht="15.75" thickBot="1" x14ac:dyDescent="0.3"/>
    <row r="38" spans="4:6" x14ac:dyDescent="0.25">
      <c r="D38" s="53" t="s">
        <v>8</v>
      </c>
      <c r="E38" s="54"/>
      <c r="F38" s="88" t="s">
        <v>48</v>
      </c>
    </row>
    <row r="39" spans="4:6" x14ac:dyDescent="0.25">
      <c r="D39" s="86" t="s">
        <v>89</v>
      </c>
      <c r="E39" s="87" t="s">
        <v>26</v>
      </c>
      <c r="F39" s="55"/>
    </row>
    <row r="40" spans="4:6" x14ac:dyDescent="0.25">
      <c r="D40" s="86" t="s">
        <v>90</v>
      </c>
      <c r="E40" s="90" t="s">
        <v>166</v>
      </c>
      <c r="F40" s="56"/>
    </row>
    <row r="41" spans="4:6" ht="30.75" thickBot="1" x14ac:dyDescent="0.3">
      <c r="D41" s="80" t="s">
        <v>92</v>
      </c>
      <c r="E41" s="89" t="s">
        <v>167</v>
      </c>
      <c r="F41" s="57"/>
    </row>
    <row r="42" spans="4:6" ht="15.75" thickBot="1" x14ac:dyDescent="0.3"/>
    <row r="43" spans="4:6" x14ac:dyDescent="0.25">
      <c r="D43" s="48" t="s">
        <v>5</v>
      </c>
      <c r="E43" s="49"/>
      <c r="F43" s="27" t="s">
        <v>48</v>
      </c>
    </row>
    <row r="44" spans="4:6" x14ac:dyDescent="0.25">
      <c r="D44" s="3" t="s">
        <v>55</v>
      </c>
      <c r="E44" s="13" t="s">
        <v>71</v>
      </c>
      <c r="F44" s="50"/>
    </row>
    <row r="45" spans="4:6" x14ac:dyDescent="0.25">
      <c r="D45" s="3" t="s">
        <v>23</v>
      </c>
      <c r="E45" s="13" t="s">
        <v>36</v>
      </c>
      <c r="F45" s="51"/>
    </row>
    <row r="46" spans="4:6" x14ac:dyDescent="0.25">
      <c r="D46" s="3" t="s">
        <v>39</v>
      </c>
      <c r="E46" s="13" t="s">
        <v>41</v>
      </c>
      <c r="F46" s="51"/>
    </row>
    <row r="47" spans="4:6" x14ac:dyDescent="0.25">
      <c r="D47" s="3" t="s">
        <v>64</v>
      </c>
      <c r="E47" s="13">
        <v>10</v>
      </c>
      <c r="F47" s="51"/>
    </row>
    <row r="48" spans="4:6" ht="15.75" thickBot="1" x14ac:dyDescent="0.3">
      <c r="D48" s="4" t="s">
        <v>65</v>
      </c>
      <c r="E48" s="14" t="s">
        <v>26</v>
      </c>
      <c r="F48" s="52"/>
    </row>
    <row r="49" spans="2:8" ht="15.75" thickBot="1" x14ac:dyDescent="0.3"/>
    <row r="50" spans="2:8" x14ac:dyDescent="0.25">
      <c r="D50" s="65" t="s">
        <v>72</v>
      </c>
      <c r="E50" s="66"/>
      <c r="F50" s="24" t="s">
        <v>48</v>
      </c>
    </row>
    <row r="51" spans="2:8" x14ac:dyDescent="0.25">
      <c r="D51" s="9" t="s">
        <v>73</v>
      </c>
      <c r="E51" s="18" t="s">
        <v>74</v>
      </c>
      <c r="F51" s="67"/>
    </row>
    <row r="52" spans="2:8" x14ac:dyDescent="0.25">
      <c r="D52" s="9" t="s">
        <v>75</v>
      </c>
      <c r="E52" s="18" t="str">
        <f>C56</f>
        <v>Annealing</v>
      </c>
      <c r="F52" s="68"/>
    </row>
    <row r="53" spans="2:8" ht="15.75" thickBot="1" x14ac:dyDescent="0.3">
      <c r="D53" s="10" t="s">
        <v>76</v>
      </c>
      <c r="E53" s="19" t="str">
        <f>G56</f>
        <v>Beads</v>
      </c>
      <c r="F53" s="69"/>
    </row>
    <row r="54" spans="2:8" ht="15.75" thickBot="1" x14ac:dyDescent="0.3"/>
    <row r="55" spans="2:8" x14ac:dyDescent="0.25">
      <c r="B55" s="53" t="s">
        <v>37</v>
      </c>
      <c r="C55" s="54"/>
      <c r="D55" s="28" t="s">
        <v>48</v>
      </c>
      <c r="F55" s="53" t="s">
        <v>37</v>
      </c>
      <c r="G55" s="54"/>
      <c r="H55" s="28" t="s">
        <v>48</v>
      </c>
    </row>
    <row r="56" spans="2:8" x14ac:dyDescent="0.25">
      <c r="B56" s="29" t="s">
        <v>49</v>
      </c>
      <c r="C56" s="32" t="s">
        <v>54</v>
      </c>
      <c r="D56" s="46"/>
      <c r="F56" s="29" t="s">
        <v>49</v>
      </c>
      <c r="G56" s="32" t="s">
        <v>343</v>
      </c>
      <c r="H56" s="46"/>
    </row>
    <row r="57" spans="2:8" ht="15.75" thickBot="1" x14ac:dyDescent="0.3">
      <c r="B57" s="1" t="s">
        <v>52</v>
      </c>
      <c r="C57" s="31" t="s">
        <v>3</v>
      </c>
      <c r="D57" s="47"/>
      <c r="F57" s="1" t="s">
        <v>52</v>
      </c>
      <c r="G57" s="31" t="s">
        <v>3</v>
      </c>
      <c r="H57" s="47"/>
    </row>
    <row r="58" spans="2:8" ht="15.75" thickBot="1" x14ac:dyDescent="0.3"/>
    <row r="59" spans="2:8" x14ac:dyDescent="0.25">
      <c r="B59" s="60" t="s">
        <v>10</v>
      </c>
      <c r="C59" s="61"/>
      <c r="D59" s="26" t="s">
        <v>48</v>
      </c>
      <c r="F59" s="48" t="s">
        <v>5</v>
      </c>
      <c r="G59" s="49"/>
      <c r="H59" s="27" t="s">
        <v>48</v>
      </c>
    </row>
    <row r="60" spans="2:8" x14ac:dyDescent="0.25">
      <c r="B60" s="11" t="s">
        <v>78</v>
      </c>
      <c r="C60" s="22">
        <v>37</v>
      </c>
      <c r="D60" s="62"/>
      <c r="F60" s="3" t="s">
        <v>55</v>
      </c>
      <c r="G60" s="13" t="s">
        <v>77</v>
      </c>
      <c r="H60" s="50"/>
    </row>
    <row r="61" spans="2:8" x14ac:dyDescent="0.25">
      <c r="B61" s="11" t="s">
        <v>79</v>
      </c>
      <c r="C61" s="22">
        <v>60</v>
      </c>
      <c r="D61" s="63"/>
      <c r="F61" s="3" t="s">
        <v>23</v>
      </c>
      <c r="G61" s="13" t="s">
        <v>25</v>
      </c>
      <c r="H61" s="51"/>
    </row>
    <row r="62" spans="2:8" ht="15.75" thickBot="1" x14ac:dyDescent="0.3">
      <c r="B62" s="12" t="s">
        <v>80</v>
      </c>
      <c r="C62" s="23">
        <v>0</v>
      </c>
      <c r="D62" s="64"/>
      <c r="F62" s="3" t="s">
        <v>39</v>
      </c>
      <c r="G62" s="13" t="s">
        <v>41</v>
      </c>
      <c r="H62" s="51"/>
    </row>
    <row r="63" spans="2:8" ht="15.75" thickBot="1" x14ac:dyDescent="0.3">
      <c r="F63" s="3" t="s">
        <v>64</v>
      </c>
      <c r="G63" s="13">
        <v>100</v>
      </c>
      <c r="H63" s="51"/>
    </row>
    <row r="64" spans="2:8" ht="15.75" thickBot="1" x14ac:dyDescent="0.3">
      <c r="B64" s="53" t="s">
        <v>81</v>
      </c>
      <c r="C64" s="54"/>
      <c r="D64" s="28" t="s">
        <v>48</v>
      </c>
      <c r="F64" s="4" t="s">
        <v>65</v>
      </c>
      <c r="G64" s="14" t="s">
        <v>26</v>
      </c>
      <c r="H64" s="52"/>
    </row>
    <row r="65" spans="2:8" ht="15.75" thickBot="1" x14ac:dyDescent="0.3">
      <c r="B65" s="42"/>
      <c r="C65" s="43"/>
      <c r="D65" s="46"/>
    </row>
    <row r="66" spans="2:8" ht="15.75" thickBot="1" x14ac:dyDescent="0.3">
      <c r="B66" s="44"/>
      <c r="C66" s="45"/>
      <c r="D66" s="47"/>
      <c r="F66" s="53" t="s">
        <v>37</v>
      </c>
      <c r="G66" s="54"/>
      <c r="H66" s="28" t="s">
        <v>48</v>
      </c>
    </row>
    <row r="67" spans="2:8" x14ac:dyDescent="0.25">
      <c r="F67" s="29" t="s">
        <v>49</v>
      </c>
      <c r="G67" s="32" t="s">
        <v>163</v>
      </c>
      <c r="H67" s="46"/>
    </row>
    <row r="68" spans="2:8" ht="15.75" thickBot="1" x14ac:dyDescent="0.3">
      <c r="F68" s="1" t="s">
        <v>52</v>
      </c>
      <c r="G68" s="31" t="s">
        <v>3</v>
      </c>
      <c r="H68" s="47"/>
    </row>
    <row r="69" spans="2:8" ht="15.75" thickBot="1" x14ac:dyDescent="0.3"/>
    <row r="70" spans="2:8" x14ac:dyDescent="0.25">
      <c r="F70" s="58" t="s">
        <v>82</v>
      </c>
      <c r="G70" s="59"/>
      <c r="H70" s="38" t="s">
        <v>48</v>
      </c>
    </row>
    <row r="71" spans="2:8" x14ac:dyDescent="0.25">
      <c r="F71" s="5" t="s">
        <v>164</v>
      </c>
      <c r="G71" s="20" t="str">
        <f>G$56</f>
        <v>Beads</v>
      </c>
      <c r="H71" s="76"/>
    </row>
    <row r="72" spans="2:8" x14ac:dyDescent="0.25">
      <c r="F72" s="5" t="s">
        <v>83</v>
      </c>
      <c r="G72" s="20" t="s">
        <v>84</v>
      </c>
      <c r="H72" s="77"/>
    </row>
    <row r="73" spans="2:8" x14ac:dyDescent="0.25">
      <c r="F73" s="5" t="s">
        <v>165</v>
      </c>
      <c r="G73" s="20">
        <v>150</v>
      </c>
      <c r="H73" s="77"/>
    </row>
    <row r="74" spans="2:8" x14ac:dyDescent="0.25">
      <c r="F74" s="5" t="s">
        <v>85</v>
      </c>
      <c r="G74" s="20">
        <v>2</v>
      </c>
      <c r="H74" s="77"/>
    </row>
    <row r="75" spans="2:8" ht="15.75" thickBot="1" x14ac:dyDescent="0.3">
      <c r="F75" s="6" t="s">
        <v>100</v>
      </c>
      <c r="G75" s="21">
        <v>3</v>
      </c>
      <c r="H75" s="78"/>
    </row>
    <row r="76" spans="2:8" ht="15.75" thickBot="1" x14ac:dyDescent="0.3"/>
    <row r="77" spans="2:8" s="79" customFormat="1" x14ac:dyDescent="0.25">
      <c r="F77" s="58" t="s">
        <v>82</v>
      </c>
      <c r="G77" s="59"/>
      <c r="H77" s="85" t="s">
        <v>48</v>
      </c>
    </row>
    <row r="78" spans="2:8" s="79" customFormat="1" x14ac:dyDescent="0.25">
      <c r="F78" s="81" t="s">
        <v>164</v>
      </c>
      <c r="G78" s="83" t="str">
        <f>G$56</f>
        <v>Beads</v>
      </c>
      <c r="H78" s="76"/>
    </row>
    <row r="79" spans="2:8" s="79" customFormat="1" x14ac:dyDescent="0.25">
      <c r="F79" s="81" t="s">
        <v>83</v>
      </c>
      <c r="G79" s="83" t="s">
        <v>86</v>
      </c>
      <c r="H79" s="77"/>
    </row>
    <row r="80" spans="2:8" s="79" customFormat="1" x14ac:dyDescent="0.25">
      <c r="F80" s="81" t="s">
        <v>165</v>
      </c>
      <c r="G80" s="83">
        <v>150</v>
      </c>
      <c r="H80" s="77"/>
    </row>
    <row r="81" spans="6:8" s="79" customFormat="1" x14ac:dyDescent="0.25">
      <c r="F81" s="81" t="s">
        <v>85</v>
      </c>
      <c r="G81" s="83">
        <v>2</v>
      </c>
      <c r="H81" s="77"/>
    </row>
    <row r="82" spans="6:8" s="79" customFormat="1" ht="15.75" thickBot="1" x14ac:dyDescent="0.3">
      <c r="F82" s="82" t="s">
        <v>100</v>
      </c>
      <c r="G82" s="84">
        <v>2</v>
      </c>
      <c r="H82" s="78"/>
    </row>
    <row r="83" spans="6:8" s="79" customFormat="1" ht="15.75" thickBot="1" x14ac:dyDescent="0.3"/>
    <row r="84" spans="6:8" x14ac:dyDescent="0.25">
      <c r="F84" s="53" t="s">
        <v>81</v>
      </c>
      <c r="G84" s="54"/>
      <c r="H84" s="28" t="s">
        <v>48</v>
      </c>
    </row>
    <row r="85" spans="6:8" x14ac:dyDescent="0.25">
      <c r="F85" s="42"/>
      <c r="G85" s="43"/>
      <c r="H85" s="46"/>
    </row>
    <row r="86" spans="6:8" ht="15.75" thickBot="1" x14ac:dyDescent="0.3">
      <c r="F86" s="44"/>
      <c r="G86" s="45"/>
      <c r="H86" s="47"/>
    </row>
    <row r="87" spans="6:8" ht="15.75" thickBot="1" x14ac:dyDescent="0.3"/>
    <row r="88" spans="6:8" s="79" customFormat="1" x14ac:dyDescent="0.25">
      <c r="F88" s="58" t="s">
        <v>82</v>
      </c>
      <c r="G88" s="59"/>
      <c r="H88" s="85" t="s">
        <v>48</v>
      </c>
    </row>
    <row r="89" spans="6:8" s="79" customFormat="1" x14ac:dyDescent="0.25">
      <c r="F89" s="81" t="s">
        <v>164</v>
      </c>
      <c r="G89" s="83" t="str">
        <f>G$56</f>
        <v>Beads</v>
      </c>
      <c r="H89" s="76"/>
    </row>
    <row r="90" spans="6:8" s="79" customFormat="1" x14ac:dyDescent="0.25">
      <c r="F90" s="81" t="s">
        <v>83</v>
      </c>
      <c r="G90" s="83" t="str">
        <f>C56</f>
        <v>Annealing</v>
      </c>
      <c r="H90" s="77"/>
    </row>
    <row r="91" spans="6:8" s="79" customFormat="1" x14ac:dyDescent="0.25">
      <c r="F91" s="81" t="s">
        <v>165</v>
      </c>
      <c r="G91" s="83">
        <v>100</v>
      </c>
      <c r="H91" s="77"/>
    </row>
    <row r="92" spans="6:8" s="79" customFormat="1" x14ac:dyDescent="0.25">
      <c r="F92" s="81" t="s">
        <v>85</v>
      </c>
      <c r="G92" s="83">
        <v>2</v>
      </c>
      <c r="H92" s="77"/>
    </row>
    <row r="93" spans="6:8" s="79" customFormat="1" ht="15.75" thickBot="1" x14ac:dyDescent="0.3">
      <c r="F93" s="82" t="s">
        <v>100</v>
      </c>
      <c r="G93" s="84">
        <v>1</v>
      </c>
      <c r="H93" s="78"/>
    </row>
    <row r="94" spans="6:8" s="79" customFormat="1" ht="15.75" thickBot="1" x14ac:dyDescent="0.3"/>
    <row r="95" spans="6:8" s="79" customFormat="1" x14ac:dyDescent="0.25">
      <c r="F95" s="60" t="s">
        <v>10</v>
      </c>
      <c r="G95" s="61"/>
      <c r="H95" s="26" t="s">
        <v>48</v>
      </c>
    </row>
    <row r="96" spans="6:8" s="79" customFormat="1" x14ac:dyDescent="0.25">
      <c r="F96" s="11" t="s">
        <v>78</v>
      </c>
      <c r="G96" s="22">
        <v>25</v>
      </c>
      <c r="H96" s="62"/>
    </row>
    <row r="97" spans="6:8" s="79" customFormat="1" x14ac:dyDescent="0.25">
      <c r="F97" s="11" t="s">
        <v>79</v>
      </c>
      <c r="G97" s="22">
        <v>30</v>
      </c>
      <c r="H97" s="63"/>
    </row>
    <row r="98" spans="6:8" s="79" customFormat="1" ht="15.75" thickBot="1" x14ac:dyDescent="0.3">
      <c r="F98" s="12" t="s">
        <v>80</v>
      </c>
      <c r="G98" s="23">
        <v>650</v>
      </c>
      <c r="H98" s="64"/>
    </row>
    <row r="99" spans="6:8" s="79" customFormat="1" ht="15.75" thickBot="1" x14ac:dyDescent="0.3">
      <c r="F99"/>
      <c r="G99"/>
      <c r="H99"/>
    </row>
    <row r="100" spans="6:8" s="79" customFormat="1" x14ac:dyDescent="0.25">
      <c r="F100" s="58" t="s">
        <v>82</v>
      </c>
      <c r="G100" s="59"/>
      <c r="H100" s="85" t="s">
        <v>48</v>
      </c>
    </row>
    <row r="101" spans="6:8" s="79" customFormat="1" x14ac:dyDescent="0.25">
      <c r="F101" s="81" t="s">
        <v>164</v>
      </c>
      <c r="G101" s="83" t="str">
        <f>G$56</f>
        <v>Beads</v>
      </c>
      <c r="H101" s="76"/>
    </row>
    <row r="102" spans="6:8" s="79" customFormat="1" x14ac:dyDescent="0.25">
      <c r="F102" s="81" t="s">
        <v>83</v>
      </c>
      <c r="G102" s="83" t="s">
        <v>84</v>
      </c>
      <c r="H102" s="77"/>
    </row>
    <row r="103" spans="6:8" s="79" customFormat="1" x14ac:dyDescent="0.25">
      <c r="F103" s="81" t="s">
        <v>165</v>
      </c>
      <c r="G103" s="83">
        <v>200</v>
      </c>
      <c r="H103" s="77"/>
    </row>
    <row r="104" spans="6:8" s="79" customFormat="1" x14ac:dyDescent="0.25">
      <c r="F104" s="81" t="s">
        <v>85</v>
      </c>
      <c r="G104" s="83">
        <v>2</v>
      </c>
      <c r="H104" s="77"/>
    </row>
    <row r="105" spans="6:8" s="79" customFormat="1" ht="15.75" thickBot="1" x14ac:dyDescent="0.3">
      <c r="F105" s="82" t="s">
        <v>100</v>
      </c>
      <c r="G105" s="84">
        <v>2</v>
      </c>
      <c r="H105" s="78"/>
    </row>
    <row r="106" spans="6:8" s="79" customFormat="1" ht="15.75" thickBot="1" x14ac:dyDescent="0.3"/>
    <row r="107" spans="6:8" s="79" customFormat="1" x14ac:dyDescent="0.25">
      <c r="F107" s="58" t="s">
        <v>82</v>
      </c>
      <c r="G107" s="59"/>
      <c r="H107" s="85" t="s">
        <v>48</v>
      </c>
    </row>
    <row r="108" spans="6:8" s="79" customFormat="1" x14ac:dyDescent="0.25">
      <c r="F108" s="81" t="s">
        <v>164</v>
      </c>
      <c r="G108" s="83" t="str">
        <f>G$56</f>
        <v>Beads</v>
      </c>
      <c r="H108" s="76"/>
    </row>
    <row r="109" spans="6:8" s="79" customFormat="1" x14ac:dyDescent="0.25">
      <c r="F109" s="81" t="s">
        <v>83</v>
      </c>
      <c r="G109" s="83" t="s">
        <v>57</v>
      </c>
      <c r="H109" s="77"/>
    </row>
    <row r="110" spans="6:8" s="79" customFormat="1" x14ac:dyDescent="0.25">
      <c r="F110" s="81" t="s">
        <v>165</v>
      </c>
      <c r="G110" s="83">
        <v>200</v>
      </c>
      <c r="H110" s="77"/>
    </row>
    <row r="111" spans="6:8" s="79" customFormat="1" x14ac:dyDescent="0.25">
      <c r="F111" s="81" t="s">
        <v>85</v>
      </c>
      <c r="G111" s="83">
        <v>2</v>
      </c>
      <c r="H111" s="77"/>
    </row>
    <row r="112" spans="6:8" s="79" customFormat="1" ht="15.75" thickBot="1" x14ac:dyDescent="0.3">
      <c r="F112" s="82" t="s">
        <v>100</v>
      </c>
      <c r="G112" s="84">
        <v>10</v>
      </c>
      <c r="H112" s="78"/>
    </row>
    <row r="113" spans="6:8" s="79" customFormat="1" ht="15.75" thickBot="1" x14ac:dyDescent="0.3"/>
    <row r="114" spans="6:8" s="79" customFormat="1" x14ac:dyDescent="0.25">
      <c r="F114" s="58" t="s">
        <v>82</v>
      </c>
      <c r="G114" s="59"/>
      <c r="H114" s="85" t="s">
        <v>48</v>
      </c>
    </row>
    <row r="115" spans="6:8" s="79" customFormat="1" x14ac:dyDescent="0.25">
      <c r="F115" s="81" t="s">
        <v>164</v>
      </c>
      <c r="G115" s="83" t="str">
        <f>G$56</f>
        <v>Beads</v>
      </c>
      <c r="H115" s="76"/>
    </row>
    <row r="116" spans="6:8" s="79" customFormat="1" x14ac:dyDescent="0.25">
      <c r="F116" s="81" t="s">
        <v>83</v>
      </c>
      <c r="G116" s="83" t="s">
        <v>87</v>
      </c>
      <c r="H116" s="77"/>
    </row>
    <row r="117" spans="6:8" s="79" customFormat="1" x14ac:dyDescent="0.25">
      <c r="F117" s="81" t="s">
        <v>165</v>
      </c>
      <c r="G117" s="83">
        <v>100</v>
      </c>
      <c r="H117" s="77"/>
    </row>
    <row r="118" spans="6:8" s="79" customFormat="1" x14ac:dyDescent="0.25">
      <c r="F118" s="81" t="s">
        <v>85</v>
      </c>
      <c r="G118" s="83">
        <v>2</v>
      </c>
      <c r="H118" s="77"/>
    </row>
    <row r="119" spans="6:8" s="79" customFormat="1" ht="15.75" thickBot="1" x14ac:dyDescent="0.3">
      <c r="F119" s="82" t="s">
        <v>100</v>
      </c>
      <c r="G119" s="84">
        <v>1</v>
      </c>
      <c r="H119" s="78"/>
    </row>
    <row r="120" spans="6:8" s="79" customFormat="1" ht="15.75" thickBot="1" x14ac:dyDescent="0.3">
      <c r="F120"/>
      <c r="G120"/>
      <c r="H120"/>
    </row>
    <row r="121" spans="6:8" s="79" customFormat="1" x14ac:dyDescent="0.25">
      <c r="F121" s="60" t="s">
        <v>10</v>
      </c>
      <c r="G121" s="61"/>
      <c r="H121" s="26" t="s">
        <v>48</v>
      </c>
    </row>
    <row r="122" spans="6:8" s="79" customFormat="1" x14ac:dyDescent="0.25">
      <c r="F122" s="11" t="s">
        <v>78</v>
      </c>
      <c r="G122" s="22">
        <v>90</v>
      </c>
      <c r="H122" s="62"/>
    </row>
    <row r="123" spans="6:8" s="79" customFormat="1" x14ac:dyDescent="0.25">
      <c r="F123" s="11" t="s">
        <v>79</v>
      </c>
      <c r="G123" s="22">
        <v>5</v>
      </c>
      <c r="H123" s="63"/>
    </row>
    <row r="124" spans="6:8" s="79" customFormat="1" ht="15.75" thickBot="1" x14ac:dyDescent="0.3">
      <c r="F124" s="12" t="s">
        <v>80</v>
      </c>
      <c r="G124" s="23">
        <v>350</v>
      </c>
      <c r="H124" s="64"/>
    </row>
    <row r="125" spans="6:8" s="79" customFormat="1" ht="15.75" thickBot="1" x14ac:dyDescent="0.3">
      <c r="F125"/>
      <c r="G125"/>
      <c r="H125"/>
    </row>
    <row r="126" spans="6:8" s="79" customFormat="1" x14ac:dyDescent="0.25">
      <c r="F126" s="53" t="s">
        <v>37</v>
      </c>
      <c r="G126" s="54"/>
      <c r="H126" s="28" t="s">
        <v>48</v>
      </c>
    </row>
    <row r="127" spans="6:8" s="79" customFormat="1" x14ac:dyDescent="0.25">
      <c r="F127" s="29" t="s">
        <v>49</v>
      </c>
      <c r="G127" s="32" t="s">
        <v>88</v>
      </c>
      <c r="H127" s="46"/>
    </row>
    <row r="128" spans="6:8" s="79" customFormat="1" ht="15.75" thickBot="1" x14ac:dyDescent="0.3">
      <c r="F128" s="1" t="s">
        <v>52</v>
      </c>
      <c r="G128" s="31" t="s">
        <v>22</v>
      </c>
      <c r="H128" s="47"/>
    </row>
    <row r="129" spans="6:8" s="79" customFormat="1" ht="15.75" thickBot="1" x14ac:dyDescent="0.3"/>
    <row r="130" spans="6:8" s="79" customFormat="1" x14ac:dyDescent="0.25">
      <c r="F130" s="58" t="s">
        <v>82</v>
      </c>
      <c r="G130" s="59"/>
      <c r="H130" s="85" t="s">
        <v>48</v>
      </c>
    </row>
    <row r="131" spans="6:8" s="79" customFormat="1" x14ac:dyDescent="0.25">
      <c r="F131" s="81" t="s">
        <v>164</v>
      </c>
      <c r="G131" s="83" t="str">
        <f>G$56</f>
        <v>Beads</v>
      </c>
      <c r="H131" s="76"/>
    </row>
    <row r="132" spans="6:8" s="79" customFormat="1" x14ac:dyDescent="0.25">
      <c r="F132" s="81" t="s">
        <v>83</v>
      </c>
      <c r="G132" s="83" t="s">
        <v>168</v>
      </c>
      <c r="H132" s="77"/>
    </row>
    <row r="133" spans="6:8" s="79" customFormat="1" x14ac:dyDescent="0.25">
      <c r="F133" s="81" t="s">
        <v>165</v>
      </c>
      <c r="G133" s="83">
        <v>0</v>
      </c>
      <c r="H133" s="77"/>
    </row>
    <row r="134" spans="6:8" s="79" customFormat="1" x14ac:dyDescent="0.25">
      <c r="F134" s="81" t="s">
        <v>85</v>
      </c>
      <c r="G134" s="83">
        <v>2</v>
      </c>
      <c r="H134" s="77"/>
    </row>
    <row r="135" spans="6:8" s="79" customFormat="1" ht="15.75" thickBot="1" x14ac:dyDescent="0.3">
      <c r="F135" s="82" t="s">
        <v>100</v>
      </c>
      <c r="G135" s="84">
        <v>1</v>
      </c>
      <c r="H135" s="78"/>
    </row>
    <row r="136" spans="6:8" s="79" customFormat="1" ht="15.75" thickBot="1" x14ac:dyDescent="0.3">
      <c r="F136"/>
      <c r="G136"/>
      <c r="H136"/>
    </row>
    <row r="137" spans="6:8" s="79" customFormat="1" x14ac:dyDescent="0.25">
      <c r="F137" s="53" t="s">
        <v>8</v>
      </c>
      <c r="G137" s="54"/>
      <c r="H137" s="34" t="s">
        <v>48</v>
      </c>
    </row>
    <row r="138" spans="6:8" s="79" customFormat="1" x14ac:dyDescent="0.25">
      <c r="F138" s="29" t="s">
        <v>89</v>
      </c>
      <c r="G138" s="30" t="s">
        <v>28</v>
      </c>
      <c r="H138" s="55"/>
    </row>
    <row r="139" spans="6:8" s="79" customFormat="1" x14ac:dyDescent="0.25">
      <c r="F139" s="29" t="s">
        <v>90</v>
      </c>
      <c r="G139" s="37" t="s">
        <v>91</v>
      </c>
      <c r="H139" s="56"/>
    </row>
    <row r="140" spans="6:8" s="79" customFormat="1" ht="15.75" thickBot="1" x14ac:dyDescent="0.3">
      <c r="F140" s="1" t="s">
        <v>92</v>
      </c>
      <c r="G140" s="36" t="s">
        <v>93</v>
      </c>
      <c r="H140" s="57"/>
    </row>
    <row r="141" spans="6:8" s="79" customFormat="1" ht="15.75" thickBot="1" x14ac:dyDescent="0.3">
      <c r="F141"/>
      <c r="G141"/>
      <c r="H141"/>
    </row>
    <row r="142" spans="6:8" s="79" customFormat="1" x14ac:dyDescent="0.25">
      <c r="F142" s="53" t="s">
        <v>94</v>
      </c>
      <c r="G142" s="54"/>
      <c r="H142" s="28" t="s">
        <v>48</v>
      </c>
    </row>
    <row r="143" spans="6:8" s="79" customFormat="1" x14ac:dyDescent="0.25">
      <c r="F143" s="42"/>
      <c r="G143" s="43"/>
      <c r="H143" s="46"/>
    </row>
    <row r="144" spans="6:8" s="79" customFormat="1" ht="15.75" thickBot="1" x14ac:dyDescent="0.3">
      <c r="F144" s="44"/>
      <c r="G144" s="45"/>
      <c r="H144" s="47"/>
    </row>
    <row r="145" spans="6:8" s="79" customFormat="1" x14ac:dyDescent="0.25">
      <c r="F145"/>
      <c r="G145"/>
      <c r="H145"/>
    </row>
    <row r="146" spans="6:8" s="79" customFormat="1" x14ac:dyDescent="0.25">
      <c r="F146"/>
      <c r="G146"/>
      <c r="H146"/>
    </row>
    <row r="147" spans="6:8" s="79" customFormat="1" x14ac:dyDescent="0.25">
      <c r="F147"/>
      <c r="G147"/>
      <c r="H147"/>
    </row>
    <row r="148" spans="6:8" s="79" customFormat="1" x14ac:dyDescent="0.25">
      <c r="F148"/>
      <c r="G148"/>
      <c r="H148"/>
    </row>
    <row r="149" spans="6:8" s="79" customFormat="1" x14ac:dyDescent="0.25">
      <c r="F149"/>
      <c r="G149"/>
      <c r="H149"/>
    </row>
  </sheetData>
  <mergeCells count="59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H56:H57"/>
    <mergeCell ref="D43:E43"/>
    <mergeCell ref="F44:F48"/>
    <mergeCell ref="B59:C59"/>
    <mergeCell ref="D60:D62"/>
    <mergeCell ref="D50:E50"/>
    <mergeCell ref="F51:F53"/>
    <mergeCell ref="B55:C55"/>
    <mergeCell ref="D56:D57"/>
    <mergeCell ref="F55:G55"/>
    <mergeCell ref="F84:G84"/>
    <mergeCell ref="F85:G86"/>
    <mergeCell ref="H85:H86"/>
    <mergeCell ref="F59:G59"/>
    <mergeCell ref="H60:H64"/>
    <mergeCell ref="F70:G70"/>
    <mergeCell ref="B64:C64"/>
    <mergeCell ref="B65:C66"/>
    <mergeCell ref="D65:D66"/>
    <mergeCell ref="F95:G95"/>
    <mergeCell ref="H96:H98"/>
    <mergeCell ref="F100:G100"/>
    <mergeCell ref="H101:H105"/>
    <mergeCell ref="F107:G107"/>
    <mergeCell ref="H108:H112"/>
    <mergeCell ref="F114:G114"/>
    <mergeCell ref="H115:H119"/>
    <mergeCell ref="F121:G121"/>
    <mergeCell ref="H122:H124"/>
    <mergeCell ref="F126:G126"/>
    <mergeCell ref="H127:H128"/>
    <mergeCell ref="F130:G130"/>
    <mergeCell ref="H131:H135"/>
    <mergeCell ref="F143:G144"/>
    <mergeCell ref="H143:H144"/>
    <mergeCell ref="F137:G137"/>
    <mergeCell ref="H138:H140"/>
    <mergeCell ref="F142:G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"/>
  <sheetViews>
    <sheetView workbookViewId="0">
      <selection activeCell="F2" sqref="F2:F5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1.140625" bestFit="1" customWidth="1"/>
    <col min="4" max="4" width="11.42578125" bestFit="1" customWidth="1"/>
    <col min="5" max="5" width="11.5703125" bestFit="1" customWidth="1"/>
    <col min="6" max="6" width="16.5703125" bestFit="1" customWidth="1"/>
    <col min="7" max="7" width="17.85546875" bestFit="1" customWidth="1"/>
  </cols>
  <sheetData>
    <row r="1" spans="1:5" x14ac:dyDescent="0.25">
      <c r="A1" t="s">
        <v>95</v>
      </c>
      <c r="B1" t="s">
        <v>96</v>
      </c>
      <c r="C1" t="s">
        <v>58</v>
      </c>
      <c r="D1" t="s">
        <v>98</v>
      </c>
      <c r="E1" t="s">
        <v>99</v>
      </c>
    </row>
    <row r="2" spans="1:5" x14ac:dyDescent="0.25">
      <c r="A2">
        <f t="shared" ref="A2:A5" si="0">ROW(A1)</f>
        <v>1</v>
      </c>
      <c r="B2" t="s">
        <v>97</v>
      </c>
      <c r="C2">
        <v>10</v>
      </c>
      <c r="D2">
        <v>5</v>
      </c>
    </row>
    <row r="3" spans="1:5" x14ac:dyDescent="0.25">
      <c r="A3">
        <f t="shared" si="0"/>
        <v>2</v>
      </c>
      <c r="B3" t="s">
        <v>97</v>
      </c>
      <c r="C3">
        <v>15</v>
      </c>
      <c r="D3">
        <v>8</v>
      </c>
    </row>
    <row r="4" spans="1:5" x14ac:dyDescent="0.25">
      <c r="A4">
        <f t="shared" si="0"/>
        <v>3</v>
      </c>
      <c r="B4" t="s">
        <v>97</v>
      </c>
      <c r="C4">
        <v>20</v>
      </c>
      <c r="D4">
        <v>9</v>
      </c>
    </row>
    <row r="5" spans="1:5" x14ac:dyDescent="0.25">
      <c r="A5">
        <f t="shared" si="0"/>
        <v>4</v>
      </c>
      <c r="B5" t="s">
        <v>97</v>
      </c>
      <c r="C5">
        <v>25</v>
      </c>
      <c r="D5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CED2C-6F25-42B7-9A40-9C66670519B1}">
  <dimension ref="B3:H985"/>
  <sheetViews>
    <sheetView tabSelected="1" topLeftCell="A454" workbookViewId="0">
      <selection activeCell="F465" sqref="F465"/>
    </sheetView>
  </sheetViews>
  <sheetFormatPr defaultRowHeight="15" x14ac:dyDescent="0.25"/>
  <sheetData>
    <row r="3" spans="4:5" x14ac:dyDescent="0.25">
      <c r="D3" t="s">
        <v>101</v>
      </c>
      <c r="E3" t="s">
        <v>102</v>
      </c>
    </row>
    <row r="4" spans="4:5" x14ac:dyDescent="0.25">
      <c r="D4" t="s">
        <v>103</v>
      </c>
      <c r="E4" t="s">
        <v>104</v>
      </c>
    </row>
    <row r="5" spans="4:5" x14ac:dyDescent="0.25">
      <c r="D5" t="s">
        <v>105</v>
      </c>
      <c r="E5" t="s">
        <v>54</v>
      </c>
    </row>
    <row r="6" spans="4:5" x14ac:dyDescent="0.25">
      <c r="D6" t="s">
        <v>106</v>
      </c>
      <c r="E6">
        <v>37</v>
      </c>
    </row>
    <row r="7" spans="4:5" x14ac:dyDescent="0.25">
      <c r="D7" t="s">
        <v>107</v>
      </c>
      <c r="E7">
        <v>0</v>
      </c>
    </row>
    <row r="9" spans="4:5" x14ac:dyDescent="0.25">
      <c r="D9" t="s">
        <v>101</v>
      </c>
      <c r="E9" t="s">
        <v>102</v>
      </c>
    </row>
    <row r="10" spans="4:5" x14ac:dyDescent="0.25">
      <c r="D10" t="s">
        <v>103</v>
      </c>
      <c r="E10" t="s">
        <v>104</v>
      </c>
    </row>
    <row r="11" spans="4:5" x14ac:dyDescent="0.25">
      <c r="D11" t="s">
        <v>105</v>
      </c>
      <c r="E11" t="s">
        <v>163</v>
      </c>
    </row>
    <row r="12" spans="4:5" x14ac:dyDescent="0.25">
      <c r="D12" t="s">
        <v>106</v>
      </c>
      <c r="E12">
        <v>25</v>
      </c>
    </row>
    <row r="13" spans="4:5" x14ac:dyDescent="0.25">
      <c r="D13" t="s">
        <v>107</v>
      </c>
      <c r="E13">
        <v>650</v>
      </c>
    </row>
    <row r="18" spans="2:3" x14ac:dyDescent="0.25">
      <c r="B18" t="s">
        <v>108</v>
      </c>
    </row>
    <row r="19" spans="2:3" x14ac:dyDescent="0.25">
      <c r="B19" t="s">
        <v>109</v>
      </c>
    </row>
    <row r="20" spans="2:3" x14ac:dyDescent="0.25">
      <c r="B20" t="s">
        <v>110</v>
      </c>
    </row>
    <row r="21" spans="2:3" x14ac:dyDescent="0.25">
      <c r="B21" t="s">
        <v>111</v>
      </c>
    </row>
    <row r="23" spans="2:3" x14ac:dyDescent="0.25">
      <c r="C23" t="s">
        <v>112</v>
      </c>
    </row>
    <row r="28" spans="2:3" x14ac:dyDescent="0.25">
      <c r="B28" t="s">
        <v>113</v>
      </c>
    </row>
    <row r="29" spans="2:3" x14ac:dyDescent="0.25">
      <c r="B29" t="s">
        <v>114</v>
      </c>
    </row>
    <row r="30" spans="2:3" x14ac:dyDescent="0.25">
      <c r="B30" t="s">
        <v>115</v>
      </c>
    </row>
    <row r="31" spans="2:3" x14ac:dyDescent="0.25">
      <c r="B31" t="s">
        <v>116</v>
      </c>
    </row>
    <row r="32" spans="2:3" x14ac:dyDescent="0.25">
      <c r="B32" t="s">
        <v>117</v>
      </c>
    </row>
    <row r="33" spans="2:8" x14ac:dyDescent="0.25">
      <c r="B33" t="s">
        <v>118</v>
      </c>
    </row>
    <row r="34" spans="2:8" x14ac:dyDescent="0.25">
      <c r="B34" t="s">
        <v>119</v>
      </c>
    </row>
    <row r="35" spans="2:8" x14ac:dyDescent="0.25">
      <c r="B35" t="s">
        <v>120</v>
      </c>
    </row>
    <row r="37" spans="2:8" x14ac:dyDescent="0.25">
      <c r="C37" t="s">
        <v>112</v>
      </c>
    </row>
    <row r="39" spans="2:8" x14ac:dyDescent="0.25">
      <c r="C39" t="s">
        <v>112</v>
      </c>
    </row>
    <row r="41" spans="2:8" x14ac:dyDescent="0.25">
      <c r="D41" t="s">
        <v>101</v>
      </c>
      <c r="E41" t="s">
        <v>121</v>
      </c>
    </row>
    <row r="42" spans="2:8" x14ac:dyDescent="0.25">
      <c r="D42" t="s">
        <v>103</v>
      </c>
      <c r="E42" t="s">
        <v>122</v>
      </c>
    </row>
    <row r="43" spans="2:8" x14ac:dyDescent="0.25">
      <c r="D43" t="s">
        <v>123</v>
      </c>
      <c r="E43">
        <v>79.445396000000002</v>
      </c>
      <c r="F43">
        <v>81.296930666666597</v>
      </c>
      <c r="G43">
        <v>82.222697999999994</v>
      </c>
      <c r="H43">
        <v>82.778158399999995</v>
      </c>
    </row>
    <row r="44" spans="2:8" x14ac:dyDescent="0.25">
      <c r="D44" t="s">
        <v>124</v>
      </c>
      <c r="E44" t="s">
        <v>125</v>
      </c>
      <c r="F44" t="s">
        <v>125</v>
      </c>
      <c r="G44" t="s">
        <v>125</v>
      </c>
      <c r="H44" t="s">
        <v>126</v>
      </c>
    </row>
    <row r="45" spans="2:8" x14ac:dyDescent="0.25">
      <c r="D45" t="s">
        <v>127</v>
      </c>
    </row>
    <row r="47" spans="2:8" x14ac:dyDescent="0.25">
      <c r="D47" t="s">
        <v>101</v>
      </c>
      <c r="E47" t="s">
        <v>121</v>
      </c>
    </row>
    <row r="48" spans="2:8" x14ac:dyDescent="0.25">
      <c r="D48" t="s">
        <v>103</v>
      </c>
      <c r="E48" t="s">
        <v>128</v>
      </c>
    </row>
    <row r="49" spans="4:8" x14ac:dyDescent="0.25">
      <c r="D49" t="s">
        <v>123</v>
      </c>
      <c r="E49">
        <v>79.445396000000002</v>
      </c>
      <c r="F49">
        <v>81.296930666666597</v>
      </c>
      <c r="G49">
        <v>82.222697999999994</v>
      </c>
      <c r="H49">
        <v>82.778158000000005</v>
      </c>
    </row>
    <row r="50" spans="4:8" x14ac:dyDescent="0.25">
      <c r="D50" t="s">
        <v>129</v>
      </c>
    </row>
    <row r="52" spans="4:8" x14ac:dyDescent="0.25">
      <c r="D52" t="s">
        <v>101</v>
      </c>
      <c r="E52" t="s">
        <v>121</v>
      </c>
    </row>
    <row r="53" spans="4:8" x14ac:dyDescent="0.25">
      <c r="D53" t="s">
        <v>103</v>
      </c>
      <c r="E53" t="s">
        <v>130</v>
      </c>
    </row>
    <row r="54" spans="4:8" x14ac:dyDescent="0.25">
      <c r="D54" t="s">
        <v>131</v>
      </c>
      <c r="E54" t="s">
        <v>54</v>
      </c>
      <c r="F54" t="s">
        <v>54</v>
      </c>
      <c r="G54" t="s">
        <v>54</v>
      </c>
      <c r="H54" t="s">
        <v>54</v>
      </c>
    </row>
    <row r="55" spans="4:8" x14ac:dyDescent="0.25">
      <c r="D55" t="s">
        <v>132</v>
      </c>
      <c r="E55">
        <v>1</v>
      </c>
      <c r="F55">
        <v>2</v>
      </c>
      <c r="G55">
        <v>3</v>
      </c>
      <c r="H55">
        <v>4</v>
      </c>
    </row>
    <row r="56" spans="4:8" x14ac:dyDescent="0.25">
      <c r="D56" t="s">
        <v>133</v>
      </c>
      <c r="E56" t="s">
        <v>57</v>
      </c>
      <c r="F56" t="s">
        <v>57</v>
      </c>
      <c r="G56" t="s">
        <v>57</v>
      </c>
      <c r="H56" t="s">
        <v>57</v>
      </c>
    </row>
    <row r="57" spans="4:8" x14ac:dyDescent="0.25">
      <c r="D57" t="s">
        <v>134</v>
      </c>
      <c r="E57">
        <v>1</v>
      </c>
      <c r="F57">
        <v>2</v>
      </c>
      <c r="G57">
        <v>3</v>
      </c>
      <c r="H57">
        <v>4</v>
      </c>
    </row>
    <row r="58" spans="4:8" x14ac:dyDescent="0.25">
      <c r="D58" t="s">
        <v>123</v>
      </c>
      <c r="E58">
        <v>79.45</v>
      </c>
      <c r="F58">
        <v>81.3</v>
      </c>
      <c r="G58">
        <v>82.22</v>
      </c>
      <c r="H58">
        <v>82.78</v>
      </c>
    </row>
    <row r="59" spans="4:8" x14ac:dyDescent="0.25">
      <c r="D59" t="s">
        <v>135</v>
      </c>
      <c r="E59">
        <v>0</v>
      </c>
      <c r="F59">
        <v>0</v>
      </c>
      <c r="G59">
        <v>0</v>
      </c>
      <c r="H59">
        <v>0</v>
      </c>
    </row>
    <row r="60" spans="4:8" x14ac:dyDescent="0.25">
      <c r="D60" t="s">
        <v>136</v>
      </c>
      <c r="E60" t="s">
        <v>28</v>
      </c>
      <c r="F60" t="s">
        <v>28</v>
      </c>
      <c r="G60" t="s">
        <v>28</v>
      </c>
      <c r="H60" t="s">
        <v>28</v>
      </c>
    </row>
    <row r="61" spans="4:8" x14ac:dyDescent="0.25">
      <c r="D61" t="s">
        <v>137</v>
      </c>
    </row>
    <row r="62" spans="4:8" x14ac:dyDescent="0.25">
      <c r="D62" t="s">
        <v>138</v>
      </c>
    </row>
    <row r="63" spans="4:8" x14ac:dyDescent="0.25">
      <c r="D63" t="s">
        <v>139</v>
      </c>
      <c r="E63" t="s">
        <v>140</v>
      </c>
    </row>
    <row r="64" spans="4:8" x14ac:dyDescent="0.25">
      <c r="D64" t="s">
        <v>141</v>
      </c>
    </row>
    <row r="66" spans="3:8" x14ac:dyDescent="0.25">
      <c r="C66" t="s">
        <v>112</v>
      </c>
    </row>
    <row r="68" spans="3:8" x14ac:dyDescent="0.25">
      <c r="D68" t="s">
        <v>101</v>
      </c>
      <c r="E68" t="s">
        <v>121</v>
      </c>
    </row>
    <row r="69" spans="3:8" x14ac:dyDescent="0.25">
      <c r="D69" t="s">
        <v>103</v>
      </c>
      <c r="E69" t="s">
        <v>122</v>
      </c>
    </row>
    <row r="70" spans="3:8" x14ac:dyDescent="0.25">
      <c r="D70" t="s">
        <v>123</v>
      </c>
      <c r="E70">
        <v>5.5546040000000003</v>
      </c>
      <c r="F70">
        <v>3.70306933333333</v>
      </c>
      <c r="G70">
        <v>2.7773020000000002</v>
      </c>
      <c r="H70">
        <v>2.2218415999999999</v>
      </c>
    </row>
    <row r="71" spans="3:8" x14ac:dyDescent="0.25">
      <c r="D71" t="s">
        <v>124</v>
      </c>
      <c r="E71" t="s">
        <v>125</v>
      </c>
      <c r="F71" t="s">
        <v>125</v>
      </c>
      <c r="G71" t="s">
        <v>125</v>
      </c>
      <c r="H71" t="s">
        <v>126</v>
      </c>
    </row>
    <row r="72" spans="3:8" x14ac:dyDescent="0.25">
      <c r="D72" t="s">
        <v>142</v>
      </c>
    </row>
    <row r="74" spans="3:8" x14ac:dyDescent="0.25">
      <c r="D74" t="s">
        <v>101</v>
      </c>
      <c r="E74" t="s">
        <v>121</v>
      </c>
    </row>
    <row r="75" spans="3:8" x14ac:dyDescent="0.25">
      <c r="D75" t="s">
        <v>103</v>
      </c>
      <c r="E75" t="s">
        <v>128</v>
      </c>
    </row>
    <row r="76" spans="3:8" x14ac:dyDescent="0.25">
      <c r="D76" t="s">
        <v>123</v>
      </c>
      <c r="E76">
        <v>5.5546040000000003</v>
      </c>
      <c r="F76">
        <v>3.70306933333333</v>
      </c>
      <c r="G76">
        <v>2.7773020000000002</v>
      </c>
      <c r="H76">
        <v>2.2218415999999999</v>
      </c>
    </row>
    <row r="77" spans="3:8" x14ac:dyDescent="0.25">
      <c r="D77" t="s">
        <v>143</v>
      </c>
    </row>
    <row r="79" spans="3:8" x14ac:dyDescent="0.25">
      <c r="D79" t="s">
        <v>101</v>
      </c>
      <c r="E79" t="s">
        <v>121</v>
      </c>
    </row>
    <row r="80" spans="3:8" x14ac:dyDescent="0.25">
      <c r="D80" t="s">
        <v>103</v>
      </c>
      <c r="E80" t="s">
        <v>130</v>
      </c>
    </row>
    <row r="81" spans="2:8" x14ac:dyDescent="0.25">
      <c r="D81" t="s">
        <v>131</v>
      </c>
      <c r="E81" t="s">
        <v>54</v>
      </c>
      <c r="F81" t="s">
        <v>54</v>
      </c>
      <c r="G81" t="s">
        <v>54</v>
      </c>
      <c r="H81" t="s">
        <v>54</v>
      </c>
    </row>
    <row r="82" spans="2:8" x14ac:dyDescent="0.25">
      <c r="D82" t="s">
        <v>132</v>
      </c>
      <c r="E82">
        <v>1</v>
      </c>
      <c r="F82">
        <v>2</v>
      </c>
      <c r="G82">
        <v>3</v>
      </c>
      <c r="H82">
        <v>4</v>
      </c>
    </row>
    <row r="83" spans="2:8" x14ac:dyDescent="0.25">
      <c r="D83" t="s">
        <v>133</v>
      </c>
      <c r="E83" t="s">
        <v>50</v>
      </c>
      <c r="F83" t="s">
        <v>50</v>
      </c>
      <c r="G83" t="s">
        <v>50</v>
      </c>
      <c r="H83" t="s">
        <v>50</v>
      </c>
    </row>
    <row r="84" spans="2:8" x14ac:dyDescent="0.25">
      <c r="D84" t="s">
        <v>134</v>
      </c>
      <c r="E84">
        <v>1</v>
      </c>
      <c r="F84">
        <v>2</v>
      </c>
      <c r="G84">
        <v>3</v>
      </c>
      <c r="H84">
        <v>4</v>
      </c>
    </row>
    <row r="85" spans="2:8" x14ac:dyDescent="0.25">
      <c r="D85" t="s">
        <v>123</v>
      </c>
      <c r="E85">
        <v>5.55</v>
      </c>
      <c r="F85">
        <v>3.7</v>
      </c>
      <c r="G85">
        <v>2.78</v>
      </c>
      <c r="H85">
        <v>2.2200000000000002</v>
      </c>
    </row>
    <row r="86" spans="2:8" x14ac:dyDescent="0.25">
      <c r="D86" t="s">
        <v>135</v>
      </c>
      <c r="E86">
        <v>79.45</v>
      </c>
      <c r="F86">
        <v>81.3</v>
      </c>
      <c r="G86">
        <v>82.22</v>
      </c>
      <c r="H86">
        <v>82.78</v>
      </c>
    </row>
    <row r="87" spans="2:8" x14ac:dyDescent="0.25">
      <c r="D87" t="s">
        <v>136</v>
      </c>
      <c r="E87" t="s">
        <v>26</v>
      </c>
      <c r="F87" t="s">
        <v>26</v>
      </c>
      <c r="G87" t="s">
        <v>26</v>
      </c>
      <c r="H87" t="s">
        <v>26</v>
      </c>
    </row>
    <row r="88" spans="2:8" x14ac:dyDescent="0.25">
      <c r="D88" t="s">
        <v>137</v>
      </c>
    </row>
    <row r="89" spans="2:8" x14ac:dyDescent="0.25">
      <c r="D89" t="s">
        <v>138</v>
      </c>
    </row>
    <row r="90" spans="2:8" x14ac:dyDescent="0.25">
      <c r="D90" t="s">
        <v>139</v>
      </c>
      <c r="E90" t="s">
        <v>140</v>
      </c>
    </row>
    <row r="91" spans="2:8" x14ac:dyDescent="0.25">
      <c r="D91" t="s">
        <v>144</v>
      </c>
    </row>
    <row r="96" spans="2:8" x14ac:dyDescent="0.25">
      <c r="B96" t="s">
        <v>145</v>
      </c>
    </row>
    <row r="97" spans="2:8" x14ac:dyDescent="0.25">
      <c r="B97" t="s">
        <v>146</v>
      </c>
    </row>
    <row r="98" spans="2:8" x14ac:dyDescent="0.25">
      <c r="B98" t="s">
        <v>147</v>
      </c>
    </row>
    <row r="99" spans="2:8" x14ac:dyDescent="0.25">
      <c r="B99" t="s">
        <v>148</v>
      </c>
    </row>
    <row r="100" spans="2:8" x14ac:dyDescent="0.25">
      <c r="B100" t="s">
        <v>149</v>
      </c>
    </row>
    <row r="101" spans="2:8" x14ac:dyDescent="0.25">
      <c r="B101" t="s">
        <v>150</v>
      </c>
    </row>
    <row r="102" spans="2:8" x14ac:dyDescent="0.25">
      <c r="B102" t="s">
        <v>151</v>
      </c>
    </row>
    <row r="104" spans="2:8" x14ac:dyDescent="0.25">
      <c r="C104" t="s">
        <v>112</v>
      </c>
    </row>
    <row r="106" spans="2:8" x14ac:dyDescent="0.25">
      <c r="D106" t="s">
        <v>101</v>
      </c>
      <c r="E106" t="s">
        <v>121</v>
      </c>
    </row>
    <row r="107" spans="2:8" x14ac:dyDescent="0.25">
      <c r="D107" t="s">
        <v>103</v>
      </c>
      <c r="E107" t="s">
        <v>122</v>
      </c>
    </row>
    <row r="108" spans="2:8" x14ac:dyDescent="0.25">
      <c r="D108" t="s">
        <v>123</v>
      </c>
      <c r="E108">
        <v>10</v>
      </c>
      <c r="F108">
        <v>10</v>
      </c>
      <c r="G108">
        <v>10</v>
      </c>
      <c r="H108">
        <v>10</v>
      </c>
    </row>
    <row r="109" spans="2:8" x14ac:dyDescent="0.25">
      <c r="D109" t="s">
        <v>124</v>
      </c>
      <c r="E109" t="s">
        <v>125</v>
      </c>
      <c r="F109" t="s">
        <v>125</v>
      </c>
      <c r="G109" t="s">
        <v>125</v>
      </c>
      <c r="H109" t="s">
        <v>126</v>
      </c>
    </row>
    <row r="110" spans="2:8" x14ac:dyDescent="0.25">
      <c r="D110" t="s">
        <v>152</v>
      </c>
    </row>
    <row r="112" spans="2:8" x14ac:dyDescent="0.25">
      <c r="D112" t="s">
        <v>101</v>
      </c>
      <c r="E112" t="s">
        <v>121</v>
      </c>
    </row>
    <row r="113" spans="4:8" x14ac:dyDescent="0.25">
      <c r="D113" t="s">
        <v>103</v>
      </c>
      <c r="E113" t="s">
        <v>128</v>
      </c>
    </row>
    <row r="114" spans="4:8" x14ac:dyDescent="0.25">
      <c r="D114" t="s">
        <v>123</v>
      </c>
      <c r="E114">
        <v>10</v>
      </c>
      <c r="F114">
        <v>10</v>
      </c>
      <c r="G114">
        <v>10</v>
      </c>
      <c r="H114">
        <v>10</v>
      </c>
    </row>
    <row r="115" spans="4:8" x14ac:dyDescent="0.25">
      <c r="D115" t="s">
        <v>153</v>
      </c>
    </row>
    <row r="117" spans="4:8" x14ac:dyDescent="0.25">
      <c r="D117" t="s">
        <v>101</v>
      </c>
      <c r="E117" t="s">
        <v>121</v>
      </c>
    </row>
    <row r="118" spans="4:8" x14ac:dyDescent="0.25">
      <c r="D118" t="s">
        <v>103</v>
      </c>
      <c r="E118" t="s">
        <v>130</v>
      </c>
    </row>
    <row r="119" spans="4:8" x14ac:dyDescent="0.25">
      <c r="D119" t="s">
        <v>131</v>
      </c>
      <c r="E119" t="s">
        <v>54</v>
      </c>
      <c r="F119" t="s">
        <v>54</v>
      </c>
      <c r="G119" t="s">
        <v>54</v>
      </c>
      <c r="H119" t="s">
        <v>54</v>
      </c>
    </row>
    <row r="120" spans="4:8" x14ac:dyDescent="0.25">
      <c r="D120" t="s">
        <v>132</v>
      </c>
      <c r="E120">
        <v>1</v>
      </c>
      <c r="F120">
        <v>2</v>
      </c>
      <c r="G120">
        <v>3</v>
      </c>
      <c r="H120">
        <v>4</v>
      </c>
    </row>
    <row r="121" spans="4:8" x14ac:dyDescent="0.25">
      <c r="D121" t="s">
        <v>133</v>
      </c>
      <c r="E121" t="s">
        <v>63</v>
      </c>
      <c r="F121" t="s">
        <v>63</v>
      </c>
      <c r="G121" t="s">
        <v>63</v>
      </c>
      <c r="H121" t="s">
        <v>63</v>
      </c>
    </row>
    <row r="122" spans="4:8" x14ac:dyDescent="0.25">
      <c r="D122" t="s">
        <v>134</v>
      </c>
      <c r="E122">
        <v>1</v>
      </c>
      <c r="F122">
        <v>2</v>
      </c>
      <c r="G122">
        <v>3</v>
      </c>
      <c r="H122">
        <v>4</v>
      </c>
    </row>
    <row r="123" spans="4:8" x14ac:dyDescent="0.25">
      <c r="D123" t="s">
        <v>123</v>
      </c>
      <c r="E123">
        <v>10</v>
      </c>
      <c r="F123">
        <v>10</v>
      </c>
      <c r="G123">
        <v>10</v>
      </c>
      <c r="H123">
        <v>10</v>
      </c>
    </row>
    <row r="124" spans="4:8" x14ac:dyDescent="0.25">
      <c r="D124" t="s">
        <v>135</v>
      </c>
      <c r="E124">
        <v>85</v>
      </c>
      <c r="F124">
        <v>85</v>
      </c>
      <c r="G124">
        <v>85</v>
      </c>
      <c r="H124">
        <v>85</v>
      </c>
    </row>
    <row r="125" spans="4:8" x14ac:dyDescent="0.25">
      <c r="D125" t="s">
        <v>136</v>
      </c>
      <c r="E125" t="s">
        <v>26</v>
      </c>
      <c r="F125" t="s">
        <v>26</v>
      </c>
      <c r="G125" t="s">
        <v>26</v>
      </c>
      <c r="H125" t="s">
        <v>26</v>
      </c>
    </row>
    <row r="126" spans="4:8" x14ac:dyDescent="0.25">
      <c r="D126" t="s">
        <v>137</v>
      </c>
    </row>
    <row r="127" spans="4:8" x14ac:dyDescent="0.25">
      <c r="D127" t="s">
        <v>138</v>
      </c>
    </row>
    <row r="128" spans="4:8" x14ac:dyDescent="0.25">
      <c r="D128" t="s">
        <v>139</v>
      </c>
      <c r="E128" t="s">
        <v>140</v>
      </c>
    </row>
    <row r="129" spans="2:5" x14ac:dyDescent="0.25">
      <c r="D129" t="s">
        <v>154</v>
      </c>
    </row>
    <row r="134" spans="2:5" x14ac:dyDescent="0.25">
      <c r="B134" t="s">
        <v>145</v>
      </c>
    </row>
    <row r="135" spans="2:5" x14ac:dyDescent="0.25">
      <c r="B135" t="s">
        <v>155</v>
      </c>
    </row>
    <row r="136" spans="2:5" x14ac:dyDescent="0.25">
      <c r="B136" t="s">
        <v>156</v>
      </c>
    </row>
    <row r="137" spans="2:5" x14ac:dyDescent="0.25">
      <c r="B137" t="s">
        <v>157</v>
      </c>
    </row>
    <row r="138" spans="2:5" x14ac:dyDescent="0.25">
      <c r="B138" t="s">
        <v>149</v>
      </c>
    </row>
    <row r="139" spans="2:5" x14ac:dyDescent="0.25">
      <c r="B139" t="s">
        <v>158</v>
      </c>
    </row>
    <row r="140" spans="2:5" x14ac:dyDescent="0.25">
      <c r="B140" t="s">
        <v>151</v>
      </c>
    </row>
    <row r="142" spans="2:5" x14ac:dyDescent="0.25">
      <c r="C142" t="s">
        <v>112</v>
      </c>
    </row>
    <row r="144" spans="2:5" x14ac:dyDescent="0.25">
      <c r="D144" t="s">
        <v>101</v>
      </c>
      <c r="E144" t="s">
        <v>121</v>
      </c>
    </row>
    <row r="145" spans="4:8" x14ac:dyDescent="0.25">
      <c r="D145" t="s">
        <v>103</v>
      </c>
      <c r="E145" t="s">
        <v>122</v>
      </c>
    </row>
    <row r="146" spans="4:8" x14ac:dyDescent="0.25">
      <c r="D146" t="s">
        <v>123</v>
      </c>
      <c r="E146">
        <v>5</v>
      </c>
      <c r="F146">
        <v>5</v>
      </c>
      <c r="G146">
        <v>5</v>
      </c>
      <c r="H146">
        <v>5</v>
      </c>
    </row>
    <row r="147" spans="4:8" x14ac:dyDescent="0.25">
      <c r="D147" t="s">
        <v>124</v>
      </c>
      <c r="E147" t="s">
        <v>125</v>
      </c>
      <c r="F147" t="s">
        <v>125</v>
      </c>
      <c r="G147" t="s">
        <v>125</v>
      </c>
      <c r="H147" t="s">
        <v>126</v>
      </c>
    </row>
    <row r="148" spans="4:8" x14ac:dyDescent="0.25">
      <c r="D148" t="s">
        <v>159</v>
      </c>
    </row>
    <row r="150" spans="4:8" x14ac:dyDescent="0.25">
      <c r="D150" t="s">
        <v>101</v>
      </c>
      <c r="E150" t="s">
        <v>121</v>
      </c>
    </row>
    <row r="151" spans="4:8" x14ac:dyDescent="0.25">
      <c r="D151" t="s">
        <v>103</v>
      </c>
      <c r="E151" t="s">
        <v>128</v>
      </c>
    </row>
    <row r="152" spans="4:8" x14ac:dyDescent="0.25">
      <c r="D152" t="s">
        <v>123</v>
      </c>
      <c r="E152">
        <v>5</v>
      </c>
      <c r="F152">
        <v>5</v>
      </c>
      <c r="G152">
        <v>5</v>
      </c>
      <c r="H152">
        <v>5</v>
      </c>
    </row>
    <row r="153" spans="4:8" x14ac:dyDescent="0.25">
      <c r="D153" t="s">
        <v>160</v>
      </c>
    </row>
    <row r="155" spans="4:8" x14ac:dyDescent="0.25">
      <c r="D155" t="s">
        <v>101</v>
      </c>
      <c r="E155" t="s">
        <v>121</v>
      </c>
    </row>
    <row r="156" spans="4:8" x14ac:dyDescent="0.25">
      <c r="D156" t="s">
        <v>103</v>
      </c>
      <c r="E156" t="s">
        <v>130</v>
      </c>
    </row>
    <row r="157" spans="4:8" x14ac:dyDescent="0.25">
      <c r="D157" t="s">
        <v>131</v>
      </c>
      <c r="E157" t="s">
        <v>54</v>
      </c>
      <c r="F157" t="s">
        <v>54</v>
      </c>
      <c r="G157" t="s">
        <v>54</v>
      </c>
      <c r="H157" t="s">
        <v>54</v>
      </c>
    </row>
    <row r="158" spans="4:8" x14ac:dyDescent="0.25">
      <c r="D158" t="s">
        <v>132</v>
      </c>
      <c r="E158">
        <v>1</v>
      </c>
      <c r="F158">
        <v>2</v>
      </c>
      <c r="G158">
        <v>3</v>
      </c>
      <c r="H158">
        <v>4</v>
      </c>
    </row>
    <row r="159" spans="4:8" x14ac:dyDescent="0.25">
      <c r="D159" t="s">
        <v>133</v>
      </c>
      <c r="E159" t="s">
        <v>66</v>
      </c>
      <c r="F159" t="s">
        <v>66</v>
      </c>
      <c r="G159" t="s">
        <v>66</v>
      </c>
      <c r="H159" t="s">
        <v>66</v>
      </c>
    </row>
    <row r="160" spans="4:8" x14ac:dyDescent="0.25">
      <c r="D160" t="s">
        <v>134</v>
      </c>
      <c r="E160">
        <v>1</v>
      </c>
      <c r="F160">
        <v>2</v>
      </c>
      <c r="G160">
        <v>3</v>
      </c>
      <c r="H160">
        <v>4</v>
      </c>
    </row>
    <row r="161" spans="2:8" x14ac:dyDescent="0.25">
      <c r="D161" t="s">
        <v>123</v>
      </c>
      <c r="E161">
        <v>5</v>
      </c>
      <c r="F161">
        <v>5</v>
      </c>
      <c r="G161">
        <v>5</v>
      </c>
      <c r="H161">
        <v>5</v>
      </c>
    </row>
    <row r="162" spans="2:8" x14ac:dyDescent="0.25">
      <c r="D162" t="s">
        <v>135</v>
      </c>
      <c r="E162">
        <v>95</v>
      </c>
      <c r="F162">
        <v>95</v>
      </c>
      <c r="G162">
        <v>95</v>
      </c>
      <c r="H162">
        <v>95</v>
      </c>
    </row>
    <row r="163" spans="2:8" x14ac:dyDescent="0.25">
      <c r="D163" t="s">
        <v>136</v>
      </c>
      <c r="E163" t="s">
        <v>26</v>
      </c>
      <c r="F163" t="s">
        <v>26</v>
      </c>
      <c r="G163" t="s">
        <v>26</v>
      </c>
      <c r="H163" t="s">
        <v>26</v>
      </c>
    </row>
    <row r="164" spans="2:8" x14ac:dyDescent="0.25">
      <c r="D164" t="s">
        <v>137</v>
      </c>
    </row>
    <row r="165" spans="2:8" x14ac:dyDescent="0.25">
      <c r="D165" t="s">
        <v>138</v>
      </c>
    </row>
    <row r="166" spans="2:8" x14ac:dyDescent="0.25">
      <c r="D166" t="s">
        <v>139</v>
      </c>
      <c r="E166" t="s">
        <v>140</v>
      </c>
    </row>
    <row r="167" spans="2:8" x14ac:dyDescent="0.25">
      <c r="D167" t="s">
        <v>161</v>
      </c>
    </row>
    <row r="172" spans="2:8" x14ac:dyDescent="0.25">
      <c r="B172" t="s">
        <v>169</v>
      </c>
    </row>
    <row r="173" spans="2:8" x14ac:dyDescent="0.25">
      <c r="B173" t="s">
        <v>170</v>
      </c>
    </row>
    <row r="174" spans="2:8" x14ac:dyDescent="0.25">
      <c r="B174" t="s">
        <v>171</v>
      </c>
    </row>
    <row r="175" spans="2:8" x14ac:dyDescent="0.25">
      <c r="B175" t="s">
        <v>172</v>
      </c>
    </row>
    <row r="176" spans="2:8" x14ac:dyDescent="0.25">
      <c r="B176" t="s">
        <v>173</v>
      </c>
    </row>
    <row r="178" spans="2:3" x14ac:dyDescent="0.25">
      <c r="C178" t="s">
        <v>112</v>
      </c>
    </row>
    <row r="183" spans="2:3" x14ac:dyDescent="0.25">
      <c r="B183" t="s">
        <v>145</v>
      </c>
    </row>
    <row r="184" spans="2:3" x14ac:dyDescent="0.25">
      <c r="B184" t="s">
        <v>174</v>
      </c>
    </row>
    <row r="185" spans="2:3" x14ac:dyDescent="0.25">
      <c r="B185" t="s">
        <v>175</v>
      </c>
    </row>
    <row r="186" spans="2:3" x14ac:dyDescent="0.25">
      <c r="B186" t="s">
        <v>176</v>
      </c>
    </row>
    <row r="187" spans="2:3" x14ac:dyDescent="0.25">
      <c r="B187" t="s">
        <v>149</v>
      </c>
    </row>
    <row r="188" spans="2:3" x14ac:dyDescent="0.25">
      <c r="B188" t="s">
        <v>150</v>
      </c>
    </row>
    <row r="189" spans="2:3" x14ac:dyDescent="0.25">
      <c r="B189" t="s">
        <v>151</v>
      </c>
    </row>
    <row r="191" spans="2:3" x14ac:dyDescent="0.25">
      <c r="C191" t="s">
        <v>112</v>
      </c>
    </row>
    <row r="193" spans="4:8" x14ac:dyDescent="0.25">
      <c r="D193" t="s">
        <v>101</v>
      </c>
      <c r="E193" t="s">
        <v>121</v>
      </c>
    </row>
    <row r="194" spans="4:8" x14ac:dyDescent="0.25">
      <c r="D194" t="s">
        <v>103</v>
      </c>
      <c r="E194" t="s">
        <v>122</v>
      </c>
    </row>
    <row r="195" spans="4:8" x14ac:dyDescent="0.25">
      <c r="D195" t="s">
        <v>123</v>
      </c>
      <c r="E195">
        <v>10</v>
      </c>
      <c r="F195">
        <v>10</v>
      </c>
      <c r="G195">
        <v>10</v>
      </c>
      <c r="H195">
        <v>10</v>
      </c>
    </row>
    <row r="196" spans="4:8" x14ac:dyDescent="0.25">
      <c r="D196" t="s">
        <v>124</v>
      </c>
      <c r="E196" t="s">
        <v>125</v>
      </c>
      <c r="F196" t="s">
        <v>125</v>
      </c>
      <c r="G196" t="s">
        <v>125</v>
      </c>
      <c r="H196" t="s">
        <v>126</v>
      </c>
    </row>
    <row r="197" spans="4:8" x14ac:dyDescent="0.25">
      <c r="D197" t="s">
        <v>177</v>
      </c>
    </row>
    <row r="199" spans="4:8" x14ac:dyDescent="0.25">
      <c r="D199" t="s">
        <v>101</v>
      </c>
      <c r="E199" t="s">
        <v>121</v>
      </c>
    </row>
    <row r="200" spans="4:8" x14ac:dyDescent="0.25">
      <c r="D200" t="s">
        <v>103</v>
      </c>
      <c r="E200" t="s">
        <v>128</v>
      </c>
    </row>
    <row r="201" spans="4:8" x14ac:dyDescent="0.25">
      <c r="D201" t="s">
        <v>123</v>
      </c>
      <c r="E201">
        <v>10</v>
      </c>
      <c r="F201">
        <v>10</v>
      </c>
      <c r="G201">
        <v>10</v>
      </c>
      <c r="H201">
        <v>10</v>
      </c>
    </row>
    <row r="202" spans="4:8" x14ac:dyDescent="0.25">
      <c r="D202" t="s">
        <v>178</v>
      </c>
    </row>
    <row r="204" spans="4:8" x14ac:dyDescent="0.25">
      <c r="D204" t="s">
        <v>101</v>
      </c>
      <c r="E204" t="s">
        <v>121</v>
      </c>
    </row>
    <row r="205" spans="4:8" x14ac:dyDescent="0.25">
      <c r="D205" t="s">
        <v>103</v>
      </c>
      <c r="E205" t="s">
        <v>130</v>
      </c>
    </row>
    <row r="206" spans="4:8" x14ac:dyDescent="0.25">
      <c r="D206" t="s">
        <v>131</v>
      </c>
      <c r="E206" t="s">
        <v>54</v>
      </c>
      <c r="F206" t="s">
        <v>54</v>
      </c>
      <c r="G206" t="s">
        <v>54</v>
      </c>
      <c r="H206" t="s">
        <v>54</v>
      </c>
    </row>
    <row r="207" spans="4:8" x14ac:dyDescent="0.25">
      <c r="D207" t="s">
        <v>132</v>
      </c>
      <c r="E207">
        <v>1</v>
      </c>
      <c r="F207">
        <v>2</v>
      </c>
      <c r="G207">
        <v>3</v>
      </c>
      <c r="H207">
        <v>4</v>
      </c>
    </row>
    <row r="208" spans="4:8" x14ac:dyDescent="0.25">
      <c r="D208" t="s">
        <v>133</v>
      </c>
      <c r="E208" t="s">
        <v>71</v>
      </c>
      <c r="F208" t="s">
        <v>71</v>
      </c>
      <c r="G208" t="s">
        <v>71</v>
      </c>
      <c r="H208" t="s">
        <v>71</v>
      </c>
    </row>
    <row r="209" spans="2:8" x14ac:dyDescent="0.25">
      <c r="D209" t="s">
        <v>134</v>
      </c>
      <c r="E209">
        <v>1</v>
      </c>
      <c r="F209">
        <v>2</v>
      </c>
      <c r="G209">
        <v>3</v>
      </c>
      <c r="H209">
        <v>4</v>
      </c>
    </row>
    <row r="210" spans="2:8" x14ac:dyDescent="0.25">
      <c r="D210" t="s">
        <v>123</v>
      </c>
      <c r="E210">
        <v>10</v>
      </c>
      <c r="F210">
        <v>10</v>
      </c>
      <c r="G210">
        <v>10</v>
      </c>
      <c r="H210">
        <v>10</v>
      </c>
    </row>
    <row r="211" spans="2:8" x14ac:dyDescent="0.25">
      <c r="D211" t="s">
        <v>135</v>
      </c>
      <c r="E211">
        <v>100</v>
      </c>
      <c r="F211">
        <v>100</v>
      </c>
      <c r="G211">
        <v>100</v>
      </c>
      <c r="H211">
        <v>100</v>
      </c>
    </row>
    <row r="212" spans="2:8" x14ac:dyDescent="0.25">
      <c r="D212" t="s">
        <v>136</v>
      </c>
      <c r="E212" t="s">
        <v>26</v>
      </c>
      <c r="F212" t="s">
        <v>26</v>
      </c>
      <c r="G212" t="s">
        <v>26</v>
      </c>
      <c r="H212" t="s">
        <v>26</v>
      </c>
    </row>
    <row r="213" spans="2:8" x14ac:dyDescent="0.25">
      <c r="D213" t="s">
        <v>137</v>
      </c>
    </row>
    <row r="214" spans="2:8" x14ac:dyDescent="0.25">
      <c r="D214" t="s">
        <v>138</v>
      </c>
    </row>
    <row r="215" spans="2:8" x14ac:dyDescent="0.25">
      <c r="D215" t="s">
        <v>139</v>
      </c>
      <c r="E215" t="s">
        <v>140</v>
      </c>
    </row>
    <row r="216" spans="2:8" x14ac:dyDescent="0.25">
      <c r="D216" t="s">
        <v>179</v>
      </c>
    </row>
    <row r="221" spans="2:8" x14ac:dyDescent="0.25">
      <c r="B221" t="s">
        <v>180</v>
      </c>
    </row>
    <row r="222" spans="2:8" x14ac:dyDescent="0.25">
      <c r="B222" t="s">
        <v>181</v>
      </c>
    </row>
    <row r="223" spans="2:8" x14ac:dyDescent="0.25">
      <c r="B223" t="s">
        <v>182</v>
      </c>
    </row>
    <row r="224" spans="2:8" x14ac:dyDescent="0.25">
      <c r="B224" t="s">
        <v>183</v>
      </c>
    </row>
    <row r="225" spans="2:5" x14ac:dyDescent="0.25">
      <c r="B225" t="s">
        <v>344</v>
      </c>
    </row>
    <row r="227" spans="2:5" x14ac:dyDescent="0.25">
      <c r="C227" t="s">
        <v>112</v>
      </c>
    </row>
    <row r="232" spans="2:5" x14ac:dyDescent="0.25">
      <c r="B232" t="s">
        <v>184</v>
      </c>
    </row>
    <row r="233" spans="2:5" x14ac:dyDescent="0.25">
      <c r="B233" t="s">
        <v>185</v>
      </c>
    </row>
    <row r="234" spans="2:5" x14ac:dyDescent="0.25">
      <c r="B234" t="s">
        <v>186</v>
      </c>
    </row>
    <row r="235" spans="2:5" x14ac:dyDescent="0.25">
      <c r="B235" t="s">
        <v>187</v>
      </c>
    </row>
    <row r="236" spans="2:5" x14ac:dyDescent="0.25">
      <c r="B236" t="s">
        <v>188</v>
      </c>
    </row>
    <row r="238" spans="2:5" x14ac:dyDescent="0.25">
      <c r="C238" t="s">
        <v>112</v>
      </c>
    </row>
    <row r="240" spans="2:5" x14ac:dyDescent="0.25">
      <c r="D240" t="s">
        <v>101</v>
      </c>
      <c r="E240" t="s">
        <v>189</v>
      </c>
    </row>
    <row r="241" spans="4:5" x14ac:dyDescent="0.25">
      <c r="D241" t="s">
        <v>103</v>
      </c>
      <c r="E241" t="s">
        <v>190</v>
      </c>
    </row>
    <row r="242" spans="4:5" x14ac:dyDescent="0.25">
      <c r="D242" t="s">
        <v>191</v>
      </c>
      <c r="E242" t="s">
        <v>192</v>
      </c>
    </row>
    <row r="243" spans="4:5" x14ac:dyDescent="0.25">
      <c r="D243" t="s">
        <v>193</v>
      </c>
    </row>
    <row r="245" spans="4:5" x14ac:dyDescent="0.25">
      <c r="D245" t="s">
        <v>101</v>
      </c>
      <c r="E245" t="s">
        <v>189</v>
      </c>
    </row>
    <row r="246" spans="4:5" x14ac:dyDescent="0.25">
      <c r="D246" t="s">
        <v>103</v>
      </c>
      <c r="E246" t="s">
        <v>194</v>
      </c>
    </row>
    <row r="247" spans="4:5" x14ac:dyDescent="0.25">
      <c r="D247" t="s">
        <v>191</v>
      </c>
      <c r="E247" t="s">
        <v>192</v>
      </c>
    </row>
    <row r="248" spans="4:5" x14ac:dyDescent="0.25">
      <c r="D248" t="s">
        <v>195</v>
      </c>
    </row>
    <row r="250" spans="4:5" x14ac:dyDescent="0.25">
      <c r="D250" t="s">
        <v>101</v>
      </c>
      <c r="E250" t="s">
        <v>102</v>
      </c>
    </row>
    <row r="251" spans="4:5" x14ac:dyDescent="0.25">
      <c r="D251" t="s">
        <v>103</v>
      </c>
      <c r="E251" t="s">
        <v>196</v>
      </c>
    </row>
    <row r="252" spans="4:5" x14ac:dyDescent="0.25">
      <c r="D252" t="s">
        <v>105</v>
      </c>
      <c r="E252" t="s">
        <v>192</v>
      </c>
    </row>
    <row r="253" spans="4:5" x14ac:dyDescent="0.25">
      <c r="D253" t="s">
        <v>197</v>
      </c>
    </row>
    <row r="255" spans="4:5" x14ac:dyDescent="0.25">
      <c r="D255" t="s">
        <v>101</v>
      </c>
      <c r="E255" t="s">
        <v>102</v>
      </c>
    </row>
    <row r="256" spans="4:5" x14ac:dyDescent="0.25">
      <c r="D256" t="s">
        <v>103</v>
      </c>
      <c r="E256" t="s">
        <v>198</v>
      </c>
    </row>
    <row r="257" spans="4:5" x14ac:dyDescent="0.25">
      <c r="D257" t="s">
        <v>105</v>
      </c>
      <c r="E257" t="s">
        <v>192</v>
      </c>
    </row>
    <row r="258" spans="4:5" x14ac:dyDescent="0.25">
      <c r="D258" t="s">
        <v>199</v>
      </c>
    </row>
    <row r="260" spans="4:5" x14ac:dyDescent="0.25">
      <c r="D260" t="s">
        <v>101</v>
      </c>
      <c r="E260" t="s">
        <v>200</v>
      </c>
    </row>
    <row r="261" spans="4:5" x14ac:dyDescent="0.25">
      <c r="D261" t="s">
        <v>103</v>
      </c>
      <c r="E261" t="s">
        <v>104</v>
      </c>
    </row>
    <row r="262" spans="4:5" x14ac:dyDescent="0.25">
      <c r="D262" t="s">
        <v>105</v>
      </c>
      <c r="E262" t="s">
        <v>192</v>
      </c>
    </row>
    <row r="263" spans="4:5" x14ac:dyDescent="0.25">
      <c r="D263" t="s">
        <v>201</v>
      </c>
    </row>
    <row r="265" spans="4:5" x14ac:dyDescent="0.25">
      <c r="D265" t="s">
        <v>101</v>
      </c>
      <c r="E265" t="s">
        <v>102</v>
      </c>
    </row>
    <row r="266" spans="4:5" x14ac:dyDescent="0.25">
      <c r="D266" t="s">
        <v>103</v>
      </c>
      <c r="E266" t="s">
        <v>202</v>
      </c>
    </row>
    <row r="267" spans="4:5" x14ac:dyDescent="0.25">
      <c r="D267" t="s">
        <v>105</v>
      </c>
      <c r="E267" t="s">
        <v>192</v>
      </c>
    </row>
    <row r="268" spans="4:5" x14ac:dyDescent="0.25">
      <c r="D268" t="s">
        <v>203</v>
      </c>
    </row>
    <row r="270" spans="4:5" x14ac:dyDescent="0.25">
      <c r="D270" t="s">
        <v>101</v>
      </c>
      <c r="E270" t="s">
        <v>102</v>
      </c>
    </row>
    <row r="271" spans="4:5" x14ac:dyDescent="0.25">
      <c r="D271" t="s">
        <v>103</v>
      </c>
      <c r="E271" t="s">
        <v>204</v>
      </c>
    </row>
    <row r="272" spans="4:5" x14ac:dyDescent="0.25">
      <c r="D272" t="s">
        <v>105</v>
      </c>
      <c r="E272" t="s">
        <v>192</v>
      </c>
    </row>
    <row r="273" spans="4:5" x14ac:dyDescent="0.25">
      <c r="D273" t="s">
        <v>205</v>
      </c>
    </row>
    <row r="275" spans="4:5" x14ac:dyDescent="0.25">
      <c r="D275" t="s">
        <v>101</v>
      </c>
      <c r="E275" t="s">
        <v>102</v>
      </c>
    </row>
    <row r="276" spans="4:5" x14ac:dyDescent="0.25">
      <c r="D276" t="s">
        <v>103</v>
      </c>
      <c r="E276" t="s">
        <v>202</v>
      </c>
    </row>
    <row r="277" spans="4:5" x14ac:dyDescent="0.25">
      <c r="D277" t="s">
        <v>105</v>
      </c>
      <c r="E277" t="s">
        <v>192</v>
      </c>
    </row>
    <row r="278" spans="4:5" x14ac:dyDescent="0.25">
      <c r="D278" t="s">
        <v>206</v>
      </c>
    </row>
    <row r="280" spans="4:5" x14ac:dyDescent="0.25">
      <c r="D280" t="s">
        <v>101</v>
      </c>
      <c r="E280" t="s">
        <v>102</v>
      </c>
    </row>
    <row r="281" spans="4:5" x14ac:dyDescent="0.25">
      <c r="D281" t="s">
        <v>103</v>
      </c>
      <c r="E281" t="s">
        <v>204</v>
      </c>
    </row>
    <row r="282" spans="4:5" x14ac:dyDescent="0.25">
      <c r="D282" t="s">
        <v>105</v>
      </c>
      <c r="E282" t="s">
        <v>192</v>
      </c>
    </row>
    <row r="283" spans="4:5" x14ac:dyDescent="0.25">
      <c r="D283" t="s">
        <v>207</v>
      </c>
    </row>
    <row r="285" spans="4:5" x14ac:dyDescent="0.25">
      <c r="D285" t="s">
        <v>101</v>
      </c>
      <c r="E285" t="s">
        <v>208</v>
      </c>
    </row>
    <row r="286" spans="4:5" x14ac:dyDescent="0.25">
      <c r="D286" t="s">
        <v>103</v>
      </c>
      <c r="E286" t="s">
        <v>209</v>
      </c>
    </row>
    <row r="287" spans="4:5" x14ac:dyDescent="0.25">
      <c r="D287" t="s">
        <v>210</v>
      </c>
    </row>
    <row r="288" spans="4:5" x14ac:dyDescent="0.25">
      <c r="D288" t="s">
        <v>211</v>
      </c>
    </row>
    <row r="289" spans="4:5" x14ac:dyDescent="0.25">
      <c r="D289" t="s">
        <v>212</v>
      </c>
    </row>
    <row r="290" spans="4:5" x14ac:dyDescent="0.25">
      <c r="D290" t="s">
        <v>213</v>
      </c>
    </row>
    <row r="291" spans="4:5" x14ac:dyDescent="0.25">
      <c r="D291" t="s">
        <v>214</v>
      </c>
      <c r="E291" t="b">
        <v>0</v>
      </c>
    </row>
    <row r="292" spans="4:5" x14ac:dyDescent="0.25">
      <c r="D292" t="s">
        <v>215</v>
      </c>
      <c r="E292" t="s">
        <v>216</v>
      </c>
    </row>
    <row r="293" spans="4:5" x14ac:dyDescent="0.25">
      <c r="D293" t="s">
        <v>217</v>
      </c>
    </row>
    <row r="295" spans="4:5" x14ac:dyDescent="0.25">
      <c r="D295" t="s">
        <v>101</v>
      </c>
      <c r="E295" t="s">
        <v>208</v>
      </c>
    </row>
    <row r="296" spans="4:5" x14ac:dyDescent="0.25">
      <c r="D296" t="s">
        <v>103</v>
      </c>
      <c r="E296" t="s">
        <v>209</v>
      </c>
    </row>
    <row r="297" spans="4:5" x14ac:dyDescent="0.25">
      <c r="D297" t="s">
        <v>210</v>
      </c>
    </row>
    <row r="298" spans="4:5" x14ac:dyDescent="0.25">
      <c r="D298" t="s">
        <v>211</v>
      </c>
    </row>
    <row r="299" spans="4:5" x14ac:dyDescent="0.25">
      <c r="D299" t="s">
        <v>212</v>
      </c>
    </row>
    <row r="300" spans="4:5" x14ac:dyDescent="0.25">
      <c r="D300" t="s">
        <v>213</v>
      </c>
    </row>
    <row r="301" spans="4:5" x14ac:dyDescent="0.25">
      <c r="D301" t="s">
        <v>214</v>
      </c>
      <c r="E301" t="b">
        <v>1</v>
      </c>
    </row>
    <row r="302" spans="4:5" x14ac:dyDescent="0.25">
      <c r="D302" t="s">
        <v>215</v>
      </c>
      <c r="E302" t="s">
        <v>216</v>
      </c>
    </row>
    <row r="303" spans="4:5" x14ac:dyDescent="0.25">
      <c r="D303" t="s">
        <v>218</v>
      </c>
    </row>
    <row r="305" spans="2:5" x14ac:dyDescent="0.25">
      <c r="D305" t="s">
        <v>101</v>
      </c>
      <c r="E305" t="s">
        <v>102</v>
      </c>
    </row>
    <row r="306" spans="2:5" x14ac:dyDescent="0.25">
      <c r="D306" t="s">
        <v>103</v>
      </c>
      <c r="E306" t="s">
        <v>219</v>
      </c>
    </row>
    <row r="307" spans="2:5" x14ac:dyDescent="0.25">
      <c r="D307" t="s">
        <v>105</v>
      </c>
      <c r="E307" t="s">
        <v>54</v>
      </c>
    </row>
    <row r="308" spans="2:5" x14ac:dyDescent="0.25">
      <c r="D308" t="s">
        <v>106</v>
      </c>
      <c r="E308">
        <v>37</v>
      </c>
    </row>
    <row r="309" spans="2:5" x14ac:dyDescent="0.25">
      <c r="D309" t="s">
        <v>107</v>
      </c>
      <c r="E309">
        <v>0</v>
      </c>
    </row>
    <row r="310" spans="2:5" x14ac:dyDescent="0.25">
      <c r="D310" t="s">
        <v>220</v>
      </c>
    </row>
    <row r="315" spans="2:5" x14ac:dyDescent="0.25">
      <c r="B315" t="s">
        <v>145</v>
      </c>
    </row>
    <row r="316" spans="2:5" x14ac:dyDescent="0.25">
      <c r="B316" t="s">
        <v>221</v>
      </c>
    </row>
    <row r="317" spans="2:5" x14ac:dyDescent="0.25">
      <c r="B317" t="s">
        <v>222</v>
      </c>
    </row>
    <row r="318" spans="2:5" x14ac:dyDescent="0.25">
      <c r="B318" t="s">
        <v>157</v>
      </c>
    </row>
    <row r="319" spans="2:5" x14ac:dyDescent="0.25">
      <c r="B319" t="s">
        <v>149</v>
      </c>
    </row>
    <row r="320" spans="2:5" x14ac:dyDescent="0.25">
      <c r="B320" t="s">
        <v>223</v>
      </c>
    </row>
    <row r="321" spans="2:8" x14ac:dyDescent="0.25">
      <c r="B321" t="s">
        <v>151</v>
      </c>
    </row>
    <row r="323" spans="2:8" x14ac:dyDescent="0.25">
      <c r="C323" t="s">
        <v>112</v>
      </c>
    </row>
    <row r="325" spans="2:8" x14ac:dyDescent="0.25">
      <c r="D325" t="s">
        <v>101</v>
      </c>
      <c r="E325" t="s">
        <v>121</v>
      </c>
    </row>
    <row r="326" spans="2:8" x14ac:dyDescent="0.25">
      <c r="D326" t="s">
        <v>103</v>
      </c>
      <c r="E326" t="s">
        <v>122</v>
      </c>
    </row>
    <row r="327" spans="2:8" x14ac:dyDescent="0.25">
      <c r="D327" t="s">
        <v>123</v>
      </c>
      <c r="E327">
        <v>50</v>
      </c>
      <c r="F327">
        <v>50</v>
      </c>
      <c r="G327">
        <v>50</v>
      </c>
      <c r="H327">
        <v>50</v>
      </c>
    </row>
    <row r="328" spans="2:8" x14ac:dyDescent="0.25">
      <c r="D328" t="s">
        <v>124</v>
      </c>
      <c r="E328" t="s">
        <v>125</v>
      </c>
      <c r="F328" t="s">
        <v>125</v>
      </c>
      <c r="G328" t="s">
        <v>125</v>
      </c>
      <c r="H328" t="s">
        <v>126</v>
      </c>
    </row>
    <row r="329" spans="2:8" x14ac:dyDescent="0.25">
      <c r="D329" t="s">
        <v>224</v>
      </c>
    </row>
    <row r="331" spans="2:8" x14ac:dyDescent="0.25">
      <c r="D331" t="s">
        <v>101</v>
      </c>
      <c r="E331" t="s">
        <v>121</v>
      </c>
    </row>
    <row r="332" spans="2:8" x14ac:dyDescent="0.25">
      <c r="D332" t="s">
        <v>103</v>
      </c>
      <c r="E332" t="s">
        <v>128</v>
      </c>
    </row>
    <row r="333" spans="2:8" x14ac:dyDescent="0.25">
      <c r="D333" t="s">
        <v>123</v>
      </c>
      <c r="E333">
        <v>50</v>
      </c>
      <c r="F333">
        <v>50</v>
      </c>
      <c r="G333">
        <v>50</v>
      </c>
      <c r="H333">
        <v>50</v>
      </c>
    </row>
    <row r="334" spans="2:8" x14ac:dyDescent="0.25">
      <c r="D334" t="s">
        <v>225</v>
      </c>
    </row>
    <row r="336" spans="2:8" x14ac:dyDescent="0.25">
      <c r="D336" t="s">
        <v>101</v>
      </c>
      <c r="E336" t="s">
        <v>121</v>
      </c>
    </row>
    <row r="337" spans="4:8" x14ac:dyDescent="0.25">
      <c r="D337" t="s">
        <v>103</v>
      </c>
      <c r="E337" t="s">
        <v>130</v>
      </c>
    </row>
    <row r="338" spans="4:8" x14ac:dyDescent="0.25">
      <c r="D338" t="s">
        <v>131</v>
      </c>
      <c r="E338" t="s">
        <v>343</v>
      </c>
      <c r="F338" t="s">
        <v>343</v>
      </c>
      <c r="G338" t="s">
        <v>343</v>
      </c>
      <c r="H338" t="s">
        <v>343</v>
      </c>
    </row>
    <row r="339" spans="4:8" x14ac:dyDescent="0.25">
      <c r="D339" t="s">
        <v>132</v>
      </c>
      <c r="E339">
        <v>1</v>
      </c>
      <c r="F339">
        <v>2</v>
      </c>
      <c r="G339">
        <v>3</v>
      </c>
      <c r="H339">
        <v>4</v>
      </c>
    </row>
    <row r="340" spans="4:8" x14ac:dyDescent="0.25">
      <c r="D340" t="s">
        <v>133</v>
      </c>
      <c r="E340" t="s">
        <v>77</v>
      </c>
      <c r="F340" t="s">
        <v>77</v>
      </c>
      <c r="G340" t="s">
        <v>77</v>
      </c>
      <c r="H340" t="s">
        <v>77</v>
      </c>
    </row>
    <row r="341" spans="4:8" x14ac:dyDescent="0.25">
      <c r="D341" t="s">
        <v>134</v>
      </c>
      <c r="E341">
        <v>1</v>
      </c>
      <c r="F341">
        <v>2</v>
      </c>
      <c r="G341">
        <v>3</v>
      </c>
      <c r="H341">
        <v>4</v>
      </c>
    </row>
    <row r="342" spans="4:8" x14ac:dyDescent="0.25">
      <c r="D342" t="s">
        <v>123</v>
      </c>
      <c r="E342">
        <v>50</v>
      </c>
      <c r="F342">
        <v>50</v>
      </c>
      <c r="G342">
        <v>50</v>
      </c>
      <c r="H342">
        <v>50</v>
      </c>
    </row>
    <row r="343" spans="4:8" x14ac:dyDescent="0.25">
      <c r="D343" t="s">
        <v>135</v>
      </c>
      <c r="E343">
        <v>0</v>
      </c>
      <c r="F343">
        <v>0</v>
      </c>
      <c r="G343">
        <v>0</v>
      </c>
      <c r="H343">
        <v>0</v>
      </c>
    </row>
    <row r="344" spans="4:8" x14ac:dyDescent="0.25">
      <c r="D344" t="s">
        <v>136</v>
      </c>
      <c r="E344" t="s">
        <v>26</v>
      </c>
      <c r="F344" t="s">
        <v>26</v>
      </c>
      <c r="G344" t="s">
        <v>26</v>
      </c>
      <c r="H344" t="s">
        <v>26</v>
      </c>
    </row>
    <row r="345" spans="4:8" x14ac:dyDescent="0.25">
      <c r="D345" t="s">
        <v>137</v>
      </c>
    </row>
    <row r="346" spans="4:8" x14ac:dyDescent="0.25">
      <c r="D346" t="s">
        <v>138</v>
      </c>
    </row>
    <row r="347" spans="4:8" x14ac:dyDescent="0.25">
      <c r="D347" t="s">
        <v>139</v>
      </c>
      <c r="E347" t="s">
        <v>140</v>
      </c>
    </row>
    <row r="348" spans="4:8" x14ac:dyDescent="0.25">
      <c r="D348" t="s">
        <v>226</v>
      </c>
    </row>
    <row r="353" spans="2:3" x14ac:dyDescent="0.25">
      <c r="B353" t="s">
        <v>108</v>
      </c>
    </row>
    <row r="354" spans="2:3" x14ac:dyDescent="0.25">
      <c r="B354" t="s">
        <v>227</v>
      </c>
    </row>
    <row r="355" spans="2:3" x14ac:dyDescent="0.25">
      <c r="B355" t="s">
        <v>228</v>
      </c>
    </row>
    <row r="356" spans="2:3" x14ac:dyDescent="0.25">
      <c r="B356" t="s">
        <v>111</v>
      </c>
    </row>
    <row r="358" spans="2:3" x14ac:dyDescent="0.25">
      <c r="C358" t="s">
        <v>112</v>
      </c>
    </row>
    <row r="363" spans="2:3" x14ac:dyDescent="0.25">
      <c r="B363" t="s">
        <v>229</v>
      </c>
    </row>
    <row r="364" spans="2:3" x14ac:dyDescent="0.25">
      <c r="B364" t="s">
        <v>230</v>
      </c>
    </row>
    <row r="365" spans="2:3" x14ac:dyDescent="0.25">
      <c r="B365" t="s">
        <v>345</v>
      </c>
    </row>
    <row r="366" spans="2:3" x14ac:dyDescent="0.25">
      <c r="B366" t="s">
        <v>231</v>
      </c>
    </row>
    <row r="367" spans="2:3" x14ac:dyDescent="0.25">
      <c r="B367" t="s">
        <v>232</v>
      </c>
    </row>
    <row r="368" spans="2:3" x14ac:dyDescent="0.25">
      <c r="B368" t="s">
        <v>233</v>
      </c>
    </row>
    <row r="369" spans="2:5" x14ac:dyDescent="0.25">
      <c r="B369" t="s">
        <v>234</v>
      </c>
    </row>
    <row r="371" spans="2:5" x14ac:dyDescent="0.25">
      <c r="C371" t="s">
        <v>112</v>
      </c>
    </row>
    <row r="373" spans="2:5" x14ac:dyDescent="0.25">
      <c r="D373" t="s">
        <v>101</v>
      </c>
      <c r="E373" t="s">
        <v>189</v>
      </c>
    </row>
    <row r="374" spans="2:5" x14ac:dyDescent="0.25">
      <c r="D374" t="s">
        <v>103</v>
      </c>
      <c r="E374" t="s">
        <v>190</v>
      </c>
    </row>
    <row r="375" spans="2:5" x14ac:dyDescent="0.25">
      <c r="D375" t="s">
        <v>191</v>
      </c>
      <c r="E375" t="s">
        <v>235</v>
      </c>
    </row>
    <row r="376" spans="2:5" x14ac:dyDescent="0.25">
      <c r="D376" t="s">
        <v>236</v>
      </c>
    </row>
    <row r="378" spans="2:5" x14ac:dyDescent="0.25">
      <c r="D378" t="s">
        <v>101</v>
      </c>
      <c r="E378" t="s">
        <v>189</v>
      </c>
    </row>
    <row r="379" spans="2:5" x14ac:dyDescent="0.25">
      <c r="D379" t="s">
        <v>103</v>
      </c>
      <c r="E379" t="s">
        <v>194</v>
      </c>
    </row>
    <row r="380" spans="2:5" x14ac:dyDescent="0.25">
      <c r="D380" t="s">
        <v>191</v>
      </c>
      <c r="E380" t="s">
        <v>235</v>
      </c>
    </row>
    <row r="381" spans="2:5" x14ac:dyDescent="0.25">
      <c r="D381" t="s">
        <v>237</v>
      </c>
    </row>
    <row r="383" spans="2:5" x14ac:dyDescent="0.25">
      <c r="D383" t="s">
        <v>101</v>
      </c>
      <c r="E383" t="s">
        <v>102</v>
      </c>
    </row>
    <row r="384" spans="2:5" x14ac:dyDescent="0.25">
      <c r="D384" t="s">
        <v>103</v>
      </c>
      <c r="E384" t="s">
        <v>238</v>
      </c>
    </row>
    <row r="385" spans="4:5" x14ac:dyDescent="0.25">
      <c r="D385" t="s">
        <v>105</v>
      </c>
      <c r="E385" t="s">
        <v>235</v>
      </c>
    </row>
    <row r="386" spans="4:5" x14ac:dyDescent="0.25">
      <c r="D386" t="s">
        <v>239</v>
      </c>
    </row>
    <row r="388" spans="4:5" x14ac:dyDescent="0.25">
      <c r="D388" t="s">
        <v>101</v>
      </c>
      <c r="E388" t="s">
        <v>102</v>
      </c>
    </row>
    <row r="389" spans="4:5" x14ac:dyDescent="0.25">
      <c r="D389" t="s">
        <v>103</v>
      </c>
      <c r="E389" t="s">
        <v>240</v>
      </c>
    </row>
    <row r="390" spans="4:5" x14ac:dyDescent="0.25">
      <c r="D390" t="s">
        <v>105</v>
      </c>
      <c r="E390" t="s">
        <v>235</v>
      </c>
    </row>
    <row r="391" spans="4:5" x14ac:dyDescent="0.25">
      <c r="D391" t="s">
        <v>241</v>
      </c>
    </row>
    <row r="393" spans="4:5" x14ac:dyDescent="0.25">
      <c r="D393" t="s">
        <v>101</v>
      </c>
      <c r="E393" t="s">
        <v>208</v>
      </c>
    </row>
    <row r="394" spans="4:5" x14ac:dyDescent="0.25">
      <c r="D394" t="s">
        <v>103</v>
      </c>
      <c r="E394" t="s">
        <v>209</v>
      </c>
    </row>
    <row r="395" spans="4:5" x14ac:dyDescent="0.25">
      <c r="D395" t="s">
        <v>210</v>
      </c>
    </row>
    <row r="396" spans="4:5" x14ac:dyDescent="0.25">
      <c r="D396" t="s">
        <v>211</v>
      </c>
    </row>
    <row r="397" spans="4:5" x14ac:dyDescent="0.25">
      <c r="D397" t="s">
        <v>212</v>
      </c>
    </row>
    <row r="398" spans="4:5" x14ac:dyDescent="0.25">
      <c r="D398" t="s">
        <v>213</v>
      </c>
    </row>
    <row r="399" spans="4:5" x14ac:dyDescent="0.25">
      <c r="D399" t="s">
        <v>214</v>
      </c>
      <c r="E399" t="b">
        <v>1</v>
      </c>
    </row>
    <row r="400" spans="4:5" x14ac:dyDescent="0.25">
      <c r="D400" t="s">
        <v>215</v>
      </c>
      <c r="E400" t="s">
        <v>242</v>
      </c>
    </row>
    <row r="401" spans="4:5" x14ac:dyDescent="0.25">
      <c r="D401" t="s">
        <v>243</v>
      </c>
    </row>
    <row r="403" spans="4:5" x14ac:dyDescent="0.25">
      <c r="D403" t="s">
        <v>101</v>
      </c>
      <c r="E403" t="s">
        <v>244</v>
      </c>
    </row>
    <row r="404" spans="4:5" x14ac:dyDescent="0.25">
      <c r="D404" t="s">
        <v>103</v>
      </c>
      <c r="E404" t="s">
        <v>245</v>
      </c>
    </row>
    <row r="405" spans="4:5" x14ac:dyDescent="0.25">
      <c r="D405" t="s">
        <v>246</v>
      </c>
      <c r="E405">
        <v>120</v>
      </c>
    </row>
    <row r="406" spans="4:5" x14ac:dyDescent="0.25">
      <c r="D406" t="s">
        <v>247</v>
      </c>
    </row>
    <row r="408" spans="4:5" x14ac:dyDescent="0.25">
      <c r="D408" t="s">
        <v>101</v>
      </c>
      <c r="E408" t="s">
        <v>244</v>
      </c>
    </row>
    <row r="409" spans="4:5" x14ac:dyDescent="0.25">
      <c r="D409" t="s">
        <v>103</v>
      </c>
      <c r="E409" t="s">
        <v>248</v>
      </c>
    </row>
    <row r="410" spans="4:5" x14ac:dyDescent="0.25">
      <c r="D410" t="s">
        <v>249</v>
      </c>
    </row>
    <row r="412" spans="4:5" x14ac:dyDescent="0.25">
      <c r="D412" t="s">
        <v>101</v>
      </c>
      <c r="E412" t="s">
        <v>189</v>
      </c>
    </row>
    <row r="413" spans="4:5" x14ac:dyDescent="0.25">
      <c r="D413" t="s">
        <v>103</v>
      </c>
      <c r="E413" t="s">
        <v>190</v>
      </c>
    </row>
    <row r="414" spans="4:5" x14ac:dyDescent="0.25">
      <c r="D414" t="s">
        <v>191</v>
      </c>
      <c r="E414" t="s">
        <v>235</v>
      </c>
    </row>
    <row r="415" spans="4:5" x14ac:dyDescent="0.25">
      <c r="D415" t="s">
        <v>250</v>
      </c>
    </row>
    <row r="417" spans="4:5" x14ac:dyDescent="0.25">
      <c r="D417" t="s">
        <v>101</v>
      </c>
      <c r="E417" t="s">
        <v>189</v>
      </c>
    </row>
    <row r="418" spans="4:5" x14ac:dyDescent="0.25">
      <c r="D418" t="s">
        <v>103</v>
      </c>
      <c r="E418" t="s">
        <v>194</v>
      </c>
    </row>
    <row r="419" spans="4:5" x14ac:dyDescent="0.25">
      <c r="D419" t="s">
        <v>191</v>
      </c>
      <c r="E419" t="s">
        <v>235</v>
      </c>
    </row>
    <row r="420" spans="4:5" x14ac:dyDescent="0.25">
      <c r="D420" t="s">
        <v>251</v>
      </c>
    </row>
    <row r="422" spans="4:5" x14ac:dyDescent="0.25">
      <c r="D422" t="s">
        <v>101</v>
      </c>
      <c r="E422" t="s">
        <v>102</v>
      </c>
    </row>
    <row r="423" spans="4:5" x14ac:dyDescent="0.25">
      <c r="D423" t="s">
        <v>103</v>
      </c>
      <c r="E423" t="s">
        <v>238</v>
      </c>
    </row>
    <row r="424" spans="4:5" x14ac:dyDescent="0.25">
      <c r="D424" t="s">
        <v>105</v>
      </c>
      <c r="E424" t="s">
        <v>235</v>
      </c>
    </row>
    <row r="425" spans="4:5" x14ac:dyDescent="0.25">
      <c r="D425" t="s">
        <v>252</v>
      </c>
    </row>
    <row r="427" spans="4:5" x14ac:dyDescent="0.25">
      <c r="D427" t="s">
        <v>101</v>
      </c>
      <c r="E427" t="s">
        <v>102</v>
      </c>
    </row>
    <row r="428" spans="4:5" x14ac:dyDescent="0.25">
      <c r="D428" t="s">
        <v>103</v>
      </c>
      <c r="E428" t="s">
        <v>240</v>
      </c>
    </row>
    <row r="429" spans="4:5" x14ac:dyDescent="0.25">
      <c r="D429" t="s">
        <v>105</v>
      </c>
      <c r="E429" t="s">
        <v>235</v>
      </c>
    </row>
    <row r="430" spans="4:5" x14ac:dyDescent="0.25">
      <c r="D430" t="s">
        <v>253</v>
      </c>
    </row>
    <row r="432" spans="4:5" x14ac:dyDescent="0.25">
      <c r="D432" t="s">
        <v>101</v>
      </c>
      <c r="E432" t="s">
        <v>102</v>
      </c>
    </row>
    <row r="433" spans="4:8" x14ac:dyDescent="0.25">
      <c r="D433" t="s">
        <v>103</v>
      </c>
      <c r="E433" t="s">
        <v>254</v>
      </c>
    </row>
    <row r="434" spans="4:8" x14ac:dyDescent="0.25">
      <c r="D434" t="s">
        <v>105</v>
      </c>
      <c r="E434" t="s">
        <v>163</v>
      </c>
    </row>
    <row r="435" spans="4:8" x14ac:dyDescent="0.25">
      <c r="D435" t="s">
        <v>259</v>
      </c>
      <c r="E435">
        <v>25</v>
      </c>
      <c r="F435">
        <v>25</v>
      </c>
      <c r="G435">
        <v>25</v>
      </c>
      <c r="H435">
        <v>25</v>
      </c>
    </row>
    <row r="436" spans="4:8" x14ac:dyDescent="0.25">
      <c r="D436" t="s">
        <v>255</v>
      </c>
    </row>
    <row r="438" spans="4:8" x14ac:dyDescent="0.25">
      <c r="D438" t="s">
        <v>101</v>
      </c>
      <c r="E438" t="s">
        <v>121</v>
      </c>
    </row>
    <row r="439" spans="4:8" x14ac:dyDescent="0.25">
      <c r="D439" t="s">
        <v>103</v>
      </c>
      <c r="E439" t="s">
        <v>128</v>
      </c>
    </row>
    <row r="440" spans="4:8" x14ac:dyDescent="0.25">
      <c r="D440" t="s">
        <v>123</v>
      </c>
      <c r="E440" t="s">
        <v>256</v>
      </c>
    </row>
    <row r="441" spans="4:8" x14ac:dyDescent="0.25">
      <c r="D441" t="s">
        <v>257</v>
      </c>
    </row>
    <row r="443" spans="4:8" x14ac:dyDescent="0.25">
      <c r="D443" t="s">
        <v>101</v>
      </c>
      <c r="E443" t="s">
        <v>102</v>
      </c>
    </row>
    <row r="444" spans="4:8" x14ac:dyDescent="0.25">
      <c r="D444" t="s">
        <v>103</v>
      </c>
      <c r="E444" t="s">
        <v>258</v>
      </c>
    </row>
    <row r="445" spans="4:8" x14ac:dyDescent="0.25">
      <c r="D445" t="s">
        <v>105</v>
      </c>
      <c r="E445" t="s">
        <v>163</v>
      </c>
    </row>
    <row r="446" spans="4:8" x14ac:dyDescent="0.25">
      <c r="D446" t="s">
        <v>259</v>
      </c>
      <c r="E446">
        <v>75</v>
      </c>
      <c r="F446">
        <v>75</v>
      </c>
      <c r="G446">
        <v>75</v>
      </c>
      <c r="H446">
        <v>75</v>
      </c>
    </row>
    <row r="447" spans="4:8" x14ac:dyDescent="0.25">
      <c r="D447" t="s">
        <v>260</v>
      </c>
    </row>
    <row r="449" spans="4:8" x14ac:dyDescent="0.25">
      <c r="D449" t="s">
        <v>101</v>
      </c>
      <c r="E449" t="s">
        <v>121</v>
      </c>
    </row>
    <row r="450" spans="4:8" x14ac:dyDescent="0.25">
      <c r="D450" t="s">
        <v>103</v>
      </c>
      <c r="E450" t="s">
        <v>128</v>
      </c>
    </row>
    <row r="451" spans="4:8" x14ac:dyDescent="0.25">
      <c r="D451" t="s">
        <v>123</v>
      </c>
      <c r="E451" t="s">
        <v>256</v>
      </c>
    </row>
    <row r="452" spans="4:8" x14ac:dyDescent="0.25">
      <c r="D452" t="s">
        <v>261</v>
      </c>
    </row>
    <row r="454" spans="4:8" x14ac:dyDescent="0.25">
      <c r="D454" t="s">
        <v>101</v>
      </c>
      <c r="E454" t="s">
        <v>121</v>
      </c>
    </row>
    <row r="455" spans="4:8" x14ac:dyDescent="0.25">
      <c r="D455" t="s">
        <v>103</v>
      </c>
      <c r="E455" t="s">
        <v>130</v>
      </c>
    </row>
    <row r="456" spans="4:8" x14ac:dyDescent="0.25">
      <c r="D456" t="s">
        <v>131</v>
      </c>
      <c r="E456" t="s">
        <v>163</v>
      </c>
      <c r="F456" t="s">
        <v>163</v>
      </c>
      <c r="G456" t="s">
        <v>163</v>
      </c>
      <c r="H456" t="s">
        <v>163</v>
      </c>
    </row>
    <row r="457" spans="4:8" x14ac:dyDescent="0.25">
      <c r="D457" t="s">
        <v>132</v>
      </c>
      <c r="E457">
        <v>1</v>
      </c>
      <c r="F457">
        <v>2</v>
      </c>
      <c r="G457">
        <v>3</v>
      </c>
      <c r="H457">
        <v>4</v>
      </c>
    </row>
    <row r="458" spans="4:8" x14ac:dyDescent="0.25">
      <c r="D458" t="s">
        <v>133</v>
      </c>
      <c r="E458" t="s">
        <v>343</v>
      </c>
      <c r="F458" t="s">
        <v>343</v>
      </c>
      <c r="G458" t="s">
        <v>343</v>
      </c>
      <c r="H458" t="s">
        <v>343</v>
      </c>
    </row>
    <row r="459" spans="4:8" x14ac:dyDescent="0.25">
      <c r="D459" t="s">
        <v>134</v>
      </c>
      <c r="E459">
        <v>1</v>
      </c>
      <c r="F459">
        <v>2</v>
      </c>
      <c r="G459">
        <v>3</v>
      </c>
      <c r="H459">
        <v>4</v>
      </c>
    </row>
    <row r="460" spans="4:8" x14ac:dyDescent="0.25">
      <c r="D460" t="s">
        <v>123</v>
      </c>
      <c r="E460">
        <v>25</v>
      </c>
      <c r="F460">
        <v>25</v>
      </c>
      <c r="G460">
        <v>25</v>
      </c>
      <c r="H460">
        <v>25</v>
      </c>
    </row>
    <row r="461" spans="4:8" x14ac:dyDescent="0.25">
      <c r="D461" t="s">
        <v>135</v>
      </c>
      <c r="E461">
        <v>0</v>
      </c>
      <c r="F461">
        <v>0</v>
      </c>
      <c r="G461">
        <v>0</v>
      </c>
      <c r="H461">
        <v>0</v>
      </c>
    </row>
    <row r="462" spans="4:8" x14ac:dyDescent="0.25">
      <c r="D462" t="s">
        <v>136</v>
      </c>
      <c r="E462" t="s">
        <v>28</v>
      </c>
      <c r="F462" t="s">
        <v>28</v>
      </c>
      <c r="G462" t="s">
        <v>28</v>
      </c>
      <c r="H462" t="s">
        <v>28</v>
      </c>
    </row>
    <row r="463" spans="4:8" x14ac:dyDescent="0.25">
      <c r="D463" t="s">
        <v>137</v>
      </c>
    </row>
    <row r="464" spans="4:8" x14ac:dyDescent="0.25">
      <c r="D464" t="s">
        <v>138</v>
      </c>
    </row>
    <row r="465" spans="4:8" x14ac:dyDescent="0.25">
      <c r="D465" t="s">
        <v>139</v>
      </c>
      <c r="E465" t="s">
        <v>140</v>
      </c>
    </row>
    <row r="466" spans="4:8" x14ac:dyDescent="0.25">
      <c r="D466" t="s">
        <v>262</v>
      </c>
    </row>
    <row r="468" spans="4:8" x14ac:dyDescent="0.25">
      <c r="D468" t="s">
        <v>101</v>
      </c>
      <c r="E468" t="s">
        <v>208</v>
      </c>
    </row>
    <row r="469" spans="4:8" x14ac:dyDescent="0.25">
      <c r="D469" t="s">
        <v>103</v>
      </c>
      <c r="E469" t="s">
        <v>209</v>
      </c>
    </row>
    <row r="470" spans="4:8" x14ac:dyDescent="0.25">
      <c r="D470" t="s">
        <v>210</v>
      </c>
    </row>
    <row r="471" spans="4:8" x14ac:dyDescent="0.25">
      <c r="D471" t="s">
        <v>211</v>
      </c>
    </row>
    <row r="472" spans="4:8" x14ac:dyDescent="0.25">
      <c r="D472" t="s">
        <v>212</v>
      </c>
    </row>
    <row r="473" spans="4:8" x14ac:dyDescent="0.25">
      <c r="D473" t="s">
        <v>213</v>
      </c>
    </row>
    <row r="474" spans="4:8" x14ac:dyDescent="0.25">
      <c r="D474" t="s">
        <v>214</v>
      </c>
      <c r="E474" t="b">
        <v>1</v>
      </c>
    </row>
    <row r="475" spans="4:8" x14ac:dyDescent="0.25">
      <c r="D475" t="s">
        <v>215</v>
      </c>
      <c r="E475" t="s">
        <v>242</v>
      </c>
    </row>
    <row r="476" spans="4:8" x14ac:dyDescent="0.25">
      <c r="D476" t="s">
        <v>263</v>
      </c>
    </row>
    <row r="478" spans="4:8" x14ac:dyDescent="0.25">
      <c r="D478" t="s">
        <v>101</v>
      </c>
      <c r="E478" t="s">
        <v>121</v>
      </c>
    </row>
    <row r="479" spans="4:8" x14ac:dyDescent="0.25">
      <c r="D479" t="s">
        <v>103</v>
      </c>
      <c r="E479" t="s">
        <v>130</v>
      </c>
    </row>
    <row r="480" spans="4:8" x14ac:dyDescent="0.25">
      <c r="D480" t="s">
        <v>131</v>
      </c>
      <c r="E480" t="s">
        <v>343</v>
      </c>
      <c r="F480" t="s">
        <v>343</v>
      </c>
      <c r="G480" t="s">
        <v>343</v>
      </c>
      <c r="H480" t="s">
        <v>343</v>
      </c>
    </row>
    <row r="481" spans="4:8" x14ac:dyDescent="0.25">
      <c r="D481" t="s">
        <v>132</v>
      </c>
      <c r="E481">
        <v>1</v>
      </c>
      <c r="F481">
        <v>2</v>
      </c>
      <c r="G481">
        <v>3</v>
      </c>
      <c r="H481">
        <v>4</v>
      </c>
    </row>
    <row r="482" spans="4:8" x14ac:dyDescent="0.25">
      <c r="D482" t="s">
        <v>133</v>
      </c>
      <c r="E482" t="s">
        <v>84</v>
      </c>
      <c r="F482" t="s">
        <v>84</v>
      </c>
      <c r="G482" t="s">
        <v>84</v>
      </c>
      <c r="H482" t="s">
        <v>84</v>
      </c>
    </row>
    <row r="483" spans="4:8" x14ac:dyDescent="0.25">
      <c r="D483" t="s">
        <v>134</v>
      </c>
      <c r="E483">
        <v>1</v>
      </c>
      <c r="F483">
        <v>2</v>
      </c>
      <c r="G483">
        <v>3</v>
      </c>
      <c r="H483">
        <v>4</v>
      </c>
    </row>
    <row r="484" spans="4:8" x14ac:dyDescent="0.25">
      <c r="D484" t="s">
        <v>123</v>
      </c>
      <c r="E484">
        <v>75</v>
      </c>
      <c r="F484">
        <v>75</v>
      </c>
      <c r="G484">
        <v>75</v>
      </c>
      <c r="H484">
        <v>75</v>
      </c>
    </row>
    <row r="485" spans="4:8" x14ac:dyDescent="0.25">
      <c r="D485" t="s">
        <v>135</v>
      </c>
      <c r="E485">
        <v>25</v>
      </c>
      <c r="F485">
        <v>25</v>
      </c>
      <c r="G485">
        <v>25</v>
      </c>
      <c r="H485">
        <v>25</v>
      </c>
    </row>
    <row r="486" spans="4:8" x14ac:dyDescent="0.25">
      <c r="D486" t="s">
        <v>136</v>
      </c>
      <c r="E486" t="s">
        <v>332</v>
      </c>
      <c r="F486" t="s">
        <v>332</v>
      </c>
      <c r="G486" t="s">
        <v>332</v>
      </c>
      <c r="H486" t="s">
        <v>332</v>
      </c>
    </row>
    <row r="487" spans="4:8" x14ac:dyDescent="0.25">
      <c r="D487" t="s">
        <v>137</v>
      </c>
    </row>
    <row r="488" spans="4:8" x14ac:dyDescent="0.25">
      <c r="D488" t="s">
        <v>138</v>
      </c>
    </row>
    <row r="489" spans="4:8" x14ac:dyDescent="0.25">
      <c r="D489" t="s">
        <v>139</v>
      </c>
      <c r="E489" t="s">
        <v>140</v>
      </c>
    </row>
    <row r="490" spans="4:8" x14ac:dyDescent="0.25">
      <c r="D490" t="s">
        <v>264</v>
      </c>
    </row>
    <row r="492" spans="4:8" x14ac:dyDescent="0.25">
      <c r="D492" t="s">
        <v>101</v>
      </c>
      <c r="E492" t="s">
        <v>189</v>
      </c>
    </row>
    <row r="493" spans="4:8" x14ac:dyDescent="0.25">
      <c r="D493" t="s">
        <v>103</v>
      </c>
      <c r="E493" t="s">
        <v>190</v>
      </c>
    </row>
    <row r="494" spans="4:8" x14ac:dyDescent="0.25">
      <c r="D494" t="s">
        <v>191</v>
      </c>
      <c r="E494" t="s">
        <v>235</v>
      </c>
    </row>
    <row r="495" spans="4:8" x14ac:dyDescent="0.25">
      <c r="D495" t="s">
        <v>265</v>
      </c>
    </row>
    <row r="497" spans="4:5" x14ac:dyDescent="0.25">
      <c r="D497" t="s">
        <v>101</v>
      </c>
      <c r="E497" t="s">
        <v>189</v>
      </c>
    </row>
    <row r="498" spans="4:5" x14ac:dyDescent="0.25">
      <c r="D498" t="s">
        <v>103</v>
      </c>
      <c r="E498" t="s">
        <v>194</v>
      </c>
    </row>
    <row r="499" spans="4:5" x14ac:dyDescent="0.25">
      <c r="D499" t="s">
        <v>191</v>
      </c>
      <c r="E499" t="s">
        <v>235</v>
      </c>
    </row>
    <row r="500" spans="4:5" x14ac:dyDescent="0.25">
      <c r="D500" t="s">
        <v>266</v>
      </c>
    </row>
    <row r="502" spans="4:5" x14ac:dyDescent="0.25">
      <c r="D502" t="s">
        <v>101</v>
      </c>
      <c r="E502" t="s">
        <v>102</v>
      </c>
    </row>
    <row r="503" spans="4:5" x14ac:dyDescent="0.25">
      <c r="D503" t="s">
        <v>103</v>
      </c>
      <c r="E503" t="s">
        <v>238</v>
      </c>
    </row>
    <row r="504" spans="4:5" x14ac:dyDescent="0.25">
      <c r="D504" t="s">
        <v>105</v>
      </c>
      <c r="E504" t="s">
        <v>235</v>
      </c>
    </row>
    <row r="505" spans="4:5" x14ac:dyDescent="0.25">
      <c r="D505" t="s">
        <v>267</v>
      </c>
    </row>
    <row r="507" spans="4:5" x14ac:dyDescent="0.25">
      <c r="D507" t="s">
        <v>101</v>
      </c>
      <c r="E507" t="s">
        <v>102</v>
      </c>
    </row>
    <row r="508" spans="4:5" x14ac:dyDescent="0.25">
      <c r="D508" t="s">
        <v>103</v>
      </c>
      <c r="E508" t="s">
        <v>240</v>
      </c>
    </row>
    <row r="509" spans="4:5" x14ac:dyDescent="0.25">
      <c r="D509" t="s">
        <v>105</v>
      </c>
      <c r="E509" t="s">
        <v>235</v>
      </c>
    </row>
    <row r="510" spans="4:5" x14ac:dyDescent="0.25">
      <c r="D510" t="s">
        <v>268</v>
      </c>
    </row>
    <row r="512" spans="4:5" x14ac:dyDescent="0.25">
      <c r="D512" t="s">
        <v>101</v>
      </c>
      <c r="E512" t="s">
        <v>208</v>
      </c>
    </row>
    <row r="513" spans="4:5" x14ac:dyDescent="0.25">
      <c r="D513" t="s">
        <v>103</v>
      </c>
      <c r="E513" t="s">
        <v>209</v>
      </c>
    </row>
    <row r="514" spans="4:5" x14ac:dyDescent="0.25">
      <c r="D514" t="s">
        <v>210</v>
      </c>
    </row>
    <row r="515" spans="4:5" x14ac:dyDescent="0.25">
      <c r="D515" t="s">
        <v>211</v>
      </c>
    </row>
    <row r="516" spans="4:5" x14ac:dyDescent="0.25">
      <c r="D516" t="s">
        <v>212</v>
      </c>
    </row>
    <row r="517" spans="4:5" x14ac:dyDescent="0.25">
      <c r="D517" t="s">
        <v>213</v>
      </c>
    </row>
    <row r="518" spans="4:5" x14ac:dyDescent="0.25">
      <c r="D518" t="s">
        <v>214</v>
      </c>
      <c r="E518" t="b">
        <v>1</v>
      </c>
    </row>
    <row r="519" spans="4:5" x14ac:dyDescent="0.25">
      <c r="D519" t="s">
        <v>215</v>
      </c>
      <c r="E519" t="s">
        <v>242</v>
      </c>
    </row>
    <row r="520" spans="4:5" x14ac:dyDescent="0.25">
      <c r="D520" t="s">
        <v>269</v>
      </c>
    </row>
    <row r="522" spans="4:5" x14ac:dyDescent="0.25">
      <c r="D522" t="s">
        <v>101</v>
      </c>
      <c r="E522" t="s">
        <v>244</v>
      </c>
    </row>
    <row r="523" spans="4:5" x14ac:dyDescent="0.25">
      <c r="D523" t="s">
        <v>103</v>
      </c>
      <c r="E523" t="s">
        <v>245</v>
      </c>
    </row>
    <row r="524" spans="4:5" x14ac:dyDescent="0.25">
      <c r="D524" t="s">
        <v>246</v>
      </c>
      <c r="E524">
        <v>120</v>
      </c>
    </row>
    <row r="525" spans="4:5" x14ac:dyDescent="0.25">
      <c r="D525" t="s">
        <v>270</v>
      </c>
    </row>
    <row r="527" spans="4:5" x14ac:dyDescent="0.25">
      <c r="D527" t="s">
        <v>101</v>
      </c>
      <c r="E527" t="s">
        <v>244</v>
      </c>
    </row>
    <row r="528" spans="4:5" x14ac:dyDescent="0.25">
      <c r="D528" t="s">
        <v>103</v>
      </c>
      <c r="E528" t="s">
        <v>248</v>
      </c>
    </row>
    <row r="529" spans="4:5" x14ac:dyDescent="0.25">
      <c r="D529" t="s">
        <v>271</v>
      </c>
    </row>
    <row r="531" spans="4:5" x14ac:dyDescent="0.25">
      <c r="D531" t="s">
        <v>101</v>
      </c>
      <c r="E531" t="s">
        <v>189</v>
      </c>
    </row>
    <row r="532" spans="4:5" x14ac:dyDescent="0.25">
      <c r="D532" t="s">
        <v>103</v>
      </c>
      <c r="E532" t="s">
        <v>190</v>
      </c>
    </row>
    <row r="533" spans="4:5" x14ac:dyDescent="0.25">
      <c r="D533" t="s">
        <v>191</v>
      </c>
      <c r="E533" t="s">
        <v>235</v>
      </c>
    </row>
    <row r="534" spans="4:5" x14ac:dyDescent="0.25">
      <c r="D534" t="s">
        <v>272</v>
      </c>
    </row>
    <row r="536" spans="4:5" x14ac:dyDescent="0.25">
      <c r="D536" t="s">
        <v>101</v>
      </c>
      <c r="E536" t="s">
        <v>189</v>
      </c>
    </row>
    <row r="537" spans="4:5" x14ac:dyDescent="0.25">
      <c r="D537" t="s">
        <v>103</v>
      </c>
      <c r="E537" t="s">
        <v>194</v>
      </c>
    </row>
    <row r="538" spans="4:5" x14ac:dyDescent="0.25">
      <c r="D538" t="s">
        <v>191</v>
      </c>
      <c r="E538" t="s">
        <v>235</v>
      </c>
    </row>
    <row r="539" spans="4:5" x14ac:dyDescent="0.25">
      <c r="D539" t="s">
        <v>273</v>
      </c>
    </row>
    <row r="541" spans="4:5" x14ac:dyDescent="0.25">
      <c r="D541" t="s">
        <v>101</v>
      </c>
      <c r="E541" t="s">
        <v>102</v>
      </c>
    </row>
    <row r="542" spans="4:5" x14ac:dyDescent="0.25">
      <c r="D542" t="s">
        <v>103</v>
      </c>
      <c r="E542" t="s">
        <v>238</v>
      </c>
    </row>
    <row r="543" spans="4:5" x14ac:dyDescent="0.25">
      <c r="D543" t="s">
        <v>105</v>
      </c>
      <c r="E543" t="s">
        <v>235</v>
      </c>
    </row>
    <row r="544" spans="4:5" x14ac:dyDescent="0.25">
      <c r="D544" t="s">
        <v>274</v>
      </c>
    </row>
    <row r="546" spans="4:8" x14ac:dyDescent="0.25">
      <c r="D546" t="s">
        <v>101</v>
      </c>
      <c r="E546" t="s">
        <v>102</v>
      </c>
    </row>
    <row r="547" spans="4:8" x14ac:dyDescent="0.25">
      <c r="D547" t="s">
        <v>103</v>
      </c>
      <c r="E547" t="s">
        <v>240</v>
      </c>
    </row>
    <row r="548" spans="4:8" x14ac:dyDescent="0.25">
      <c r="D548" t="s">
        <v>105</v>
      </c>
      <c r="E548" t="s">
        <v>235</v>
      </c>
    </row>
    <row r="549" spans="4:8" x14ac:dyDescent="0.25">
      <c r="D549" t="s">
        <v>275</v>
      </c>
    </row>
    <row r="551" spans="4:8" x14ac:dyDescent="0.25">
      <c r="D551" t="s">
        <v>101</v>
      </c>
      <c r="E551" t="s">
        <v>102</v>
      </c>
    </row>
    <row r="552" spans="4:8" x14ac:dyDescent="0.25">
      <c r="D552" t="s">
        <v>103</v>
      </c>
      <c r="E552" t="s">
        <v>254</v>
      </c>
    </row>
    <row r="553" spans="4:8" x14ac:dyDescent="0.25">
      <c r="D553" t="s">
        <v>105</v>
      </c>
      <c r="E553" t="s">
        <v>163</v>
      </c>
    </row>
    <row r="554" spans="4:8" x14ac:dyDescent="0.25">
      <c r="D554" t="s">
        <v>259</v>
      </c>
      <c r="E554">
        <v>50</v>
      </c>
      <c r="F554">
        <v>50</v>
      </c>
      <c r="G554">
        <v>50</v>
      </c>
      <c r="H554">
        <v>50</v>
      </c>
    </row>
    <row r="555" spans="4:8" x14ac:dyDescent="0.25">
      <c r="D555" t="s">
        <v>276</v>
      </c>
    </row>
    <row r="557" spans="4:8" x14ac:dyDescent="0.25">
      <c r="D557" t="s">
        <v>101</v>
      </c>
      <c r="E557" t="s">
        <v>121</v>
      </c>
    </row>
    <row r="558" spans="4:8" x14ac:dyDescent="0.25">
      <c r="D558" t="s">
        <v>103</v>
      </c>
      <c r="E558" t="s">
        <v>128</v>
      </c>
    </row>
    <row r="559" spans="4:8" x14ac:dyDescent="0.25">
      <c r="D559" t="s">
        <v>123</v>
      </c>
      <c r="E559" t="s">
        <v>256</v>
      </c>
    </row>
    <row r="560" spans="4:8" x14ac:dyDescent="0.25">
      <c r="D560" t="s">
        <v>277</v>
      </c>
    </row>
    <row r="562" spans="4:8" x14ac:dyDescent="0.25">
      <c r="D562" t="s">
        <v>101</v>
      </c>
      <c r="E562" t="s">
        <v>102</v>
      </c>
    </row>
    <row r="563" spans="4:8" x14ac:dyDescent="0.25">
      <c r="D563" t="s">
        <v>103</v>
      </c>
      <c r="E563" t="s">
        <v>258</v>
      </c>
    </row>
    <row r="564" spans="4:8" x14ac:dyDescent="0.25">
      <c r="D564" t="s">
        <v>105</v>
      </c>
      <c r="E564" t="s">
        <v>163</v>
      </c>
    </row>
    <row r="565" spans="4:8" x14ac:dyDescent="0.25">
      <c r="D565" t="s">
        <v>259</v>
      </c>
      <c r="E565">
        <v>75</v>
      </c>
      <c r="F565">
        <v>75</v>
      </c>
      <c r="G565">
        <v>75</v>
      </c>
      <c r="H565">
        <v>75</v>
      </c>
    </row>
    <row r="566" spans="4:8" x14ac:dyDescent="0.25">
      <c r="D566" t="s">
        <v>278</v>
      </c>
    </row>
    <row r="568" spans="4:8" x14ac:dyDescent="0.25">
      <c r="D568" t="s">
        <v>101</v>
      </c>
      <c r="E568" t="s">
        <v>121</v>
      </c>
    </row>
    <row r="569" spans="4:8" x14ac:dyDescent="0.25">
      <c r="D569" t="s">
        <v>103</v>
      </c>
      <c r="E569" t="s">
        <v>128</v>
      </c>
    </row>
    <row r="570" spans="4:8" x14ac:dyDescent="0.25">
      <c r="D570" t="s">
        <v>123</v>
      </c>
      <c r="E570" t="s">
        <v>256</v>
      </c>
    </row>
    <row r="571" spans="4:8" x14ac:dyDescent="0.25">
      <c r="D571" t="s">
        <v>279</v>
      </c>
    </row>
    <row r="573" spans="4:8" x14ac:dyDescent="0.25">
      <c r="D573" t="s">
        <v>101</v>
      </c>
      <c r="E573" t="s">
        <v>121</v>
      </c>
    </row>
    <row r="574" spans="4:8" x14ac:dyDescent="0.25">
      <c r="D574" t="s">
        <v>103</v>
      </c>
      <c r="E574" t="s">
        <v>130</v>
      </c>
    </row>
    <row r="575" spans="4:8" x14ac:dyDescent="0.25">
      <c r="D575" t="s">
        <v>131</v>
      </c>
      <c r="E575" t="s">
        <v>163</v>
      </c>
      <c r="F575" t="s">
        <v>163</v>
      </c>
      <c r="G575" t="s">
        <v>163</v>
      </c>
      <c r="H575" t="s">
        <v>163</v>
      </c>
    </row>
    <row r="576" spans="4:8" x14ac:dyDescent="0.25">
      <c r="D576" t="s">
        <v>132</v>
      </c>
      <c r="E576">
        <v>1</v>
      </c>
      <c r="F576">
        <v>2</v>
      </c>
      <c r="G576">
        <v>3</v>
      </c>
      <c r="H576">
        <v>4</v>
      </c>
    </row>
    <row r="577" spans="4:8" x14ac:dyDescent="0.25">
      <c r="D577" t="s">
        <v>133</v>
      </c>
      <c r="E577" t="s">
        <v>343</v>
      </c>
      <c r="F577" t="s">
        <v>343</v>
      </c>
      <c r="G577" t="s">
        <v>343</v>
      </c>
      <c r="H577" t="s">
        <v>343</v>
      </c>
    </row>
    <row r="578" spans="4:8" x14ac:dyDescent="0.25">
      <c r="D578" t="s">
        <v>134</v>
      </c>
      <c r="E578">
        <v>1</v>
      </c>
      <c r="F578">
        <v>2</v>
      </c>
      <c r="G578">
        <v>3</v>
      </c>
      <c r="H578">
        <v>4</v>
      </c>
    </row>
    <row r="579" spans="4:8" x14ac:dyDescent="0.25">
      <c r="D579" t="s">
        <v>123</v>
      </c>
      <c r="E579">
        <v>50</v>
      </c>
      <c r="F579">
        <v>50</v>
      </c>
      <c r="G579">
        <v>50</v>
      </c>
      <c r="H579">
        <v>50</v>
      </c>
    </row>
    <row r="580" spans="4:8" x14ac:dyDescent="0.25">
      <c r="D580" t="s">
        <v>135</v>
      </c>
      <c r="E580">
        <v>25</v>
      </c>
      <c r="F580">
        <v>25</v>
      </c>
      <c r="G580">
        <v>25</v>
      </c>
      <c r="H580">
        <v>25</v>
      </c>
    </row>
    <row r="581" spans="4:8" x14ac:dyDescent="0.25">
      <c r="D581" t="s">
        <v>136</v>
      </c>
      <c r="E581" t="s">
        <v>28</v>
      </c>
      <c r="F581" t="s">
        <v>28</v>
      </c>
      <c r="G581" t="s">
        <v>28</v>
      </c>
      <c r="H581" t="s">
        <v>28</v>
      </c>
    </row>
    <row r="582" spans="4:8" x14ac:dyDescent="0.25">
      <c r="D582" t="s">
        <v>137</v>
      </c>
    </row>
    <row r="583" spans="4:8" x14ac:dyDescent="0.25">
      <c r="D583" t="s">
        <v>138</v>
      </c>
    </row>
    <row r="584" spans="4:8" x14ac:dyDescent="0.25">
      <c r="D584" t="s">
        <v>139</v>
      </c>
      <c r="E584" t="s">
        <v>140</v>
      </c>
    </row>
    <row r="585" spans="4:8" x14ac:dyDescent="0.25">
      <c r="D585" t="s">
        <v>280</v>
      </c>
    </row>
    <row r="587" spans="4:8" x14ac:dyDescent="0.25">
      <c r="D587" t="s">
        <v>101</v>
      </c>
      <c r="E587" t="s">
        <v>208</v>
      </c>
    </row>
    <row r="588" spans="4:8" x14ac:dyDescent="0.25">
      <c r="D588" t="s">
        <v>103</v>
      </c>
      <c r="E588" t="s">
        <v>209</v>
      </c>
    </row>
    <row r="589" spans="4:8" x14ac:dyDescent="0.25">
      <c r="D589" t="s">
        <v>210</v>
      </c>
    </row>
    <row r="590" spans="4:8" x14ac:dyDescent="0.25">
      <c r="D590" t="s">
        <v>211</v>
      </c>
    </row>
    <row r="591" spans="4:8" x14ac:dyDescent="0.25">
      <c r="D591" t="s">
        <v>212</v>
      </c>
    </row>
    <row r="592" spans="4:8" x14ac:dyDescent="0.25">
      <c r="D592" t="s">
        <v>213</v>
      </c>
    </row>
    <row r="593" spans="4:8" x14ac:dyDescent="0.25">
      <c r="D593" t="s">
        <v>214</v>
      </c>
      <c r="E593" t="b">
        <v>1</v>
      </c>
    </row>
    <row r="594" spans="4:8" x14ac:dyDescent="0.25">
      <c r="D594" t="s">
        <v>215</v>
      </c>
      <c r="E594" t="s">
        <v>242</v>
      </c>
    </row>
    <row r="595" spans="4:8" x14ac:dyDescent="0.25">
      <c r="D595" t="s">
        <v>281</v>
      </c>
    </row>
    <row r="597" spans="4:8" x14ac:dyDescent="0.25">
      <c r="D597" t="s">
        <v>101</v>
      </c>
      <c r="E597" t="s">
        <v>121</v>
      </c>
    </row>
    <row r="598" spans="4:8" x14ac:dyDescent="0.25">
      <c r="D598" t="s">
        <v>103</v>
      </c>
      <c r="E598" t="s">
        <v>130</v>
      </c>
    </row>
    <row r="599" spans="4:8" x14ac:dyDescent="0.25">
      <c r="D599" t="s">
        <v>131</v>
      </c>
      <c r="E599" t="s">
        <v>343</v>
      </c>
      <c r="F599" t="s">
        <v>343</v>
      </c>
      <c r="G599" t="s">
        <v>343</v>
      </c>
      <c r="H599" t="s">
        <v>343</v>
      </c>
    </row>
    <row r="600" spans="4:8" x14ac:dyDescent="0.25">
      <c r="D600" t="s">
        <v>132</v>
      </c>
      <c r="E600">
        <v>1</v>
      </c>
      <c r="F600">
        <v>2</v>
      </c>
      <c r="G600">
        <v>3</v>
      </c>
      <c r="H600">
        <v>4</v>
      </c>
    </row>
    <row r="601" spans="4:8" x14ac:dyDescent="0.25">
      <c r="D601" t="s">
        <v>133</v>
      </c>
      <c r="E601" t="s">
        <v>84</v>
      </c>
      <c r="F601" t="s">
        <v>84</v>
      </c>
      <c r="G601" t="s">
        <v>84</v>
      </c>
      <c r="H601" t="s">
        <v>84</v>
      </c>
    </row>
    <row r="602" spans="4:8" x14ac:dyDescent="0.25">
      <c r="D602" t="s">
        <v>134</v>
      </c>
      <c r="E602">
        <v>1</v>
      </c>
      <c r="F602">
        <v>2</v>
      </c>
      <c r="G602">
        <v>3</v>
      </c>
      <c r="H602">
        <v>4</v>
      </c>
    </row>
    <row r="603" spans="4:8" x14ac:dyDescent="0.25">
      <c r="D603" t="s">
        <v>123</v>
      </c>
      <c r="E603">
        <v>75</v>
      </c>
      <c r="F603">
        <v>75</v>
      </c>
      <c r="G603">
        <v>75</v>
      </c>
      <c r="H603">
        <v>75</v>
      </c>
    </row>
    <row r="604" spans="4:8" x14ac:dyDescent="0.25">
      <c r="D604" t="s">
        <v>135</v>
      </c>
      <c r="E604">
        <v>50</v>
      </c>
      <c r="F604">
        <v>50</v>
      </c>
      <c r="G604">
        <v>50</v>
      </c>
      <c r="H604">
        <v>50</v>
      </c>
    </row>
    <row r="605" spans="4:8" x14ac:dyDescent="0.25">
      <c r="D605" t="s">
        <v>136</v>
      </c>
      <c r="E605" t="s">
        <v>332</v>
      </c>
      <c r="F605" t="s">
        <v>332</v>
      </c>
      <c r="G605" t="s">
        <v>332</v>
      </c>
      <c r="H605" t="s">
        <v>332</v>
      </c>
    </row>
    <row r="606" spans="4:8" x14ac:dyDescent="0.25">
      <c r="D606" t="s">
        <v>137</v>
      </c>
    </row>
    <row r="607" spans="4:8" x14ac:dyDescent="0.25">
      <c r="D607" t="s">
        <v>138</v>
      </c>
    </row>
    <row r="608" spans="4:8" x14ac:dyDescent="0.25">
      <c r="D608" t="s">
        <v>139</v>
      </c>
      <c r="E608" t="s">
        <v>140</v>
      </c>
    </row>
    <row r="609" spans="4:5" x14ac:dyDescent="0.25">
      <c r="D609" t="s">
        <v>282</v>
      </c>
    </row>
    <row r="611" spans="4:5" x14ac:dyDescent="0.25">
      <c r="D611" t="s">
        <v>101</v>
      </c>
      <c r="E611" t="s">
        <v>189</v>
      </c>
    </row>
    <row r="612" spans="4:5" x14ac:dyDescent="0.25">
      <c r="D612" t="s">
        <v>103</v>
      </c>
      <c r="E612" t="s">
        <v>190</v>
      </c>
    </row>
    <row r="613" spans="4:5" x14ac:dyDescent="0.25">
      <c r="D613" t="s">
        <v>191</v>
      </c>
      <c r="E613" t="s">
        <v>235</v>
      </c>
    </row>
    <row r="614" spans="4:5" x14ac:dyDescent="0.25">
      <c r="D614" t="s">
        <v>283</v>
      </c>
    </row>
    <row r="616" spans="4:5" x14ac:dyDescent="0.25">
      <c r="D616" t="s">
        <v>101</v>
      </c>
      <c r="E616" t="s">
        <v>189</v>
      </c>
    </row>
    <row r="617" spans="4:5" x14ac:dyDescent="0.25">
      <c r="D617" t="s">
        <v>103</v>
      </c>
      <c r="E617" t="s">
        <v>194</v>
      </c>
    </row>
    <row r="618" spans="4:5" x14ac:dyDescent="0.25">
      <c r="D618" t="s">
        <v>191</v>
      </c>
      <c r="E618" t="s">
        <v>235</v>
      </c>
    </row>
    <row r="619" spans="4:5" x14ac:dyDescent="0.25">
      <c r="D619" t="s">
        <v>284</v>
      </c>
    </row>
    <row r="621" spans="4:5" x14ac:dyDescent="0.25">
      <c r="D621" t="s">
        <v>101</v>
      </c>
      <c r="E621" t="s">
        <v>102</v>
      </c>
    </row>
    <row r="622" spans="4:5" x14ac:dyDescent="0.25">
      <c r="D622" t="s">
        <v>103</v>
      </c>
      <c r="E622" t="s">
        <v>238</v>
      </c>
    </row>
    <row r="623" spans="4:5" x14ac:dyDescent="0.25">
      <c r="D623" t="s">
        <v>105</v>
      </c>
      <c r="E623" t="s">
        <v>235</v>
      </c>
    </row>
    <row r="624" spans="4:5" x14ac:dyDescent="0.25">
      <c r="D624" t="s">
        <v>285</v>
      </c>
    </row>
    <row r="626" spans="4:5" x14ac:dyDescent="0.25">
      <c r="D626" t="s">
        <v>101</v>
      </c>
      <c r="E626" t="s">
        <v>102</v>
      </c>
    </row>
    <row r="627" spans="4:5" x14ac:dyDescent="0.25">
      <c r="D627" t="s">
        <v>103</v>
      </c>
      <c r="E627" t="s">
        <v>240</v>
      </c>
    </row>
    <row r="628" spans="4:5" x14ac:dyDescent="0.25">
      <c r="D628" t="s">
        <v>105</v>
      </c>
      <c r="E628" t="s">
        <v>235</v>
      </c>
    </row>
    <row r="629" spans="4:5" x14ac:dyDescent="0.25">
      <c r="D629" t="s">
        <v>286</v>
      </c>
    </row>
    <row r="631" spans="4:5" x14ac:dyDescent="0.25">
      <c r="D631" t="s">
        <v>101</v>
      </c>
      <c r="E631" t="s">
        <v>208</v>
      </c>
    </row>
    <row r="632" spans="4:5" x14ac:dyDescent="0.25">
      <c r="D632" t="s">
        <v>103</v>
      </c>
      <c r="E632" t="s">
        <v>209</v>
      </c>
    </row>
    <row r="633" spans="4:5" x14ac:dyDescent="0.25">
      <c r="D633" t="s">
        <v>210</v>
      </c>
    </row>
    <row r="634" spans="4:5" x14ac:dyDescent="0.25">
      <c r="D634" t="s">
        <v>211</v>
      </c>
    </row>
    <row r="635" spans="4:5" x14ac:dyDescent="0.25">
      <c r="D635" t="s">
        <v>212</v>
      </c>
    </row>
    <row r="636" spans="4:5" x14ac:dyDescent="0.25">
      <c r="D636" t="s">
        <v>213</v>
      </c>
    </row>
    <row r="637" spans="4:5" x14ac:dyDescent="0.25">
      <c r="D637" t="s">
        <v>214</v>
      </c>
      <c r="E637" t="b">
        <v>1</v>
      </c>
    </row>
    <row r="638" spans="4:5" x14ac:dyDescent="0.25">
      <c r="D638" t="s">
        <v>215</v>
      </c>
      <c r="E638" t="s">
        <v>242</v>
      </c>
    </row>
    <row r="639" spans="4:5" x14ac:dyDescent="0.25">
      <c r="D639" t="s">
        <v>287</v>
      </c>
    </row>
    <row r="641" spans="4:5" x14ac:dyDescent="0.25">
      <c r="D641" t="s">
        <v>101</v>
      </c>
      <c r="E641" t="s">
        <v>244</v>
      </c>
    </row>
    <row r="642" spans="4:5" x14ac:dyDescent="0.25">
      <c r="D642" t="s">
        <v>103</v>
      </c>
      <c r="E642" t="s">
        <v>245</v>
      </c>
    </row>
    <row r="643" spans="4:5" x14ac:dyDescent="0.25">
      <c r="D643" t="s">
        <v>246</v>
      </c>
      <c r="E643">
        <v>120</v>
      </c>
    </row>
    <row r="644" spans="4:5" x14ac:dyDescent="0.25">
      <c r="D644" t="s">
        <v>288</v>
      </c>
    </row>
    <row r="646" spans="4:5" x14ac:dyDescent="0.25">
      <c r="D646" t="s">
        <v>101</v>
      </c>
      <c r="E646" t="s">
        <v>244</v>
      </c>
    </row>
    <row r="647" spans="4:5" x14ac:dyDescent="0.25">
      <c r="D647" t="s">
        <v>103</v>
      </c>
      <c r="E647" t="s">
        <v>248</v>
      </c>
    </row>
    <row r="648" spans="4:5" x14ac:dyDescent="0.25">
      <c r="D648" t="s">
        <v>289</v>
      </c>
    </row>
    <row r="650" spans="4:5" x14ac:dyDescent="0.25">
      <c r="D650" t="s">
        <v>101</v>
      </c>
      <c r="E650" t="s">
        <v>189</v>
      </c>
    </row>
    <row r="651" spans="4:5" x14ac:dyDescent="0.25">
      <c r="D651" t="s">
        <v>103</v>
      </c>
      <c r="E651" t="s">
        <v>190</v>
      </c>
    </row>
    <row r="652" spans="4:5" x14ac:dyDescent="0.25">
      <c r="D652" t="s">
        <v>191</v>
      </c>
      <c r="E652" t="s">
        <v>235</v>
      </c>
    </row>
    <row r="653" spans="4:5" x14ac:dyDescent="0.25">
      <c r="D653" t="s">
        <v>290</v>
      </c>
    </row>
    <row r="655" spans="4:5" x14ac:dyDescent="0.25">
      <c r="D655" t="s">
        <v>101</v>
      </c>
      <c r="E655" t="s">
        <v>189</v>
      </c>
    </row>
    <row r="656" spans="4:5" x14ac:dyDescent="0.25">
      <c r="D656" t="s">
        <v>103</v>
      </c>
      <c r="E656" t="s">
        <v>194</v>
      </c>
    </row>
    <row r="657" spans="4:5" x14ac:dyDescent="0.25">
      <c r="D657" t="s">
        <v>191</v>
      </c>
      <c r="E657" t="s">
        <v>235</v>
      </c>
    </row>
    <row r="658" spans="4:5" x14ac:dyDescent="0.25">
      <c r="D658" t="s">
        <v>291</v>
      </c>
    </row>
    <row r="660" spans="4:5" x14ac:dyDescent="0.25">
      <c r="D660" t="s">
        <v>101</v>
      </c>
      <c r="E660" t="s">
        <v>102</v>
      </c>
    </row>
    <row r="661" spans="4:5" x14ac:dyDescent="0.25">
      <c r="D661" t="s">
        <v>103</v>
      </c>
      <c r="E661" t="s">
        <v>238</v>
      </c>
    </row>
    <row r="662" spans="4:5" x14ac:dyDescent="0.25">
      <c r="D662" t="s">
        <v>105</v>
      </c>
      <c r="E662" t="s">
        <v>235</v>
      </c>
    </row>
    <row r="663" spans="4:5" x14ac:dyDescent="0.25">
      <c r="D663" t="s">
        <v>292</v>
      </c>
    </row>
    <row r="665" spans="4:5" x14ac:dyDescent="0.25">
      <c r="D665" t="s">
        <v>101</v>
      </c>
      <c r="E665" t="s">
        <v>102</v>
      </c>
    </row>
    <row r="666" spans="4:5" x14ac:dyDescent="0.25">
      <c r="D666" t="s">
        <v>103</v>
      </c>
      <c r="E666" t="s">
        <v>240</v>
      </c>
    </row>
    <row r="667" spans="4:5" x14ac:dyDescent="0.25">
      <c r="D667" t="s">
        <v>105</v>
      </c>
      <c r="E667" t="s">
        <v>235</v>
      </c>
    </row>
    <row r="668" spans="4:5" x14ac:dyDescent="0.25">
      <c r="D668" t="s">
        <v>293</v>
      </c>
    </row>
    <row r="670" spans="4:5" x14ac:dyDescent="0.25">
      <c r="D670" t="s">
        <v>101</v>
      </c>
      <c r="E670" t="s">
        <v>102</v>
      </c>
    </row>
    <row r="671" spans="4:5" x14ac:dyDescent="0.25">
      <c r="D671" t="s">
        <v>103</v>
      </c>
      <c r="E671" t="s">
        <v>254</v>
      </c>
    </row>
    <row r="672" spans="4:5" x14ac:dyDescent="0.25">
      <c r="D672" t="s">
        <v>105</v>
      </c>
      <c r="E672" t="s">
        <v>163</v>
      </c>
    </row>
    <row r="673" spans="4:8" x14ac:dyDescent="0.25">
      <c r="D673" t="s">
        <v>259</v>
      </c>
      <c r="E673">
        <v>62.5</v>
      </c>
      <c r="F673">
        <v>62.5</v>
      </c>
      <c r="G673">
        <v>62.5</v>
      </c>
      <c r="H673">
        <v>62</v>
      </c>
    </row>
    <row r="674" spans="4:8" x14ac:dyDescent="0.25">
      <c r="D674" t="s">
        <v>294</v>
      </c>
    </row>
    <row r="676" spans="4:8" x14ac:dyDescent="0.25">
      <c r="D676" t="s">
        <v>101</v>
      </c>
      <c r="E676" t="s">
        <v>121</v>
      </c>
    </row>
    <row r="677" spans="4:8" x14ac:dyDescent="0.25">
      <c r="D677" t="s">
        <v>103</v>
      </c>
      <c r="E677" t="s">
        <v>128</v>
      </c>
    </row>
    <row r="678" spans="4:8" x14ac:dyDescent="0.25">
      <c r="D678" t="s">
        <v>123</v>
      </c>
      <c r="E678" t="s">
        <v>256</v>
      </c>
    </row>
    <row r="679" spans="4:8" x14ac:dyDescent="0.25">
      <c r="D679" t="s">
        <v>333</v>
      </c>
    </row>
    <row r="681" spans="4:8" x14ac:dyDescent="0.25">
      <c r="D681" t="s">
        <v>101</v>
      </c>
      <c r="E681" t="s">
        <v>102</v>
      </c>
    </row>
    <row r="682" spans="4:8" x14ac:dyDescent="0.25">
      <c r="D682" t="s">
        <v>103</v>
      </c>
      <c r="E682" t="s">
        <v>258</v>
      </c>
    </row>
    <row r="683" spans="4:8" x14ac:dyDescent="0.25">
      <c r="D683" t="s">
        <v>105</v>
      </c>
      <c r="E683" t="s">
        <v>163</v>
      </c>
    </row>
    <row r="684" spans="4:8" x14ac:dyDescent="0.25">
      <c r="D684" t="s">
        <v>259</v>
      </c>
      <c r="E684">
        <v>75</v>
      </c>
      <c r="F684">
        <v>75</v>
      </c>
      <c r="G684">
        <v>75</v>
      </c>
      <c r="H684">
        <v>75</v>
      </c>
    </row>
    <row r="685" spans="4:8" x14ac:dyDescent="0.25">
      <c r="D685" t="s">
        <v>334</v>
      </c>
    </row>
    <row r="687" spans="4:8" x14ac:dyDescent="0.25">
      <c r="D687" t="s">
        <v>101</v>
      </c>
      <c r="E687" t="s">
        <v>121</v>
      </c>
    </row>
    <row r="688" spans="4:8" x14ac:dyDescent="0.25">
      <c r="D688" t="s">
        <v>103</v>
      </c>
      <c r="E688" t="s">
        <v>128</v>
      </c>
    </row>
    <row r="689" spans="4:8" x14ac:dyDescent="0.25">
      <c r="D689" t="s">
        <v>123</v>
      </c>
      <c r="E689" t="s">
        <v>256</v>
      </c>
    </row>
    <row r="690" spans="4:8" x14ac:dyDescent="0.25">
      <c r="D690" t="s">
        <v>335</v>
      </c>
    </row>
    <row r="692" spans="4:8" x14ac:dyDescent="0.25">
      <c r="D692" t="s">
        <v>101</v>
      </c>
      <c r="E692" t="s">
        <v>121</v>
      </c>
    </row>
    <row r="693" spans="4:8" x14ac:dyDescent="0.25">
      <c r="D693" t="s">
        <v>103</v>
      </c>
      <c r="E693" t="s">
        <v>130</v>
      </c>
    </row>
    <row r="694" spans="4:8" x14ac:dyDescent="0.25">
      <c r="D694" t="s">
        <v>131</v>
      </c>
      <c r="E694" t="s">
        <v>163</v>
      </c>
      <c r="F694" t="s">
        <v>163</v>
      </c>
      <c r="G694" t="s">
        <v>163</v>
      </c>
      <c r="H694" t="s">
        <v>163</v>
      </c>
    </row>
    <row r="695" spans="4:8" x14ac:dyDescent="0.25">
      <c r="D695" t="s">
        <v>132</v>
      </c>
      <c r="E695">
        <v>1</v>
      </c>
      <c r="F695">
        <v>2</v>
      </c>
      <c r="G695">
        <v>3</v>
      </c>
      <c r="H695">
        <v>4</v>
      </c>
    </row>
    <row r="696" spans="4:8" x14ac:dyDescent="0.25">
      <c r="D696" t="s">
        <v>133</v>
      </c>
      <c r="E696" t="s">
        <v>343</v>
      </c>
      <c r="F696" t="s">
        <v>343</v>
      </c>
      <c r="G696" t="s">
        <v>343</v>
      </c>
      <c r="H696" t="s">
        <v>343</v>
      </c>
    </row>
    <row r="697" spans="4:8" x14ac:dyDescent="0.25">
      <c r="D697" t="s">
        <v>134</v>
      </c>
      <c r="E697">
        <v>1</v>
      </c>
      <c r="F697">
        <v>2</v>
      </c>
      <c r="G697">
        <v>3</v>
      </c>
      <c r="H697">
        <v>4</v>
      </c>
    </row>
    <row r="698" spans="4:8" x14ac:dyDescent="0.25">
      <c r="D698" t="s">
        <v>123</v>
      </c>
      <c r="E698">
        <v>62.5</v>
      </c>
      <c r="F698">
        <v>62.5</v>
      </c>
      <c r="G698">
        <v>62.5</v>
      </c>
      <c r="H698">
        <v>62.5</v>
      </c>
    </row>
    <row r="699" spans="4:8" x14ac:dyDescent="0.25">
      <c r="D699" t="s">
        <v>135</v>
      </c>
      <c r="E699">
        <v>75</v>
      </c>
      <c r="F699">
        <v>75</v>
      </c>
      <c r="G699">
        <v>75</v>
      </c>
      <c r="H699">
        <v>75</v>
      </c>
    </row>
    <row r="700" spans="4:8" x14ac:dyDescent="0.25">
      <c r="D700" t="s">
        <v>136</v>
      </c>
      <c r="E700" t="s">
        <v>28</v>
      </c>
      <c r="F700" t="s">
        <v>28</v>
      </c>
      <c r="G700" t="s">
        <v>28</v>
      </c>
      <c r="H700" t="s">
        <v>28</v>
      </c>
    </row>
    <row r="701" spans="4:8" x14ac:dyDescent="0.25">
      <c r="D701" t="s">
        <v>137</v>
      </c>
    </row>
    <row r="702" spans="4:8" x14ac:dyDescent="0.25">
      <c r="D702" t="s">
        <v>138</v>
      </c>
    </row>
    <row r="703" spans="4:8" x14ac:dyDescent="0.25">
      <c r="D703" t="s">
        <v>139</v>
      </c>
      <c r="E703" t="s">
        <v>140</v>
      </c>
    </row>
    <row r="704" spans="4:8" x14ac:dyDescent="0.25">
      <c r="D704" t="s">
        <v>336</v>
      </c>
    </row>
    <row r="706" spans="4:8" x14ac:dyDescent="0.25">
      <c r="D706" t="s">
        <v>101</v>
      </c>
      <c r="E706" t="s">
        <v>208</v>
      </c>
    </row>
    <row r="707" spans="4:8" x14ac:dyDescent="0.25">
      <c r="D707" t="s">
        <v>103</v>
      </c>
      <c r="E707" t="s">
        <v>209</v>
      </c>
    </row>
    <row r="708" spans="4:8" x14ac:dyDescent="0.25">
      <c r="D708" t="s">
        <v>210</v>
      </c>
    </row>
    <row r="709" spans="4:8" x14ac:dyDescent="0.25">
      <c r="D709" t="s">
        <v>211</v>
      </c>
    </row>
    <row r="710" spans="4:8" x14ac:dyDescent="0.25">
      <c r="D710" t="s">
        <v>212</v>
      </c>
    </row>
    <row r="711" spans="4:8" x14ac:dyDescent="0.25">
      <c r="D711" t="s">
        <v>213</v>
      </c>
    </row>
    <row r="712" spans="4:8" x14ac:dyDescent="0.25">
      <c r="D712" t="s">
        <v>214</v>
      </c>
      <c r="E712" t="b">
        <v>1</v>
      </c>
    </row>
    <row r="713" spans="4:8" x14ac:dyDescent="0.25">
      <c r="D713" t="s">
        <v>215</v>
      </c>
      <c r="E713" t="s">
        <v>242</v>
      </c>
    </row>
    <row r="714" spans="4:8" x14ac:dyDescent="0.25">
      <c r="D714" t="s">
        <v>337</v>
      </c>
    </row>
    <row r="716" spans="4:8" x14ac:dyDescent="0.25">
      <c r="D716" t="s">
        <v>101</v>
      </c>
      <c r="E716" t="s">
        <v>121</v>
      </c>
    </row>
    <row r="717" spans="4:8" x14ac:dyDescent="0.25">
      <c r="D717" t="s">
        <v>103</v>
      </c>
      <c r="E717" t="s">
        <v>130</v>
      </c>
    </row>
    <row r="718" spans="4:8" x14ac:dyDescent="0.25">
      <c r="D718" t="s">
        <v>131</v>
      </c>
      <c r="E718" t="s">
        <v>343</v>
      </c>
      <c r="F718" t="s">
        <v>343</v>
      </c>
      <c r="G718" t="s">
        <v>343</v>
      </c>
      <c r="H718" t="s">
        <v>343</v>
      </c>
    </row>
    <row r="719" spans="4:8" x14ac:dyDescent="0.25">
      <c r="D719" t="s">
        <v>132</v>
      </c>
      <c r="E719">
        <v>1</v>
      </c>
      <c r="F719">
        <v>2</v>
      </c>
      <c r="G719">
        <v>3</v>
      </c>
      <c r="H719">
        <v>4</v>
      </c>
    </row>
    <row r="720" spans="4:8" x14ac:dyDescent="0.25">
      <c r="D720" t="s">
        <v>133</v>
      </c>
      <c r="E720" t="s">
        <v>84</v>
      </c>
      <c r="F720" t="s">
        <v>84</v>
      </c>
      <c r="G720" t="s">
        <v>84</v>
      </c>
      <c r="H720" t="s">
        <v>84</v>
      </c>
    </row>
    <row r="721" spans="2:8" x14ac:dyDescent="0.25">
      <c r="D721" t="s">
        <v>134</v>
      </c>
      <c r="E721">
        <v>1</v>
      </c>
      <c r="F721">
        <v>2</v>
      </c>
      <c r="G721">
        <v>3</v>
      </c>
      <c r="H721">
        <v>4</v>
      </c>
    </row>
    <row r="722" spans="2:8" x14ac:dyDescent="0.25">
      <c r="D722" t="s">
        <v>123</v>
      </c>
      <c r="E722">
        <v>75</v>
      </c>
      <c r="F722">
        <v>75</v>
      </c>
      <c r="G722">
        <v>75</v>
      </c>
      <c r="H722">
        <v>75</v>
      </c>
    </row>
    <row r="723" spans="2:8" x14ac:dyDescent="0.25">
      <c r="D723" t="s">
        <v>135</v>
      </c>
      <c r="E723">
        <v>62.5</v>
      </c>
      <c r="F723">
        <v>62.5</v>
      </c>
      <c r="G723">
        <v>62.5</v>
      </c>
      <c r="H723">
        <v>62.5</v>
      </c>
    </row>
    <row r="724" spans="2:8" x14ac:dyDescent="0.25">
      <c r="D724" t="s">
        <v>136</v>
      </c>
      <c r="E724" t="s">
        <v>332</v>
      </c>
      <c r="F724" t="s">
        <v>332</v>
      </c>
      <c r="G724" t="s">
        <v>332</v>
      </c>
      <c r="H724" t="s">
        <v>332</v>
      </c>
    </row>
    <row r="725" spans="2:8" x14ac:dyDescent="0.25">
      <c r="D725" t="s">
        <v>137</v>
      </c>
    </row>
    <row r="726" spans="2:8" x14ac:dyDescent="0.25">
      <c r="D726" t="s">
        <v>138</v>
      </c>
    </row>
    <row r="727" spans="2:8" x14ac:dyDescent="0.25">
      <c r="D727" t="s">
        <v>139</v>
      </c>
      <c r="E727" t="s">
        <v>140</v>
      </c>
    </row>
    <row r="728" spans="2:8" x14ac:dyDescent="0.25">
      <c r="D728" t="s">
        <v>338</v>
      </c>
    </row>
    <row r="733" spans="2:8" x14ac:dyDescent="0.25">
      <c r="B733" t="s">
        <v>229</v>
      </c>
    </row>
    <row r="734" spans="2:8" x14ac:dyDescent="0.25">
      <c r="B734" t="s">
        <v>295</v>
      </c>
    </row>
    <row r="735" spans="2:8" x14ac:dyDescent="0.25">
      <c r="B735" t="s">
        <v>345</v>
      </c>
    </row>
    <row r="736" spans="2:8" x14ac:dyDescent="0.25">
      <c r="B736" t="s">
        <v>296</v>
      </c>
    </row>
    <row r="737" spans="2:5" x14ac:dyDescent="0.25">
      <c r="B737" t="s">
        <v>232</v>
      </c>
    </row>
    <row r="738" spans="2:5" x14ac:dyDescent="0.25">
      <c r="B738" t="s">
        <v>233</v>
      </c>
    </row>
    <row r="739" spans="2:5" x14ac:dyDescent="0.25">
      <c r="B739" t="s">
        <v>297</v>
      </c>
    </row>
    <row r="741" spans="2:5" x14ac:dyDescent="0.25">
      <c r="C741" t="s">
        <v>112</v>
      </c>
    </row>
    <row r="743" spans="2:5" x14ac:dyDescent="0.25">
      <c r="D743" t="s">
        <v>101</v>
      </c>
      <c r="E743" t="s">
        <v>189</v>
      </c>
    </row>
    <row r="744" spans="2:5" x14ac:dyDescent="0.25">
      <c r="D744" t="s">
        <v>103</v>
      </c>
      <c r="E744" t="s">
        <v>190</v>
      </c>
    </row>
    <row r="745" spans="2:5" x14ac:dyDescent="0.25">
      <c r="D745" t="s">
        <v>191</v>
      </c>
      <c r="E745" t="s">
        <v>235</v>
      </c>
    </row>
    <row r="746" spans="2:5" x14ac:dyDescent="0.25">
      <c r="D746" t="s">
        <v>298</v>
      </c>
    </row>
    <row r="748" spans="2:5" x14ac:dyDescent="0.25">
      <c r="D748" t="s">
        <v>101</v>
      </c>
      <c r="E748" t="s">
        <v>189</v>
      </c>
    </row>
    <row r="749" spans="2:5" x14ac:dyDescent="0.25">
      <c r="D749" t="s">
        <v>103</v>
      </c>
      <c r="E749" t="s">
        <v>194</v>
      </c>
    </row>
    <row r="750" spans="2:5" x14ac:dyDescent="0.25">
      <c r="D750" t="s">
        <v>191</v>
      </c>
      <c r="E750" t="s">
        <v>235</v>
      </c>
    </row>
    <row r="751" spans="2:5" x14ac:dyDescent="0.25">
      <c r="D751" t="s">
        <v>299</v>
      </c>
    </row>
    <row r="753" spans="4:5" x14ac:dyDescent="0.25">
      <c r="D753" t="s">
        <v>101</v>
      </c>
      <c r="E753" t="s">
        <v>102</v>
      </c>
    </row>
    <row r="754" spans="4:5" x14ac:dyDescent="0.25">
      <c r="D754" t="s">
        <v>103</v>
      </c>
      <c r="E754" t="s">
        <v>238</v>
      </c>
    </row>
    <row r="755" spans="4:5" x14ac:dyDescent="0.25">
      <c r="D755" t="s">
        <v>105</v>
      </c>
      <c r="E755" t="s">
        <v>235</v>
      </c>
    </row>
    <row r="756" spans="4:5" x14ac:dyDescent="0.25">
      <c r="D756" t="s">
        <v>300</v>
      </c>
    </row>
    <row r="758" spans="4:5" x14ac:dyDescent="0.25">
      <c r="D758" t="s">
        <v>101</v>
      </c>
      <c r="E758" t="s">
        <v>102</v>
      </c>
    </row>
    <row r="759" spans="4:5" x14ac:dyDescent="0.25">
      <c r="D759" t="s">
        <v>103</v>
      </c>
      <c r="E759" t="s">
        <v>240</v>
      </c>
    </row>
    <row r="760" spans="4:5" x14ac:dyDescent="0.25">
      <c r="D760" t="s">
        <v>105</v>
      </c>
      <c r="E760" t="s">
        <v>235</v>
      </c>
    </row>
    <row r="761" spans="4:5" x14ac:dyDescent="0.25">
      <c r="D761" t="s">
        <v>301</v>
      </c>
    </row>
    <row r="763" spans="4:5" x14ac:dyDescent="0.25">
      <c r="D763" t="s">
        <v>101</v>
      </c>
      <c r="E763" t="s">
        <v>208</v>
      </c>
    </row>
    <row r="764" spans="4:5" x14ac:dyDescent="0.25">
      <c r="D764" t="s">
        <v>103</v>
      </c>
      <c r="E764" t="s">
        <v>209</v>
      </c>
    </row>
    <row r="765" spans="4:5" x14ac:dyDescent="0.25">
      <c r="D765" t="s">
        <v>210</v>
      </c>
    </row>
    <row r="766" spans="4:5" x14ac:dyDescent="0.25">
      <c r="D766" t="s">
        <v>211</v>
      </c>
    </row>
    <row r="767" spans="4:5" x14ac:dyDescent="0.25">
      <c r="D767" t="s">
        <v>212</v>
      </c>
    </row>
    <row r="768" spans="4:5" x14ac:dyDescent="0.25">
      <c r="D768" t="s">
        <v>213</v>
      </c>
    </row>
    <row r="769" spans="4:5" x14ac:dyDescent="0.25">
      <c r="D769" t="s">
        <v>214</v>
      </c>
      <c r="E769" t="b">
        <v>1</v>
      </c>
    </row>
    <row r="770" spans="4:5" x14ac:dyDescent="0.25">
      <c r="D770" t="s">
        <v>215</v>
      </c>
      <c r="E770" t="s">
        <v>242</v>
      </c>
    </row>
    <row r="771" spans="4:5" x14ac:dyDescent="0.25">
      <c r="D771" t="s">
        <v>302</v>
      </c>
    </row>
    <row r="773" spans="4:5" x14ac:dyDescent="0.25">
      <c r="D773" t="s">
        <v>101</v>
      </c>
      <c r="E773" t="s">
        <v>244</v>
      </c>
    </row>
    <row r="774" spans="4:5" x14ac:dyDescent="0.25">
      <c r="D774" t="s">
        <v>103</v>
      </c>
      <c r="E774" t="s">
        <v>245</v>
      </c>
    </row>
    <row r="775" spans="4:5" x14ac:dyDescent="0.25">
      <c r="D775" t="s">
        <v>246</v>
      </c>
      <c r="E775">
        <v>120</v>
      </c>
    </row>
    <row r="776" spans="4:5" x14ac:dyDescent="0.25">
      <c r="D776" t="s">
        <v>303</v>
      </c>
    </row>
    <row r="778" spans="4:5" x14ac:dyDescent="0.25">
      <c r="D778" t="s">
        <v>101</v>
      </c>
      <c r="E778" t="s">
        <v>244</v>
      </c>
    </row>
    <row r="779" spans="4:5" x14ac:dyDescent="0.25">
      <c r="D779" t="s">
        <v>103</v>
      </c>
      <c r="E779" t="s">
        <v>248</v>
      </c>
    </row>
    <row r="780" spans="4:5" x14ac:dyDescent="0.25">
      <c r="D780" t="s">
        <v>304</v>
      </c>
    </row>
    <row r="782" spans="4:5" x14ac:dyDescent="0.25">
      <c r="D782" t="s">
        <v>101</v>
      </c>
      <c r="E782" t="s">
        <v>189</v>
      </c>
    </row>
    <row r="783" spans="4:5" x14ac:dyDescent="0.25">
      <c r="D783" t="s">
        <v>103</v>
      </c>
      <c r="E783" t="s">
        <v>190</v>
      </c>
    </row>
    <row r="784" spans="4:5" x14ac:dyDescent="0.25">
      <c r="D784" t="s">
        <v>191</v>
      </c>
      <c r="E784" t="s">
        <v>235</v>
      </c>
    </row>
    <row r="785" spans="4:5" x14ac:dyDescent="0.25">
      <c r="D785" t="s">
        <v>305</v>
      </c>
    </row>
    <row r="787" spans="4:5" x14ac:dyDescent="0.25">
      <c r="D787" t="s">
        <v>101</v>
      </c>
      <c r="E787" t="s">
        <v>189</v>
      </c>
    </row>
    <row r="788" spans="4:5" x14ac:dyDescent="0.25">
      <c r="D788" t="s">
        <v>103</v>
      </c>
      <c r="E788" t="s">
        <v>194</v>
      </c>
    </row>
    <row r="789" spans="4:5" x14ac:dyDescent="0.25">
      <c r="D789" t="s">
        <v>191</v>
      </c>
      <c r="E789" t="s">
        <v>235</v>
      </c>
    </row>
    <row r="790" spans="4:5" x14ac:dyDescent="0.25">
      <c r="D790" t="s">
        <v>306</v>
      </c>
    </row>
    <row r="792" spans="4:5" x14ac:dyDescent="0.25">
      <c r="D792" t="s">
        <v>101</v>
      </c>
      <c r="E792" t="s">
        <v>102</v>
      </c>
    </row>
    <row r="793" spans="4:5" x14ac:dyDescent="0.25">
      <c r="D793" t="s">
        <v>103</v>
      </c>
      <c r="E793" t="s">
        <v>238</v>
      </c>
    </row>
    <row r="794" spans="4:5" x14ac:dyDescent="0.25">
      <c r="D794" t="s">
        <v>105</v>
      </c>
      <c r="E794" t="s">
        <v>235</v>
      </c>
    </row>
    <row r="795" spans="4:5" x14ac:dyDescent="0.25">
      <c r="D795" t="s">
        <v>307</v>
      </c>
    </row>
    <row r="797" spans="4:5" x14ac:dyDescent="0.25">
      <c r="D797" t="s">
        <v>101</v>
      </c>
      <c r="E797" t="s">
        <v>102</v>
      </c>
    </row>
    <row r="798" spans="4:5" x14ac:dyDescent="0.25">
      <c r="D798" t="s">
        <v>103</v>
      </c>
      <c r="E798" t="s">
        <v>240</v>
      </c>
    </row>
    <row r="799" spans="4:5" x14ac:dyDescent="0.25">
      <c r="D799" t="s">
        <v>105</v>
      </c>
      <c r="E799" t="s">
        <v>235</v>
      </c>
    </row>
    <row r="800" spans="4:5" x14ac:dyDescent="0.25">
      <c r="D800" t="s">
        <v>308</v>
      </c>
    </row>
    <row r="802" spans="4:8" x14ac:dyDescent="0.25">
      <c r="D802" t="s">
        <v>101</v>
      </c>
      <c r="E802" t="s">
        <v>102</v>
      </c>
    </row>
    <row r="803" spans="4:8" x14ac:dyDescent="0.25">
      <c r="D803" t="s">
        <v>103</v>
      </c>
      <c r="E803" t="s">
        <v>254</v>
      </c>
    </row>
    <row r="804" spans="4:8" x14ac:dyDescent="0.25">
      <c r="D804" t="s">
        <v>105</v>
      </c>
      <c r="E804" t="s">
        <v>163</v>
      </c>
    </row>
    <row r="805" spans="4:8" x14ac:dyDescent="0.25">
      <c r="D805" t="s">
        <v>259</v>
      </c>
      <c r="E805">
        <v>68.75</v>
      </c>
      <c r="F805">
        <v>68.75</v>
      </c>
      <c r="G805">
        <v>68.75</v>
      </c>
      <c r="H805">
        <v>68.7</v>
      </c>
    </row>
    <row r="806" spans="4:8" x14ac:dyDescent="0.25">
      <c r="D806" t="s">
        <v>309</v>
      </c>
    </row>
    <row r="808" spans="4:8" x14ac:dyDescent="0.25">
      <c r="D808" t="s">
        <v>101</v>
      </c>
      <c r="E808" t="s">
        <v>121</v>
      </c>
    </row>
    <row r="809" spans="4:8" x14ac:dyDescent="0.25">
      <c r="D809" t="s">
        <v>103</v>
      </c>
      <c r="E809" t="s">
        <v>128</v>
      </c>
    </row>
    <row r="810" spans="4:8" x14ac:dyDescent="0.25">
      <c r="D810" t="s">
        <v>123</v>
      </c>
      <c r="E810" t="s">
        <v>256</v>
      </c>
    </row>
    <row r="811" spans="4:8" x14ac:dyDescent="0.25">
      <c r="D811" t="s">
        <v>310</v>
      </c>
    </row>
    <row r="813" spans="4:8" x14ac:dyDescent="0.25">
      <c r="D813" t="s">
        <v>101</v>
      </c>
      <c r="E813" t="s">
        <v>102</v>
      </c>
    </row>
    <row r="814" spans="4:8" x14ac:dyDescent="0.25">
      <c r="D814" t="s">
        <v>103</v>
      </c>
      <c r="E814" t="s">
        <v>258</v>
      </c>
    </row>
    <row r="815" spans="4:8" x14ac:dyDescent="0.25">
      <c r="D815" t="s">
        <v>105</v>
      </c>
      <c r="E815" t="s">
        <v>163</v>
      </c>
    </row>
    <row r="816" spans="4:8" x14ac:dyDescent="0.25">
      <c r="D816" t="s">
        <v>259</v>
      </c>
      <c r="E816">
        <v>75</v>
      </c>
      <c r="F816">
        <v>75</v>
      </c>
      <c r="G816">
        <v>75</v>
      </c>
      <c r="H816">
        <v>75</v>
      </c>
    </row>
    <row r="817" spans="4:8" x14ac:dyDescent="0.25">
      <c r="D817" t="s">
        <v>311</v>
      </c>
    </row>
    <row r="819" spans="4:8" x14ac:dyDescent="0.25">
      <c r="D819" t="s">
        <v>101</v>
      </c>
      <c r="E819" t="s">
        <v>121</v>
      </c>
    </row>
    <row r="820" spans="4:8" x14ac:dyDescent="0.25">
      <c r="D820" t="s">
        <v>103</v>
      </c>
      <c r="E820" t="s">
        <v>128</v>
      </c>
    </row>
    <row r="821" spans="4:8" x14ac:dyDescent="0.25">
      <c r="D821" t="s">
        <v>123</v>
      </c>
      <c r="E821" t="s">
        <v>256</v>
      </c>
    </row>
    <row r="822" spans="4:8" x14ac:dyDescent="0.25">
      <c r="D822" t="s">
        <v>312</v>
      </c>
    </row>
    <row r="824" spans="4:8" x14ac:dyDescent="0.25">
      <c r="D824" t="s">
        <v>101</v>
      </c>
      <c r="E824" t="s">
        <v>121</v>
      </c>
    </row>
    <row r="825" spans="4:8" x14ac:dyDescent="0.25">
      <c r="D825" t="s">
        <v>103</v>
      </c>
      <c r="E825" t="s">
        <v>130</v>
      </c>
    </row>
    <row r="826" spans="4:8" x14ac:dyDescent="0.25">
      <c r="D826" t="s">
        <v>131</v>
      </c>
      <c r="E826" t="s">
        <v>163</v>
      </c>
      <c r="F826" t="s">
        <v>163</v>
      </c>
      <c r="G826" t="s">
        <v>163</v>
      </c>
      <c r="H826" t="s">
        <v>163</v>
      </c>
    </row>
    <row r="827" spans="4:8" x14ac:dyDescent="0.25">
      <c r="D827" t="s">
        <v>132</v>
      </c>
      <c r="E827">
        <v>1</v>
      </c>
      <c r="F827">
        <v>2</v>
      </c>
      <c r="G827">
        <v>3</v>
      </c>
      <c r="H827">
        <v>4</v>
      </c>
    </row>
    <row r="828" spans="4:8" x14ac:dyDescent="0.25">
      <c r="D828" t="s">
        <v>133</v>
      </c>
      <c r="E828" t="s">
        <v>343</v>
      </c>
      <c r="F828" t="s">
        <v>343</v>
      </c>
      <c r="G828" t="s">
        <v>343</v>
      </c>
      <c r="H828" t="s">
        <v>343</v>
      </c>
    </row>
    <row r="829" spans="4:8" x14ac:dyDescent="0.25">
      <c r="D829" t="s">
        <v>134</v>
      </c>
      <c r="E829">
        <v>1</v>
      </c>
      <c r="F829">
        <v>2</v>
      </c>
      <c r="G829">
        <v>3</v>
      </c>
      <c r="H829">
        <v>4</v>
      </c>
    </row>
    <row r="830" spans="4:8" x14ac:dyDescent="0.25">
      <c r="D830" t="s">
        <v>123</v>
      </c>
      <c r="E830">
        <v>68.75</v>
      </c>
      <c r="F830">
        <v>68.75</v>
      </c>
      <c r="G830">
        <v>68.75</v>
      </c>
      <c r="H830">
        <v>68.75</v>
      </c>
    </row>
    <row r="831" spans="4:8" x14ac:dyDescent="0.25">
      <c r="D831" t="s">
        <v>135</v>
      </c>
      <c r="E831">
        <v>137.5</v>
      </c>
      <c r="F831">
        <v>137.5</v>
      </c>
      <c r="G831">
        <v>137.5</v>
      </c>
      <c r="H831">
        <v>137.5</v>
      </c>
    </row>
    <row r="832" spans="4:8" x14ac:dyDescent="0.25">
      <c r="D832" t="s">
        <v>136</v>
      </c>
      <c r="E832" t="s">
        <v>28</v>
      </c>
      <c r="F832" t="s">
        <v>28</v>
      </c>
      <c r="G832" t="s">
        <v>28</v>
      </c>
      <c r="H832" t="s">
        <v>28</v>
      </c>
    </row>
    <row r="833" spans="4:5" x14ac:dyDescent="0.25">
      <c r="D833" t="s">
        <v>137</v>
      </c>
    </row>
    <row r="834" spans="4:5" x14ac:dyDescent="0.25">
      <c r="D834" t="s">
        <v>138</v>
      </c>
    </row>
    <row r="835" spans="4:5" x14ac:dyDescent="0.25">
      <c r="D835" t="s">
        <v>139</v>
      </c>
      <c r="E835" t="s">
        <v>140</v>
      </c>
    </row>
    <row r="836" spans="4:5" x14ac:dyDescent="0.25">
      <c r="D836" t="s">
        <v>313</v>
      </c>
    </row>
    <row r="838" spans="4:5" x14ac:dyDescent="0.25">
      <c r="D838" t="s">
        <v>101</v>
      </c>
      <c r="E838" t="s">
        <v>208</v>
      </c>
    </row>
    <row r="839" spans="4:5" x14ac:dyDescent="0.25">
      <c r="D839" t="s">
        <v>103</v>
      </c>
      <c r="E839" t="s">
        <v>209</v>
      </c>
    </row>
    <row r="840" spans="4:5" x14ac:dyDescent="0.25">
      <c r="D840" t="s">
        <v>210</v>
      </c>
    </row>
    <row r="841" spans="4:5" x14ac:dyDescent="0.25">
      <c r="D841" t="s">
        <v>211</v>
      </c>
    </row>
    <row r="842" spans="4:5" x14ac:dyDescent="0.25">
      <c r="D842" t="s">
        <v>212</v>
      </c>
    </row>
    <row r="843" spans="4:5" x14ac:dyDescent="0.25">
      <c r="D843" t="s">
        <v>213</v>
      </c>
    </row>
    <row r="844" spans="4:5" x14ac:dyDescent="0.25">
      <c r="D844" t="s">
        <v>214</v>
      </c>
      <c r="E844" t="b">
        <v>1</v>
      </c>
    </row>
    <row r="845" spans="4:5" x14ac:dyDescent="0.25">
      <c r="D845" t="s">
        <v>215</v>
      </c>
      <c r="E845" t="s">
        <v>242</v>
      </c>
    </row>
    <row r="846" spans="4:5" x14ac:dyDescent="0.25">
      <c r="D846" t="s">
        <v>314</v>
      </c>
    </row>
    <row r="848" spans="4:5" x14ac:dyDescent="0.25">
      <c r="D848" t="s">
        <v>101</v>
      </c>
      <c r="E848" t="s">
        <v>121</v>
      </c>
    </row>
    <row r="849" spans="4:8" x14ac:dyDescent="0.25">
      <c r="D849" t="s">
        <v>103</v>
      </c>
      <c r="E849" t="s">
        <v>130</v>
      </c>
    </row>
    <row r="850" spans="4:8" x14ac:dyDescent="0.25">
      <c r="D850" t="s">
        <v>131</v>
      </c>
      <c r="E850" t="s">
        <v>343</v>
      </c>
      <c r="F850" t="s">
        <v>343</v>
      </c>
      <c r="G850" t="s">
        <v>343</v>
      </c>
      <c r="H850" t="s">
        <v>343</v>
      </c>
    </row>
    <row r="851" spans="4:8" x14ac:dyDescent="0.25">
      <c r="D851" t="s">
        <v>132</v>
      </c>
      <c r="E851">
        <v>1</v>
      </c>
      <c r="F851">
        <v>2</v>
      </c>
      <c r="G851">
        <v>3</v>
      </c>
      <c r="H851">
        <v>4</v>
      </c>
    </row>
    <row r="852" spans="4:8" x14ac:dyDescent="0.25">
      <c r="D852" t="s">
        <v>133</v>
      </c>
      <c r="E852" t="s">
        <v>86</v>
      </c>
      <c r="F852" t="s">
        <v>86</v>
      </c>
      <c r="G852" t="s">
        <v>86</v>
      </c>
      <c r="H852" t="s">
        <v>86</v>
      </c>
    </row>
    <row r="853" spans="4:8" x14ac:dyDescent="0.25">
      <c r="D853" t="s">
        <v>134</v>
      </c>
      <c r="E853">
        <v>1</v>
      </c>
      <c r="F853">
        <v>2</v>
      </c>
      <c r="G853">
        <v>3</v>
      </c>
      <c r="H853">
        <v>4</v>
      </c>
    </row>
    <row r="854" spans="4:8" x14ac:dyDescent="0.25">
      <c r="D854" t="s">
        <v>123</v>
      </c>
      <c r="E854">
        <v>75</v>
      </c>
      <c r="F854">
        <v>75</v>
      </c>
      <c r="G854">
        <v>75</v>
      </c>
      <c r="H854">
        <v>75</v>
      </c>
    </row>
    <row r="855" spans="4:8" x14ac:dyDescent="0.25">
      <c r="D855" t="s">
        <v>135</v>
      </c>
      <c r="E855">
        <v>68.75</v>
      </c>
      <c r="F855">
        <v>68.75</v>
      </c>
      <c r="G855">
        <v>68.75</v>
      </c>
      <c r="H855">
        <v>68.75</v>
      </c>
    </row>
    <row r="856" spans="4:8" x14ac:dyDescent="0.25">
      <c r="D856" t="s">
        <v>136</v>
      </c>
      <c r="E856" t="s">
        <v>332</v>
      </c>
      <c r="F856" t="s">
        <v>332</v>
      </c>
      <c r="G856" t="s">
        <v>332</v>
      </c>
      <c r="H856" t="s">
        <v>332</v>
      </c>
    </row>
    <row r="857" spans="4:8" x14ac:dyDescent="0.25">
      <c r="D857" t="s">
        <v>137</v>
      </c>
    </row>
    <row r="858" spans="4:8" x14ac:dyDescent="0.25">
      <c r="D858" t="s">
        <v>138</v>
      </c>
    </row>
    <row r="859" spans="4:8" x14ac:dyDescent="0.25">
      <c r="D859" t="s">
        <v>139</v>
      </c>
      <c r="E859" t="s">
        <v>140</v>
      </c>
    </row>
    <row r="860" spans="4:8" x14ac:dyDescent="0.25">
      <c r="D860" t="s">
        <v>315</v>
      </c>
    </row>
    <row r="862" spans="4:8" x14ac:dyDescent="0.25">
      <c r="D862" t="s">
        <v>101</v>
      </c>
      <c r="E862" t="s">
        <v>189</v>
      </c>
    </row>
    <row r="863" spans="4:8" x14ac:dyDescent="0.25">
      <c r="D863" t="s">
        <v>103</v>
      </c>
      <c r="E863" t="s">
        <v>190</v>
      </c>
    </row>
    <row r="864" spans="4:8" x14ac:dyDescent="0.25">
      <c r="D864" t="s">
        <v>191</v>
      </c>
      <c r="E864" t="s">
        <v>235</v>
      </c>
    </row>
    <row r="865" spans="4:5" x14ac:dyDescent="0.25">
      <c r="D865" t="s">
        <v>316</v>
      </c>
    </row>
    <row r="867" spans="4:5" x14ac:dyDescent="0.25">
      <c r="D867" t="s">
        <v>101</v>
      </c>
      <c r="E867" t="s">
        <v>189</v>
      </c>
    </row>
    <row r="868" spans="4:5" x14ac:dyDescent="0.25">
      <c r="D868" t="s">
        <v>103</v>
      </c>
      <c r="E868" t="s">
        <v>194</v>
      </c>
    </row>
    <row r="869" spans="4:5" x14ac:dyDescent="0.25">
      <c r="D869" t="s">
        <v>191</v>
      </c>
      <c r="E869" t="s">
        <v>235</v>
      </c>
    </row>
    <row r="870" spans="4:5" x14ac:dyDescent="0.25">
      <c r="D870" t="s">
        <v>317</v>
      </c>
    </row>
    <row r="872" spans="4:5" x14ac:dyDescent="0.25">
      <c r="D872" t="s">
        <v>101</v>
      </c>
      <c r="E872" t="s">
        <v>102</v>
      </c>
    </row>
    <row r="873" spans="4:5" x14ac:dyDescent="0.25">
      <c r="D873" t="s">
        <v>103</v>
      </c>
      <c r="E873" t="s">
        <v>238</v>
      </c>
    </row>
    <row r="874" spans="4:5" x14ac:dyDescent="0.25">
      <c r="D874" t="s">
        <v>105</v>
      </c>
      <c r="E874" t="s">
        <v>235</v>
      </c>
    </row>
    <row r="875" spans="4:5" x14ac:dyDescent="0.25">
      <c r="D875" t="s">
        <v>318</v>
      </c>
    </row>
    <row r="877" spans="4:5" x14ac:dyDescent="0.25">
      <c r="D877" t="s">
        <v>101</v>
      </c>
      <c r="E877" t="s">
        <v>102</v>
      </c>
    </row>
    <row r="878" spans="4:5" x14ac:dyDescent="0.25">
      <c r="D878" t="s">
        <v>103</v>
      </c>
      <c r="E878" t="s">
        <v>240</v>
      </c>
    </row>
    <row r="879" spans="4:5" x14ac:dyDescent="0.25">
      <c r="D879" t="s">
        <v>105</v>
      </c>
      <c r="E879" t="s">
        <v>235</v>
      </c>
    </row>
    <row r="880" spans="4:5" x14ac:dyDescent="0.25">
      <c r="D880" t="s">
        <v>319</v>
      </c>
    </row>
    <row r="882" spans="4:5" x14ac:dyDescent="0.25">
      <c r="D882" t="s">
        <v>101</v>
      </c>
      <c r="E882" t="s">
        <v>208</v>
      </c>
    </row>
    <row r="883" spans="4:5" x14ac:dyDescent="0.25">
      <c r="D883" t="s">
        <v>103</v>
      </c>
      <c r="E883" t="s">
        <v>209</v>
      </c>
    </row>
    <row r="884" spans="4:5" x14ac:dyDescent="0.25">
      <c r="D884" t="s">
        <v>210</v>
      </c>
    </row>
    <row r="885" spans="4:5" x14ac:dyDescent="0.25">
      <c r="D885" t="s">
        <v>211</v>
      </c>
    </row>
    <row r="886" spans="4:5" x14ac:dyDescent="0.25">
      <c r="D886" t="s">
        <v>212</v>
      </c>
    </row>
    <row r="887" spans="4:5" x14ac:dyDescent="0.25">
      <c r="D887" t="s">
        <v>213</v>
      </c>
    </row>
    <row r="888" spans="4:5" x14ac:dyDescent="0.25">
      <c r="D888" t="s">
        <v>214</v>
      </c>
      <c r="E888" t="b">
        <v>1</v>
      </c>
    </row>
    <row r="889" spans="4:5" x14ac:dyDescent="0.25">
      <c r="D889" t="s">
        <v>215</v>
      </c>
      <c r="E889" t="s">
        <v>242</v>
      </c>
    </row>
    <row r="890" spans="4:5" x14ac:dyDescent="0.25">
      <c r="D890" t="s">
        <v>320</v>
      </c>
    </row>
    <row r="892" spans="4:5" x14ac:dyDescent="0.25">
      <c r="D892" t="s">
        <v>101</v>
      </c>
      <c r="E892" t="s">
        <v>244</v>
      </c>
    </row>
    <row r="893" spans="4:5" x14ac:dyDescent="0.25">
      <c r="D893" t="s">
        <v>103</v>
      </c>
      <c r="E893" t="s">
        <v>245</v>
      </c>
    </row>
    <row r="894" spans="4:5" x14ac:dyDescent="0.25">
      <c r="D894" t="s">
        <v>246</v>
      </c>
      <c r="E894">
        <v>120</v>
      </c>
    </row>
    <row r="895" spans="4:5" x14ac:dyDescent="0.25">
      <c r="D895" t="s">
        <v>321</v>
      </c>
    </row>
    <row r="897" spans="4:5" x14ac:dyDescent="0.25">
      <c r="D897" t="s">
        <v>101</v>
      </c>
      <c r="E897" t="s">
        <v>244</v>
      </c>
    </row>
    <row r="898" spans="4:5" x14ac:dyDescent="0.25">
      <c r="D898" t="s">
        <v>103</v>
      </c>
      <c r="E898" t="s">
        <v>248</v>
      </c>
    </row>
    <row r="899" spans="4:5" x14ac:dyDescent="0.25">
      <c r="D899" t="s">
        <v>322</v>
      </c>
    </row>
    <row r="901" spans="4:5" x14ac:dyDescent="0.25">
      <c r="D901" t="s">
        <v>101</v>
      </c>
      <c r="E901" t="s">
        <v>189</v>
      </c>
    </row>
    <row r="902" spans="4:5" x14ac:dyDescent="0.25">
      <c r="D902" t="s">
        <v>103</v>
      </c>
      <c r="E902" t="s">
        <v>190</v>
      </c>
    </row>
    <row r="903" spans="4:5" x14ac:dyDescent="0.25">
      <c r="D903" t="s">
        <v>191</v>
      </c>
      <c r="E903" t="s">
        <v>235</v>
      </c>
    </row>
    <row r="904" spans="4:5" x14ac:dyDescent="0.25">
      <c r="D904" t="s">
        <v>323</v>
      </c>
    </row>
    <row r="906" spans="4:5" x14ac:dyDescent="0.25">
      <c r="D906" t="s">
        <v>101</v>
      </c>
      <c r="E906" t="s">
        <v>189</v>
      </c>
    </row>
    <row r="907" spans="4:5" x14ac:dyDescent="0.25">
      <c r="D907" t="s">
        <v>103</v>
      </c>
      <c r="E907" t="s">
        <v>194</v>
      </c>
    </row>
    <row r="908" spans="4:5" x14ac:dyDescent="0.25">
      <c r="D908" t="s">
        <v>191</v>
      </c>
      <c r="E908" t="s">
        <v>235</v>
      </c>
    </row>
    <row r="909" spans="4:5" x14ac:dyDescent="0.25">
      <c r="D909" t="s">
        <v>324</v>
      </c>
    </row>
    <row r="911" spans="4:5" x14ac:dyDescent="0.25">
      <c r="D911" t="s">
        <v>101</v>
      </c>
      <c r="E911" t="s">
        <v>102</v>
      </c>
    </row>
    <row r="912" spans="4:5" x14ac:dyDescent="0.25">
      <c r="D912" t="s">
        <v>103</v>
      </c>
      <c r="E912" t="s">
        <v>238</v>
      </c>
    </row>
    <row r="913" spans="4:8" x14ac:dyDescent="0.25">
      <c r="D913" t="s">
        <v>105</v>
      </c>
      <c r="E913" t="s">
        <v>235</v>
      </c>
    </row>
    <row r="914" spans="4:8" x14ac:dyDescent="0.25">
      <c r="D914" t="s">
        <v>325</v>
      </c>
    </row>
    <row r="916" spans="4:8" x14ac:dyDescent="0.25">
      <c r="D916" t="s">
        <v>101</v>
      </c>
      <c r="E916" t="s">
        <v>102</v>
      </c>
    </row>
    <row r="917" spans="4:8" x14ac:dyDescent="0.25">
      <c r="D917" t="s">
        <v>103</v>
      </c>
      <c r="E917" t="s">
        <v>240</v>
      </c>
    </row>
    <row r="918" spans="4:8" x14ac:dyDescent="0.25">
      <c r="D918" t="s">
        <v>105</v>
      </c>
      <c r="E918" t="s">
        <v>235</v>
      </c>
    </row>
    <row r="919" spans="4:8" x14ac:dyDescent="0.25">
      <c r="D919" t="s">
        <v>326</v>
      </c>
    </row>
    <row r="921" spans="4:8" x14ac:dyDescent="0.25">
      <c r="D921" t="s">
        <v>101</v>
      </c>
      <c r="E921" t="s">
        <v>102</v>
      </c>
    </row>
    <row r="922" spans="4:8" x14ac:dyDescent="0.25">
      <c r="D922" t="s">
        <v>103</v>
      </c>
      <c r="E922" t="s">
        <v>254</v>
      </c>
    </row>
    <row r="923" spans="4:8" x14ac:dyDescent="0.25">
      <c r="D923" t="s">
        <v>105</v>
      </c>
      <c r="E923" t="s">
        <v>163</v>
      </c>
    </row>
    <row r="924" spans="4:8" x14ac:dyDescent="0.25">
      <c r="D924" t="s">
        <v>259</v>
      </c>
      <c r="E924">
        <v>71.875</v>
      </c>
      <c r="F924">
        <v>71.875</v>
      </c>
      <c r="G924">
        <v>71.875</v>
      </c>
      <c r="H924">
        <v>71.87</v>
      </c>
    </row>
    <row r="925" spans="4:8" x14ac:dyDescent="0.25">
      <c r="D925" t="s">
        <v>327</v>
      </c>
    </row>
    <row r="927" spans="4:8" x14ac:dyDescent="0.25">
      <c r="D927" t="s">
        <v>101</v>
      </c>
      <c r="E927" t="s">
        <v>121</v>
      </c>
    </row>
    <row r="928" spans="4:8" x14ac:dyDescent="0.25">
      <c r="D928" t="s">
        <v>103</v>
      </c>
      <c r="E928" t="s">
        <v>128</v>
      </c>
    </row>
    <row r="929" spans="4:8" x14ac:dyDescent="0.25">
      <c r="D929" t="s">
        <v>123</v>
      </c>
      <c r="E929" t="s">
        <v>256</v>
      </c>
    </row>
    <row r="930" spans="4:8" x14ac:dyDescent="0.25">
      <c r="D930" t="s">
        <v>328</v>
      </c>
    </row>
    <row r="932" spans="4:8" x14ac:dyDescent="0.25">
      <c r="D932" t="s">
        <v>101</v>
      </c>
      <c r="E932" t="s">
        <v>102</v>
      </c>
    </row>
    <row r="933" spans="4:8" x14ac:dyDescent="0.25">
      <c r="D933" t="s">
        <v>103</v>
      </c>
      <c r="E933" t="s">
        <v>258</v>
      </c>
    </row>
    <row r="934" spans="4:8" x14ac:dyDescent="0.25">
      <c r="D934" t="s">
        <v>105</v>
      </c>
      <c r="E934" t="s">
        <v>163</v>
      </c>
    </row>
    <row r="935" spans="4:8" x14ac:dyDescent="0.25">
      <c r="D935" t="s">
        <v>259</v>
      </c>
      <c r="E935">
        <v>75</v>
      </c>
      <c r="F935">
        <v>75</v>
      </c>
      <c r="G935">
        <v>75</v>
      </c>
      <c r="H935">
        <v>75</v>
      </c>
    </row>
    <row r="936" spans="4:8" x14ac:dyDescent="0.25">
      <c r="D936" t="s">
        <v>329</v>
      </c>
    </row>
    <row r="938" spans="4:8" x14ac:dyDescent="0.25">
      <c r="D938" t="s">
        <v>101</v>
      </c>
      <c r="E938" t="s">
        <v>121</v>
      </c>
    </row>
    <row r="939" spans="4:8" x14ac:dyDescent="0.25">
      <c r="D939" t="s">
        <v>103</v>
      </c>
      <c r="E939" t="s">
        <v>128</v>
      </c>
    </row>
    <row r="940" spans="4:8" x14ac:dyDescent="0.25">
      <c r="D940" t="s">
        <v>123</v>
      </c>
      <c r="E940" t="s">
        <v>256</v>
      </c>
    </row>
    <row r="941" spans="4:8" x14ac:dyDescent="0.25">
      <c r="D941" t="s">
        <v>339</v>
      </c>
    </row>
    <row r="943" spans="4:8" x14ac:dyDescent="0.25">
      <c r="D943" t="s">
        <v>101</v>
      </c>
      <c r="E943" t="s">
        <v>121</v>
      </c>
    </row>
    <row r="944" spans="4:8" x14ac:dyDescent="0.25">
      <c r="D944" t="s">
        <v>103</v>
      </c>
      <c r="E944" t="s">
        <v>130</v>
      </c>
    </row>
    <row r="945" spans="4:8" x14ac:dyDescent="0.25">
      <c r="D945" t="s">
        <v>131</v>
      </c>
      <c r="E945" t="s">
        <v>163</v>
      </c>
      <c r="F945" t="s">
        <v>163</v>
      </c>
      <c r="G945" t="s">
        <v>163</v>
      </c>
      <c r="H945" t="s">
        <v>163</v>
      </c>
    </row>
    <row r="946" spans="4:8" x14ac:dyDescent="0.25">
      <c r="D946" t="s">
        <v>132</v>
      </c>
      <c r="E946">
        <v>1</v>
      </c>
      <c r="F946">
        <v>2</v>
      </c>
      <c r="G946">
        <v>3</v>
      </c>
      <c r="H946">
        <v>4</v>
      </c>
    </row>
    <row r="947" spans="4:8" x14ac:dyDescent="0.25">
      <c r="D947" t="s">
        <v>133</v>
      </c>
      <c r="E947" t="s">
        <v>343</v>
      </c>
      <c r="F947" t="s">
        <v>343</v>
      </c>
      <c r="G947" t="s">
        <v>343</v>
      </c>
      <c r="H947" t="s">
        <v>343</v>
      </c>
    </row>
    <row r="948" spans="4:8" x14ac:dyDescent="0.25">
      <c r="D948" t="s">
        <v>134</v>
      </c>
      <c r="E948">
        <v>1</v>
      </c>
      <c r="F948">
        <v>2</v>
      </c>
      <c r="G948">
        <v>3</v>
      </c>
      <c r="H948">
        <v>4</v>
      </c>
    </row>
    <row r="949" spans="4:8" x14ac:dyDescent="0.25">
      <c r="D949" t="s">
        <v>123</v>
      </c>
      <c r="E949">
        <v>71.88</v>
      </c>
      <c r="F949">
        <v>71.88</v>
      </c>
      <c r="G949">
        <v>71.88</v>
      </c>
      <c r="H949">
        <v>71.88</v>
      </c>
    </row>
    <row r="950" spans="4:8" x14ac:dyDescent="0.25">
      <c r="D950" t="s">
        <v>135</v>
      </c>
      <c r="E950">
        <v>206.25</v>
      </c>
      <c r="F950">
        <v>206.25</v>
      </c>
      <c r="G950">
        <v>206.25</v>
      </c>
      <c r="H950">
        <v>206.25</v>
      </c>
    </row>
    <row r="951" spans="4:8" x14ac:dyDescent="0.25">
      <c r="D951" t="s">
        <v>136</v>
      </c>
      <c r="E951" t="s">
        <v>28</v>
      </c>
      <c r="F951" t="s">
        <v>28</v>
      </c>
      <c r="G951" t="s">
        <v>28</v>
      </c>
      <c r="H951" t="s">
        <v>28</v>
      </c>
    </row>
    <row r="952" spans="4:8" x14ac:dyDescent="0.25">
      <c r="D952" t="s">
        <v>137</v>
      </c>
    </row>
    <row r="953" spans="4:8" x14ac:dyDescent="0.25">
      <c r="D953" t="s">
        <v>138</v>
      </c>
    </row>
    <row r="954" spans="4:8" x14ac:dyDescent="0.25">
      <c r="D954" t="s">
        <v>139</v>
      </c>
      <c r="E954" t="s">
        <v>140</v>
      </c>
    </row>
    <row r="955" spans="4:8" x14ac:dyDescent="0.25">
      <c r="D955" t="s">
        <v>340</v>
      </c>
    </row>
    <row r="957" spans="4:8" x14ac:dyDescent="0.25">
      <c r="D957" t="s">
        <v>101</v>
      </c>
      <c r="E957" t="s">
        <v>208</v>
      </c>
    </row>
    <row r="958" spans="4:8" x14ac:dyDescent="0.25">
      <c r="D958" t="s">
        <v>103</v>
      </c>
      <c r="E958" t="s">
        <v>209</v>
      </c>
    </row>
    <row r="959" spans="4:8" x14ac:dyDescent="0.25">
      <c r="D959" t="s">
        <v>210</v>
      </c>
    </row>
    <row r="960" spans="4:8" x14ac:dyDescent="0.25">
      <c r="D960" t="s">
        <v>211</v>
      </c>
    </row>
    <row r="961" spans="4:8" x14ac:dyDescent="0.25">
      <c r="D961" t="s">
        <v>212</v>
      </c>
    </row>
    <row r="962" spans="4:8" x14ac:dyDescent="0.25">
      <c r="D962" t="s">
        <v>213</v>
      </c>
    </row>
    <row r="963" spans="4:8" x14ac:dyDescent="0.25">
      <c r="D963" t="s">
        <v>214</v>
      </c>
      <c r="E963" t="b">
        <v>1</v>
      </c>
    </row>
    <row r="964" spans="4:8" x14ac:dyDescent="0.25">
      <c r="D964" t="s">
        <v>215</v>
      </c>
      <c r="E964" t="s">
        <v>242</v>
      </c>
    </row>
    <row r="965" spans="4:8" x14ac:dyDescent="0.25">
      <c r="D965" t="s">
        <v>341</v>
      </c>
    </row>
    <row r="967" spans="4:8" x14ac:dyDescent="0.25">
      <c r="D967" t="s">
        <v>101</v>
      </c>
      <c r="E967" t="s">
        <v>121</v>
      </c>
    </row>
    <row r="968" spans="4:8" x14ac:dyDescent="0.25">
      <c r="D968" t="s">
        <v>103</v>
      </c>
      <c r="E968" t="s">
        <v>130</v>
      </c>
    </row>
    <row r="969" spans="4:8" x14ac:dyDescent="0.25">
      <c r="D969" t="s">
        <v>131</v>
      </c>
      <c r="E969" t="s">
        <v>343</v>
      </c>
      <c r="F969" t="s">
        <v>343</v>
      </c>
      <c r="G969" t="s">
        <v>343</v>
      </c>
      <c r="H969" t="s">
        <v>343</v>
      </c>
    </row>
    <row r="970" spans="4:8" x14ac:dyDescent="0.25">
      <c r="D970" t="s">
        <v>132</v>
      </c>
      <c r="E970">
        <v>1</v>
      </c>
      <c r="F970">
        <v>2</v>
      </c>
      <c r="G970">
        <v>3</v>
      </c>
      <c r="H970">
        <v>4</v>
      </c>
    </row>
    <row r="971" spans="4:8" x14ac:dyDescent="0.25">
      <c r="D971" t="s">
        <v>133</v>
      </c>
      <c r="E971" t="s">
        <v>86</v>
      </c>
      <c r="F971" t="s">
        <v>86</v>
      </c>
      <c r="G971" t="s">
        <v>86</v>
      </c>
      <c r="H971" t="s">
        <v>86</v>
      </c>
    </row>
    <row r="972" spans="4:8" x14ac:dyDescent="0.25">
      <c r="D972" t="s">
        <v>134</v>
      </c>
      <c r="E972">
        <v>1</v>
      </c>
      <c r="F972">
        <v>2</v>
      </c>
      <c r="G972">
        <v>3</v>
      </c>
      <c r="H972">
        <v>4</v>
      </c>
    </row>
    <row r="973" spans="4:8" x14ac:dyDescent="0.25">
      <c r="D973" t="s">
        <v>123</v>
      </c>
      <c r="E973">
        <v>75</v>
      </c>
      <c r="F973">
        <v>75</v>
      </c>
      <c r="G973">
        <v>75</v>
      </c>
      <c r="H973">
        <v>75</v>
      </c>
    </row>
    <row r="974" spans="4:8" x14ac:dyDescent="0.25">
      <c r="D974" t="s">
        <v>135</v>
      </c>
      <c r="E974">
        <v>71.88</v>
      </c>
      <c r="F974">
        <v>71.88</v>
      </c>
      <c r="G974">
        <v>71.88</v>
      </c>
      <c r="H974">
        <v>71.88</v>
      </c>
    </row>
    <row r="975" spans="4:8" x14ac:dyDescent="0.25">
      <c r="D975" t="s">
        <v>136</v>
      </c>
      <c r="E975" t="s">
        <v>332</v>
      </c>
      <c r="F975" t="s">
        <v>332</v>
      </c>
      <c r="G975" t="s">
        <v>332</v>
      </c>
      <c r="H975" t="s">
        <v>332</v>
      </c>
    </row>
    <row r="976" spans="4:8" x14ac:dyDescent="0.25">
      <c r="D976" t="s">
        <v>137</v>
      </c>
    </row>
    <row r="977" spans="2:5" x14ac:dyDescent="0.25">
      <c r="D977" t="s">
        <v>138</v>
      </c>
    </row>
    <row r="978" spans="2:5" x14ac:dyDescent="0.25">
      <c r="D978" t="s">
        <v>139</v>
      </c>
      <c r="E978" t="s">
        <v>140</v>
      </c>
    </row>
    <row r="979" spans="2:5" x14ac:dyDescent="0.25">
      <c r="D979" t="s">
        <v>342</v>
      </c>
    </row>
    <row r="984" spans="2:5" x14ac:dyDescent="0.25">
      <c r="B984" t="s">
        <v>330</v>
      </c>
    </row>
    <row r="985" spans="2:5" x14ac:dyDescent="0.25">
      <c r="B985" t="s">
        <v>331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Method</vt:lpstr>
      <vt:lpstr>Worklist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2022-01-25T01:59:32Z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