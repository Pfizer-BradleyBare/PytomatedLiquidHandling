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66FC042-DE8C-4163-AFA9-E7FFAA906AE1}" xr6:coauthVersionLast="47" xr6:coauthVersionMax="47" xr10:uidLastSave="{00000000-0000-0000-0000-000000000000}"/>
  <bookViews>
    <workbookView xWindow="5610" yWindow="1815" windowWidth="21600" windowHeight="11385" firstSheet="1" activeTab="5" xr2:uid="{00000000-000D-0000-FFFF-FFFF00000000}"/>
  </bookViews>
  <sheets>
    <sheet name="BuildingBlocks" sheetId="176" state="hidden" r:id="rId1"/>
    <sheet name="Worklist" sheetId="3" r:id="rId2"/>
    <sheet name="TestLog" sheetId="249" r:id="rId3"/>
    <sheet name="PrepList" sheetId="246" r:id="rId4"/>
    <sheet name="RunLog" sheetId="220" r:id="rId5"/>
    <sheet name="Method" sheetId="14" r:id="rId6"/>
    <sheet name="Solutions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1" i="14" l="1"/>
  <c r="G60" i="14"/>
  <c r="G59" i="14"/>
  <c r="C60" i="14"/>
  <c r="C59" i="14"/>
  <c r="E36" i="14"/>
  <c r="A3" i="3"/>
  <c r="H5" i="3"/>
  <c r="A2" i="3" l="1"/>
</calcChain>
</file>

<file path=xl/sharedStrings.xml><?xml version="1.0" encoding="utf-8"?>
<sst xmlns="http://schemas.openxmlformats.org/spreadsheetml/2006/main" count="797" uniqueCount="244">
  <si>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</si>
  <si>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</si>
  <si>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</si>
  <si>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</si>
  <si>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</si>
  <si>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</si>
  <si>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</si>
  <si>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</si>
  <si>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</si>
  <si>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</si>
  <si>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</si>
  <si>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</si>
  <si>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</si>
  <si>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</si>
  <si>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</si>
  <si>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</si>
  <si>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</si>
  <si>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</si>
  <si>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</si>
  <si>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</si>
  <si>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</si>
  <si>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</si>
  <si>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</si>
  <si>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</si>
  <si>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</si>
  <si>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</si>
  <si>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</si>
  <si>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</si>
  <si>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</si>
  <si>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</si>
  <si>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</si>
  <si>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</si>
  <si>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</si>
  <si>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</si>
  <si>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</si>
  <si>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</si>
  <si>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Reagent</t>
  </si>
  <si>
    <t>Neg Control 1</t>
  </si>
  <si>
    <t>Pos Control 3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</si>
  <si>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</si>
  <si>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</si>
  <si>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</si>
  <si>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</si>
  <si>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</si>
  <si>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</si>
  <si>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</si>
  <si>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</si>
  <si>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</si>
  <si>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</si>
  <si>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</si>
  <si>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</si>
  <si>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</si>
  <si>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</si>
  <si>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</si>
  <si>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</si>
  <si>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</si>
  <si>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</si>
  <si>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</si>
  <si>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</si>
  <si>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</si>
  <si>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</si>
  <si>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</si>
  <si>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</si>
  <si>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</si>
  <si>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</si>
  <si>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</si>
  <si>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</si>
  <si>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</si>
  <si>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</si>
  <si>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</si>
  <si>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</si>
  <si>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</si>
  <si>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</si>
  <si>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</si>
  <si>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</si>
  <si>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</si>
  <si>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</si>
  <si>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</si>
  <si>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</si>
  <si>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</si>
  <si>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</si>
  <si>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</si>
  <si>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</si>
  <si>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</si>
  <si>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</si>
  <si>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</si>
  <si>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</si>
  <si>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</si>
  <si>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</si>
  <si>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</si>
  <si>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</si>
  <si>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</si>
  <si>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</si>
  <si>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</si>
  <si>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</si>
  <si>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</si>
  <si>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</si>
  <si>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</si>
  <si>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</si>
  <si>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</si>
  <si>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</si>
  <si>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</si>
  <si>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</si>
  <si>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</si>
  <si>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</si>
  <si>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</si>
  <si>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</si>
  <si>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</si>
  <si>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</si>
  <si>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</si>
  <si>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Desalting</t>
  </si>
  <si>
    <t>MAM/Low Artifact</t>
  </si>
  <si>
    <t>[Module]</t>
  </si>
  <si>
    <t>[Command]</t>
  </si>
  <si>
    <t>Excel Location (Row,Col): (7,3)</t>
  </si>
  <si>
    <t>Step Title: Liquid Transfer</t>
  </si>
  <si>
    <t>Liquid Type: General Reagent</t>
  </si>
  <si>
    <t>Storage Condition: Ambient</t>
  </si>
  <si>
    <t>Mix?: Yes</t>
  </si>
  <si>
    <t>Test</t>
  </si>
  <si>
    <t>Pipette</t>
  </si>
  <si>
    <t>GetLiquidClassStrings</t>
  </si>
  <si>
    <t>[TransferVolume]</t>
  </si>
  <si>
    <t>[LiquidCategory]</t>
  </si>
  <si>
    <t>Water</t>
  </si>
  <si>
    <t>Wate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</si>
  <si>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</si>
  <si>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</si>
  <si>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</si>
  <si>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</si>
  <si>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</si>
  <si>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</si>
  <si>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</si>
  <si>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</si>
  <si>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</si>
  <si>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</si>
  <si>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</si>
  <si>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</si>
  <si>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</si>
  <si>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Labware</t>
  </si>
  <si>
    <t>Excel Location (Row,Col): (28,3)</t>
  </si>
  <si>
    <t>Step Title: Plate</t>
  </si>
  <si>
    <t>Name: Desalting</t>
  </si>
  <si>
    <t>Type: 96 Well PCR Plate</t>
  </si>
  <si>
    <t>Step Title: Finish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</si>
  <si>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</si>
  <si>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</si>
  <si>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</si>
  <si>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</si>
  <si>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</si>
  <si>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</si>
  <si>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F1</t>
  </si>
  <si>
    <t>[LidSequence]</t>
  </si>
  <si>
    <t>[LoadingLocation]</t>
  </si>
  <si>
    <t>Carrier14_Pos1</t>
  </si>
  <si>
    <t>Carrier14_Pos4</t>
  </si>
  <si>
    <t>[Volume]</t>
  </si>
  <si>
    <t>[LabwareType]</t>
  </si>
  <si>
    <t>FlipTube</t>
  </si>
  <si>
    <t>[LabwareCategory]</t>
  </si>
  <si>
    <t>[LabwareName]</t>
  </si>
  <si>
    <t>1200uL DeepWell 96 Well PCR Plate</t>
  </si>
  <si>
    <t>Hamilton 1.5mL FlipTub</t>
  </si>
  <si>
    <t>Notif</t>
  </si>
  <si>
    <t>IMCS SizeX Desalt - (Click Here to Update)</t>
  </si>
  <si>
    <t>Performing Desalting Equilibration</t>
  </si>
  <si>
    <t>Equilibrate</t>
  </si>
  <si>
    <t>[Parent]</t>
  </si>
  <si>
    <t>Step Title: IMCS SizeX Desalt</t>
  </si>
  <si>
    <t>Elution Method: MAM/Low Artifact</t>
  </si>
  <si>
    <t>Process</t>
  </si>
  <si>
    <t>test</t>
  </si>
  <si>
    <t>Name: test</t>
  </si>
  <si>
    <t>T5</t>
  </si>
  <si>
    <t>Carrier38_Pos1</t>
  </si>
  <si>
    <t>200mL Reagent Trough</t>
  </si>
  <si>
    <t>[Parents]</t>
  </si>
  <si>
    <t>[Waste]</t>
  </si>
  <si>
    <t>[Buffer]</t>
  </si>
  <si>
    <t>[Method]</t>
  </si>
  <si>
    <t>[Positions]</t>
  </si>
  <si>
    <t>Time</t>
  </si>
  <si>
    <t>StatusUpdat</t>
  </si>
  <si>
    <t>Li</t>
  </si>
  <si>
    <t>EN</t>
  </si>
  <si>
    <t>Liquid</t>
  </si>
  <si>
    <t>Liquid - (Click Here to Update)</t>
  </si>
  <si>
    <t>Source: Liquid</t>
  </si>
  <si>
    <t>Volume (uL): 100.0</t>
  </si>
  <si>
    <t>##2.1##</t>
  </si>
  <si>
    <t>##2.2##</t>
  </si>
  <si>
    <t>##2.3##</t>
  </si>
  <si>
    <t>Excel Location (Row,Col): (16,3)</t>
  </si>
  <si>
    <t>Excel Location (Row,Col): (22,3)</t>
  </si>
  <si>
    <t>Carrier14_Pos3_96WellPCRPlate200uL_1mLChannel</t>
  </si>
  <si>
    <t>Carrier14_Pos3_Lid_200uL</t>
  </si>
  <si>
    <t>Carrier14_Pos3</t>
  </si>
  <si>
    <t>200uL Biorad 96 Well PCR Plate</t>
  </si>
  <si>
    <t>[StartPosition]</t>
  </si>
  <si>
    <t>Carrier38_Pos3_96WellPCRPlate200uL_1mLChannel</t>
  </si>
  <si>
    <t>Carrier38_Pos3</t>
  </si>
  <si>
    <t>Waste</t>
  </si>
  <si>
    <t>Name: Waste</t>
  </si>
  <si>
    <t>Excel Location (Row,Col): (34,3)</t>
  </si>
  <si>
    <t>Split Plate - (Click Here to Update)</t>
  </si>
  <si>
    <t>IMCS Dest</t>
  </si>
  <si>
    <t>Buffer</t>
  </si>
  <si>
    <t>Buffer - (Click Here to Update)</t>
  </si>
  <si>
    <t>HCP/Proteomics</t>
  </si>
  <si>
    <t>Step Title: Split Plate</t>
  </si>
  <si>
    <t>Plate Name 1: New Plate 1</t>
  </si>
  <si>
    <t>Plate Name 2: New Plate 2</t>
  </si>
  <si>
    <t>Excel Location (Row,Col): (45,1)</t>
  </si>
  <si>
    <t>Name: IMCS Dest</t>
  </si>
  <si>
    <t>Excel Location (Row,Col): (45,5)</t>
  </si>
  <si>
    <t>Excel Location (Row,Col): (51,1)</t>
  </si>
  <si>
    <t>Source: test</t>
  </si>
  <si>
    <t>Equilibration Buffer: Buffer</t>
  </si>
  <si>
    <t>Volume: 100.0</t>
  </si>
  <si>
    <t>Excel Location (Row,Col): (51,5)</t>
  </si>
  <si>
    <t>Elution Method: HCP/Proteomics</t>
  </si>
  <si>
    <t>IMCS Dest plate deactivated</t>
  </si>
  <si>
    <t>Choice</t>
  </si>
  <si>
    <t xml:space="preserve">Plate Choice: Choice (Worklist Column) </t>
  </si>
  <si>
    <t>Excel Location (Row,Col): (57,1)</t>
  </si>
  <si>
    <t>IMCS Dest(57, 1)</t>
  </si>
  <si>
    <t>##11.2##</t>
  </si>
  <si>
    <t>##11.4##</t>
  </si>
  <si>
    <t>Excel Location (Row,Col): (57,5)</t>
  </si>
  <si>
    <t>IMCS Dest(57, 5)</t>
  </si>
  <si>
    <t>##12.2##</t>
  </si>
  <si>
    <t>##12.4##</t>
  </si>
  <si>
    <t>Excel Location (Row,Col): (66,1)</t>
  </si>
  <si>
    <t>Excel Location (Row,Col): (66,5)</t>
  </si>
  <si>
    <t>Carrier14_Pos2_96WellPCRPlate1200uL_1mLChannel</t>
  </si>
  <si>
    <t>Carrier14_Pos2</t>
  </si>
  <si>
    <t>Waste 1</t>
  </si>
  <si>
    <t>Waste 2</t>
  </si>
  <si>
    <t>Name: Waste 1</t>
  </si>
  <si>
    <t>Name: Waste 2</t>
  </si>
  <si>
    <t>Waste Plate: Waste 1</t>
  </si>
  <si>
    <t>Waste Plate: Waste 2</t>
  </si>
  <si>
    <t>Carrier14_Pos4_96WellPCRPlate1200uL_1mLChannel</t>
  </si>
  <si>
    <t>Carrier14_Pos4_Lid_1200uL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</si>
</sst>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1C40F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0" borderId="0" xfId="0" applyBorder="1"/>
    <xf numFmtId="0" fontId="0" fillId="0" borderId="6" xfId="0" applyBorder="1"/>
    <xf numFmtId="0" fontId="0" fillId="0" borderId="1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10" xfId="0" applyFont="1" applyBorder="1"/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10" xfId="0" applyBorder="1"/>
    <xf numFmtId="0" fontId="2" fillId="6" borderId="2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left" vertical="center"/>
    </xf>
    <xf numFmtId="0" fontId="2" fillId="6" borderId="12" xfId="0" applyFont="1" applyFill="1" applyBorder="1" applyAlignment="1">
      <alignment horizontal="left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9923D-9B40-4560-954B-7AEEC62EE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D404CD-F9FE-44EC-8AF4-E152BF84D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2</xdr:row>
          <xdr:rowOff>66675</xdr:rowOff>
        </xdr:from>
        <xdr:to>
          <xdr:col>15</xdr:col>
          <xdr:colOff>571500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D30B-51A0-4707-A65C-E119F97A80FE}">
  <dimension ref="B1:D306"/>
  <sheetViews>
    <sheetView topLeftCell="A151" workbookViewId="0">
      <selection activeCell="C171" sqref="C17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24" t="s">
        <v>39</v>
      </c>
      <c r="C2" s="8" t="s">
        <v>30</v>
      </c>
      <c r="D2" s="15"/>
    </row>
    <row r="3" spans="2:4" x14ac:dyDescent="0.25">
      <c r="B3" s="18" t="s">
        <v>40</v>
      </c>
      <c r="C3" t="b">
        <v>0</v>
      </c>
      <c r="D3" s="13"/>
    </row>
    <row r="4" spans="2:4" x14ac:dyDescent="0.25">
      <c r="B4" s="18" t="s">
        <v>41</v>
      </c>
      <c r="C4" t="s">
        <v>42</v>
      </c>
      <c r="D4" s="13"/>
    </row>
    <row r="5" spans="2:4" x14ac:dyDescent="0.25">
      <c r="B5" s="18" t="s">
        <v>43</v>
      </c>
      <c r="C5" t="b">
        <v>1</v>
      </c>
      <c r="D5" s="13"/>
    </row>
    <row r="6" spans="2:4" x14ac:dyDescent="0.25">
      <c r="B6" s="18"/>
      <c r="D6" s="13"/>
    </row>
    <row r="7" spans="2:4" x14ac:dyDescent="0.25">
      <c r="B7" s="18" t="s">
        <v>44</v>
      </c>
      <c r="C7" t="s">
        <v>0</v>
      </c>
      <c r="D7" s="13"/>
    </row>
    <row r="8" spans="2:4" x14ac:dyDescent="0.25">
      <c r="B8" s="18" t="s">
        <v>45</v>
      </c>
      <c r="C8" t="s">
        <v>46</v>
      </c>
      <c r="D8" s="13"/>
    </row>
    <row r="9" spans="2:4" x14ac:dyDescent="0.25">
      <c r="B9" s="18" t="s">
        <v>47</v>
      </c>
      <c r="D9" s="13"/>
    </row>
    <row r="10" spans="2:4" x14ac:dyDescent="0.25">
      <c r="B10" s="18" t="s">
        <v>48</v>
      </c>
      <c r="C10" t="b">
        <v>0</v>
      </c>
      <c r="D10" s="13"/>
    </row>
    <row r="11" spans="2:4" x14ac:dyDescent="0.25">
      <c r="B11" s="18"/>
      <c r="D11" s="13"/>
    </row>
    <row r="12" spans="2:4" x14ac:dyDescent="0.25">
      <c r="B12" s="18" t="s">
        <v>44</v>
      </c>
      <c r="C12" t="s">
        <v>7</v>
      </c>
      <c r="D12" s="13"/>
    </row>
    <row r="13" spans="2:4" x14ac:dyDescent="0.25">
      <c r="B13" s="18" t="s">
        <v>45</v>
      </c>
      <c r="C13" t="s">
        <v>49</v>
      </c>
      <c r="D13" s="13" t="s">
        <v>50</v>
      </c>
    </row>
    <row r="14" spans="2:4" ht="15.75" thickBot="1" x14ac:dyDescent="0.3">
      <c r="B14" s="19" t="s">
        <v>47</v>
      </c>
      <c r="C14" s="16" t="s">
        <v>3</v>
      </c>
      <c r="D14" s="17"/>
    </row>
    <row r="15" spans="2:4" x14ac:dyDescent="0.25">
      <c r="B15" s="18" t="s">
        <v>48</v>
      </c>
      <c r="C15" t="b">
        <v>0</v>
      </c>
      <c r="D15" s="13"/>
    </row>
    <row r="16" spans="2:4" ht="15.75" thickBot="1" x14ac:dyDescent="0.3"/>
    <row r="17" spans="2:4" ht="23.25" x14ac:dyDescent="0.35">
      <c r="B17" s="24" t="s">
        <v>39</v>
      </c>
      <c r="C17" s="8" t="s">
        <v>51</v>
      </c>
      <c r="D17" s="15"/>
    </row>
    <row r="18" spans="2:4" x14ac:dyDescent="0.25">
      <c r="B18" s="18" t="s">
        <v>40</v>
      </c>
      <c r="C18" t="b">
        <v>0</v>
      </c>
      <c r="D18" s="13"/>
    </row>
    <row r="19" spans="2:4" x14ac:dyDescent="0.25">
      <c r="B19" s="18" t="s">
        <v>41</v>
      </c>
      <c r="C19" t="s">
        <v>52</v>
      </c>
      <c r="D19" s="13"/>
    </row>
    <row r="20" spans="2:4" x14ac:dyDescent="0.25">
      <c r="B20" s="18" t="s">
        <v>43</v>
      </c>
      <c r="C20" t="b">
        <v>1</v>
      </c>
      <c r="D20" s="13"/>
    </row>
    <row r="21" spans="2:4" x14ac:dyDescent="0.25">
      <c r="B21" s="18"/>
      <c r="D21" s="13"/>
    </row>
    <row r="22" spans="2:4" x14ac:dyDescent="0.25">
      <c r="B22" s="18" t="s">
        <v>44</v>
      </c>
      <c r="C22" t="s">
        <v>9</v>
      </c>
      <c r="D22" s="13"/>
    </row>
    <row r="23" spans="2:4" x14ac:dyDescent="0.25">
      <c r="B23" s="18" t="s">
        <v>45</v>
      </c>
      <c r="C23" t="s">
        <v>46</v>
      </c>
      <c r="D23" s="13"/>
    </row>
    <row r="24" spans="2:4" x14ac:dyDescent="0.25">
      <c r="B24" s="18" t="s">
        <v>47</v>
      </c>
      <c r="D24" s="13"/>
    </row>
    <row r="25" spans="2:4" x14ac:dyDescent="0.25">
      <c r="B25" s="18" t="s">
        <v>48</v>
      </c>
      <c r="C25" t="b">
        <v>0</v>
      </c>
      <c r="D25" s="13"/>
    </row>
    <row r="26" spans="2:4" x14ac:dyDescent="0.25">
      <c r="B26" s="18"/>
      <c r="D26" s="13"/>
    </row>
    <row r="27" spans="2:4" x14ac:dyDescent="0.25">
      <c r="B27" s="18" t="s">
        <v>44</v>
      </c>
      <c r="C27" t="s">
        <v>10</v>
      </c>
      <c r="D27" s="13"/>
    </row>
    <row r="28" spans="2:4" x14ac:dyDescent="0.25">
      <c r="B28" s="18" t="s">
        <v>45</v>
      </c>
      <c r="C28" t="s">
        <v>46</v>
      </c>
      <c r="D28" s="13"/>
    </row>
    <row r="29" spans="2:4" x14ac:dyDescent="0.25">
      <c r="B29" s="18" t="s">
        <v>47</v>
      </c>
      <c r="C29" t="s">
        <v>11</v>
      </c>
      <c r="D29" s="13"/>
    </row>
    <row r="30" spans="2:4" x14ac:dyDescent="0.25">
      <c r="B30" s="18" t="s">
        <v>48</v>
      </c>
      <c r="C30" t="b">
        <v>0</v>
      </c>
      <c r="D30" s="13"/>
    </row>
    <row r="31" spans="2:4" x14ac:dyDescent="0.25">
      <c r="B31" s="18"/>
      <c r="D31" s="13"/>
    </row>
    <row r="32" spans="2:4" x14ac:dyDescent="0.25">
      <c r="B32" s="18" t="s">
        <v>44</v>
      </c>
      <c r="C32" t="s">
        <v>12</v>
      </c>
      <c r="D32" s="13"/>
    </row>
    <row r="33" spans="2:4" x14ac:dyDescent="0.25">
      <c r="B33" s="18" t="s">
        <v>45</v>
      </c>
      <c r="C33" t="s">
        <v>46</v>
      </c>
      <c r="D33" s="13"/>
    </row>
    <row r="34" spans="2:4" ht="15.75" thickBot="1" x14ac:dyDescent="0.3">
      <c r="B34" s="19" t="s">
        <v>47</v>
      </c>
      <c r="C34" s="16" t="s">
        <v>13</v>
      </c>
      <c r="D34" s="17"/>
    </row>
    <row r="35" spans="2:4" x14ac:dyDescent="0.25">
      <c r="B35" s="18" t="s">
        <v>48</v>
      </c>
      <c r="C35" t="b">
        <v>0</v>
      </c>
      <c r="D35" s="13"/>
    </row>
    <row r="36" spans="2:4" ht="15.75" thickBot="1" x14ac:dyDescent="0.3"/>
    <row r="37" spans="2:4" ht="23.25" x14ac:dyDescent="0.35">
      <c r="B37" s="24" t="s">
        <v>39</v>
      </c>
      <c r="C37" s="8" t="s">
        <v>53</v>
      </c>
      <c r="D37" s="15"/>
    </row>
    <row r="38" spans="2:4" x14ac:dyDescent="0.25">
      <c r="B38" s="18" t="s">
        <v>40</v>
      </c>
      <c r="C38" t="b">
        <v>0</v>
      </c>
      <c r="D38" s="13"/>
    </row>
    <row r="39" spans="2:4" x14ac:dyDescent="0.25">
      <c r="B39" s="18" t="s">
        <v>41</v>
      </c>
      <c r="C39" t="s">
        <v>54</v>
      </c>
      <c r="D39" s="13"/>
    </row>
    <row r="40" spans="2:4" x14ac:dyDescent="0.25">
      <c r="B40" s="18" t="s">
        <v>43</v>
      </c>
      <c r="C40" t="b">
        <v>1</v>
      </c>
      <c r="D40" s="13"/>
    </row>
    <row r="41" spans="2:4" x14ac:dyDescent="0.25">
      <c r="B41" s="18"/>
      <c r="D41" s="13"/>
    </row>
    <row r="42" spans="2:4" x14ac:dyDescent="0.25">
      <c r="B42" s="18" t="s">
        <v>44</v>
      </c>
      <c r="C42" t="s">
        <v>55</v>
      </c>
      <c r="D42" s="13"/>
    </row>
    <row r="43" spans="2:4" x14ac:dyDescent="0.25">
      <c r="B43" s="18" t="s">
        <v>45</v>
      </c>
      <c r="C43" t="s">
        <v>46</v>
      </c>
      <c r="D43" s="13"/>
    </row>
    <row r="44" spans="2:4" x14ac:dyDescent="0.25">
      <c r="B44" s="18" t="s">
        <v>47</v>
      </c>
      <c r="D44" s="13"/>
    </row>
    <row r="45" spans="2:4" x14ac:dyDescent="0.25">
      <c r="B45" s="18" t="s">
        <v>48</v>
      </c>
      <c r="C45" t="b">
        <v>0</v>
      </c>
      <c r="D45" s="13"/>
    </row>
    <row r="46" spans="2:4" x14ac:dyDescent="0.25">
      <c r="B46" s="18"/>
      <c r="D46" s="13"/>
    </row>
    <row r="47" spans="2:4" x14ac:dyDescent="0.25">
      <c r="B47" s="18" t="s">
        <v>44</v>
      </c>
      <c r="C47" t="s">
        <v>56</v>
      </c>
      <c r="D47" s="13"/>
    </row>
    <row r="48" spans="2:4" x14ac:dyDescent="0.25">
      <c r="B48" s="18" t="s">
        <v>45</v>
      </c>
      <c r="C48" t="s">
        <v>49</v>
      </c>
      <c r="D48" s="13" t="s">
        <v>57</v>
      </c>
    </row>
    <row r="49" spans="2:4" ht="15.75" thickBot="1" x14ac:dyDescent="0.3">
      <c r="B49" s="19" t="s">
        <v>47</v>
      </c>
      <c r="C49" s="16" t="s">
        <v>21</v>
      </c>
      <c r="D49" s="17"/>
    </row>
    <row r="50" spans="2:4" x14ac:dyDescent="0.25">
      <c r="B50" s="18" t="s">
        <v>48</v>
      </c>
      <c r="C50" t="b">
        <v>0</v>
      </c>
      <c r="D50" s="13"/>
    </row>
    <row r="51" spans="2:4" ht="15.75" thickBot="1" x14ac:dyDescent="0.3"/>
    <row r="52" spans="2:4" ht="23.25" x14ac:dyDescent="0.35">
      <c r="B52" s="24" t="s">
        <v>39</v>
      </c>
      <c r="C52" s="8" t="s">
        <v>58</v>
      </c>
      <c r="D52" s="15"/>
    </row>
    <row r="53" spans="2:4" x14ac:dyDescent="0.25">
      <c r="B53" s="18" t="s">
        <v>40</v>
      </c>
      <c r="C53" t="b">
        <v>0</v>
      </c>
      <c r="D53" s="13"/>
    </row>
    <row r="54" spans="2:4" x14ac:dyDescent="0.25">
      <c r="B54" s="18" t="s">
        <v>41</v>
      </c>
      <c r="C54" t="s">
        <v>42</v>
      </c>
      <c r="D54" s="13"/>
    </row>
    <row r="55" spans="2:4" x14ac:dyDescent="0.25">
      <c r="B55" s="18" t="s">
        <v>43</v>
      </c>
      <c r="C55" t="b">
        <v>1</v>
      </c>
      <c r="D55" s="13"/>
    </row>
    <row r="56" spans="2:4" ht="15.75" thickBot="1" x14ac:dyDescent="0.3">
      <c r="B56" s="19"/>
      <c r="C56" s="16"/>
      <c r="D56" s="17"/>
    </row>
    <row r="57" spans="2:4" ht="15.75" thickBot="1" x14ac:dyDescent="0.3"/>
    <row r="58" spans="2:4" ht="23.25" x14ac:dyDescent="0.35">
      <c r="B58" s="24" t="s">
        <v>39</v>
      </c>
      <c r="C58" s="8" t="s">
        <v>59</v>
      </c>
      <c r="D58" s="15"/>
    </row>
    <row r="59" spans="2:4" x14ac:dyDescent="0.25">
      <c r="B59" s="18" t="s">
        <v>40</v>
      </c>
      <c r="C59" t="b">
        <v>1</v>
      </c>
      <c r="D59" s="13"/>
    </row>
    <row r="60" spans="2:4" x14ac:dyDescent="0.25">
      <c r="B60" s="18" t="s">
        <v>41</v>
      </c>
      <c r="C60" t="s">
        <v>60</v>
      </c>
      <c r="D60" s="13"/>
    </row>
    <row r="61" spans="2:4" x14ac:dyDescent="0.25">
      <c r="B61" s="18" t="s">
        <v>43</v>
      </c>
      <c r="C61" t="b">
        <v>1</v>
      </c>
      <c r="D61" s="13"/>
    </row>
    <row r="62" spans="2:4" x14ac:dyDescent="0.25">
      <c r="B62" s="18"/>
      <c r="D62" s="13"/>
    </row>
    <row r="63" spans="2:4" x14ac:dyDescent="0.25">
      <c r="B63" s="18" t="s">
        <v>44</v>
      </c>
      <c r="C63" t="s">
        <v>14</v>
      </c>
      <c r="D63" s="13"/>
    </row>
    <row r="64" spans="2:4" x14ac:dyDescent="0.25">
      <c r="B64" s="18" t="s">
        <v>45</v>
      </c>
      <c r="C64" t="s">
        <v>46</v>
      </c>
      <c r="D64" s="13"/>
    </row>
    <row r="65" spans="2:4" x14ac:dyDescent="0.25">
      <c r="B65" s="18" t="s">
        <v>47</v>
      </c>
      <c r="D65" s="13"/>
    </row>
    <row r="66" spans="2:4" x14ac:dyDescent="0.25">
      <c r="B66" s="18" t="s">
        <v>48</v>
      </c>
      <c r="C66" t="b">
        <v>1</v>
      </c>
      <c r="D66" s="13"/>
    </row>
    <row r="67" spans="2:4" x14ac:dyDescent="0.25">
      <c r="B67" s="18"/>
      <c r="D67" s="13"/>
    </row>
    <row r="68" spans="2:4" x14ac:dyDescent="0.25">
      <c r="B68" s="18" t="s">
        <v>44</v>
      </c>
      <c r="C68" t="s">
        <v>15</v>
      </c>
      <c r="D68" s="13"/>
    </row>
    <row r="69" spans="2:4" x14ac:dyDescent="0.25">
      <c r="B69" s="18" t="s">
        <v>45</v>
      </c>
      <c r="C69" t="s">
        <v>49</v>
      </c>
      <c r="D69" s="13" t="s">
        <v>61</v>
      </c>
    </row>
    <row r="70" spans="2:4" x14ac:dyDescent="0.25">
      <c r="B70" s="18" t="s">
        <v>47</v>
      </c>
      <c r="C70" t="s">
        <v>16</v>
      </c>
      <c r="D70" s="13"/>
    </row>
    <row r="71" spans="2:4" x14ac:dyDescent="0.25">
      <c r="B71" s="18" t="s">
        <v>48</v>
      </c>
      <c r="C71" t="b">
        <v>0</v>
      </c>
      <c r="D71" s="13"/>
    </row>
    <row r="72" spans="2:4" x14ac:dyDescent="0.25">
      <c r="B72" s="18"/>
      <c r="D72" s="13"/>
    </row>
    <row r="73" spans="2:4" x14ac:dyDescent="0.25">
      <c r="B73" s="18" t="s">
        <v>44</v>
      </c>
      <c r="C73" t="s">
        <v>17</v>
      </c>
      <c r="D73" s="13"/>
    </row>
    <row r="74" spans="2:4" x14ac:dyDescent="0.25">
      <c r="B74" s="18" t="s">
        <v>45</v>
      </c>
      <c r="C74" t="s">
        <v>49</v>
      </c>
      <c r="D74" s="13" t="s">
        <v>62</v>
      </c>
    </row>
    <row r="75" spans="2:4" x14ac:dyDescent="0.25">
      <c r="B75" s="18" t="s">
        <v>47</v>
      </c>
      <c r="C75" t="s">
        <v>18</v>
      </c>
      <c r="D75" s="13"/>
    </row>
    <row r="76" spans="2:4" x14ac:dyDescent="0.25">
      <c r="B76" s="18" t="s">
        <v>48</v>
      </c>
      <c r="C76" t="b">
        <v>0</v>
      </c>
      <c r="D76" s="13"/>
    </row>
    <row r="77" spans="2:4" x14ac:dyDescent="0.25">
      <c r="B77" s="18"/>
      <c r="D77" s="13"/>
    </row>
    <row r="78" spans="2:4" x14ac:dyDescent="0.25">
      <c r="B78" s="18" t="s">
        <v>44</v>
      </c>
      <c r="C78" t="s">
        <v>19</v>
      </c>
      <c r="D78" s="13"/>
    </row>
    <row r="79" spans="2:4" x14ac:dyDescent="0.25">
      <c r="B79" s="18" t="s">
        <v>45</v>
      </c>
      <c r="C79" t="s">
        <v>46</v>
      </c>
      <c r="D79" s="13"/>
    </row>
    <row r="80" spans="2:4" x14ac:dyDescent="0.25">
      <c r="B80" s="18" t="s">
        <v>47</v>
      </c>
      <c r="D80" s="13"/>
    </row>
    <row r="81" spans="2:4" x14ac:dyDescent="0.25">
      <c r="B81" s="18" t="s">
        <v>48</v>
      </c>
      <c r="C81" t="b">
        <v>0</v>
      </c>
      <c r="D81" s="13"/>
    </row>
    <row r="82" spans="2:4" x14ac:dyDescent="0.25">
      <c r="B82" s="18"/>
      <c r="D82" s="13"/>
    </row>
    <row r="83" spans="2:4" x14ac:dyDescent="0.25">
      <c r="B83" s="18" t="s">
        <v>44</v>
      </c>
      <c r="C83" t="s">
        <v>20</v>
      </c>
      <c r="D83" s="13"/>
    </row>
    <row r="84" spans="2:4" x14ac:dyDescent="0.25">
      <c r="B84" s="18" t="s">
        <v>45</v>
      </c>
      <c r="C84" t="s">
        <v>49</v>
      </c>
      <c r="D84" s="13" t="s">
        <v>57</v>
      </c>
    </row>
    <row r="85" spans="2:4" ht="15.75" thickBot="1" x14ac:dyDescent="0.3">
      <c r="B85" s="19" t="s">
        <v>47</v>
      </c>
      <c r="C85" s="16" t="s">
        <v>21</v>
      </c>
      <c r="D85" s="17"/>
    </row>
    <row r="86" spans="2:4" x14ac:dyDescent="0.25">
      <c r="B86" s="18" t="s">
        <v>48</v>
      </c>
      <c r="C86" t="b">
        <v>0</v>
      </c>
      <c r="D86" s="13"/>
    </row>
    <row r="87" spans="2:4" ht="15.75" thickBot="1" x14ac:dyDescent="0.3"/>
    <row r="88" spans="2:4" ht="23.25" x14ac:dyDescent="0.35">
      <c r="B88" s="24" t="s">
        <v>39</v>
      </c>
      <c r="C88" s="8" t="s">
        <v>63</v>
      </c>
      <c r="D88" s="15"/>
    </row>
    <row r="89" spans="2:4" x14ac:dyDescent="0.25">
      <c r="B89" s="18" t="s">
        <v>40</v>
      </c>
      <c r="C89" t="b">
        <v>1</v>
      </c>
      <c r="D89" s="13"/>
    </row>
    <row r="90" spans="2:4" x14ac:dyDescent="0.25">
      <c r="B90" s="18" t="s">
        <v>41</v>
      </c>
      <c r="C90" t="s">
        <v>64</v>
      </c>
      <c r="D90" s="13"/>
    </row>
    <row r="91" spans="2:4" x14ac:dyDescent="0.25">
      <c r="B91" s="18" t="s">
        <v>43</v>
      </c>
      <c r="C91" t="b">
        <v>1</v>
      </c>
      <c r="D91" s="13"/>
    </row>
    <row r="92" spans="2:4" x14ac:dyDescent="0.25">
      <c r="B92" s="18"/>
      <c r="D92" s="13"/>
    </row>
    <row r="93" spans="2:4" x14ac:dyDescent="0.25">
      <c r="B93" s="18" t="s">
        <v>44</v>
      </c>
      <c r="C93" t="s">
        <v>14</v>
      </c>
      <c r="D93" s="13"/>
    </row>
    <row r="94" spans="2:4" x14ac:dyDescent="0.25">
      <c r="B94" s="18" t="s">
        <v>45</v>
      </c>
      <c r="C94" t="s">
        <v>46</v>
      </c>
      <c r="D94" s="13"/>
    </row>
    <row r="95" spans="2:4" x14ac:dyDescent="0.25">
      <c r="B95" s="18" t="s">
        <v>47</v>
      </c>
      <c r="D95" s="13"/>
    </row>
    <row r="96" spans="2:4" x14ac:dyDescent="0.25">
      <c r="B96" s="18" t="s">
        <v>48</v>
      </c>
      <c r="C96" t="b">
        <v>1</v>
      </c>
      <c r="D96" s="13"/>
    </row>
    <row r="97" spans="2:4" x14ac:dyDescent="0.25">
      <c r="B97" s="18"/>
      <c r="D97" s="13"/>
    </row>
    <row r="98" spans="2:4" x14ac:dyDescent="0.25">
      <c r="B98" s="18" t="s">
        <v>44</v>
      </c>
      <c r="C98" t="s">
        <v>31</v>
      </c>
      <c r="D98" s="13"/>
    </row>
    <row r="99" spans="2:4" x14ac:dyDescent="0.25">
      <c r="B99" s="18" t="s">
        <v>45</v>
      </c>
      <c r="C99" t="s">
        <v>46</v>
      </c>
      <c r="D99" s="13"/>
    </row>
    <row r="100" spans="2:4" x14ac:dyDescent="0.25">
      <c r="B100" s="18" t="s">
        <v>47</v>
      </c>
      <c r="D100" s="13"/>
    </row>
    <row r="101" spans="2:4" x14ac:dyDescent="0.25">
      <c r="B101" s="18" t="s">
        <v>48</v>
      </c>
      <c r="C101" t="b">
        <v>1</v>
      </c>
      <c r="D101" s="13"/>
    </row>
    <row r="102" spans="2:4" x14ac:dyDescent="0.25">
      <c r="B102" s="18"/>
      <c r="D102" s="13"/>
    </row>
    <row r="103" spans="2:4" x14ac:dyDescent="0.25">
      <c r="B103" s="18" t="s">
        <v>44</v>
      </c>
      <c r="C103" t="s">
        <v>65</v>
      </c>
      <c r="D103" s="13"/>
    </row>
    <row r="104" spans="2:4" x14ac:dyDescent="0.25">
      <c r="B104" s="18" t="s">
        <v>45</v>
      </c>
      <c r="C104" t="s">
        <v>46</v>
      </c>
      <c r="D104" s="13"/>
    </row>
    <row r="105" spans="2:4" x14ac:dyDescent="0.25">
      <c r="B105" s="18" t="s">
        <v>47</v>
      </c>
      <c r="D105" s="13"/>
    </row>
    <row r="106" spans="2:4" x14ac:dyDescent="0.25">
      <c r="B106" s="18" t="s">
        <v>48</v>
      </c>
      <c r="C106" t="b">
        <v>0</v>
      </c>
      <c r="D106" s="13"/>
    </row>
    <row r="107" spans="2:4" x14ac:dyDescent="0.25">
      <c r="B107" s="18"/>
      <c r="D107" s="13"/>
    </row>
    <row r="108" spans="2:4" x14ac:dyDescent="0.25">
      <c r="B108" s="18" t="s">
        <v>44</v>
      </c>
      <c r="C108" t="s">
        <v>66</v>
      </c>
      <c r="D108" s="13"/>
    </row>
    <row r="109" spans="2:4" x14ac:dyDescent="0.25">
      <c r="B109" s="18" t="s">
        <v>45</v>
      </c>
      <c r="C109" t="s">
        <v>46</v>
      </c>
      <c r="D109" s="13"/>
    </row>
    <row r="110" spans="2:4" x14ac:dyDescent="0.25">
      <c r="B110" s="18" t="s">
        <v>47</v>
      </c>
      <c r="D110" s="13"/>
    </row>
    <row r="111" spans="2:4" x14ac:dyDescent="0.25">
      <c r="B111" s="18" t="s">
        <v>48</v>
      </c>
      <c r="C111" t="b">
        <v>0</v>
      </c>
      <c r="D111" s="13"/>
    </row>
    <row r="112" spans="2:4" x14ac:dyDescent="0.25">
      <c r="B112" s="18"/>
      <c r="D112" s="13"/>
    </row>
    <row r="113" spans="2:4" x14ac:dyDescent="0.25">
      <c r="B113" s="18" t="s">
        <v>44</v>
      </c>
      <c r="C113" t="s">
        <v>67</v>
      </c>
      <c r="D113" s="13"/>
    </row>
    <row r="114" spans="2:4" x14ac:dyDescent="0.25">
      <c r="B114" s="18" t="s">
        <v>45</v>
      </c>
      <c r="C114" t="s">
        <v>46</v>
      </c>
      <c r="D114" s="13"/>
    </row>
    <row r="115" spans="2:4" x14ac:dyDescent="0.25">
      <c r="B115" s="18" t="s">
        <v>47</v>
      </c>
      <c r="D115" s="13"/>
    </row>
    <row r="116" spans="2:4" x14ac:dyDescent="0.25">
      <c r="B116" s="18" t="s">
        <v>48</v>
      </c>
      <c r="C116" t="b">
        <v>0</v>
      </c>
      <c r="D116" s="13"/>
    </row>
    <row r="117" spans="2:4" x14ac:dyDescent="0.25">
      <c r="B117" s="18"/>
      <c r="D117" s="13"/>
    </row>
    <row r="118" spans="2:4" x14ac:dyDescent="0.25">
      <c r="B118" s="18" t="s">
        <v>44</v>
      </c>
      <c r="C118" t="s">
        <v>68</v>
      </c>
      <c r="D118" s="13"/>
    </row>
    <row r="119" spans="2:4" x14ac:dyDescent="0.25">
      <c r="B119" s="18" t="s">
        <v>45</v>
      </c>
      <c r="C119" t="s">
        <v>46</v>
      </c>
      <c r="D119" s="13"/>
    </row>
    <row r="120" spans="2:4" ht="15.75" thickBot="1" x14ac:dyDescent="0.3">
      <c r="B120" s="19" t="s">
        <v>47</v>
      </c>
      <c r="C120" s="16"/>
      <c r="D120" s="17"/>
    </row>
    <row r="121" spans="2:4" x14ac:dyDescent="0.25">
      <c r="B121" s="18" t="s">
        <v>48</v>
      </c>
      <c r="C121" t="b">
        <v>0</v>
      </c>
      <c r="D121" s="13"/>
    </row>
    <row r="122" spans="2:4" ht="15.75" thickBot="1" x14ac:dyDescent="0.3"/>
    <row r="123" spans="2:4" ht="23.25" x14ac:dyDescent="0.35">
      <c r="B123" s="24" t="s">
        <v>39</v>
      </c>
      <c r="C123" s="8" t="s">
        <v>69</v>
      </c>
      <c r="D123" s="15"/>
    </row>
    <row r="124" spans="2:4" x14ac:dyDescent="0.25">
      <c r="B124" s="18" t="s">
        <v>40</v>
      </c>
      <c r="C124" t="b">
        <v>1</v>
      </c>
      <c r="D124" s="13"/>
    </row>
    <row r="125" spans="2:4" x14ac:dyDescent="0.25">
      <c r="B125" s="18" t="s">
        <v>41</v>
      </c>
      <c r="C125" t="s">
        <v>70</v>
      </c>
      <c r="D125" s="13"/>
    </row>
    <row r="126" spans="2:4" x14ac:dyDescent="0.25">
      <c r="B126" s="18" t="s">
        <v>43</v>
      </c>
      <c r="C126" t="b">
        <v>1</v>
      </c>
      <c r="D126" s="13"/>
    </row>
    <row r="127" spans="2:4" x14ac:dyDescent="0.25">
      <c r="B127" s="18"/>
      <c r="D127" s="13"/>
    </row>
    <row r="128" spans="2:4" x14ac:dyDescent="0.25">
      <c r="B128" s="18" t="s">
        <v>44</v>
      </c>
      <c r="C128" t="s">
        <v>32</v>
      </c>
      <c r="D128" s="13"/>
    </row>
    <row r="129" spans="2:4" x14ac:dyDescent="0.25">
      <c r="B129" s="18" t="s">
        <v>45</v>
      </c>
      <c r="C129" t="s">
        <v>71</v>
      </c>
      <c r="D129" s="13" t="s">
        <v>72</v>
      </c>
    </row>
    <row r="130" spans="2:4" x14ac:dyDescent="0.25">
      <c r="B130" s="18" t="s">
        <v>47</v>
      </c>
      <c r="C130" t="s">
        <v>18</v>
      </c>
      <c r="D130" s="13"/>
    </row>
    <row r="131" spans="2:4" x14ac:dyDescent="0.25">
      <c r="B131" s="18" t="s">
        <v>48</v>
      </c>
      <c r="C131" t="b">
        <v>0</v>
      </c>
      <c r="D131" s="13"/>
    </row>
    <row r="132" spans="2:4" x14ac:dyDescent="0.25">
      <c r="B132" s="18"/>
      <c r="D132" s="13"/>
    </row>
    <row r="133" spans="2:4" x14ac:dyDescent="0.25">
      <c r="B133" s="18" t="s">
        <v>44</v>
      </c>
      <c r="C133" t="s">
        <v>33</v>
      </c>
      <c r="D133" s="13"/>
    </row>
    <row r="134" spans="2:4" x14ac:dyDescent="0.25">
      <c r="B134" s="18" t="s">
        <v>45</v>
      </c>
      <c r="C134" t="s">
        <v>46</v>
      </c>
      <c r="D134" s="13"/>
    </row>
    <row r="135" spans="2:4" x14ac:dyDescent="0.25">
      <c r="B135" s="18" t="s">
        <v>47</v>
      </c>
      <c r="D135" s="13"/>
    </row>
    <row r="136" spans="2:4" x14ac:dyDescent="0.25">
      <c r="B136" s="18" t="s">
        <v>48</v>
      </c>
      <c r="C136" t="b">
        <v>0</v>
      </c>
      <c r="D136" s="13"/>
    </row>
    <row r="137" spans="2:4" x14ac:dyDescent="0.25">
      <c r="B137" s="18"/>
      <c r="D137" s="13"/>
    </row>
    <row r="138" spans="2:4" x14ac:dyDescent="0.25">
      <c r="B138" s="18" t="s">
        <v>44</v>
      </c>
      <c r="C138" t="s">
        <v>34</v>
      </c>
      <c r="D138" s="13"/>
    </row>
    <row r="139" spans="2:4" x14ac:dyDescent="0.25">
      <c r="B139" s="18" t="s">
        <v>45</v>
      </c>
      <c r="C139" t="s">
        <v>46</v>
      </c>
      <c r="D139" s="13"/>
    </row>
    <row r="140" spans="2:4" ht="15.75" thickBot="1" x14ac:dyDescent="0.3">
      <c r="B140" s="19" t="s">
        <v>47</v>
      </c>
      <c r="C140" s="16">
        <v>0</v>
      </c>
      <c r="D140" s="17"/>
    </row>
    <row r="141" spans="2:4" x14ac:dyDescent="0.25">
      <c r="B141" s="18" t="s">
        <v>48</v>
      </c>
      <c r="C141" t="b">
        <v>0</v>
      </c>
      <c r="D141" s="13"/>
    </row>
    <row r="142" spans="2:4" ht="15.75" thickBot="1" x14ac:dyDescent="0.3"/>
    <row r="143" spans="2:4" ht="23.25" x14ac:dyDescent="0.35">
      <c r="B143" s="24" t="s">
        <v>39</v>
      </c>
      <c r="C143" s="8" t="s">
        <v>73</v>
      </c>
      <c r="D143" s="15"/>
    </row>
    <row r="144" spans="2:4" x14ac:dyDescent="0.25">
      <c r="B144" s="18" t="s">
        <v>40</v>
      </c>
      <c r="C144" t="b">
        <v>1</v>
      </c>
      <c r="D144" s="13"/>
    </row>
    <row r="145" spans="2:4" x14ac:dyDescent="0.25">
      <c r="B145" s="18" t="s">
        <v>41</v>
      </c>
      <c r="C145" t="s">
        <v>74</v>
      </c>
      <c r="D145" s="13"/>
    </row>
    <row r="146" spans="2:4" x14ac:dyDescent="0.25">
      <c r="B146" s="18" t="s">
        <v>43</v>
      </c>
      <c r="C146" t="b">
        <v>1</v>
      </c>
      <c r="D146" s="13"/>
    </row>
    <row r="147" spans="2:4" x14ac:dyDescent="0.25">
      <c r="B147" s="18"/>
      <c r="D147" s="13"/>
    </row>
    <row r="148" spans="2:4" x14ac:dyDescent="0.25">
      <c r="B148" s="18" t="s">
        <v>44</v>
      </c>
      <c r="C148" t="s">
        <v>14</v>
      </c>
      <c r="D148" s="13"/>
    </row>
    <row r="149" spans="2:4" x14ac:dyDescent="0.25">
      <c r="B149" s="18" t="s">
        <v>45</v>
      </c>
      <c r="C149" t="s">
        <v>46</v>
      </c>
      <c r="D149" s="13"/>
    </row>
    <row r="150" spans="2:4" x14ac:dyDescent="0.25">
      <c r="B150" s="18" t="s">
        <v>47</v>
      </c>
      <c r="D150" s="13"/>
    </row>
    <row r="151" spans="2:4" x14ac:dyDescent="0.25">
      <c r="B151" s="18" t="s">
        <v>48</v>
      </c>
      <c r="C151" t="b">
        <v>1</v>
      </c>
      <c r="D151" s="13"/>
    </row>
    <row r="152" spans="2:4" x14ac:dyDescent="0.25">
      <c r="B152" s="18"/>
      <c r="D152" s="13"/>
    </row>
    <row r="153" spans="2:4" x14ac:dyDescent="0.25">
      <c r="B153" s="18" t="s">
        <v>44</v>
      </c>
      <c r="C153" t="s">
        <v>75</v>
      </c>
      <c r="D153" s="13"/>
    </row>
    <row r="154" spans="2:4" x14ac:dyDescent="0.25">
      <c r="B154" s="18" t="s">
        <v>45</v>
      </c>
      <c r="C154" t="s">
        <v>46</v>
      </c>
      <c r="D154" s="13"/>
    </row>
    <row r="155" spans="2:4" x14ac:dyDescent="0.25">
      <c r="B155" s="18" t="s">
        <v>47</v>
      </c>
      <c r="D155" s="13"/>
    </row>
    <row r="156" spans="2:4" x14ac:dyDescent="0.25">
      <c r="B156" s="18" t="s">
        <v>48</v>
      </c>
      <c r="C156" t="b">
        <v>0</v>
      </c>
      <c r="D156" s="13"/>
    </row>
    <row r="157" spans="2:4" x14ac:dyDescent="0.25">
      <c r="B157" s="18"/>
      <c r="D157" s="13"/>
    </row>
    <row r="158" spans="2:4" x14ac:dyDescent="0.25">
      <c r="B158" s="18" t="s">
        <v>44</v>
      </c>
      <c r="C158" t="s">
        <v>76</v>
      </c>
      <c r="D158" s="13"/>
    </row>
    <row r="159" spans="2:4" x14ac:dyDescent="0.25">
      <c r="B159" s="18" t="s">
        <v>45</v>
      </c>
      <c r="C159" t="s">
        <v>46</v>
      </c>
      <c r="D159" s="13"/>
    </row>
    <row r="160" spans="2:4" x14ac:dyDescent="0.25">
      <c r="B160" s="18" t="s">
        <v>47</v>
      </c>
      <c r="D160" s="13"/>
    </row>
    <row r="161" spans="2:4" x14ac:dyDescent="0.25">
      <c r="B161" s="18" t="s">
        <v>48</v>
      </c>
      <c r="C161" t="b">
        <v>1</v>
      </c>
      <c r="D161" s="13"/>
    </row>
    <row r="162" spans="2:4" x14ac:dyDescent="0.25">
      <c r="B162" s="18"/>
      <c r="D162" s="13"/>
    </row>
    <row r="163" spans="2:4" x14ac:dyDescent="0.25">
      <c r="B163" s="18" t="s">
        <v>44</v>
      </c>
      <c r="C163" t="s">
        <v>35</v>
      </c>
      <c r="D163" s="13"/>
    </row>
    <row r="164" spans="2:4" x14ac:dyDescent="0.25">
      <c r="B164" s="18" t="s">
        <v>45</v>
      </c>
      <c r="C164" t="s">
        <v>49</v>
      </c>
      <c r="D164" s="9" t="s">
        <v>77</v>
      </c>
    </row>
    <row r="165" spans="2:4" ht="15.75" thickBot="1" x14ac:dyDescent="0.3">
      <c r="B165" s="19" t="s">
        <v>47</v>
      </c>
      <c r="C165" s="16"/>
      <c r="D165" s="17"/>
    </row>
    <row r="166" spans="2:4" x14ac:dyDescent="0.25">
      <c r="B166" s="18" t="s">
        <v>48</v>
      </c>
      <c r="C166" t="b">
        <v>0</v>
      </c>
      <c r="D166" s="13"/>
    </row>
    <row r="168" spans="2:4" x14ac:dyDescent="0.25">
      <c r="B168" s="18" t="s">
        <v>44</v>
      </c>
      <c r="C168" t="s">
        <v>78</v>
      </c>
      <c r="D168" s="13"/>
    </row>
    <row r="169" spans="2:4" x14ac:dyDescent="0.25">
      <c r="B169" s="18" t="s">
        <v>45</v>
      </c>
      <c r="C169" t="s">
        <v>49</v>
      </c>
      <c r="D169" s="9" t="s">
        <v>79</v>
      </c>
    </row>
    <row r="170" spans="2:4" ht="15.75" thickBot="1" x14ac:dyDescent="0.3">
      <c r="B170" s="19" t="s">
        <v>47</v>
      </c>
      <c r="C170" s="16" t="s">
        <v>111</v>
      </c>
      <c r="D170" s="17"/>
    </row>
    <row r="171" spans="2:4" x14ac:dyDescent="0.25">
      <c r="B171" s="18" t="s">
        <v>48</v>
      </c>
      <c r="C171" t="b">
        <v>0</v>
      </c>
      <c r="D171" s="13"/>
    </row>
    <row r="172" spans="2:4" ht="15.75" thickBot="1" x14ac:dyDescent="0.3"/>
    <row r="173" spans="2:4" ht="23.25" x14ac:dyDescent="0.35">
      <c r="B173" s="24" t="s">
        <v>39</v>
      </c>
      <c r="C173" s="8" t="s">
        <v>80</v>
      </c>
      <c r="D173" s="15"/>
    </row>
    <row r="174" spans="2:4" x14ac:dyDescent="0.25">
      <c r="B174" s="18" t="s">
        <v>40</v>
      </c>
      <c r="C174" t="b">
        <v>1</v>
      </c>
      <c r="D174" s="13"/>
    </row>
    <row r="175" spans="2:4" x14ac:dyDescent="0.25">
      <c r="B175" s="18" t="s">
        <v>41</v>
      </c>
      <c r="C175" t="s">
        <v>81</v>
      </c>
      <c r="D175" s="13"/>
    </row>
    <row r="176" spans="2:4" x14ac:dyDescent="0.25">
      <c r="B176" s="18" t="s">
        <v>43</v>
      </c>
      <c r="C176" t="b">
        <v>1</v>
      </c>
      <c r="D176" s="13"/>
    </row>
    <row r="177" spans="2:4" x14ac:dyDescent="0.25">
      <c r="B177" s="18"/>
      <c r="D177" s="13"/>
    </row>
    <row r="178" spans="2:4" x14ac:dyDescent="0.25">
      <c r="B178" s="18" t="s">
        <v>44</v>
      </c>
      <c r="C178" t="s">
        <v>14</v>
      </c>
      <c r="D178" s="13"/>
    </row>
    <row r="179" spans="2:4" x14ac:dyDescent="0.25">
      <c r="B179" s="18" t="s">
        <v>45</v>
      </c>
      <c r="C179" t="s">
        <v>46</v>
      </c>
      <c r="D179" s="13"/>
    </row>
    <row r="180" spans="2:4" x14ac:dyDescent="0.25">
      <c r="B180" s="18" t="s">
        <v>47</v>
      </c>
      <c r="D180" s="13"/>
    </row>
    <row r="181" spans="2:4" x14ac:dyDescent="0.25">
      <c r="B181" s="18" t="s">
        <v>48</v>
      </c>
      <c r="C181" t="b">
        <v>1</v>
      </c>
      <c r="D181" s="13"/>
    </row>
    <row r="182" spans="2:4" x14ac:dyDescent="0.25">
      <c r="B182" s="18"/>
      <c r="D182" s="13"/>
    </row>
    <row r="183" spans="2:4" x14ac:dyDescent="0.25">
      <c r="B183" s="18" t="s">
        <v>44</v>
      </c>
      <c r="C183" t="s">
        <v>19</v>
      </c>
      <c r="D183" s="13"/>
    </row>
    <row r="184" spans="2:4" x14ac:dyDescent="0.25">
      <c r="B184" s="18" t="s">
        <v>45</v>
      </c>
      <c r="C184" t="s">
        <v>46</v>
      </c>
      <c r="D184" s="13"/>
    </row>
    <row r="185" spans="2:4" x14ac:dyDescent="0.25">
      <c r="B185" s="18" t="s">
        <v>47</v>
      </c>
      <c r="D185" s="13"/>
    </row>
    <row r="186" spans="2:4" x14ac:dyDescent="0.25">
      <c r="B186" s="18" t="s">
        <v>48</v>
      </c>
      <c r="C186" t="b">
        <v>0</v>
      </c>
      <c r="D186" s="13"/>
    </row>
    <row r="187" spans="2:4" x14ac:dyDescent="0.25">
      <c r="B187" s="18"/>
      <c r="D187" s="13"/>
    </row>
    <row r="188" spans="2:4" x14ac:dyDescent="0.25">
      <c r="B188" s="18" t="s">
        <v>44</v>
      </c>
      <c r="C188" t="s">
        <v>82</v>
      </c>
      <c r="D188" s="13"/>
    </row>
    <row r="189" spans="2:4" x14ac:dyDescent="0.25">
      <c r="B189" s="18" t="s">
        <v>45</v>
      </c>
      <c r="C189" t="s">
        <v>49</v>
      </c>
      <c r="D189" s="13" t="s">
        <v>83</v>
      </c>
    </row>
    <row r="190" spans="2:4" x14ac:dyDescent="0.25">
      <c r="B190" s="18" t="s">
        <v>47</v>
      </c>
      <c r="D190" s="13"/>
    </row>
    <row r="191" spans="2:4" x14ac:dyDescent="0.25">
      <c r="B191" s="18" t="s">
        <v>48</v>
      </c>
      <c r="C191" t="b">
        <v>0</v>
      </c>
      <c r="D191" s="13"/>
    </row>
    <row r="192" spans="2:4" x14ac:dyDescent="0.25">
      <c r="B192" s="18"/>
      <c r="D192" s="13"/>
    </row>
    <row r="193" spans="2:4" x14ac:dyDescent="0.25">
      <c r="B193" s="18" t="s">
        <v>44</v>
      </c>
      <c r="C193" t="s">
        <v>84</v>
      </c>
      <c r="D193" s="13"/>
    </row>
    <row r="194" spans="2:4" x14ac:dyDescent="0.25">
      <c r="B194" s="18" t="s">
        <v>45</v>
      </c>
      <c r="C194" t="s">
        <v>46</v>
      </c>
      <c r="D194" s="13"/>
    </row>
    <row r="195" spans="2:4" x14ac:dyDescent="0.25">
      <c r="B195" s="18" t="s">
        <v>47</v>
      </c>
      <c r="D195" s="13"/>
    </row>
    <row r="196" spans="2:4" x14ac:dyDescent="0.25">
      <c r="B196" s="18" t="s">
        <v>48</v>
      </c>
      <c r="C196" t="b">
        <v>0</v>
      </c>
      <c r="D196" s="13"/>
    </row>
    <row r="197" spans="2:4" x14ac:dyDescent="0.25">
      <c r="B197" s="18"/>
      <c r="D197" s="13"/>
    </row>
    <row r="198" spans="2:4" x14ac:dyDescent="0.25">
      <c r="B198" s="18" t="s">
        <v>44</v>
      </c>
      <c r="C198" t="s">
        <v>85</v>
      </c>
      <c r="D198" s="13"/>
    </row>
    <row r="199" spans="2:4" x14ac:dyDescent="0.25">
      <c r="B199" s="18" t="s">
        <v>45</v>
      </c>
      <c r="C199" t="s">
        <v>71</v>
      </c>
      <c r="D199" s="13" t="s">
        <v>86</v>
      </c>
    </row>
    <row r="200" spans="2:4" x14ac:dyDescent="0.25">
      <c r="B200" s="18" t="s">
        <v>47</v>
      </c>
      <c r="C200" t="s">
        <v>87</v>
      </c>
      <c r="D200" s="13"/>
    </row>
    <row r="201" spans="2:4" x14ac:dyDescent="0.25">
      <c r="B201" s="18" t="s">
        <v>48</v>
      </c>
      <c r="C201" t="b">
        <v>0</v>
      </c>
      <c r="D201" s="13"/>
    </row>
    <row r="202" spans="2:4" x14ac:dyDescent="0.25">
      <c r="B202" s="18"/>
      <c r="D202" s="13"/>
    </row>
    <row r="203" spans="2:4" x14ac:dyDescent="0.25">
      <c r="B203" s="18" t="s">
        <v>44</v>
      </c>
      <c r="C203" t="s">
        <v>88</v>
      </c>
      <c r="D203" s="13"/>
    </row>
    <row r="204" spans="2:4" x14ac:dyDescent="0.25">
      <c r="B204" s="18" t="s">
        <v>45</v>
      </c>
      <c r="C204" t="s">
        <v>46</v>
      </c>
      <c r="D204" s="13"/>
    </row>
    <row r="205" spans="2:4" ht="15.75" thickBot="1" x14ac:dyDescent="0.3">
      <c r="B205" s="19" t="s">
        <v>47</v>
      </c>
      <c r="C205" s="16"/>
      <c r="D205" s="17"/>
    </row>
    <row r="206" spans="2:4" x14ac:dyDescent="0.25">
      <c r="B206" s="18" t="s">
        <v>48</v>
      </c>
      <c r="C206" t="b">
        <v>0</v>
      </c>
      <c r="D206" s="13"/>
    </row>
    <row r="207" spans="2:4" ht="15.75" thickBot="1" x14ac:dyDescent="0.3"/>
    <row r="208" spans="2:4" ht="23.25" x14ac:dyDescent="0.35">
      <c r="B208" s="24" t="s">
        <v>39</v>
      </c>
      <c r="C208" s="8" t="s">
        <v>89</v>
      </c>
      <c r="D208" s="15"/>
    </row>
    <row r="209" spans="2:4" x14ac:dyDescent="0.25">
      <c r="B209" s="18" t="s">
        <v>40</v>
      </c>
      <c r="C209" t="b">
        <v>1</v>
      </c>
      <c r="D209" s="13"/>
    </row>
    <row r="210" spans="2:4" x14ac:dyDescent="0.25">
      <c r="B210" s="18" t="s">
        <v>41</v>
      </c>
      <c r="C210" t="s">
        <v>90</v>
      </c>
      <c r="D210" s="13"/>
    </row>
    <row r="211" spans="2:4" x14ac:dyDescent="0.25">
      <c r="B211" s="18" t="s">
        <v>43</v>
      </c>
      <c r="C211" t="b">
        <v>1</v>
      </c>
      <c r="D211" s="13"/>
    </row>
    <row r="212" spans="2:4" x14ac:dyDescent="0.25">
      <c r="B212" s="18"/>
      <c r="D212" s="13"/>
    </row>
    <row r="213" spans="2:4" x14ac:dyDescent="0.25">
      <c r="B213" s="18" t="s">
        <v>44</v>
      </c>
      <c r="C213" t="s">
        <v>91</v>
      </c>
      <c r="D213" s="13"/>
    </row>
    <row r="214" spans="2:4" x14ac:dyDescent="0.25">
      <c r="B214" s="18" t="s">
        <v>45</v>
      </c>
      <c r="C214" t="s">
        <v>49</v>
      </c>
      <c r="D214" s="13" t="s">
        <v>57</v>
      </c>
    </row>
    <row r="215" spans="2:4" x14ac:dyDescent="0.25">
      <c r="B215" s="18" t="s">
        <v>47</v>
      </c>
      <c r="C215" t="s">
        <v>21</v>
      </c>
      <c r="D215" s="13"/>
    </row>
    <row r="216" spans="2:4" x14ac:dyDescent="0.25">
      <c r="B216" s="18" t="s">
        <v>48</v>
      </c>
      <c r="C216" t="b">
        <v>0</v>
      </c>
      <c r="D216" s="13"/>
    </row>
    <row r="217" spans="2:4" x14ac:dyDescent="0.25">
      <c r="B217" s="18"/>
      <c r="D217" s="13"/>
    </row>
    <row r="218" spans="2:4" x14ac:dyDescent="0.25">
      <c r="B218" s="18" t="s">
        <v>44</v>
      </c>
      <c r="C218" t="s">
        <v>92</v>
      </c>
      <c r="D218" s="13"/>
    </row>
    <row r="219" spans="2:4" x14ac:dyDescent="0.25">
      <c r="B219" s="18" t="s">
        <v>45</v>
      </c>
      <c r="C219" t="s">
        <v>46</v>
      </c>
      <c r="D219" s="13"/>
    </row>
    <row r="220" spans="2:4" x14ac:dyDescent="0.25">
      <c r="B220" s="18" t="s">
        <v>47</v>
      </c>
      <c r="D220" s="13"/>
    </row>
    <row r="221" spans="2:4" x14ac:dyDescent="0.25">
      <c r="B221" s="18" t="s">
        <v>48</v>
      </c>
      <c r="C221" t="b">
        <v>0</v>
      </c>
      <c r="D221" s="13"/>
    </row>
    <row r="222" spans="2:4" x14ac:dyDescent="0.25">
      <c r="B222" s="18"/>
      <c r="D222" s="13"/>
    </row>
    <row r="223" spans="2:4" x14ac:dyDescent="0.25">
      <c r="B223" s="18" t="s">
        <v>44</v>
      </c>
      <c r="C223" t="s">
        <v>93</v>
      </c>
      <c r="D223" s="13"/>
    </row>
    <row r="224" spans="2:4" x14ac:dyDescent="0.25">
      <c r="B224" s="18" t="s">
        <v>45</v>
      </c>
      <c r="C224" t="s">
        <v>46</v>
      </c>
      <c r="D224" s="13"/>
    </row>
    <row r="225" spans="2:4" ht="15.75" thickBot="1" x14ac:dyDescent="0.3">
      <c r="B225" s="19" t="s">
        <v>47</v>
      </c>
      <c r="C225" s="16"/>
      <c r="D225" s="17"/>
    </row>
    <row r="226" spans="2:4" x14ac:dyDescent="0.25">
      <c r="B226" s="18" t="s">
        <v>48</v>
      </c>
      <c r="C226" t="b">
        <v>0</v>
      </c>
      <c r="D226" s="13"/>
    </row>
    <row r="227" spans="2:4" ht="15.75" thickBot="1" x14ac:dyDescent="0.3"/>
    <row r="228" spans="2:4" ht="23.25" x14ac:dyDescent="0.35">
      <c r="B228" s="24" t="s">
        <v>39</v>
      </c>
      <c r="C228" s="8" t="s">
        <v>94</v>
      </c>
      <c r="D228" s="15"/>
    </row>
    <row r="229" spans="2:4" x14ac:dyDescent="0.25">
      <c r="B229" s="18" t="s">
        <v>40</v>
      </c>
      <c r="C229" t="b">
        <v>1</v>
      </c>
      <c r="D229" s="13"/>
    </row>
    <row r="230" spans="2:4" x14ac:dyDescent="0.25">
      <c r="B230" s="18" t="s">
        <v>41</v>
      </c>
      <c r="C230" t="s">
        <v>95</v>
      </c>
      <c r="D230" s="13"/>
    </row>
    <row r="231" spans="2:4" x14ac:dyDescent="0.25">
      <c r="B231" s="18" t="s">
        <v>43</v>
      </c>
      <c r="C231" t="b">
        <v>1</v>
      </c>
      <c r="D231" s="13"/>
    </row>
    <row r="232" spans="2:4" x14ac:dyDescent="0.25">
      <c r="B232" s="18"/>
      <c r="D232" s="13"/>
    </row>
    <row r="233" spans="2:4" x14ac:dyDescent="0.25">
      <c r="B233" s="18" t="s">
        <v>44</v>
      </c>
      <c r="C233" t="s">
        <v>96</v>
      </c>
      <c r="D233" s="13"/>
    </row>
    <row r="234" spans="2:4" x14ac:dyDescent="0.25">
      <c r="B234" s="18" t="s">
        <v>45</v>
      </c>
      <c r="C234" t="s">
        <v>46</v>
      </c>
      <c r="D234" s="13"/>
    </row>
    <row r="235" spans="2:4" x14ac:dyDescent="0.25">
      <c r="B235" s="18" t="s">
        <v>47</v>
      </c>
      <c r="D235" s="13"/>
    </row>
    <row r="236" spans="2:4" x14ac:dyDescent="0.25">
      <c r="B236" s="18" t="s">
        <v>48</v>
      </c>
      <c r="C236" t="b">
        <v>1</v>
      </c>
      <c r="D236" s="13"/>
    </row>
    <row r="237" spans="2:4" x14ac:dyDescent="0.25">
      <c r="B237" s="18"/>
      <c r="D237" s="13"/>
    </row>
    <row r="238" spans="2:4" x14ac:dyDescent="0.25">
      <c r="B238" s="18" t="s">
        <v>44</v>
      </c>
      <c r="C238" t="s">
        <v>97</v>
      </c>
      <c r="D238" s="13"/>
    </row>
    <row r="239" spans="2:4" x14ac:dyDescent="0.25">
      <c r="B239" s="18" t="s">
        <v>45</v>
      </c>
      <c r="C239" t="s">
        <v>46</v>
      </c>
      <c r="D239" s="13"/>
    </row>
    <row r="240" spans="2:4" x14ac:dyDescent="0.25">
      <c r="B240" s="18" t="s">
        <v>47</v>
      </c>
      <c r="D240" s="13"/>
    </row>
    <row r="241" spans="2:4" x14ac:dyDescent="0.25">
      <c r="B241" s="18" t="s">
        <v>48</v>
      </c>
      <c r="C241" t="b">
        <v>1</v>
      </c>
      <c r="D241" s="13"/>
    </row>
    <row r="242" spans="2:4" x14ac:dyDescent="0.25">
      <c r="B242" s="18"/>
      <c r="D242" s="13"/>
    </row>
    <row r="243" spans="2:4" x14ac:dyDescent="0.25">
      <c r="B243" s="18" t="s">
        <v>44</v>
      </c>
      <c r="C243" t="s">
        <v>98</v>
      </c>
      <c r="D243" s="13"/>
    </row>
    <row r="244" spans="2:4" x14ac:dyDescent="0.25">
      <c r="B244" s="18" t="s">
        <v>45</v>
      </c>
      <c r="C244" t="s">
        <v>46</v>
      </c>
      <c r="D244" s="13"/>
    </row>
    <row r="245" spans="2:4" x14ac:dyDescent="0.25">
      <c r="B245" s="18" t="s">
        <v>47</v>
      </c>
      <c r="D245" s="13"/>
    </row>
    <row r="246" spans="2:4" x14ac:dyDescent="0.25">
      <c r="B246" s="18" t="s">
        <v>48</v>
      </c>
      <c r="C246" t="b">
        <v>0</v>
      </c>
      <c r="D246" s="13"/>
    </row>
    <row r="247" spans="2:4" x14ac:dyDescent="0.25">
      <c r="B247" s="18"/>
      <c r="D247" s="13"/>
    </row>
    <row r="248" spans="2:4" x14ac:dyDescent="0.25">
      <c r="B248" s="18" t="s">
        <v>44</v>
      </c>
      <c r="C248" t="s">
        <v>99</v>
      </c>
      <c r="D248" s="13"/>
    </row>
    <row r="249" spans="2:4" x14ac:dyDescent="0.25">
      <c r="B249" s="18" t="s">
        <v>45</v>
      </c>
      <c r="C249" t="s">
        <v>46</v>
      </c>
      <c r="D249" s="13"/>
    </row>
    <row r="250" spans="2:4" x14ac:dyDescent="0.25">
      <c r="B250" s="18" t="s">
        <v>47</v>
      </c>
      <c r="C250">
        <v>1</v>
      </c>
      <c r="D250" s="13"/>
    </row>
    <row r="251" spans="2:4" x14ac:dyDescent="0.25">
      <c r="B251" s="18" t="s">
        <v>48</v>
      </c>
      <c r="C251" t="b">
        <v>0</v>
      </c>
      <c r="D251" s="13"/>
    </row>
    <row r="252" spans="2:4" x14ac:dyDescent="0.25">
      <c r="B252" s="18"/>
      <c r="D252" s="13"/>
    </row>
    <row r="253" spans="2:4" x14ac:dyDescent="0.25">
      <c r="B253" s="18" t="s">
        <v>44</v>
      </c>
      <c r="C253" t="s">
        <v>100</v>
      </c>
      <c r="D253" s="13"/>
    </row>
    <row r="254" spans="2:4" x14ac:dyDescent="0.25">
      <c r="B254" s="18" t="s">
        <v>45</v>
      </c>
      <c r="C254" t="s">
        <v>46</v>
      </c>
      <c r="D254" s="13"/>
    </row>
    <row r="255" spans="2:4" ht="15.75" thickBot="1" x14ac:dyDescent="0.3">
      <c r="B255" s="19" t="s">
        <v>47</v>
      </c>
      <c r="C255" s="16">
        <v>1</v>
      </c>
      <c r="D255" s="17"/>
    </row>
    <row r="256" spans="2:4" x14ac:dyDescent="0.25">
      <c r="B256" s="18" t="s">
        <v>48</v>
      </c>
      <c r="C256" t="b">
        <v>0</v>
      </c>
      <c r="D256" s="13"/>
    </row>
    <row r="257" spans="2:4" ht="15.75" thickBot="1" x14ac:dyDescent="0.3"/>
    <row r="258" spans="2:4" ht="23.25" x14ac:dyDescent="0.35">
      <c r="B258" s="24" t="s">
        <v>39</v>
      </c>
      <c r="C258" s="8" t="s">
        <v>101</v>
      </c>
      <c r="D258" s="15"/>
    </row>
    <row r="259" spans="2:4" x14ac:dyDescent="0.25">
      <c r="B259" s="18" t="s">
        <v>40</v>
      </c>
      <c r="C259" t="b">
        <v>1</v>
      </c>
      <c r="D259" s="13"/>
    </row>
    <row r="260" spans="2:4" x14ac:dyDescent="0.25">
      <c r="B260" s="18" t="s">
        <v>41</v>
      </c>
      <c r="C260" t="s">
        <v>102</v>
      </c>
      <c r="D260" s="13"/>
    </row>
    <row r="261" spans="2:4" x14ac:dyDescent="0.25">
      <c r="B261" s="18" t="s">
        <v>43</v>
      </c>
      <c r="C261" t="b">
        <v>1</v>
      </c>
      <c r="D261" s="13"/>
    </row>
    <row r="262" spans="2:4" x14ac:dyDescent="0.25">
      <c r="B262" s="18"/>
      <c r="D262" s="13"/>
    </row>
    <row r="263" spans="2:4" x14ac:dyDescent="0.25">
      <c r="B263" s="18" t="s">
        <v>44</v>
      </c>
      <c r="C263" t="s">
        <v>14</v>
      </c>
      <c r="D263" s="13"/>
    </row>
    <row r="264" spans="2:4" x14ac:dyDescent="0.25">
      <c r="B264" s="18" t="s">
        <v>45</v>
      </c>
      <c r="C264" t="s">
        <v>46</v>
      </c>
      <c r="D264" s="13"/>
    </row>
    <row r="265" spans="2:4" x14ac:dyDescent="0.25">
      <c r="B265" s="18" t="s">
        <v>47</v>
      </c>
      <c r="D265" s="13"/>
    </row>
    <row r="266" spans="2:4" x14ac:dyDescent="0.25">
      <c r="B266" s="18" t="s">
        <v>48</v>
      </c>
      <c r="C266" t="b">
        <v>1</v>
      </c>
      <c r="D266" s="13"/>
    </row>
    <row r="267" spans="2:4" x14ac:dyDescent="0.25">
      <c r="B267" s="18"/>
      <c r="D267" s="13"/>
    </row>
    <row r="268" spans="2:4" x14ac:dyDescent="0.25">
      <c r="B268" s="18" t="s">
        <v>44</v>
      </c>
      <c r="C268" t="s">
        <v>103</v>
      </c>
      <c r="D268" s="13"/>
    </row>
    <row r="269" spans="2:4" x14ac:dyDescent="0.25">
      <c r="B269" s="18" t="s">
        <v>45</v>
      </c>
      <c r="C269" t="s">
        <v>46</v>
      </c>
      <c r="D269" s="13"/>
    </row>
    <row r="270" spans="2:4" x14ac:dyDescent="0.25">
      <c r="B270" s="18" t="s">
        <v>47</v>
      </c>
      <c r="D270" s="13"/>
    </row>
    <row r="271" spans="2:4" x14ac:dyDescent="0.25">
      <c r="B271" s="18" t="s">
        <v>48</v>
      </c>
      <c r="C271" t="b">
        <v>0</v>
      </c>
      <c r="D271" s="13"/>
    </row>
    <row r="272" spans="2:4" x14ac:dyDescent="0.25">
      <c r="B272" s="18"/>
      <c r="D272" s="13"/>
    </row>
    <row r="273" spans="2:4" x14ac:dyDescent="0.25">
      <c r="B273" s="18" t="s">
        <v>44</v>
      </c>
      <c r="C273" t="s">
        <v>104</v>
      </c>
      <c r="D273" s="13"/>
    </row>
    <row r="274" spans="2:4" x14ac:dyDescent="0.25">
      <c r="B274" s="18" t="s">
        <v>45</v>
      </c>
      <c r="C274" t="s">
        <v>49</v>
      </c>
      <c r="D274" s="13" t="s">
        <v>105</v>
      </c>
    </row>
    <row r="275" spans="2:4" ht="15.75" thickBot="1" x14ac:dyDescent="0.3">
      <c r="B275" s="19" t="s">
        <v>47</v>
      </c>
      <c r="C275" s="16" t="s">
        <v>106</v>
      </c>
      <c r="D275" s="17"/>
    </row>
    <row r="276" spans="2:4" x14ac:dyDescent="0.25">
      <c r="B276" s="18" t="s">
        <v>48</v>
      </c>
      <c r="C276" t="b">
        <v>0</v>
      </c>
      <c r="D276" s="13"/>
    </row>
    <row r="277" spans="2:4" ht="15.75" thickBot="1" x14ac:dyDescent="0.3"/>
    <row r="278" spans="2:4" ht="23.25" x14ac:dyDescent="0.35">
      <c r="B278" s="24" t="s">
        <v>39</v>
      </c>
      <c r="C278" s="8" t="s">
        <v>107</v>
      </c>
      <c r="D278" s="15"/>
    </row>
    <row r="279" spans="2:4" x14ac:dyDescent="0.25">
      <c r="B279" s="18" t="s">
        <v>40</v>
      </c>
      <c r="C279" t="b">
        <v>1</v>
      </c>
      <c r="D279" s="13"/>
    </row>
    <row r="280" spans="2:4" x14ac:dyDescent="0.25">
      <c r="B280" s="18" t="s">
        <v>41</v>
      </c>
      <c r="C280" t="s">
        <v>102</v>
      </c>
      <c r="D280" s="13"/>
    </row>
    <row r="281" spans="2:4" x14ac:dyDescent="0.25">
      <c r="B281" s="18" t="s">
        <v>43</v>
      </c>
      <c r="C281" t="b">
        <v>1</v>
      </c>
      <c r="D281" s="13"/>
    </row>
    <row r="282" spans="2:4" x14ac:dyDescent="0.25">
      <c r="B282" s="18"/>
      <c r="D282" s="13"/>
    </row>
    <row r="283" spans="2:4" x14ac:dyDescent="0.25">
      <c r="B283" s="18" t="s">
        <v>44</v>
      </c>
      <c r="C283" t="s">
        <v>14</v>
      </c>
      <c r="D283" s="13"/>
    </row>
    <row r="284" spans="2:4" x14ac:dyDescent="0.25">
      <c r="B284" s="18" t="s">
        <v>45</v>
      </c>
      <c r="C284" t="s">
        <v>46</v>
      </c>
      <c r="D284" s="13"/>
    </row>
    <row r="285" spans="2:4" x14ac:dyDescent="0.25">
      <c r="B285" s="18" t="s">
        <v>47</v>
      </c>
      <c r="D285" s="13"/>
    </row>
    <row r="286" spans="2:4" x14ac:dyDescent="0.25">
      <c r="B286" s="18" t="s">
        <v>48</v>
      </c>
      <c r="C286" t="b">
        <v>1</v>
      </c>
      <c r="D286" s="13"/>
    </row>
    <row r="287" spans="2:4" x14ac:dyDescent="0.25">
      <c r="B287" s="18"/>
      <c r="D287" s="13"/>
    </row>
    <row r="288" spans="2:4" x14ac:dyDescent="0.25">
      <c r="B288" s="18" t="s">
        <v>44</v>
      </c>
      <c r="C288" t="s">
        <v>108</v>
      </c>
      <c r="D288" s="13"/>
    </row>
    <row r="289" spans="2:4" x14ac:dyDescent="0.25">
      <c r="B289" s="18" t="s">
        <v>45</v>
      </c>
      <c r="C289" t="s">
        <v>46</v>
      </c>
      <c r="D289" s="13"/>
    </row>
    <row r="290" spans="2:4" x14ac:dyDescent="0.25">
      <c r="B290" s="18" t="s">
        <v>47</v>
      </c>
      <c r="D290" s="13"/>
    </row>
    <row r="291" spans="2:4" x14ac:dyDescent="0.25">
      <c r="B291" s="18" t="s">
        <v>48</v>
      </c>
      <c r="C291" t="b">
        <v>0</v>
      </c>
      <c r="D291" s="13"/>
    </row>
    <row r="292" spans="2:4" x14ac:dyDescent="0.25">
      <c r="B292" s="18"/>
      <c r="D292" s="13"/>
    </row>
    <row r="293" spans="2:4" x14ac:dyDescent="0.25">
      <c r="B293" s="18" t="s">
        <v>44</v>
      </c>
      <c r="C293" t="s">
        <v>104</v>
      </c>
      <c r="D293" s="13"/>
    </row>
    <row r="294" spans="2:4" x14ac:dyDescent="0.25">
      <c r="B294" s="18" t="s">
        <v>45</v>
      </c>
      <c r="C294" t="s">
        <v>49</v>
      </c>
      <c r="D294" s="13" t="s">
        <v>105</v>
      </c>
    </row>
    <row r="295" spans="2:4" ht="15.75" thickBot="1" x14ac:dyDescent="0.3">
      <c r="B295" s="19" t="s">
        <v>47</v>
      </c>
      <c r="C295" s="16" t="s">
        <v>106</v>
      </c>
      <c r="D295" s="17"/>
    </row>
    <row r="296" spans="2:4" x14ac:dyDescent="0.25">
      <c r="B296" s="18" t="s">
        <v>48</v>
      </c>
      <c r="C296" t="b">
        <v>0</v>
      </c>
      <c r="D296" s="13"/>
    </row>
    <row r="297" spans="2:4" ht="15.75" thickBot="1" x14ac:dyDescent="0.3"/>
    <row r="298" spans="2:4" ht="23.25" x14ac:dyDescent="0.35">
      <c r="B298" s="24" t="s">
        <v>39</v>
      </c>
      <c r="C298" s="8" t="s">
        <v>109</v>
      </c>
      <c r="D298" s="15"/>
    </row>
    <row r="299" spans="2:4" x14ac:dyDescent="0.25">
      <c r="B299" s="18" t="s">
        <v>40</v>
      </c>
      <c r="C299" t="b">
        <v>1</v>
      </c>
      <c r="D299" s="13"/>
    </row>
    <row r="300" spans="2:4" x14ac:dyDescent="0.25">
      <c r="B300" s="18" t="s">
        <v>41</v>
      </c>
      <c r="C300" t="s">
        <v>102</v>
      </c>
      <c r="D300" s="13"/>
    </row>
    <row r="301" spans="2:4" x14ac:dyDescent="0.25">
      <c r="B301" s="18" t="s">
        <v>43</v>
      </c>
      <c r="C301" t="b">
        <v>1</v>
      </c>
      <c r="D301" s="13"/>
    </row>
    <row r="302" spans="2:4" x14ac:dyDescent="0.25">
      <c r="B302" s="18"/>
      <c r="D302" s="13"/>
    </row>
    <row r="303" spans="2:4" x14ac:dyDescent="0.25">
      <c r="B303" s="18" t="s">
        <v>44</v>
      </c>
      <c r="C303" t="s">
        <v>35</v>
      </c>
      <c r="D303" s="13"/>
    </row>
    <row r="304" spans="2:4" x14ac:dyDescent="0.25">
      <c r="B304" s="18" t="s">
        <v>45</v>
      </c>
      <c r="C304" t="s">
        <v>46</v>
      </c>
      <c r="D304" s="13"/>
    </row>
    <row r="305" spans="2:4" ht="15.75" thickBot="1" x14ac:dyDescent="0.3">
      <c r="B305" s="19" t="s">
        <v>47</v>
      </c>
      <c r="C305" s="16"/>
      <c r="D305" s="17"/>
    </row>
    <row r="306" spans="2:4" x14ac:dyDescent="0.25">
      <c r="B306" s="18" t="s">
        <v>48</v>
      </c>
      <c r="C306" t="b">
        <v>0</v>
      </c>
      <c r="D306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5"/>
  <sheetViews>
    <sheetView workbookViewId="0">
      <selection activeCell="B11" sqref="B11"/>
    </sheetView>
  </sheetViews>
  <sheetFormatPr defaultRowHeight="15" x14ac:dyDescent="0.25"/>
  <cols>
    <col min="1" max="1" width="9" bestFit="1" customWidth="1"/>
    <col min="2" max="2" width="25.28515625" customWidth="1"/>
    <col min="3" max="3" width="11.5703125" bestFit="1" customWidth="1"/>
  </cols>
  <sheetData>
    <row r="1" spans="1:8" x14ac:dyDescent="0.25">
      <c r="A1" t="s">
        <v>2</v>
      </c>
      <c r="B1" t="s">
        <v>1</v>
      </c>
      <c r="C1" t="s">
        <v>222</v>
      </c>
    </row>
    <row r="2" spans="1:8" x14ac:dyDescent="0.25">
      <c r="A2">
        <f t="shared" ref="A2:A3" si="0">ROW(A1)</f>
        <v>1</v>
      </c>
      <c r="B2" t="s">
        <v>37</v>
      </c>
      <c r="C2" s="1" t="s">
        <v>11</v>
      </c>
    </row>
    <row r="3" spans="1:8" x14ac:dyDescent="0.25">
      <c r="A3">
        <f t="shared" si="0"/>
        <v>2</v>
      </c>
      <c r="B3" t="s">
        <v>38</v>
      </c>
      <c r="C3" s="60" t="s">
        <v>13</v>
      </c>
    </row>
    <row r="5" spans="1:8" x14ac:dyDescent="0.25">
      <c r="H5" t="e">
        <f>1.5*Method!#REF!/SUM(Method!#REF!,Method!#REF!,Method!#REF!)</f>
        <v>#REF!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12</xdr:col>
                    <xdr:colOff>238125</xdr:colOff>
                    <xdr:row>2</xdr:row>
                    <xdr:rowOff>66675</xdr:rowOff>
                  </from>
                  <to>
                    <xdr:col>15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F635F-18C5-40EC-A54A-4398AA299FD3}">
  <dimension ref="B6:K239"/>
  <sheetViews>
    <sheetView workbookViewId="0"/>
  </sheetViews>
  <sheetFormatPr defaultRowHeight="15" x14ac:dyDescent="0.25"/>
  <sheetData>
    <row r="6" spans="2:5" x14ac:dyDescent="0.25">
      <c r="B6" t="s">
        <v>115</v>
      </c>
    </row>
    <row r="7" spans="2:5" x14ac:dyDescent="0.25">
      <c r="B7" t="s">
        <v>114</v>
      </c>
    </row>
    <row r="8" spans="2:5" x14ac:dyDescent="0.25">
      <c r="B8" t="s">
        <v>187</v>
      </c>
    </row>
    <row r="9" spans="2:5" x14ac:dyDescent="0.25">
      <c r="B9" t="s">
        <v>116</v>
      </c>
    </row>
    <row r="10" spans="2:5" x14ac:dyDescent="0.25">
      <c r="B10" t="s">
        <v>117</v>
      </c>
    </row>
    <row r="11" spans="2:5" x14ac:dyDescent="0.25">
      <c r="B11" t="s">
        <v>188</v>
      </c>
    </row>
    <row r="12" spans="2:5" x14ac:dyDescent="0.25">
      <c r="B12" t="s">
        <v>118</v>
      </c>
    </row>
    <row r="14" spans="2:5" x14ac:dyDescent="0.25">
      <c r="C14" t="s">
        <v>119</v>
      </c>
    </row>
    <row r="16" spans="2:5" x14ac:dyDescent="0.25">
      <c r="D16" t="s">
        <v>112</v>
      </c>
      <c r="E16" t="s">
        <v>120</v>
      </c>
    </row>
    <row r="17" spans="4:6" x14ac:dyDescent="0.25">
      <c r="D17" t="s">
        <v>113</v>
      </c>
      <c r="E17" t="s">
        <v>121</v>
      </c>
    </row>
    <row r="18" spans="4:6" x14ac:dyDescent="0.25">
      <c r="D18" t="s">
        <v>122</v>
      </c>
      <c r="E18">
        <v>100</v>
      </c>
      <c r="F18">
        <v>100</v>
      </c>
    </row>
    <row r="19" spans="4:6" x14ac:dyDescent="0.25">
      <c r="D19" t="s">
        <v>123</v>
      </c>
      <c r="E19" t="s">
        <v>124</v>
      </c>
      <c r="F19" t="s">
        <v>125</v>
      </c>
    </row>
    <row r="20" spans="4:6" x14ac:dyDescent="0.25">
      <c r="D20" t="s">
        <v>189</v>
      </c>
    </row>
    <row r="22" spans="4:6" x14ac:dyDescent="0.25">
      <c r="D22" t="s">
        <v>112</v>
      </c>
      <c r="E22" t="s">
        <v>120</v>
      </c>
    </row>
    <row r="23" spans="4:6" x14ac:dyDescent="0.25">
      <c r="D23" t="s">
        <v>113</v>
      </c>
      <c r="E23" t="s">
        <v>126</v>
      </c>
    </row>
    <row r="24" spans="4:6" x14ac:dyDescent="0.25">
      <c r="D24" t="s">
        <v>122</v>
      </c>
      <c r="E24">
        <v>100</v>
      </c>
      <c r="F24">
        <v>100</v>
      </c>
    </row>
    <row r="25" spans="4:6" x14ac:dyDescent="0.25">
      <c r="D25" t="s">
        <v>190</v>
      </c>
    </row>
    <row r="27" spans="4:6" x14ac:dyDescent="0.25">
      <c r="D27" t="s">
        <v>112</v>
      </c>
      <c r="E27" t="s">
        <v>120</v>
      </c>
    </row>
    <row r="28" spans="4:6" x14ac:dyDescent="0.25">
      <c r="D28" t="s">
        <v>113</v>
      </c>
      <c r="E28" t="s">
        <v>127</v>
      </c>
    </row>
    <row r="29" spans="4:6" x14ac:dyDescent="0.25">
      <c r="D29" t="s">
        <v>128</v>
      </c>
      <c r="E29" t="s">
        <v>8</v>
      </c>
      <c r="F29" t="s">
        <v>8</v>
      </c>
    </row>
    <row r="30" spans="4:6" x14ac:dyDescent="0.25">
      <c r="D30" t="s">
        <v>129</v>
      </c>
      <c r="E30">
        <v>1</v>
      </c>
      <c r="F30">
        <v>2</v>
      </c>
    </row>
    <row r="31" spans="4:6" x14ac:dyDescent="0.25">
      <c r="D31" t="s">
        <v>130</v>
      </c>
      <c r="E31" t="s">
        <v>185</v>
      </c>
      <c r="F31" t="s">
        <v>185</v>
      </c>
    </row>
    <row r="32" spans="4:6" x14ac:dyDescent="0.25">
      <c r="D32" t="s">
        <v>131</v>
      </c>
      <c r="E32">
        <v>1</v>
      </c>
      <c r="F32">
        <v>2</v>
      </c>
    </row>
    <row r="33" spans="2:6" x14ac:dyDescent="0.25">
      <c r="D33" t="s">
        <v>122</v>
      </c>
      <c r="E33">
        <v>100</v>
      </c>
      <c r="F33">
        <v>100</v>
      </c>
    </row>
    <row r="34" spans="2:6" x14ac:dyDescent="0.25">
      <c r="D34" t="s">
        <v>132</v>
      </c>
      <c r="E34">
        <v>0</v>
      </c>
      <c r="F34">
        <v>0</v>
      </c>
    </row>
    <row r="35" spans="2:6" x14ac:dyDescent="0.25">
      <c r="D35" t="s">
        <v>133</v>
      </c>
      <c r="E35" t="s">
        <v>21</v>
      </c>
      <c r="F35" t="s">
        <v>21</v>
      </c>
    </row>
    <row r="36" spans="2:6" x14ac:dyDescent="0.25">
      <c r="D36" t="s">
        <v>134</v>
      </c>
    </row>
    <row r="37" spans="2:6" x14ac:dyDescent="0.25">
      <c r="D37" t="s">
        <v>135</v>
      </c>
    </row>
    <row r="38" spans="2:6" x14ac:dyDescent="0.25">
      <c r="D38" t="s">
        <v>136</v>
      </c>
      <c r="E38">
        <v>0</v>
      </c>
    </row>
    <row r="39" spans="2:6" x14ac:dyDescent="0.25">
      <c r="D39" t="s">
        <v>137</v>
      </c>
      <c r="E39" t="s">
        <v>138</v>
      </c>
    </row>
    <row r="40" spans="2:6" x14ac:dyDescent="0.25">
      <c r="D40" t="s">
        <v>191</v>
      </c>
    </row>
    <row r="45" spans="2:6" x14ac:dyDescent="0.25">
      <c r="B45" t="s">
        <v>141</v>
      </c>
    </row>
    <row r="46" spans="2:6" x14ac:dyDescent="0.25">
      <c r="B46" t="s">
        <v>192</v>
      </c>
    </row>
    <row r="47" spans="2:6" x14ac:dyDescent="0.25">
      <c r="B47" t="s">
        <v>142</v>
      </c>
    </row>
    <row r="48" spans="2:6" x14ac:dyDescent="0.25">
      <c r="B48" t="s">
        <v>143</v>
      </c>
    </row>
    <row r="50" spans="2:3" x14ac:dyDescent="0.25">
      <c r="C50" t="s">
        <v>119</v>
      </c>
    </row>
    <row r="55" spans="2:3" x14ac:dyDescent="0.25">
      <c r="B55" t="s">
        <v>141</v>
      </c>
    </row>
    <row r="56" spans="2:3" x14ac:dyDescent="0.25">
      <c r="B56" t="s">
        <v>193</v>
      </c>
    </row>
    <row r="57" spans="2:3" x14ac:dyDescent="0.25">
      <c r="B57" t="s">
        <v>202</v>
      </c>
    </row>
    <row r="58" spans="2:3" x14ac:dyDescent="0.25">
      <c r="B58" t="s">
        <v>143</v>
      </c>
    </row>
    <row r="60" spans="2:3" x14ac:dyDescent="0.25">
      <c r="C60" t="s">
        <v>119</v>
      </c>
    </row>
    <row r="65" spans="2:3" x14ac:dyDescent="0.25">
      <c r="B65" t="s">
        <v>141</v>
      </c>
    </row>
    <row r="66" spans="2:3" x14ac:dyDescent="0.25">
      <c r="B66" t="s">
        <v>140</v>
      </c>
    </row>
    <row r="67" spans="2:3" x14ac:dyDescent="0.25">
      <c r="B67" t="s">
        <v>172</v>
      </c>
    </row>
    <row r="68" spans="2:3" x14ac:dyDescent="0.25">
      <c r="B68" t="s">
        <v>143</v>
      </c>
    </row>
    <row r="70" spans="2:3" x14ac:dyDescent="0.25">
      <c r="C70" t="s">
        <v>119</v>
      </c>
    </row>
    <row r="75" spans="2:3" x14ac:dyDescent="0.25">
      <c r="B75" t="s">
        <v>209</v>
      </c>
    </row>
    <row r="76" spans="2:3" x14ac:dyDescent="0.25">
      <c r="B76" t="s">
        <v>203</v>
      </c>
    </row>
    <row r="77" spans="2:3" x14ac:dyDescent="0.25">
      <c r="B77" t="s">
        <v>223</v>
      </c>
    </row>
    <row r="78" spans="2:3" x14ac:dyDescent="0.25">
      <c r="B78" t="s">
        <v>210</v>
      </c>
    </row>
    <row r="79" spans="2:3" x14ac:dyDescent="0.25">
      <c r="B79" t="s">
        <v>211</v>
      </c>
    </row>
    <row r="81" spans="2:3" x14ac:dyDescent="0.25">
      <c r="C81" t="s">
        <v>119</v>
      </c>
    </row>
    <row r="86" spans="2:3" x14ac:dyDescent="0.25">
      <c r="B86" t="s">
        <v>141</v>
      </c>
    </row>
    <row r="87" spans="2:3" x14ac:dyDescent="0.25">
      <c r="B87" t="s">
        <v>212</v>
      </c>
    </row>
    <row r="88" spans="2:3" x14ac:dyDescent="0.25">
      <c r="B88" t="s">
        <v>238</v>
      </c>
    </row>
    <row r="89" spans="2:3" x14ac:dyDescent="0.25">
      <c r="B89" t="s">
        <v>143</v>
      </c>
    </row>
    <row r="91" spans="2:3" x14ac:dyDescent="0.25">
      <c r="C91" t="s">
        <v>119</v>
      </c>
    </row>
    <row r="96" spans="2:3" x14ac:dyDescent="0.25">
      <c r="B96" t="s">
        <v>141</v>
      </c>
    </row>
    <row r="97" spans="2:3" x14ac:dyDescent="0.25">
      <c r="B97" t="s">
        <v>214</v>
      </c>
    </row>
    <row r="98" spans="2:3" x14ac:dyDescent="0.25">
      <c r="B98" t="s">
        <v>239</v>
      </c>
    </row>
    <row r="99" spans="2:3" x14ac:dyDescent="0.25">
      <c r="B99" t="s">
        <v>143</v>
      </c>
    </row>
    <row r="101" spans="2:3" x14ac:dyDescent="0.25">
      <c r="C101" t="s">
        <v>119</v>
      </c>
    </row>
    <row r="106" spans="2:3" x14ac:dyDescent="0.25">
      <c r="B106" t="s">
        <v>141</v>
      </c>
    </row>
    <row r="107" spans="2:3" x14ac:dyDescent="0.25">
      <c r="B107" t="s">
        <v>215</v>
      </c>
    </row>
    <row r="108" spans="2:3" x14ac:dyDescent="0.25">
      <c r="B108" t="s">
        <v>213</v>
      </c>
    </row>
    <row r="109" spans="2:3" x14ac:dyDescent="0.25">
      <c r="B109" t="s">
        <v>143</v>
      </c>
    </row>
    <row r="111" spans="2:3" x14ac:dyDescent="0.25">
      <c r="C111" t="s">
        <v>119</v>
      </c>
    </row>
    <row r="116" spans="2:3" x14ac:dyDescent="0.25">
      <c r="B116" t="s">
        <v>141</v>
      </c>
    </row>
    <row r="117" spans="2:3" x14ac:dyDescent="0.25">
      <c r="B117" t="s">
        <v>219</v>
      </c>
    </row>
    <row r="118" spans="2:3" x14ac:dyDescent="0.25">
      <c r="B118" t="s">
        <v>213</v>
      </c>
    </row>
    <row r="119" spans="2:3" x14ac:dyDescent="0.25">
      <c r="B119" t="s">
        <v>143</v>
      </c>
    </row>
    <row r="121" spans="2:3" x14ac:dyDescent="0.25">
      <c r="C121" t="s">
        <v>119</v>
      </c>
    </row>
    <row r="126" spans="2:3" x14ac:dyDescent="0.25">
      <c r="B126" t="s">
        <v>168</v>
      </c>
    </row>
    <row r="127" spans="2:3" x14ac:dyDescent="0.25">
      <c r="B127" t="s">
        <v>224</v>
      </c>
    </row>
    <row r="128" spans="2:3" x14ac:dyDescent="0.25">
      <c r="B128" t="s">
        <v>216</v>
      </c>
    </row>
    <row r="129" spans="2:5" x14ac:dyDescent="0.25">
      <c r="B129" t="s">
        <v>240</v>
      </c>
    </row>
    <row r="130" spans="2:5" x14ac:dyDescent="0.25">
      <c r="B130" t="s">
        <v>217</v>
      </c>
    </row>
    <row r="131" spans="2:5" x14ac:dyDescent="0.25">
      <c r="B131" t="s">
        <v>218</v>
      </c>
    </row>
    <row r="132" spans="2:5" x14ac:dyDescent="0.25">
      <c r="B132" t="s">
        <v>169</v>
      </c>
    </row>
    <row r="134" spans="2:5" x14ac:dyDescent="0.25">
      <c r="C134" t="s">
        <v>165</v>
      </c>
    </row>
    <row r="137" spans="2:5" x14ac:dyDescent="0.25">
      <c r="D137" t="s">
        <v>112</v>
      </c>
      <c r="E137" t="s">
        <v>73</v>
      </c>
    </row>
    <row r="138" spans="2:5" x14ac:dyDescent="0.25">
      <c r="D138" t="s">
        <v>113</v>
      </c>
      <c r="E138" t="s">
        <v>166</v>
      </c>
    </row>
    <row r="139" spans="2:5" x14ac:dyDescent="0.25">
      <c r="D139" t="s">
        <v>167</v>
      </c>
      <c r="E139" t="s">
        <v>225</v>
      </c>
    </row>
    <row r="140" spans="2:5" x14ac:dyDescent="0.25">
      <c r="D140" t="s">
        <v>198</v>
      </c>
    </row>
    <row r="141" spans="2:5" x14ac:dyDescent="0.25">
      <c r="D141" t="s">
        <v>226</v>
      </c>
    </row>
    <row r="145" spans="2:5" x14ac:dyDescent="0.25">
      <c r="D145" t="s">
        <v>112</v>
      </c>
      <c r="E145" t="s">
        <v>73</v>
      </c>
    </row>
    <row r="146" spans="2:5" x14ac:dyDescent="0.25">
      <c r="D146" t="s">
        <v>113</v>
      </c>
      <c r="E146" t="s">
        <v>170</v>
      </c>
    </row>
    <row r="147" spans="2:5" x14ac:dyDescent="0.25">
      <c r="D147" t="s">
        <v>167</v>
      </c>
      <c r="E147" t="s">
        <v>225</v>
      </c>
    </row>
    <row r="148" spans="2:5" x14ac:dyDescent="0.25">
      <c r="D148" t="s">
        <v>198</v>
      </c>
    </row>
    <row r="149" spans="2:5" x14ac:dyDescent="0.25">
      <c r="D149" t="s">
        <v>227</v>
      </c>
    </row>
    <row r="150" spans="2:5" x14ac:dyDescent="0.25">
      <c r="C150" t="s">
        <v>119</v>
      </c>
    </row>
    <row r="155" spans="2:5" x14ac:dyDescent="0.25">
      <c r="B155" t="s">
        <v>168</v>
      </c>
    </row>
    <row r="156" spans="2:5" x14ac:dyDescent="0.25">
      <c r="B156" t="s">
        <v>228</v>
      </c>
    </row>
    <row r="157" spans="2:5" x14ac:dyDescent="0.25">
      <c r="B157" t="s">
        <v>216</v>
      </c>
    </row>
    <row r="158" spans="2:5" x14ac:dyDescent="0.25">
      <c r="B158" t="s">
        <v>241</v>
      </c>
    </row>
    <row r="159" spans="2:5" x14ac:dyDescent="0.25">
      <c r="B159" t="s">
        <v>217</v>
      </c>
    </row>
    <row r="160" spans="2:5" x14ac:dyDescent="0.25">
      <c r="B160" t="s">
        <v>218</v>
      </c>
    </row>
    <row r="161" spans="2:5" x14ac:dyDescent="0.25">
      <c r="B161" t="s">
        <v>220</v>
      </c>
    </row>
    <row r="163" spans="2:5" x14ac:dyDescent="0.25">
      <c r="C163" t="s">
        <v>165</v>
      </c>
    </row>
    <row r="166" spans="2:5" x14ac:dyDescent="0.25">
      <c r="D166" t="s">
        <v>112</v>
      </c>
      <c r="E166" t="s">
        <v>73</v>
      </c>
    </row>
    <row r="167" spans="2:5" x14ac:dyDescent="0.25">
      <c r="D167" t="s">
        <v>113</v>
      </c>
      <c r="E167" t="s">
        <v>166</v>
      </c>
    </row>
    <row r="168" spans="2:5" x14ac:dyDescent="0.25">
      <c r="D168" t="s">
        <v>167</v>
      </c>
      <c r="E168" t="s">
        <v>229</v>
      </c>
    </row>
    <row r="169" spans="2:5" x14ac:dyDescent="0.25">
      <c r="D169" t="s">
        <v>198</v>
      </c>
    </row>
    <row r="170" spans="2:5" x14ac:dyDescent="0.25">
      <c r="D170" t="s">
        <v>230</v>
      </c>
    </row>
    <row r="174" spans="2:5" x14ac:dyDescent="0.25">
      <c r="D174" t="s">
        <v>112</v>
      </c>
      <c r="E174" t="s">
        <v>73</v>
      </c>
    </row>
    <row r="175" spans="2:5" x14ac:dyDescent="0.25">
      <c r="D175" t="s">
        <v>113</v>
      </c>
      <c r="E175" t="s">
        <v>170</v>
      </c>
    </row>
    <row r="176" spans="2:5" x14ac:dyDescent="0.25">
      <c r="D176" t="s">
        <v>167</v>
      </c>
      <c r="E176" t="s">
        <v>229</v>
      </c>
    </row>
    <row r="177" spans="2:4" x14ac:dyDescent="0.25">
      <c r="D177" t="s">
        <v>198</v>
      </c>
    </row>
    <row r="178" spans="2:4" x14ac:dyDescent="0.25">
      <c r="D178" t="s">
        <v>231</v>
      </c>
    </row>
    <row r="179" spans="2:4" x14ac:dyDescent="0.25">
      <c r="C179" t="s">
        <v>119</v>
      </c>
    </row>
    <row r="184" spans="2:4" x14ac:dyDescent="0.25">
      <c r="B184" t="s">
        <v>144</v>
      </c>
    </row>
    <row r="185" spans="2:4" x14ac:dyDescent="0.25">
      <c r="B185" t="s">
        <v>232</v>
      </c>
    </row>
    <row r="187" spans="2:4" x14ac:dyDescent="0.25">
      <c r="C187" t="s">
        <v>221</v>
      </c>
    </row>
    <row r="192" spans="2:4" x14ac:dyDescent="0.25">
      <c r="B192" t="s">
        <v>144</v>
      </c>
    </row>
    <row r="193" spans="2:11" x14ac:dyDescent="0.25">
      <c r="B193" t="s">
        <v>233</v>
      </c>
    </row>
    <row r="195" spans="2:11" x14ac:dyDescent="0.25">
      <c r="C195" t="s">
        <v>221</v>
      </c>
    </row>
    <row r="197" spans="2:11" x14ac:dyDescent="0.25">
      <c r="D197" t="s">
        <v>112</v>
      </c>
      <c r="E197" t="s">
        <v>145</v>
      </c>
    </row>
    <row r="198" spans="2:11" x14ac:dyDescent="0.25">
      <c r="D198" t="s">
        <v>113</v>
      </c>
      <c r="E198" t="s">
        <v>146</v>
      </c>
    </row>
    <row r="199" spans="2:11" x14ac:dyDescent="0.25">
      <c r="D199" t="s">
        <v>147</v>
      </c>
    </row>
    <row r="201" spans="2:11" x14ac:dyDescent="0.25">
      <c r="D201" t="s">
        <v>112</v>
      </c>
      <c r="E201" t="s">
        <v>145</v>
      </c>
    </row>
    <row r="202" spans="2:11" x14ac:dyDescent="0.25">
      <c r="D202" t="s">
        <v>113</v>
      </c>
      <c r="E202" t="s">
        <v>139</v>
      </c>
    </row>
    <row r="203" spans="2:11" x14ac:dyDescent="0.25">
      <c r="D203" t="s">
        <v>148</v>
      </c>
      <c r="E203" t="s">
        <v>236</v>
      </c>
      <c r="F203" t="s">
        <v>237</v>
      </c>
      <c r="G203" t="s">
        <v>8</v>
      </c>
      <c r="H203" t="s">
        <v>205</v>
      </c>
      <c r="I203" t="s">
        <v>206</v>
      </c>
      <c r="J203" t="s">
        <v>171</v>
      </c>
      <c r="K203" t="s">
        <v>185</v>
      </c>
    </row>
    <row r="204" spans="2:11" x14ac:dyDescent="0.25">
      <c r="D204" t="s">
        <v>149</v>
      </c>
      <c r="E204" t="s">
        <v>150</v>
      </c>
      <c r="F204" t="s">
        <v>234</v>
      </c>
      <c r="G204" t="s">
        <v>194</v>
      </c>
      <c r="H204" t="s">
        <v>242</v>
      </c>
      <c r="I204" t="s">
        <v>173</v>
      </c>
      <c r="J204" t="s">
        <v>199</v>
      </c>
      <c r="K204" t="s">
        <v>151</v>
      </c>
    </row>
    <row r="205" spans="2:11" x14ac:dyDescent="0.25">
      <c r="D205" t="s">
        <v>152</v>
      </c>
      <c r="E205" t="b">
        <v>0</v>
      </c>
      <c r="F205" t="b">
        <v>0</v>
      </c>
      <c r="G205" t="s">
        <v>195</v>
      </c>
      <c r="H205" t="s">
        <v>243</v>
      </c>
      <c r="I205" t="b">
        <v>0</v>
      </c>
      <c r="J205" t="b">
        <v>0</v>
      </c>
      <c r="K205" t="b">
        <v>1</v>
      </c>
    </row>
    <row r="206" spans="2:11" x14ac:dyDescent="0.25">
      <c r="D206" t="s">
        <v>153</v>
      </c>
      <c r="E206" t="s">
        <v>154</v>
      </c>
      <c r="F206" t="s">
        <v>235</v>
      </c>
      <c r="G206" t="s">
        <v>196</v>
      </c>
      <c r="H206" t="s">
        <v>155</v>
      </c>
      <c r="I206" t="s">
        <v>174</v>
      </c>
      <c r="J206" t="s">
        <v>200</v>
      </c>
      <c r="K206" t="s">
        <v>151</v>
      </c>
    </row>
    <row r="207" spans="2:11" x14ac:dyDescent="0.25">
      <c r="D207" t="s">
        <v>156</v>
      </c>
      <c r="E207">
        <v>1050</v>
      </c>
      <c r="F207">
        <v>1050</v>
      </c>
      <c r="G207">
        <v>110</v>
      </c>
      <c r="H207">
        <v>150</v>
      </c>
      <c r="I207">
        <v>8000</v>
      </c>
      <c r="J207">
        <v>110</v>
      </c>
      <c r="K207">
        <v>350</v>
      </c>
    </row>
    <row r="208" spans="2:11" x14ac:dyDescent="0.25">
      <c r="D208" t="s">
        <v>157</v>
      </c>
      <c r="E208" t="s">
        <v>3</v>
      </c>
      <c r="F208" t="s">
        <v>3</v>
      </c>
      <c r="G208" t="s">
        <v>3</v>
      </c>
      <c r="H208" t="s">
        <v>3</v>
      </c>
      <c r="I208" t="s">
        <v>175</v>
      </c>
      <c r="J208" t="s">
        <v>3</v>
      </c>
      <c r="K208" t="s">
        <v>158</v>
      </c>
    </row>
    <row r="209" spans="4:11" x14ac:dyDescent="0.25">
      <c r="D209" t="s">
        <v>159</v>
      </c>
      <c r="E209" t="s">
        <v>30</v>
      </c>
      <c r="F209" t="s">
        <v>30</v>
      </c>
      <c r="G209" t="s">
        <v>30</v>
      </c>
      <c r="H209" t="s">
        <v>30</v>
      </c>
      <c r="I209" t="s">
        <v>36</v>
      </c>
      <c r="J209" t="s">
        <v>30</v>
      </c>
      <c r="K209" t="s">
        <v>36</v>
      </c>
    </row>
    <row r="210" spans="4:11" x14ac:dyDescent="0.25">
      <c r="D210" t="s">
        <v>160</v>
      </c>
      <c r="E210" t="s">
        <v>161</v>
      </c>
      <c r="F210" t="s">
        <v>161</v>
      </c>
      <c r="G210" t="s">
        <v>197</v>
      </c>
      <c r="H210" t="s">
        <v>161</v>
      </c>
      <c r="I210" t="s">
        <v>175</v>
      </c>
      <c r="J210" t="s">
        <v>197</v>
      </c>
      <c r="K210" t="s">
        <v>162</v>
      </c>
    </row>
    <row r="212" spans="4:11" x14ac:dyDescent="0.25">
      <c r="D212" t="s">
        <v>112</v>
      </c>
      <c r="E212" t="s">
        <v>145</v>
      </c>
    </row>
    <row r="213" spans="4:11" x14ac:dyDescent="0.25">
      <c r="D213" t="s">
        <v>113</v>
      </c>
      <c r="E213" t="s">
        <v>120</v>
      </c>
    </row>
    <row r="214" spans="4:11" x14ac:dyDescent="0.25">
      <c r="D214" t="s">
        <v>156</v>
      </c>
      <c r="E214">
        <v>100</v>
      </c>
      <c r="F214">
        <v>100</v>
      </c>
    </row>
    <row r="216" spans="4:11" x14ac:dyDescent="0.25">
      <c r="D216" t="s">
        <v>112</v>
      </c>
      <c r="E216" t="s">
        <v>145</v>
      </c>
    </row>
    <row r="217" spans="4:11" x14ac:dyDescent="0.25">
      <c r="D217" t="s">
        <v>113</v>
      </c>
      <c r="E217" t="s">
        <v>163</v>
      </c>
    </row>
    <row r="219" spans="4:11" x14ac:dyDescent="0.25">
      <c r="D219" t="s">
        <v>112</v>
      </c>
      <c r="E219" t="s">
        <v>145</v>
      </c>
    </row>
    <row r="220" spans="4:11" x14ac:dyDescent="0.25">
      <c r="D220" t="s">
        <v>113</v>
      </c>
      <c r="E220" t="s">
        <v>73</v>
      </c>
    </row>
    <row r="221" spans="4:11" x14ac:dyDescent="0.25">
      <c r="D221" t="s">
        <v>176</v>
      </c>
      <c r="E221" t="s">
        <v>225</v>
      </c>
      <c r="F221" t="s">
        <v>229</v>
      </c>
    </row>
    <row r="222" spans="4:11" x14ac:dyDescent="0.25">
      <c r="D222" t="s">
        <v>128</v>
      </c>
      <c r="E222" t="s">
        <v>205</v>
      </c>
      <c r="F222" t="s">
        <v>205</v>
      </c>
    </row>
    <row r="223" spans="4:11" x14ac:dyDescent="0.25">
      <c r="D223" t="s">
        <v>130</v>
      </c>
      <c r="E223" t="s">
        <v>171</v>
      </c>
      <c r="F223" t="s">
        <v>171</v>
      </c>
    </row>
    <row r="224" spans="4:11" x14ac:dyDescent="0.25">
      <c r="D224" t="s">
        <v>177</v>
      </c>
      <c r="E224" t="s">
        <v>236</v>
      </c>
      <c r="F224" t="s">
        <v>237</v>
      </c>
    </row>
    <row r="225" spans="4:6" x14ac:dyDescent="0.25">
      <c r="D225" t="s">
        <v>178</v>
      </c>
      <c r="E225" t="s">
        <v>206</v>
      </c>
      <c r="F225" t="s">
        <v>206</v>
      </c>
    </row>
    <row r="226" spans="4:6" x14ac:dyDescent="0.25">
      <c r="D226" t="s">
        <v>156</v>
      </c>
      <c r="E226">
        <v>100</v>
      </c>
      <c r="F226">
        <v>100</v>
      </c>
    </row>
    <row r="227" spans="4:6" x14ac:dyDescent="0.25">
      <c r="D227" t="s">
        <v>179</v>
      </c>
      <c r="E227" t="s">
        <v>111</v>
      </c>
      <c r="F227" t="s">
        <v>208</v>
      </c>
    </row>
    <row r="228" spans="4:6" x14ac:dyDescent="0.25">
      <c r="D228" t="s">
        <v>180</v>
      </c>
      <c r="E228">
        <v>1</v>
      </c>
    </row>
    <row r="230" spans="4:6" x14ac:dyDescent="0.25">
      <c r="D230" t="s">
        <v>112</v>
      </c>
      <c r="E230" t="s">
        <v>145</v>
      </c>
    </row>
    <row r="231" spans="4:6" x14ac:dyDescent="0.25">
      <c r="D231" t="s">
        <v>113</v>
      </c>
      <c r="E231" t="s">
        <v>181</v>
      </c>
    </row>
    <row r="233" spans="4:6" x14ac:dyDescent="0.25">
      <c r="D233" t="s">
        <v>112</v>
      </c>
      <c r="E233" t="s">
        <v>145</v>
      </c>
    </row>
    <row r="234" spans="4:6" x14ac:dyDescent="0.25">
      <c r="D234" t="s">
        <v>113</v>
      </c>
      <c r="E234" t="s">
        <v>182</v>
      </c>
    </row>
    <row r="236" spans="4:6" x14ac:dyDescent="0.25">
      <c r="D236" t="s">
        <v>112</v>
      </c>
      <c r="E236" t="s">
        <v>145</v>
      </c>
    </row>
    <row r="237" spans="4:6" x14ac:dyDescent="0.25">
      <c r="D237" t="s">
        <v>113</v>
      </c>
      <c r="E237" t="s">
        <v>183</v>
      </c>
    </row>
    <row r="239" spans="4:6" x14ac:dyDescent="0.25">
      <c r="D239" t="s">
        <v>184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A8A0-537D-4111-9723-E9EDB06E3303}">
  <dimension ref="B1:M10"/>
  <sheetViews>
    <sheetView workbookViewId="0"/>
  </sheetViews>
  <sheetFormatPr defaultRowHeight="15" x14ac:dyDescent="0.25"/>
  <sheetData>
    <row r="1" spans="2:13" ht="15.75" thickBot="1" x14ac:dyDescent="0.3"/>
    <row r="2" spans="2:13" ht="15.75" thickBot="1" x14ac:dyDescent="0.3">
      <c r="B2" s="50"/>
      <c r="C2" s="14"/>
      <c r="D2" s="14"/>
      <c r="E2" s="14"/>
      <c r="F2" s="14"/>
      <c r="G2" s="14"/>
      <c r="H2" s="14"/>
      <c r="I2" s="14"/>
      <c r="J2" s="14"/>
      <c r="K2" s="14"/>
      <c r="L2" s="14"/>
      <c r="M2" s="15"/>
    </row>
    <row r="3" spans="2:13" x14ac:dyDescent="0.25">
      <c r="B3" s="50"/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</row>
    <row r="4" spans="2:13" x14ac:dyDescent="0.25">
      <c r="B4" s="18"/>
      <c r="C4" s="12"/>
      <c r="D4" s="12"/>
      <c r="E4" s="12"/>
      <c r="F4" s="12"/>
      <c r="G4" s="12"/>
      <c r="H4" s="12"/>
      <c r="I4" s="12"/>
      <c r="J4" s="12"/>
      <c r="K4" s="12"/>
      <c r="L4" s="12"/>
      <c r="M4" s="13"/>
    </row>
    <row r="5" spans="2:13" x14ac:dyDescent="0.25">
      <c r="B5" s="18"/>
      <c r="C5" s="12"/>
      <c r="D5" s="12"/>
      <c r="E5" s="12"/>
      <c r="F5" s="12"/>
      <c r="G5" s="12"/>
      <c r="H5" s="12"/>
      <c r="I5" s="12"/>
      <c r="J5" s="12"/>
      <c r="K5" s="12"/>
      <c r="L5" s="12"/>
      <c r="M5" s="13"/>
    </row>
    <row r="6" spans="2:13" x14ac:dyDescent="0.25">
      <c r="B6" s="18"/>
      <c r="C6" s="12"/>
      <c r="D6" s="12"/>
      <c r="E6" s="12"/>
      <c r="F6" s="12"/>
      <c r="G6" s="12"/>
      <c r="H6" s="12"/>
      <c r="I6" s="12"/>
      <c r="J6" s="12"/>
      <c r="K6" s="12"/>
      <c r="L6" s="12"/>
      <c r="M6" s="13"/>
    </row>
    <row r="7" spans="2:13" x14ac:dyDescent="0.25">
      <c r="B7" s="18"/>
      <c r="C7" s="12"/>
      <c r="D7" s="12"/>
      <c r="E7" s="12"/>
      <c r="F7" s="12"/>
      <c r="G7" s="12"/>
      <c r="H7" s="12"/>
      <c r="I7" s="12"/>
      <c r="J7" s="12"/>
      <c r="K7" s="12"/>
      <c r="L7" s="12"/>
      <c r="M7" s="13"/>
    </row>
    <row r="8" spans="2:13" x14ac:dyDescent="0.25">
      <c r="B8" s="18"/>
      <c r="C8" s="12"/>
      <c r="D8" s="12"/>
      <c r="E8" s="12"/>
      <c r="F8" s="12"/>
      <c r="G8" s="12"/>
      <c r="H8" s="12"/>
      <c r="I8" s="12"/>
      <c r="J8" s="12"/>
      <c r="K8" s="12"/>
      <c r="L8" s="12"/>
      <c r="M8" s="13"/>
    </row>
    <row r="9" spans="2:13" x14ac:dyDescent="0.25">
      <c r="B9" s="18"/>
      <c r="C9" s="12"/>
      <c r="D9" s="12"/>
      <c r="E9" s="12"/>
      <c r="F9" s="12"/>
      <c r="G9" s="12"/>
      <c r="H9" s="12"/>
      <c r="I9" s="12"/>
      <c r="J9" s="12"/>
      <c r="K9" s="12"/>
      <c r="L9" s="12"/>
      <c r="M9" s="13"/>
    </row>
    <row r="10" spans="2:13" ht="15.75" thickBot="1" x14ac:dyDescent="0.3">
      <c r="B10" s="1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D6485-F8B9-479E-B823-2D38B266D61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H68"/>
  <sheetViews>
    <sheetView tabSelected="1" topLeftCell="A37" zoomScale="80" zoomScaleNormal="80" workbookViewId="0">
      <selection activeCell="G48" sqref="G48"/>
    </sheetView>
  </sheetViews>
  <sheetFormatPr defaultRowHeight="15" x14ac:dyDescent="0.25"/>
  <cols>
    <col min="2" max="2" width="18.7109375" bestFit="1" customWidth="1"/>
    <col min="3" max="3" width="34.5703125" bestFit="1" customWidth="1"/>
    <col min="4" max="4" width="16.7109375" bestFit="1" customWidth="1"/>
    <col min="5" max="5" width="34.5703125" bestFit="1" customWidth="1"/>
    <col min="6" max="6" width="18.7109375" bestFit="1" customWidth="1"/>
    <col min="7" max="7" width="34.5703125" bestFit="1" customWidth="1"/>
    <col min="8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27" t="s">
        <v>4</v>
      </c>
      <c r="E2" s="21"/>
      <c r="F2" s="28" t="s">
        <v>5</v>
      </c>
    </row>
    <row r="3" spans="4:6" x14ac:dyDescent="0.25">
      <c r="D3" s="25" t="s">
        <v>0</v>
      </c>
      <c r="E3" s="1" t="s">
        <v>8</v>
      </c>
      <c r="F3" s="29"/>
    </row>
    <row r="4" spans="4:6" ht="15.75" thickBot="1" x14ac:dyDescent="0.3">
      <c r="D4" s="26" t="s">
        <v>7</v>
      </c>
      <c r="E4" s="2" t="s">
        <v>3</v>
      </c>
      <c r="F4" s="30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33" t="s">
        <v>22</v>
      </c>
      <c r="E8" s="20"/>
      <c r="F8" s="34" t="s">
        <v>5</v>
      </c>
    </row>
    <row r="9" spans="4:6" x14ac:dyDescent="0.25">
      <c r="D9" s="31" t="s">
        <v>14</v>
      </c>
      <c r="E9" s="4" t="s">
        <v>185</v>
      </c>
      <c r="F9" s="35"/>
    </row>
    <row r="10" spans="4:6" x14ac:dyDescent="0.25">
      <c r="D10" s="31" t="s">
        <v>15</v>
      </c>
      <c r="E10" s="4" t="s">
        <v>16</v>
      </c>
      <c r="F10" s="35"/>
    </row>
    <row r="11" spans="4:6" x14ac:dyDescent="0.25">
      <c r="D11" s="31" t="s">
        <v>17</v>
      </c>
      <c r="E11" s="4" t="s">
        <v>18</v>
      </c>
      <c r="F11" s="35"/>
    </row>
    <row r="12" spans="4:6" x14ac:dyDescent="0.25">
      <c r="D12" s="31" t="s">
        <v>19</v>
      </c>
      <c r="E12" s="4">
        <v>100</v>
      </c>
      <c r="F12" s="35"/>
    </row>
    <row r="13" spans="4:6" ht="15.75" thickBot="1" x14ac:dyDescent="0.3">
      <c r="D13" s="32" t="s">
        <v>20</v>
      </c>
      <c r="E13" s="5" t="s">
        <v>21</v>
      </c>
      <c r="F13" s="36"/>
    </row>
    <row r="15" spans="4:6" ht="20.25" x14ac:dyDescent="0.25">
      <c r="E15" s="3" t="s">
        <v>6</v>
      </c>
    </row>
    <row r="16" spans="4:6" ht="15.75" thickBot="1" x14ac:dyDescent="0.3"/>
    <row r="17" spans="4:6" ht="15.75" x14ac:dyDescent="0.25">
      <c r="D17" s="27" t="s">
        <v>4</v>
      </c>
      <c r="E17" s="21"/>
      <c r="F17" s="28" t="s">
        <v>5</v>
      </c>
    </row>
    <row r="18" spans="4:6" x14ac:dyDescent="0.25">
      <c r="D18" s="25" t="s">
        <v>0</v>
      </c>
      <c r="E18" s="1" t="s">
        <v>110</v>
      </c>
      <c r="F18" s="29"/>
    </row>
    <row r="19" spans="4:6" ht="15.75" thickBot="1" x14ac:dyDescent="0.3">
      <c r="D19" s="26" t="s">
        <v>7</v>
      </c>
      <c r="E19" s="2" t="s">
        <v>3</v>
      </c>
      <c r="F19" s="30"/>
    </row>
    <row r="21" spans="4:6" ht="20.25" x14ac:dyDescent="0.25">
      <c r="E21" s="3" t="s">
        <v>6</v>
      </c>
    </row>
    <row r="22" spans="4:6" ht="15.75" thickBot="1" x14ac:dyDescent="0.3"/>
    <row r="23" spans="4:6" ht="15.75" x14ac:dyDescent="0.25">
      <c r="D23" s="27" t="s">
        <v>4</v>
      </c>
      <c r="E23" s="21"/>
      <c r="F23" s="28" t="s">
        <v>5</v>
      </c>
    </row>
    <row r="24" spans="4:6" x14ac:dyDescent="0.25">
      <c r="D24" s="25" t="s">
        <v>0</v>
      </c>
      <c r="E24" s="1" t="s">
        <v>201</v>
      </c>
      <c r="F24" s="29"/>
    </row>
    <row r="25" spans="4:6" ht="15.75" thickBot="1" x14ac:dyDescent="0.3">
      <c r="D25" s="26" t="s">
        <v>7</v>
      </c>
      <c r="E25" s="2" t="s">
        <v>3</v>
      </c>
      <c r="F25" s="30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27" t="s">
        <v>4</v>
      </c>
      <c r="E29" s="21"/>
      <c r="F29" s="28" t="s">
        <v>5</v>
      </c>
    </row>
    <row r="30" spans="4:6" x14ac:dyDescent="0.25">
      <c r="D30" s="25" t="s">
        <v>0</v>
      </c>
      <c r="E30" s="1" t="s">
        <v>171</v>
      </c>
      <c r="F30" s="29"/>
    </row>
    <row r="31" spans="4:6" ht="15.75" thickBot="1" x14ac:dyDescent="0.3">
      <c r="D31" s="26" t="s">
        <v>7</v>
      </c>
      <c r="E31" s="2" t="s">
        <v>3</v>
      </c>
      <c r="F31" s="30"/>
    </row>
    <row r="33" spans="2:8" ht="20.25" x14ac:dyDescent="0.25">
      <c r="E33" s="3" t="s">
        <v>6</v>
      </c>
    </row>
    <row r="34" spans="2:8" ht="15.75" thickBot="1" x14ac:dyDescent="0.3"/>
    <row r="35" spans="2:8" ht="15.75" x14ac:dyDescent="0.25">
      <c r="D35" s="54" t="s">
        <v>204</v>
      </c>
      <c r="E35" s="55"/>
      <c r="F35" s="57" t="s">
        <v>5</v>
      </c>
    </row>
    <row r="36" spans="2:8" x14ac:dyDescent="0.25">
      <c r="D36" s="52" t="s">
        <v>9</v>
      </c>
      <c r="E36" s="51" t="str">
        <f>Worklist!$C$1</f>
        <v>Choice</v>
      </c>
      <c r="F36" s="58"/>
    </row>
    <row r="37" spans="2:8" x14ac:dyDescent="0.25">
      <c r="D37" s="52" t="s">
        <v>10</v>
      </c>
      <c r="E37" s="51" t="s">
        <v>11</v>
      </c>
      <c r="F37" s="58"/>
    </row>
    <row r="38" spans="2:8" ht="15.75" thickBot="1" x14ac:dyDescent="0.3">
      <c r="D38" s="53" t="s">
        <v>12</v>
      </c>
      <c r="E38" s="56" t="s">
        <v>13</v>
      </c>
      <c r="F38" s="59"/>
    </row>
    <row r="39" spans="2:8" ht="15.75" thickBot="1" x14ac:dyDescent="0.3"/>
    <row r="40" spans="2:8" ht="15.75" x14ac:dyDescent="0.25">
      <c r="B40" s="27" t="s">
        <v>4</v>
      </c>
      <c r="C40" s="21"/>
      <c r="D40" s="28" t="s">
        <v>5</v>
      </c>
      <c r="F40" s="27" t="s">
        <v>4</v>
      </c>
      <c r="G40" s="21"/>
      <c r="H40" s="28" t="s">
        <v>5</v>
      </c>
    </row>
    <row r="41" spans="2:8" x14ac:dyDescent="0.25">
      <c r="B41" s="25" t="s">
        <v>0</v>
      </c>
      <c r="C41" s="1" t="s">
        <v>11</v>
      </c>
      <c r="D41" s="29"/>
      <c r="F41" s="25" t="s">
        <v>0</v>
      </c>
      <c r="G41" s="1" t="s">
        <v>13</v>
      </c>
      <c r="H41" s="29"/>
    </row>
    <row r="42" spans="2:8" ht="15.75" thickBot="1" x14ac:dyDescent="0.3">
      <c r="B42" s="26" t="s">
        <v>7</v>
      </c>
      <c r="C42" s="2" t="s">
        <v>3</v>
      </c>
      <c r="D42" s="30"/>
      <c r="F42" s="26" t="s">
        <v>7</v>
      </c>
      <c r="G42" s="2" t="s">
        <v>3</v>
      </c>
      <c r="H42" s="30"/>
    </row>
    <row r="44" spans="2:8" ht="20.25" x14ac:dyDescent="0.25">
      <c r="C44" s="3" t="s">
        <v>6</v>
      </c>
      <c r="G44" s="3" t="s">
        <v>6</v>
      </c>
    </row>
    <row r="45" spans="2:8" ht="15.75" thickBot="1" x14ac:dyDescent="0.3"/>
    <row r="46" spans="2:8" ht="15.75" x14ac:dyDescent="0.25">
      <c r="B46" s="27" t="s">
        <v>4</v>
      </c>
      <c r="C46" s="21"/>
      <c r="D46" s="28" t="s">
        <v>5</v>
      </c>
      <c r="F46" s="27" t="s">
        <v>4</v>
      </c>
      <c r="G46" s="21"/>
      <c r="H46" s="28" t="s">
        <v>5</v>
      </c>
    </row>
    <row r="47" spans="2:8" x14ac:dyDescent="0.25">
      <c r="B47" s="25" t="s">
        <v>0</v>
      </c>
      <c r="C47" s="1" t="s">
        <v>201</v>
      </c>
      <c r="D47" s="29"/>
      <c r="F47" s="25" t="s">
        <v>0</v>
      </c>
      <c r="G47" s="1" t="s">
        <v>201</v>
      </c>
      <c r="H47" s="29"/>
    </row>
    <row r="48" spans="2:8" ht="15.75" thickBot="1" x14ac:dyDescent="0.3">
      <c r="B48" s="26" t="s">
        <v>7</v>
      </c>
      <c r="C48" s="2" t="s">
        <v>3</v>
      </c>
      <c r="D48" s="30"/>
      <c r="F48" s="26" t="s">
        <v>7</v>
      </c>
      <c r="G48" s="2" t="s">
        <v>3</v>
      </c>
      <c r="H48" s="30"/>
    </row>
    <row r="50" spans="2:8" ht="20.25" x14ac:dyDescent="0.25">
      <c r="C50" s="3" t="s">
        <v>6</v>
      </c>
      <c r="G50" s="3" t="s">
        <v>6</v>
      </c>
    </row>
    <row r="51" spans="2:8" ht="15.75" thickBot="1" x14ac:dyDescent="0.3"/>
    <row r="52" spans="2:8" ht="15.75" x14ac:dyDescent="0.25">
      <c r="B52" s="27" t="s">
        <v>4</v>
      </c>
      <c r="C52" s="21"/>
      <c r="D52" s="28" t="s">
        <v>5</v>
      </c>
      <c r="F52" s="27" t="s">
        <v>4</v>
      </c>
      <c r="G52" s="21"/>
      <c r="H52" s="28" t="s">
        <v>5</v>
      </c>
    </row>
    <row r="53" spans="2:8" x14ac:dyDescent="0.25">
      <c r="B53" s="25" t="s">
        <v>0</v>
      </c>
      <c r="C53" s="1" t="s">
        <v>205</v>
      </c>
      <c r="D53" s="29"/>
      <c r="F53" s="25" t="s">
        <v>0</v>
      </c>
      <c r="G53" s="1" t="s">
        <v>205</v>
      </c>
      <c r="H53" s="29"/>
    </row>
    <row r="54" spans="2:8" ht="15.75" thickBot="1" x14ac:dyDescent="0.3">
      <c r="B54" s="26" t="s">
        <v>7</v>
      </c>
      <c r="C54" s="2" t="s">
        <v>3</v>
      </c>
      <c r="D54" s="30"/>
      <c r="F54" s="26" t="s">
        <v>7</v>
      </c>
      <c r="G54" s="2" t="s">
        <v>3</v>
      </c>
      <c r="H54" s="30"/>
    </row>
    <row r="56" spans="2:8" ht="20.25" x14ac:dyDescent="0.25">
      <c r="C56" s="3" t="s">
        <v>6</v>
      </c>
      <c r="G56" s="3" t="s">
        <v>6</v>
      </c>
    </row>
    <row r="57" spans="2:8" ht="15.75" thickBot="1" x14ac:dyDescent="0.3"/>
    <row r="58" spans="2:8" ht="15.75" x14ac:dyDescent="0.25">
      <c r="B58" s="39" t="s">
        <v>164</v>
      </c>
      <c r="C58" s="22"/>
      <c r="D58" s="40" t="s">
        <v>5</v>
      </c>
      <c r="F58" s="39" t="s">
        <v>164</v>
      </c>
      <c r="G58" s="22"/>
      <c r="H58" s="40" t="s">
        <v>5</v>
      </c>
    </row>
    <row r="59" spans="2:8" x14ac:dyDescent="0.25">
      <c r="B59" s="37" t="s">
        <v>14</v>
      </c>
      <c r="C59" s="10" t="str">
        <f>Method!$E$30</f>
        <v>test</v>
      </c>
      <c r="D59" s="41"/>
      <c r="F59" s="37" t="s">
        <v>14</v>
      </c>
      <c r="G59" s="10" t="str">
        <f>Method!$E$30</f>
        <v>test</v>
      </c>
      <c r="H59" s="41"/>
    </row>
    <row r="60" spans="2:8" x14ac:dyDescent="0.25">
      <c r="B60" s="37" t="s">
        <v>75</v>
      </c>
      <c r="C60" s="10" t="str">
        <f>Method!$C$47</f>
        <v>Waste</v>
      </c>
      <c r="D60" s="41"/>
      <c r="F60" s="37" t="s">
        <v>75</v>
      </c>
      <c r="G60" s="10" t="str">
        <f>Method!$G$47</f>
        <v>Waste</v>
      </c>
      <c r="H60" s="41"/>
    </row>
    <row r="61" spans="2:8" x14ac:dyDescent="0.25">
      <c r="B61" s="37" t="s">
        <v>76</v>
      </c>
      <c r="C61" s="10" t="s">
        <v>206</v>
      </c>
      <c r="D61" s="41"/>
      <c r="F61" s="37" t="s">
        <v>76</v>
      </c>
      <c r="G61" s="10" t="str">
        <f>Method!$C$61</f>
        <v>Buffer</v>
      </c>
      <c r="H61" s="41"/>
    </row>
    <row r="62" spans="2:8" x14ac:dyDescent="0.25">
      <c r="B62" s="37" t="s">
        <v>35</v>
      </c>
      <c r="C62" s="10">
        <v>100</v>
      </c>
      <c r="D62" s="41"/>
      <c r="F62" s="37" t="s">
        <v>35</v>
      </c>
      <c r="G62" s="10">
        <v>100</v>
      </c>
      <c r="H62" s="41"/>
    </row>
    <row r="63" spans="2:8" ht="15.75" thickBot="1" x14ac:dyDescent="0.3">
      <c r="B63" s="38" t="s">
        <v>78</v>
      </c>
      <c r="C63" s="11" t="s">
        <v>111</v>
      </c>
      <c r="D63" s="42"/>
      <c r="F63" s="38" t="s">
        <v>78</v>
      </c>
      <c r="G63" s="11" t="s">
        <v>208</v>
      </c>
      <c r="H63" s="42"/>
    </row>
    <row r="65" spans="2:8" ht="20.25" x14ac:dyDescent="0.25">
      <c r="C65" s="3" t="s">
        <v>6</v>
      </c>
      <c r="G65" s="3" t="s">
        <v>6</v>
      </c>
    </row>
    <row r="66" spans="2:8" ht="15.75" thickBot="1" x14ac:dyDescent="0.3"/>
    <row r="67" spans="2:8" ht="15.75" x14ac:dyDescent="0.25">
      <c r="B67" s="27" t="s">
        <v>23</v>
      </c>
      <c r="C67" s="21"/>
      <c r="D67" s="28" t="s">
        <v>5</v>
      </c>
      <c r="F67" s="27" t="s">
        <v>23</v>
      </c>
      <c r="G67" s="21"/>
      <c r="H67" s="28" t="s">
        <v>5</v>
      </c>
    </row>
    <row r="68" spans="2:8" ht="15.75" thickBot="1" x14ac:dyDescent="0.3">
      <c r="B68" s="26"/>
      <c r="C68" s="2"/>
      <c r="D68" s="43"/>
      <c r="F68" s="26"/>
      <c r="G68" s="2"/>
      <c r="H68" s="43"/>
    </row>
  </sheetData>
  <mergeCells count="30">
    <mergeCell ref="B67:C67"/>
    <mergeCell ref="H53:H54"/>
    <mergeCell ref="F58:G58"/>
    <mergeCell ref="H59:H63"/>
    <mergeCell ref="F67:G67"/>
    <mergeCell ref="B52:C52"/>
    <mergeCell ref="F52:G52"/>
    <mergeCell ref="D53:D54"/>
    <mergeCell ref="B58:C58"/>
    <mergeCell ref="D59:D63"/>
    <mergeCell ref="H41:H42"/>
    <mergeCell ref="B46:C46"/>
    <mergeCell ref="D47:D48"/>
    <mergeCell ref="F46:G46"/>
    <mergeCell ref="H47:H48"/>
    <mergeCell ref="D35:E35"/>
    <mergeCell ref="F36:F38"/>
    <mergeCell ref="B40:C40"/>
    <mergeCell ref="D41:D42"/>
    <mergeCell ref="F40:G40"/>
    <mergeCell ref="D2:E2"/>
    <mergeCell ref="F3:F4"/>
    <mergeCell ref="D8:E8"/>
    <mergeCell ref="D23:E23"/>
    <mergeCell ref="F24:F25"/>
    <mergeCell ref="F9:F13"/>
    <mergeCell ref="D17:E17"/>
    <mergeCell ref="F18:F19"/>
    <mergeCell ref="F30:F31"/>
    <mergeCell ref="D29:E2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7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46" t="s">
        <v>207</v>
      </c>
      <c r="C2" s="23"/>
      <c r="D2" s="47" t="s">
        <v>5</v>
      </c>
      <c r="F2" s="46" t="s">
        <v>207</v>
      </c>
      <c r="G2" s="23"/>
      <c r="H2" s="47" t="s">
        <v>5</v>
      </c>
      <c r="J2" s="46" t="s">
        <v>186</v>
      </c>
      <c r="K2" s="23"/>
      <c r="L2" s="47" t="s">
        <v>5</v>
      </c>
    </row>
    <row r="3" spans="2:12" x14ac:dyDescent="0.25">
      <c r="B3" s="44" t="s">
        <v>24</v>
      </c>
      <c r="C3" s="6" t="s">
        <v>16</v>
      </c>
      <c r="D3" s="48"/>
      <c r="F3" s="44" t="s">
        <v>24</v>
      </c>
      <c r="G3" s="6" t="s">
        <v>16</v>
      </c>
      <c r="H3" s="48"/>
      <c r="J3" s="44" t="s">
        <v>24</v>
      </c>
      <c r="K3" s="6" t="s">
        <v>16</v>
      </c>
      <c r="L3" s="48"/>
    </row>
    <row r="4" spans="2:12" x14ac:dyDescent="0.25">
      <c r="B4" s="44" t="s">
        <v>17</v>
      </c>
      <c r="C4" s="6" t="s">
        <v>18</v>
      </c>
      <c r="D4" s="48"/>
      <c r="F4" s="44" t="s">
        <v>17</v>
      </c>
      <c r="G4" s="6" t="s">
        <v>18</v>
      </c>
      <c r="H4" s="48"/>
      <c r="J4" s="44" t="s">
        <v>17</v>
      </c>
      <c r="K4" s="6" t="s">
        <v>18</v>
      </c>
      <c r="L4" s="48"/>
    </row>
    <row r="5" spans="2:12" x14ac:dyDescent="0.25">
      <c r="B5" s="44" t="s">
        <v>25</v>
      </c>
      <c r="C5" s="6" t="s">
        <v>28</v>
      </c>
      <c r="D5" s="48"/>
      <c r="F5" s="44" t="s">
        <v>25</v>
      </c>
      <c r="G5" s="6" t="s">
        <v>28</v>
      </c>
      <c r="H5" s="48"/>
      <c r="J5" s="44" t="s">
        <v>25</v>
      </c>
      <c r="K5" s="6" t="s">
        <v>28</v>
      </c>
      <c r="L5" s="48"/>
    </row>
    <row r="6" spans="2:12" x14ac:dyDescent="0.25">
      <c r="B6" s="44" t="s">
        <v>26</v>
      </c>
      <c r="C6" s="6" t="s">
        <v>28</v>
      </c>
      <c r="D6" s="48"/>
      <c r="F6" s="44" t="s">
        <v>26</v>
      </c>
      <c r="G6" s="6" t="s">
        <v>28</v>
      </c>
      <c r="H6" s="48"/>
      <c r="J6" s="44" t="s">
        <v>26</v>
      </c>
      <c r="K6" s="6" t="s">
        <v>28</v>
      </c>
      <c r="L6" s="48"/>
    </row>
    <row r="7" spans="2:12" ht="15.75" thickBot="1" x14ac:dyDescent="0.3">
      <c r="B7" s="45" t="s">
        <v>27</v>
      </c>
      <c r="C7" s="7" t="s">
        <v>29</v>
      </c>
      <c r="D7" s="49"/>
      <c r="F7" s="45" t="s">
        <v>27</v>
      </c>
      <c r="G7" s="7" t="s">
        <v>29</v>
      </c>
      <c r="H7" s="49"/>
      <c r="J7" s="45" t="s">
        <v>27</v>
      </c>
      <c r="K7" s="7" t="s">
        <v>29</v>
      </c>
      <c r="L7" s="49"/>
    </row>
  </sheetData>
  <mergeCells count="6">
    <mergeCell ref="L3:L7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TestLog</vt:lpstr>
      <vt:lpstr>PrepList</vt:lpstr>
      <vt:lpstr>RunLog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2022-05-02T23:22:23Z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