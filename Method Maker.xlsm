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6FE415BA-A717-4755-A3D9-646B040384B1}" xr6:coauthVersionLast="47" xr6:coauthVersionMax="47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BuildingBlocks" sheetId="23" state="hidden" r:id="rId1"/>
    <sheet name="Worklist" sheetId="3" r:id="rId2"/>
    <sheet name="Method" sheetId="14" r:id="rId3"/>
    <sheet name="Solutions" sheetId="17" r:id="rId4"/>
    <sheet name="Method Notes" sheetId="2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3" i="14" l="1"/>
  <c r="C112" i="14"/>
  <c r="G95" i="14"/>
  <c r="G83" i="14"/>
  <c r="G75" i="14"/>
  <c r="G74" i="14"/>
  <c r="C69" i="14"/>
  <c r="C49" i="14"/>
  <c r="C33" i="14"/>
  <c r="G22" i="14"/>
  <c r="G20" i="14"/>
  <c r="C25" i="14"/>
  <c r="C24" i="14"/>
  <c r="C22" i="14"/>
  <c r="C20" i="14"/>
  <c r="E9" i="14"/>
  <c r="A3" i="3"/>
  <c r="A2" i="3" l="1"/>
</calcChain>
</file>

<file path=xl/sharedStrings.xml><?xml version="1.0" encoding="utf-8"?>
<sst xmlns="http://schemas.openxmlformats.org/spreadsheetml/2006/main" count="873" uniqueCount="164">
  <si>
    <t>Name</t>
  </si>
  <si>
    <t>Description</t>
  </si>
  <si>
    <t>Blank</t>
  </si>
  <si>
    <t>Sample #</t>
  </si>
  <si>
    <t>96 Well PCR Plate</t>
  </si>
  <si>
    <t>Plate - (Click Here to Update)</t>
  </si>
  <si>
    <t>Comments</t>
  </si>
  <si>
    <t>Add Action (Click Here)</t>
  </si>
  <si>
    <t>Type</t>
  </si>
  <si>
    <t>Sample</t>
  </si>
  <si>
    <t>Denaturation</t>
  </si>
  <si>
    <t>Plate Choice</t>
  </si>
  <si>
    <t>Plate Name 1</t>
  </si>
  <si>
    <t>New Plate 1</t>
  </si>
  <si>
    <t>Plate Name 2</t>
  </si>
  <si>
    <t>New Plate 2</t>
  </si>
  <si>
    <t>Source</t>
  </si>
  <si>
    <t>Liquid Type</t>
  </si>
  <si>
    <t>General Reagent</t>
  </si>
  <si>
    <t>Storage Condition</t>
  </si>
  <si>
    <t>Ambient</t>
  </si>
  <si>
    <t>Volume (uL)</t>
  </si>
  <si>
    <t>Mix?</t>
  </si>
  <si>
    <t>Yes</t>
  </si>
  <si>
    <t>Liquid Transfer - (Click Here to Update)</t>
  </si>
  <si>
    <t>Test</t>
  </si>
  <si>
    <t>Split Plate - (Click Here to Update)</t>
  </si>
  <si>
    <t>Add Step errors on left side of step. Stop running on error. Only errors here</t>
  </si>
  <si>
    <t>Ribbon</t>
  </si>
  <si>
    <t>Generate</t>
  </si>
  <si>
    <t>Help</t>
  </si>
  <si>
    <t>Simulate</t>
  </si>
  <si>
    <t>Low Priority</t>
  </si>
  <si>
    <t>Show image of plate on mouse over</t>
  </si>
  <si>
    <t>Grey out Reagent container positions</t>
  </si>
  <si>
    <t>Moves samples to eppendorfs</t>
  </si>
  <si>
    <t>Finish - (Click Here to Update)</t>
  </si>
  <si>
    <t>Solution Category</t>
  </si>
  <si>
    <t>Volatility</t>
  </si>
  <si>
    <t>Viscosity</t>
  </si>
  <si>
    <t>Homogeneity</t>
  </si>
  <si>
    <t>Low</t>
  </si>
  <si>
    <t>Homogenous</t>
  </si>
  <si>
    <t>Plate</t>
  </si>
  <si>
    <t>Diluent</t>
  </si>
  <si>
    <t>Plate Name</t>
  </si>
  <si>
    <t>Continue Here?</t>
  </si>
  <si>
    <t>Starting Concentration (mg/mL)</t>
  </si>
  <si>
    <t>Target Concentration (mg/mL)</t>
  </si>
  <si>
    <t>Target Volume (uL)</t>
  </si>
  <si>
    <t>Max Source Volume (uL)</t>
  </si>
  <si>
    <t>Temp (C)</t>
  </si>
  <si>
    <t>Time (min)</t>
  </si>
  <si>
    <t>Shake (rpm)</t>
  </si>
  <si>
    <t>Equilibration Buffer</t>
  </si>
  <si>
    <t>Wait On User</t>
  </si>
  <si>
    <t>Subject</t>
  </si>
  <si>
    <t>Message</t>
  </si>
  <si>
    <t>Volume</t>
  </si>
  <si>
    <t>Volume Route</t>
  </si>
  <si>
    <t>High Volume</t>
  </si>
  <si>
    <t>Low Volume</t>
  </si>
  <si>
    <t>Concentration (mg/mL)</t>
  </si>
  <si>
    <t>Dilute - (Click Here to Update)</t>
  </si>
  <si>
    <t>7.6M GnHCl in 50mM Tris pH 7.9</t>
  </si>
  <si>
    <t>7.6M GnHCl in 50mM Tris pH 7.9 - (Click Here to Update)</t>
  </si>
  <si>
    <t>No</t>
  </si>
  <si>
    <t>0.5M TCEP</t>
  </si>
  <si>
    <t>0.5M TCEP - (Click Here to Update)</t>
  </si>
  <si>
    <t>Merge Plates - (Click Here to Update)</t>
  </si>
  <si>
    <t>Incubate - (Click Here to Update)</t>
  </si>
  <si>
    <t>0.2M CAA</t>
  </si>
  <si>
    <t>Alkylant</t>
  </si>
  <si>
    <t>0.2M CAA - (Click Here to Update)</t>
  </si>
  <si>
    <t>Reductant</t>
  </si>
  <si>
    <t>The max volume here is going to be 200uL. 
This pathway only includes IMCS sizeX desalting</t>
  </si>
  <si>
    <t>The Max volume here is going to be 600uL. 
This pathway includes Anji's original method, 
Nap5 desalting, and IMCS desalting</t>
  </si>
  <si>
    <t>LV Desalting Plate</t>
  </si>
  <si>
    <t>LV Desalting Plate - (Click Here to Update)</t>
  </si>
  <si>
    <t>1.5M GnHCl in 50mM Tris pH 7.9</t>
  </si>
  <si>
    <t>HV Digestion</t>
  </si>
  <si>
    <t>LV Digestion</t>
  </si>
  <si>
    <t>Preload Liquid - (Click Here to Update)</t>
  </si>
  <si>
    <t>1mg/mL LysC</t>
  </si>
  <si>
    <t>1mg/mL LysC - (Click Here to Update)</t>
  </si>
  <si>
    <t>1mg/mL Trypsin</t>
  </si>
  <si>
    <t>1mg/mL Trypsin - (Click Here to Update)</t>
  </si>
  <si>
    <t>Enzyme</t>
  </si>
  <si>
    <t>Cold</t>
  </si>
  <si>
    <t>The NAP5 DESALTING MUST BE 1.5M GnHCL in 50mM Tris pH 7.9</t>
  </si>
  <si>
    <t>10% TFA</t>
  </si>
  <si>
    <t>Quench</t>
  </si>
  <si>
    <t>10% TFA - (Click Here to Update)</t>
  </si>
  <si>
    <t>Notify - (Click Here to Update)</t>
  </si>
  <si>
    <t>Time to do NAP5 Desalting</t>
  </si>
  <si>
    <t>NAP5 Desalting Must be 1.5M GnHCl in 50mM Tris pH 7.9</t>
  </si>
  <si>
    <t>Did you do it?</t>
  </si>
  <si>
    <t>Please load the Nap5 Solution Now</t>
  </si>
  <si>
    <t>Low Volume - (Click Here to Update)</t>
  </si>
  <si>
    <t>Waste Plate</t>
  </si>
  <si>
    <t>IMCS SizeX Desalt - (Click Here to Update)</t>
  </si>
  <si>
    <t>LV Desalting Waste</t>
  </si>
  <si>
    <t>1.5M GnHCl in 50mM Tris pH 7.9 - (Click Here to Update)</t>
  </si>
  <si>
    <t>Elution Method</t>
  </si>
  <si>
    <t>Low Artifact</t>
  </si>
  <si>
    <t>Step</t>
  </si>
  <si>
    <t>Disableable</t>
  </si>
  <si>
    <t>Color (Hex Only)</t>
  </si>
  <si>
    <t>F6EAC2</t>
  </si>
  <si>
    <t>Supported?</t>
  </si>
  <si>
    <t>Parameter</t>
  </si>
  <si>
    <t>Input Type</t>
  </si>
  <si>
    <t>TextBox</t>
  </si>
  <si>
    <t>Initial Value</t>
  </si>
  <si>
    <t>Is Argument Solution?</t>
  </si>
  <si>
    <t>ComboBox</t>
  </si>
  <si>
    <t>Split Plate</t>
  </si>
  <si>
    <t>F1C40F</t>
  </si>
  <si>
    <t>Merge Plates</t>
  </si>
  <si>
    <t>F2DB7C</t>
  </si>
  <si>
    <t>Yes,No</t>
  </si>
  <si>
    <t>Finish</t>
  </si>
  <si>
    <t>Liquid Transfer</t>
  </si>
  <si>
    <t>8FBFCD</t>
  </si>
  <si>
    <t>General Reagent,Reductant,Alkylant,Quench,Buffer/Diluent,Denaturant,Enzyme,Plate</t>
  </si>
  <si>
    <t>Ambient,Cold</t>
  </si>
  <si>
    <t>Dilute</t>
  </si>
  <si>
    <t>9DBBD8</t>
  </si>
  <si>
    <t>Incubate</t>
  </si>
  <si>
    <t>FFAEA5</t>
  </si>
  <si>
    <t>UserComboBox</t>
  </si>
  <si>
    <t>Ambient,Enter Numeric Value</t>
  </si>
  <si>
    <t>IMCS SizeX Desalt</t>
  </si>
  <si>
    <t>7AA534</t>
  </si>
  <si>
    <t>100,200</t>
  </si>
  <si>
    <t>Low Artifact,Proteomics</t>
  </si>
  <si>
    <t>Vacuum</t>
  </si>
  <si>
    <t>CCE2CB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</si>
  <si>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</si>
  <si>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</si>
  <si>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</si>
  <si>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</si>
  <si>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</si>
  <si>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</si>
  <si>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</si>
  <si>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</si>
  <si>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</si>
  <si>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Magnetic Beads</t>
  </si>
  <si>
    <t>97C1A9</t>
  </si>
  <si>
    <t>Magnetic Beads Plate</t>
  </si>
  <si>
    <t>Storage Buffer</t>
  </si>
  <si>
    <t>Storage Buffer Volume (uL)</t>
  </si>
  <si>
    <t>Hold Time (min)</t>
  </si>
  <si>
    <t>Reptitions</t>
  </si>
  <si>
    <t>Aliquot</t>
  </si>
  <si>
    <t>55CBCD</t>
  </si>
  <si>
    <t>Aspirate Location</t>
  </si>
  <si>
    <t>Start Position</t>
  </si>
  <si>
    <t>Sample Start Position,Plate Start Position(A1)</t>
  </si>
  <si>
    <t>Sample Start Position</t>
  </si>
  <si>
    <t>Pool</t>
  </si>
  <si>
    <t>Dispense Location</t>
  </si>
  <si>
    <t>Preload Liquid</t>
  </si>
  <si>
    <t>Proteomics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</si>
</sst>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7AA534"/>
        <bgColor indexed="64"/>
      </patternFill>
    </fill>
    <fill>
      <patternFill patternType="solid">
        <fgColor rgb="FF9DBBD8"/>
        <bgColor indexed="64"/>
      </patternFill>
    </fill>
    <fill>
      <patternFill patternType="solid">
        <fgColor rgb="FFF2DB7C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55CBCD"/>
        <bgColor indexed="64"/>
      </patternFill>
    </fill>
    <fill>
      <patternFill patternType="solid">
        <fgColor rgb="FFF0CBCB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1" fillId="2" borderId="8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2" fillId="4" borderId="3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left" vertical="center"/>
    </xf>
    <xf numFmtId="0" fontId="2" fillId="5" borderId="5" xfId="0" applyFont="1" applyFill="1" applyBorder="1" applyAlignment="1">
      <alignment horizontal="left" vertical="center"/>
    </xf>
    <xf numFmtId="0" fontId="2" fillId="5" borderId="3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2" fillId="11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/>
    </xf>
    <xf numFmtId="0" fontId="2" fillId="4" borderId="9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/>
    </xf>
    <xf numFmtId="0" fontId="7" fillId="0" borderId="11" xfId="0" applyFont="1" applyBorder="1"/>
    <xf numFmtId="0" fontId="7" fillId="0" borderId="1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49" fontId="0" fillId="0" borderId="14" xfId="0" applyNumberFormat="1" applyBorder="1"/>
    <xf numFmtId="0" fontId="2" fillId="2" borderId="18" xfId="0" applyFont="1" applyFill="1" applyBorder="1" applyAlignment="1">
      <alignment horizontal="left" vertical="center"/>
    </xf>
    <xf numFmtId="0" fontId="2" fillId="2" borderId="19" xfId="0" applyFont="1" applyFill="1" applyBorder="1" applyAlignment="1">
      <alignment horizontal="left" vertical="center"/>
    </xf>
    <xf numFmtId="0" fontId="1" fillId="2" borderId="21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left" vertical="center"/>
    </xf>
    <xf numFmtId="0" fontId="2" fillId="5" borderId="19" xfId="0" applyFont="1" applyFill="1" applyBorder="1" applyAlignment="1">
      <alignment horizontal="left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 wrapText="1"/>
    </xf>
    <xf numFmtId="0" fontId="2" fillId="5" borderId="20" xfId="0" applyFont="1" applyFill="1" applyBorder="1" applyAlignment="1">
      <alignment horizontal="center" vertical="center" wrapText="1"/>
    </xf>
    <xf numFmtId="0" fontId="2" fillId="7" borderId="18" xfId="0" applyFont="1" applyFill="1" applyBorder="1" applyAlignment="1">
      <alignment horizontal="left" vertical="center"/>
    </xf>
    <xf numFmtId="0" fontId="2" fillId="7" borderId="19" xfId="0" applyFont="1" applyFill="1" applyBorder="1" applyAlignment="1">
      <alignment horizontal="left" vertical="center"/>
    </xf>
    <xf numFmtId="0" fontId="1" fillId="7" borderId="21" xfId="0" applyFont="1" applyFill="1" applyBorder="1" applyAlignment="1">
      <alignment horizontal="center" vertical="center"/>
    </xf>
    <xf numFmtId="0" fontId="1" fillId="7" borderId="22" xfId="0" applyFont="1" applyFill="1" applyBorder="1" applyAlignment="1">
      <alignment horizontal="center" vertical="center"/>
    </xf>
    <xf numFmtId="0" fontId="2" fillId="7" borderId="23" xfId="0" applyFont="1" applyFill="1" applyBorder="1" applyAlignment="1">
      <alignment horizontal="center" vertical="center" wrapText="1"/>
    </xf>
    <xf numFmtId="0" fontId="2" fillId="7" borderId="20" xfId="0" applyFont="1" applyFill="1" applyBorder="1" applyAlignment="1">
      <alignment horizontal="center" vertical="center" wrapText="1"/>
    </xf>
    <xf numFmtId="0" fontId="2" fillId="4" borderId="18" xfId="0" applyFont="1" applyFill="1" applyBorder="1" applyAlignment="1">
      <alignment horizontal="left" vertical="center"/>
    </xf>
    <xf numFmtId="0" fontId="2" fillId="4" borderId="19" xfId="0" applyFont="1" applyFill="1" applyBorder="1" applyAlignment="1">
      <alignment horizontal="left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 vertical="center" wrapText="1"/>
    </xf>
    <xf numFmtId="0" fontId="2" fillId="9" borderId="18" xfId="0" applyFont="1" applyFill="1" applyBorder="1" applyAlignment="1">
      <alignment horizontal="left" vertical="center"/>
    </xf>
    <xf numFmtId="0" fontId="2" fillId="9" borderId="19" xfId="0" applyFont="1" applyFill="1" applyBorder="1" applyAlignment="1">
      <alignment horizontal="left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2" fillId="9" borderId="23" xfId="0" applyFont="1" applyFill="1" applyBorder="1" applyAlignment="1">
      <alignment horizontal="center" vertical="center" wrapText="1"/>
    </xf>
    <xf numFmtId="0" fontId="2" fillId="9" borderId="20" xfId="0" applyFont="1" applyFill="1" applyBorder="1" applyAlignment="1">
      <alignment horizontal="center" vertical="center" wrapText="1"/>
    </xf>
    <xf numFmtId="0" fontId="2" fillId="11" borderId="18" xfId="0" applyFont="1" applyFill="1" applyBorder="1" applyAlignment="1">
      <alignment horizontal="left" vertical="center"/>
    </xf>
    <xf numFmtId="0" fontId="2" fillId="11" borderId="19" xfId="0" applyFont="1" applyFill="1" applyBorder="1" applyAlignment="1">
      <alignment horizontal="left" vertical="center"/>
    </xf>
    <xf numFmtId="0" fontId="1" fillId="11" borderId="21" xfId="0" applyFont="1" applyFill="1" applyBorder="1" applyAlignment="1">
      <alignment horizontal="center" vertical="center"/>
    </xf>
    <xf numFmtId="0" fontId="1" fillId="11" borderId="22" xfId="0" applyFont="1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 wrapText="1"/>
    </xf>
    <xf numFmtId="0" fontId="2" fillId="11" borderId="20" xfId="0" applyFont="1" applyFill="1" applyBorder="1" applyAlignment="1">
      <alignment horizontal="center" vertical="center" wrapText="1"/>
    </xf>
    <xf numFmtId="0" fontId="2" fillId="8" borderId="18" xfId="0" applyFont="1" applyFill="1" applyBorder="1" applyAlignment="1">
      <alignment horizontal="left" vertical="center"/>
    </xf>
    <xf numFmtId="0" fontId="2" fillId="8" borderId="19" xfId="0" applyFont="1" applyFill="1" applyBorder="1" applyAlignment="1">
      <alignment horizontal="left" vertical="center"/>
    </xf>
    <xf numFmtId="0" fontId="1" fillId="8" borderId="21" xfId="0" applyFont="1" applyFill="1" applyBorder="1" applyAlignment="1">
      <alignment horizontal="center" vertical="center"/>
    </xf>
    <xf numFmtId="0" fontId="1" fillId="8" borderId="22" xfId="0" applyFont="1" applyFill="1" applyBorder="1" applyAlignment="1">
      <alignment horizontal="center" vertical="center"/>
    </xf>
    <xf numFmtId="0" fontId="2" fillId="8" borderId="23" xfId="0" applyFont="1" applyFill="1" applyBorder="1" applyAlignment="1">
      <alignment horizontal="center" vertical="center" wrapText="1"/>
    </xf>
    <xf numFmtId="0" fontId="2" fillId="8" borderId="20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left" vertical="center"/>
    </xf>
    <xf numFmtId="0" fontId="2" fillId="6" borderId="19" xfId="0" applyFont="1" applyFill="1" applyBorder="1" applyAlignment="1">
      <alignment horizontal="left" vertical="center"/>
    </xf>
    <xf numFmtId="0" fontId="1" fillId="6" borderId="21" xfId="0" applyFont="1" applyFill="1" applyBorder="1" applyAlignment="1">
      <alignment horizontal="center" vertical="center"/>
    </xf>
    <xf numFmtId="0" fontId="1" fillId="6" borderId="2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 wrapText="1"/>
    </xf>
    <xf numFmtId="0" fontId="2" fillId="6" borderId="20" xfId="0" applyFont="1" applyFill="1" applyBorder="1" applyAlignment="1">
      <alignment horizontal="center" vertical="center" wrapText="1"/>
    </xf>
    <xf numFmtId="0" fontId="2" fillId="10" borderId="19" xfId="0" applyFont="1" applyFill="1" applyBorder="1" applyAlignment="1">
      <alignment horizontal="left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2" fillId="10" borderId="20" xfId="0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  <xf numFmtId="0" fontId="2" fillId="0" borderId="18" xfId="0" applyFont="1" applyBorder="1" applyAlignment="1">
      <alignment horizontal="left" vertical="center"/>
    </xf>
    <xf numFmtId="0" fontId="2" fillId="0" borderId="19" xfId="0" applyFont="1" applyBorder="1" applyAlignment="1">
      <alignment horizontal="left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13</xdr:col>
      <xdr:colOff>47009</xdr:colOff>
      <xdr:row>29</xdr:row>
      <xdr:rowOff>151686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6E89BAE-D431-4973-A1E6-F682A45711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34575" y="200025"/>
          <a:ext cx="4923809" cy="571428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21</xdr:col>
      <xdr:colOff>523276</xdr:colOff>
      <xdr:row>23</xdr:row>
      <xdr:rowOff>66114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5D0A1E6-7B6A-49E5-A9D7-CEE5AB0FB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20975" y="200025"/>
          <a:ext cx="4790476" cy="44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257175</xdr:colOff>
          <xdr:row>0</xdr:row>
          <xdr:rowOff>95250</xdr:rowOff>
        </xdr:from>
        <xdr:to>
          <xdr:col>17</xdr:col>
          <xdr:colOff>581025</xdr:colOff>
          <xdr:row>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238125</xdr:colOff>
          <xdr:row>6</xdr:row>
          <xdr:rowOff>66675</xdr:rowOff>
        </xdr:from>
        <xdr:to>
          <xdr:col>17</xdr:col>
          <xdr:colOff>571500</xdr:colOff>
          <xdr:row>11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E2F8A-DA7B-47AE-8B0F-DFEE9A1806FC}">
  <dimension ref="B1:D306"/>
  <sheetViews>
    <sheetView topLeftCell="A139" workbookViewId="0">
      <selection activeCell="D166" sqref="D166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</cols>
  <sheetData>
    <row r="1" spans="2:4" ht="15.75" thickBot="1" x14ac:dyDescent="0.3"/>
    <row r="2" spans="2:4" ht="23.25" x14ac:dyDescent="0.35">
      <c r="B2" s="50" t="s">
        <v>105</v>
      </c>
      <c r="C2" s="51" t="s">
        <v>43</v>
      </c>
      <c r="D2" s="52"/>
    </row>
    <row r="3" spans="2:4" x14ac:dyDescent="0.25">
      <c r="B3" s="53" t="s">
        <v>106</v>
      </c>
      <c r="C3" t="b">
        <v>0</v>
      </c>
      <c r="D3" s="54"/>
    </row>
    <row r="4" spans="2:4" x14ac:dyDescent="0.25">
      <c r="B4" s="53" t="s">
        <v>107</v>
      </c>
      <c r="C4" t="s">
        <v>108</v>
      </c>
      <c r="D4" s="54"/>
    </row>
    <row r="5" spans="2:4" x14ac:dyDescent="0.25">
      <c r="B5" s="53" t="s">
        <v>109</v>
      </c>
      <c r="C5" t="b">
        <v>1</v>
      </c>
      <c r="D5" s="54"/>
    </row>
    <row r="6" spans="2:4" x14ac:dyDescent="0.25">
      <c r="B6" s="53"/>
      <c r="D6" s="54"/>
    </row>
    <row r="7" spans="2:4" x14ac:dyDescent="0.25">
      <c r="B7" s="53" t="s">
        <v>110</v>
      </c>
      <c r="C7" t="s">
        <v>0</v>
      </c>
      <c r="D7" s="54"/>
    </row>
    <row r="8" spans="2:4" x14ac:dyDescent="0.25">
      <c r="B8" s="53" t="s">
        <v>111</v>
      </c>
      <c r="C8" t="s">
        <v>112</v>
      </c>
      <c r="D8" s="54"/>
    </row>
    <row r="9" spans="2:4" x14ac:dyDescent="0.25">
      <c r="B9" s="53" t="s">
        <v>113</v>
      </c>
      <c r="D9" s="54"/>
    </row>
    <row r="10" spans="2:4" x14ac:dyDescent="0.25">
      <c r="B10" s="53" t="s">
        <v>114</v>
      </c>
      <c r="C10" t="b">
        <v>0</v>
      </c>
      <c r="D10" s="54"/>
    </row>
    <row r="11" spans="2:4" x14ac:dyDescent="0.25">
      <c r="B11" s="53"/>
      <c r="D11" s="54"/>
    </row>
    <row r="12" spans="2:4" x14ac:dyDescent="0.25">
      <c r="B12" s="53" t="s">
        <v>110</v>
      </c>
      <c r="C12" t="s">
        <v>8</v>
      </c>
      <c r="D12" s="54"/>
    </row>
    <row r="13" spans="2:4" x14ac:dyDescent="0.25">
      <c r="B13" s="53" t="s">
        <v>111</v>
      </c>
      <c r="C13" t="s">
        <v>115</v>
      </c>
      <c r="D13" s="54" t="s">
        <v>4</v>
      </c>
    </row>
    <row r="14" spans="2:4" ht="15.75" thickBot="1" x14ac:dyDescent="0.3">
      <c r="B14" s="55" t="s">
        <v>113</v>
      </c>
      <c r="C14" s="56" t="s">
        <v>4</v>
      </c>
      <c r="D14" s="57"/>
    </row>
    <row r="15" spans="2:4" x14ac:dyDescent="0.25">
      <c r="B15" s="53" t="s">
        <v>114</v>
      </c>
      <c r="C15" t="b">
        <v>0</v>
      </c>
      <c r="D15" s="54"/>
    </row>
    <row r="16" spans="2:4" ht="15.75" thickBot="1" x14ac:dyDescent="0.3"/>
    <row r="17" spans="2:4" ht="23.25" x14ac:dyDescent="0.35">
      <c r="B17" s="50" t="s">
        <v>105</v>
      </c>
      <c r="C17" s="51" t="s">
        <v>116</v>
      </c>
      <c r="D17" s="52"/>
    </row>
    <row r="18" spans="2:4" x14ac:dyDescent="0.25">
      <c r="B18" s="53" t="s">
        <v>106</v>
      </c>
      <c r="C18" t="b">
        <v>0</v>
      </c>
      <c r="D18" s="54"/>
    </row>
    <row r="19" spans="2:4" x14ac:dyDescent="0.25">
      <c r="B19" s="53" t="s">
        <v>107</v>
      </c>
      <c r="C19" t="s">
        <v>117</v>
      </c>
      <c r="D19" s="54"/>
    </row>
    <row r="20" spans="2:4" x14ac:dyDescent="0.25">
      <c r="B20" s="53" t="s">
        <v>109</v>
      </c>
      <c r="C20" t="b">
        <v>1</v>
      </c>
      <c r="D20" s="54"/>
    </row>
    <row r="21" spans="2:4" x14ac:dyDescent="0.25">
      <c r="B21" s="53"/>
      <c r="D21" s="54"/>
    </row>
    <row r="22" spans="2:4" x14ac:dyDescent="0.25">
      <c r="B22" s="53" t="s">
        <v>110</v>
      </c>
      <c r="C22" t="s">
        <v>11</v>
      </c>
      <c r="D22" s="54"/>
    </row>
    <row r="23" spans="2:4" x14ac:dyDescent="0.25">
      <c r="B23" s="53" t="s">
        <v>111</v>
      </c>
      <c r="C23" t="s">
        <v>112</v>
      </c>
      <c r="D23" s="54"/>
    </row>
    <row r="24" spans="2:4" x14ac:dyDescent="0.25">
      <c r="B24" s="53" t="s">
        <v>113</v>
      </c>
      <c r="D24" s="54"/>
    </row>
    <row r="25" spans="2:4" x14ac:dyDescent="0.25">
      <c r="B25" s="53" t="s">
        <v>114</v>
      </c>
      <c r="C25" t="b">
        <v>0</v>
      </c>
      <c r="D25" s="54"/>
    </row>
    <row r="26" spans="2:4" x14ac:dyDescent="0.25">
      <c r="B26" s="53"/>
      <c r="D26" s="54"/>
    </row>
    <row r="27" spans="2:4" x14ac:dyDescent="0.25">
      <c r="B27" s="53" t="s">
        <v>110</v>
      </c>
      <c r="C27" t="s">
        <v>12</v>
      </c>
      <c r="D27" s="54"/>
    </row>
    <row r="28" spans="2:4" x14ac:dyDescent="0.25">
      <c r="B28" s="53" t="s">
        <v>111</v>
      </c>
      <c r="C28" t="s">
        <v>112</v>
      </c>
      <c r="D28" s="54"/>
    </row>
    <row r="29" spans="2:4" x14ac:dyDescent="0.25">
      <c r="B29" s="53" t="s">
        <v>113</v>
      </c>
      <c r="C29" t="s">
        <v>13</v>
      </c>
      <c r="D29" s="54"/>
    </row>
    <row r="30" spans="2:4" x14ac:dyDescent="0.25">
      <c r="B30" s="53" t="s">
        <v>114</v>
      </c>
      <c r="C30" t="b">
        <v>0</v>
      </c>
      <c r="D30" s="54"/>
    </row>
    <row r="31" spans="2:4" x14ac:dyDescent="0.25">
      <c r="B31" s="53"/>
      <c r="D31" s="54"/>
    </row>
    <row r="32" spans="2:4" x14ac:dyDescent="0.25">
      <c r="B32" s="53" t="s">
        <v>110</v>
      </c>
      <c r="C32" t="s">
        <v>14</v>
      </c>
      <c r="D32" s="54"/>
    </row>
    <row r="33" spans="2:4" x14ac:dyDescent="0.25">
      <c r="B33" s="53" t="s">
        <v>111</v>
      </c>
      <c r="C33" t="s">
        <v>112</v>
      </c>
      <c r="D33" s="54"/>
    </row>
    <row r="34" spans="2:4" ht="15.75" thickBot="1" x14ac:dyDescent="0.3">
      <c r="B34" s="55" t="s">
        <v>113</v>
      </c>
      <c r="C34" s="56" t="s">
        <v>15</v>
      </c>
      <c r="D34" s="57"/>
    </row>
    <row r="35" spans="2:4" x14ac:dyDescent="0.25">
      <c r="B35" s="53" t="s">
        <v>114</v>
      </c>
      <c r="C35" t="b">
        <v>0</v>
      </c>
      <c r="D35" s="54"/>
    </row>
    <row r="36" spans="2:4" ht="15.75" thickBot="1" x14ac:dyDescent="0.3"/>
    <row r="37" spans="2:4" ht="23.25" x14ac:dyDescent="0.35">
      <c r="B37" s="50" t="s">
        <v>105</v>
      </c>
      <c r="C37" s="51" t="s">
        <v>118</v>
      </c>
      <c r="D37" s="52"/>
    </row>
    <row r="38" spans="2:4" x14ac:dyDescent="0.25">
      <c r="B38" s="53" t="s">
        <v>106</v>
      </c>
      <c r="C38" t="b">
        <v>0</v>
      </c>
      <c r="D38" s="54"/>
    </row>
    <row r="39" spans="2:4" x14ac:dyDescent="0.25">
      <c r="B39" s="53" t="s">
        <v>107</v>
      </c>
      <c r="C39" t="s">
        <v>119</v>
      </c>
      <c r="D39" s="54"/>
    </row>
    <row r="40" spans="2:4" x14ac:dyDescent="0.25">
      <c r="B40" s="53" t="s">
        <v>109</v>
      </c>
      <c r="C40" t="b">
        <v>1</v>
      </c>
      <c r="D40" s="54"/>
    </row>
    <row r="41" spans="2:4" x14ac:dyDescent="0.25">
      <c r="B41" s="53"/>
      <c r="D41" s="54"/>
    </row>
    <row r="42" spans="2:4" x14ac:dyDescent="0.25">
      <c r="B42" s="53" t="s">
        <v>110</v>
      </c>
      <c r="C42" t="s">
        <v>45</v>
      </c>
      <c r="D42" s="54"/>
    </row>
    <row r="43" spans="2:4" x14ac:dyDescent="0.25">
      <c r="B43" s="53" t="s">
        <v>111</v>
      </c>
      <c r="C43" t="s">
        <v>112</v>
      </c>
      <c r="D43" s="54"/>
    </row>
    <row r="44" spans="2:4" x14ac:dyDescent="0.25">
      <c r="B44" s="53" t="s">
        <v>113</v>
      </c>
      <c r="D44" s="54"/>
    </row>
    <row r="45" spans="2:4" x14ac:dyDescent="0.25">
      <c r="B45" s="53" t="s">
        <v>114</v>
      </c>
      <c r="C45" t="b">
        <v>0</v>
      </c>
      <c r="D45" s="54"/>
    </row>
    <row r="46" spans="2:4" x14ac:dyDescent="0.25">
      <c r="B46" s="53"/>
      <c r="D46" s="54"/>
    </row>
    <row r="47" spans="2:4" x14ac:dyDescent="0.25">
      <c r="B47" s="53" t="s">
        <v>110</v>
      </c>
      <c r="C47" t="s">
        <v>46</v>
      </c>
      <c r="D47" s="54"/>
    </row>
    <row r="48" spans="2:4" x14ac:dyDescent="0.25">
      <c r="B48" s="53" t="s">
        <v>111</v>
      </c>
      <c r="C48" t="s">
        <v>115</v>
      </c>
      <c r="D48" s="54" t="s">
        <v>120</v>
      </c>
    </row>
    <row r="49" spans="2:4" ht="15.75" thickBot="1" x14ac:dyDescent="0.3">
      <c r="B49" s="55" t="s">
        <v>113</v>
      </c>
      <c r="C49" s="56" t="s">
        <v>23</v>
      </c>
      <c r="D49" s="57"/>
    </row>
    <row r="50" spans="2:4" x14ac:dyDescent="0.25">
      <c r="B50" s="53" t="s">
        <v>114</v>
      </c>
      <c r="C50" t="b">
        <v>0</v>
      </c>
      <c r="D50" s="54"/>
    </row>
    <row r="51" spans="2:4" ht="15.75" thickBot="1" x14ac:dyDescent="0.3"/>
    <row r="52" spans="2:4" ht="23.25" x14ac:dyDescent="0.35">
      <c r="B52" s="50" t="s">
        <v>105</v>
      </c>
      <c r="C52" s="51" t="s">
        <v>121</v>
      </c>
      <c r="D52" s="52"/>
    </row>
    <row r="53" spans="2:4" x14ac:dyDescent="0.25">
      <c r="B53" s="53" t="s">
        <v>106</v>
      </c>
      <c r="C53" t="b">
        <v>0</v>
      </c>
      <c r="D53" s="54"/>
    </row>
    <row r="54" spans="2:4" x14ac:dyDescent="0.25">
      <c r="B54" s="53" t="s">
        <v>107</v>
      </c>
      <c r="C54" t="s">
        <v>108</v>
      </c>
      <c r="D54" s="54"/>
    </row>
    <row r="55" spans="2:4" x14ac:dyDescent="0.25">
      <c r="B55" s="53" t="s">
        <v>109</v>
      </c>
      <c r="C55" t="b">
        <v>1</v>
      </c>
      <c r="D55" s="54"/>
    </row>
    <row r="56" spans="2:4" ht="15.75" thickBot="1" x14ac:dyDescent="0.3">
      <c r="B56" s="55"/>
      <c r="C56" s="56"/>
      <c r="D56" s="57"/>
    </row>
    <row r="57" spans="2:4" ht="15.75" thickBot="1" x14ac:dyDescent="0.3"/>
    <row r="58" spans="2:4" ht="23.25" x14ac:dyDescent="0.35">
      <c r="B58" s="50" t="s">
        <v>105</v>
      </c>
      <c r="C58" s="51" t="s">
        <v>122</v>
      </c>
      <c r="D58" s="52"/>
    </row>
    <row r="59" spans="2:4" x14ac:dyDescent="0.25">
      <c r="B59" s="53" t="s">
        <v>106</v>
      </c>
      <c r="C59" t="b">
        <v>1</v>
      </c>
      <c r="D59" s="54"/>
    </row>
    <row r="60" spans="2:4" x14ac:dyDescent="0.25">
      <c r="B60" s="53" t="s">
        <v>107</v>
      </c>
      <c r="C60" t="s">
        <v>123</v>
      </c>
      <c r="D60" s="54"/>
    </row>
    <row r="61" spans="2:4" x14ac:dyDescent="0.25">
      <c r="B61" s="53" t="s">
        <v>109</v>
      </c>
      <c r="C61" t="b">
        <v>1</v>
      </c>
      <c r="D61" s="54"/>
    </row>
    <row r="62" spans="2:4" x14ac:dyDescent="0.25">
      <c r="B62" s="53"/>
      <c r="D62" s="54"/>
    </row>
    <row r="63" spans="2:4" x14ac:dyDescent="0.25">
      <c r="B63" s="53" t="s">
        <v>110</v>
      </c>
      <c r="C63" t="s">
        <v>16</v>
      </c>
      <c r="D63" s="54"/>
    </row>
    <row r="64" spans="2:4" x14ac:dyDescent="0.25">
      <c r="B64" s="53" t="s">
        <v>111</v>
      </c>
      <c r="C64" t="s">
        <v>112</v>
      </c>
      <c r="D64" s="54"/>
    </row>
    <row r="65" spans="2:4" x14ac:dyDescent="0.25">
      <c r="B65" s="53" t="s">
        <v>113</v>
      </c>
      <c r="D65" s="54"/>
    </row>
    <row r="66" spans="2:4" x14ac:dyDescent="0.25">
      <c r="B66" s="53" t="s">
        <v>114</v>
      </c>
      <c r="C66" t="b">
        <v>1</v>
      </c>
      <c r="D66" s="54"/>
    </row>
    <row r="67" spans="2:4" x14ac:dyDescent="0.25">
      <c r="B67" s="53"/>
      <c r="D67" s="54"/>
    </row>
    <row r="68" spans="2:4" x14ac:dyDescent="0.25">
      <c r="B68" s="53" t="s">
        <v>110</v>
      </c>
      <c r="C68" t="s">
        <v>17</v>
      </c>
      <c r="D68" s="54"/>
    </row>
    <row r="69" spans="2:4" x14ac:dyDescent="0.25">
      <c r="B69" s="53" t="s">
        <v>111</v>
      </c>
      <c r="C69" t="s">
        <v>115</v>
      </c>
      <c r="D69" s="54" t="s">
        <v>124</v>
      </c>
    </row>
    <row r="70" spans="2:4" x14ac:dyDescent="0.25">
      <c r="B70" s="53" t="s">
        <v>113</v>
      </c>
      <c r="C70" t="s">
        <v>18</v>
      </c>
      <c r="D70" s="54"/>
    </row>
    <row r="71" spans="2:4" x14ac:dyDescent="0.25">
      <c r="B71" s="53" t="s">
        <v>114</v>
      </c>
      <c r="C71" t="b">
        <v>0</v>
      </c>
      <c r="D71" s="54"/>
    </row>
    <row r="72" spans="2:4" x14ac:dyDescent="0.25">
      <c r="B72" s="53"/>
      <c r="D72" s="54"/>
    </row>
    <row r="73" spans="2:4" x14ac:dyDescent="0.25">
      <c r="B73" s="53" t="s">
        <v>110</v>
      </c>
      <c r="C73" t="s">
        <v>19</v>
      </c>
      <c r="D73" s="54"/>
    </row>
    <row r="74" spans="2:4" x14ac:dyDescent="0.25">
      <c r="B74" s="53" t="s">
        <v>111</v>
      </c>
      <c r="C74" t="s">
        <v>115</v>
      </c>
      <c r="D74" s="54" t="s">
        <v>125</v>
      </c>
    </row>
    <row r="75" spans="2:4" x14ac:dyDescent="0.25">
      <c r="B75" s="53" t="s">
        <v>113</v>
      </c>
      <c r="C75" t="s">
        <v>20</v>
      </c>
      <c r="D75" s="54"/>
    </row>
    <row r="76" spans="2:4" x14ac:dyDescent="0.25">
      <c r="B76" s="53" t="s">
        <v>114</v>
      </c>
      <c r="C76" t="b">
        <v>0</v>
      </c>
      <c r="D76" s="54"/>
    </row>
    <row r="77" spans="2:4" x14ac:dyDescent="0.25">
      <c r="B77" s="53"/>
      <c r="D77" s="54"/>
    </row>
    <row r="78" spans="2:4" x14ac:dyDescent="0.25">
      <c r="B78" s="53" t="s">
        <v>110</v>
      </c>
      <c r="C78" t="s">
        <v>21</v>
      </c>
      <c r="D78" s="54"/>
    </row>
    <row r="79" spans="2:4" x14ac:dyDescent="0.25">
      <c r="B79" s="53" t="s">
        <v>111</v>
      </c>
      <c r="C79" t="s">
        <v>112</v>
      </c>
      <c r="D79" s="54"/>
    </row>
    <row r="80" spans="2:4" x14ac:dyDescent="0.25">
      <c r="B80" s="53" t="s">
        <v>113</v>
      </c>
      <c r="D80" s="54"/>
    </row>
    <row r="81" spans="2:4" x14ac:dyDescent="0.25">
      <c r="B81" s="53" t="s">
        <v>114</v>
      </c>
      <c r="C81" t="b">
        <v>0</v>
      </c>
      <c r="D81" s="54"/>
    </row>
    <row r="82" spans="2:4" x14ac:dyDescent="0.25">
      <c r="B82" s="53"/>
      <c r="D82" s="54"/>
    </row>
    <row r="83" spans="2:4" x14ac:dyDescent="0.25">
      <c r="B83" s="53" t="s">
        <v>110</v>
      </c>
      <c r="C83" t="s">
        <v>22</v>
      </c>
      <c r="D83" s="54"/>
    </row>
    <row r="84" spans="2:4" x14ac:dyDescent="0.25">
      <c r="B84" s="53" t="s">
        <v>111</v>
      </c>
      <c r="C84" t="s">
        <v>115</v>
      </c>
      <c r="D84" s="54" t="s">
        <v>120</v>
      </c>
    </row>
    <row r="85" spans="2:4" ht="15.75" thickBot="1" x14ac:dyDescent="0.3">
      <c r="B85" s="55" t="s">
        <v>113</v>
      </c>
      <c r="C85" s="56" t="s">
        <v>23</v>
      </c>
      <c r="D85" s="57"/>
    </row>
    <row r="86" spans="2:4" x14ac:dyDescent="0.25">
      <c r="B86" s="53" t="s">
        <v>114</v>
      </c>
      <c r="C86" t="b">
        <v>0</v>
      </c>
      <c r="D86" s="54"/>
    </row>
    <row r="87" spans="2:4" ht="15.75" thickBot="1" x14ac:dyDescent="0.3"/>
    <row r="88" spans="2:4" ht="23.25" x14ac:dyDescent="0.35">
      <c r="B88" s="50" t="s">
        <v>105</v>
      </c>
      <c r="C88" s="51" t="s">
        <v>126</v>
      </c>
      <c r="D88" s="52"/>
    </row>
    <row r="89" spans="2:4" x14ac:dyDescent="0.25">
      <c r="B89" s="53" t="s">
        <v>106</v>
      </c>
      <c r="C89" t="b">
        <v>1</v>
      </c>
      <c r="D89" s="54"/>
    </row>
    <row r="90" spans="2:4" x14ac:dyDescent="0.25">
      <c r="B90" s="53" t="s">
        <v>107</v>
      </c>
      <c r="C90" t="s">
        <v>127</v>
      </c>
      <c r="D90" s="54"/>
    </row>
    <row r="91" spans="2:4" x14ac:dyDescent="0.25">
      <c r="B91" s="53" t="s">
        <v>109</v>
      </c>
      <c r="C91" t="b">
        <v>1</v>
      </c>
      <c r="D91" s="54"/>
    </row>
    <row r="92" spans="2:4" x14ac:dyDescent="0.25">
      <c r="B92" s="53"/>
      <c r="D92" s="54"/>
    </row>
    <row r="93" spans="2:4" x14ac:dyDescent="0.25">
      <c r="B93" s="53" t="s">
        <v>110</v>
      </c>
      <c r="C93" t="s">
        <v>16</v>
      </c>
      <c r="D93" s="54"/>
    </row>
    <row r="94" spans="2:4" x14ac:dyDescent="0.25">
      <c r="B94" s="53" t="s">
        <v>111</v>
      </c>
      <c r="C94" t="s">
        <v>112</v>
      </c>
      <c r="D94" s="54"/>
    </row>
    <row r="95" spans="2:4" x14ac:dyDescent="0.25">
      <c r="B95" s="53" t="s">
        <v>113</v>
      </c>
      <c r="D95" s="54"/>
    </row>
    <row r="96" spans="2:4" x14ac:dyDescent="0.25">
      <c r="B96" s="53" t="s">
        <v>114</v>
      </c>
      <c r="C96" t="b">
        <v>1</v>
      </c>
      <c r="D96" s="54"/>
    </row>
    <row r="97" spans="2:4" x14ac:dyDescent="0.25">
      <c r="B97" s="53"/>
      <c r="D97" s="54"/>
    </row>
    <row r="98" spans="2:4" x14ac:dyDescent="0.25">
      <c r="B98" s="53" t="s">
        <v>110</v>
      </c>
      <c r="C98" t="s">
        <v>44</v>
      </c>
      <c r="D98" s="54"/>
    </row>
    <row r="99" spans="2:4" x14ac:dyDescent="0.25">
      <c r="B99" s="53" t="s">
        <v>111</v>
      </c>
      <c r="C99" t="s">
        <v>112</v>
      </c>
      <c r="D99" s="54"/>
    </row>
    <row r="100" spans="2:4" x14ac:dyDescent="0.25">
      <c r="B100" s="53" t="s">
        <v>113</v>
      </c>
      <c r="D100" s="54"/>
    </row>
    <row r="101" spans="2:4" x14ac:dyDescent="0.25">
      <c r="B101" s="53" t="s">
        <v>114</v>
      </c>
      <c r="C101" t="b">
        <v>1</v>
      </c>
      <c r="D101" s="54"/>
    </row>
    <row r="102" spans="2:4" x14ac:dyDescent="0.25">
      <c r="B102" s="53"/>
      <c r="D102" s="54"/>
    </row>
    <row r="103" spans="2:4" x14ac:dyDescent="0.25">
      <c r="B103" s="53" t="s">
        <v>110</v>
      </c>
      <c r="C103" t="s">
        <v>47</v>
      </c>
      <c r="D103" s="54"/>
    </row>
    <row r="104" spans="2:4" x14ac:dyDescent="0.25">
      <c r="B104" s="53" t="s">
        <v>111</v>
      </c>
      <c r="C104" t="s">
        <v>112</v>
      </c>
      <c r="D104" s="54"/>
    </row>
    <row r="105" spans="2:4" x14ac:dyDescent="0.25">
      <c r="B105" s="53" t="s">
        <v>113</v>
      </c>
      <c r="D105" s="54"/>
    </row>
    <row r="106" spans="2:4" x14ac:dyDescent="0.25">
      <c r="B106" s="53" t="s">
        <v>114</v>
      </c>
      <c r="C106" t="b">
        <v>0</v>
      </c>
      <c r="D106" s="54"/>
    </row>
    <row r="107" spans="2:4" x14ac:dyDescent="0.25">
      <c r="B107" s="53"/>
      <c r="D107" s="54"/>
    </row>
    <row r="108" spans="2:4" x14ac:dyDescent="0.25">
      <c r="B108" s="53" t="s">
        <v>110</v>
      </c>
      <c r="C108" t="s">
        <v>48</v>
      </c>
      <c r="D108" s="54"/>
    </row>
    <row r="109" spans="2:4" x14ac:dyDescent="0.25">
      <c r="B109" s="53" t="s">
        <v>111</v>
      </c>
      <c r="C109" t="s">
        <v>112</v>
      </c>
      <c r="D109" s="54"/>
    </row>
    <row r="110" spans="2:4" x14ac:dyDescent="0.25">
      <c r="B110" s="53" t="s">
        <v>113</v>
      </c>
      <c r="D110" s="54"/>
    </row>
    <row r="111" spans="2:4" x14ac:dyDescent="0.25">
      <c r="B111" s="53" t="s">
        <v>114</v>
      </c>
      <c r="C111" t="b">
        <v>0</v>
      </c>
      <c r="D111" s="54"/>
    </row>
    <row r="112" spans="2:4" x14ac:dyDescent="0.25">
      <c r="B112" s="53"/>
      <c r="D112" s="54"/>
    </row>
    <row r="113" spans="2:4" x14ac:dyDescent="0.25">
      <c r="B113" s="53" t="s">
        <v>110</v>
      </c>
      <c r="C113" t="s">
        <v>49</v>
      </c>
      <c r="D113" s="54"/>
    </row>
    <row r="114" spans="2:4" x14ac:dyDescent="0.25">
      <c r="B114" s="53" t="s">
        <v>111</v>
      </c>
      <c r="C114" t="s">
        <v>112</v>
      </c>
      <c r="D114" s="54"/>
    </row>
    <row r="115" spans="2:4" x14ac:dyDescent="0.25">
      <c r="B115" s="53" t="s">
        <v>113</v>
      </c>
      <c r="D115" s="54"/>
    </row>
    <row r="116" spans="2:4" x14ac:dyDescent="0.25">
      <c r="B116" s="53" t="s">
        <v>114</v>
      </c>
      <c r="C116" t="b">
        <v>0</v>
      </c>
      <c r="D116" s="54"/>
    </row>
    <row r="117" spans="2:4" x14ac:dyDescent="0.25">
      <c r="B117" s="53"/>
      <c r="D117" s="54"/>
    </row>
    <row r="118" spans="2:4" x14ac:dyDescent="0.25">
      <c r="B118" s="53" t="s">
        <v>110</v>
      </c>
      <c r="C118" t="s">
        <v>50</v>
      </c>
      <c r="D118" s="54"/>
    </row>
    <row r="119" spans="2:4" x14ac:dyDescent="0.25">
      <c r="B119" s="53" t="s">
        <v>111</v>
      </c>
      <c r="C119" t="s">
        <v>112</v>
      </c>
      <c r="D119" s="54"/>
    </row>
    <row r="120" spans="2:4" ht="15.75" thickBot="1" x14ac:dyDescent="0.3">
      <c r="B120" s="55" t="s">
        <v>113</v>
      </c>
      <c r="C120" s="56"/>
      <c r="D120" s="57"/>
    </row>
    <row r="121" spans="2:4" x14ac:dyDescent="0.25">
      <c r="B121" s="53" t="s">
        <v>114</v>
      </c>
      <c r="C121" t="b">
        <v>0</v>
      </c>
      <c r="D121" s="54"/>
    </row>
    <row r="122" spans="2:4" ht="15.75" thickBot="1" x14ac:dyDescent="0.3"/>
    <row r="123" spans="2:4" ht="23.25" x14ac:dyDescent="0.35">
      <c r="B123" s="50" t="s">
        <v>105</v>
      </c>
      <c r="C123" s="51" t="s">
        <v>128</v>
      </c>
      <c r="D123" s="52"/>
    </row>
    <row r="124" spans="2:4" x14ac:dyDescent="0.25">
      <c r="B124" s="53" t="s">
        <v>106</v>
      </c>
      <c r="C124" t="b">
        <v>1</v>
      </c>
      <c r="D124" s="54"/>
    </row>
    <row r="125" spans="2:4" x14ac:dyDescent="0.25">
      <c r="B125" s="53" t="s">
        <v>107</v>
      </c>
      <c r="C125" t="s">
        <v>129</v>
      </c>
      <c r="D125" s="54"/>
    </row>
    <row r="126" spans="2:4" x14ac:dyDescent="0.25">
      <c r="B126" s="53" t="s">
        <v>109</v>
      </c>
      <c r="C126" t="b">
        <v>1</v>
      </c>
      <c r="D126" s="54"/>
    </row>
    <row r="127" spans="2:4" x14ac:dyDescent="0.25">
      <c r="B127" s="53"/>
      <c r="D127" s="54"/>
    </row>
    <row r="128" spans="2:4" x14ac:dyDescent="0.25">
      <c r="B128" s="53" t="s">
        <v>110</v>
      </c>
      <c r="C128" t="s">
        <v>51</v>
      </c>
      <c r="D128" s="54"/>
    </row>
    <row r="129" spans="2:4" x14ac:dyDescent="0.25">
      <c r="B129" s="53" t="s">
        <v>111</v>
      </c>
      <c r="C129" t="s">
        <v>130</v>
      </c>
      <c r="D129" s="54" t="s">
        <v>131</v>
      </c>
    </row>
    <row r="130" spans="2:4" x14ac:dyDescent="0.25">
      <c r="B130" s="53" t="s">
        <v>113</v>
      </c>
      <c r="C130" t="s">
        <v>20</v>
      </c>
      <c r="D130" s="54"/>
    </row>
    <row r="131" spans="2:4" x14ac:dyDescent="0.25">
      <c r="B131" s="53" t="s">
        <v>114</v>
      </c>
      <c r="C131" t="b">
        <v>0</v>
      </c>
      <c r="D131" s="54"/>
    </row>
    <row r="132" spans="2:4" x14ac:dyDescent="0.25">
      <c r="B132" s="53"/>
      <c r="D132" s="54"/>
    </row>
    <row r="133" spans="2:4" x14ac:dyDescent="0.25">
      <c r="B133" s="53" t="s">
        <v>110</v>
      </c>
      <c r="C133" t="s">
        <v>52</v>
      </c>
      <c r="D133" s="54"/>
    </row>
    <row r="134" spans="2:4" x14ac:dyDescent="0.25">
      <c r="B134" s="53" t="s">
        <v>111</v>
      </c>
      <c r="C134" t="s">
        <v>112</v>
      </c>
      <c r="D134" s="54"/>
    </row>
    <row r="135" spans="2:4" x14ac:dyDescent="0.25">
      <c r="B135" s="53" t="s">
        <v>113</v>
      </c>
      <c r="D135" s="54"/>
    </row>
    <row r="136" spans="2:4" x14ac:dyDescent="0.25">
      <c r="B136" s="53" t="s">
        <v>114</v>
      </c>
      <c r="C136" t="b">
        <v>0</v>
      </c>
      <c r="D136" s="54"/>
    </row>
    <row r="137" spans="2:4" x14ac:dyDescent="0.25">
      <c r="B137" s="53"/>
      <c r="D137" s="54"/>
    </row>
    <row r="138" spans="2:4" x14ac:dyDescent="0.25">
      <c r="B138" s="53" t="s">
        <v>110</v>
      </c>
      <c r="C138" t="s">
        <v>53</v>
      </c>
      <c r="D138" s="54"/>
    </row>
    <row r="139" spans="2:4" x14ac:dyDescent="0.25">
      <c r="B139" s="53" t="s">
        <v>111</v>
      </c>
      <c r="C139" t="s">
        <v>112</v>
      </c>
      <c r="D139" s="54"/>
    </row>
    <row r="140" spans="2:4" ht="15.75" thickBot="1" x14ac:dyDescent="0.3">
      <c r="B140" s="55" t="s">
        <v>113</v>
      </c>
      <c r="C140" s="56">
        <v>0</v>
      </c>
      <c r="D140" s="57"/>
    </row>
    <row r="141" spans="2:4" x14ac:dyDescent="0.25">
      <c r="B141" s="53" t="s">
        <v>114</v>
      </c>
      <c r="C141" t="b">
        <v>0</v>
      </c>
      <c r="D141" s="54"/>
    </row>
    <row r="142" spans="2:4" ht="15.75" thickBot="1" x14ac:dyDescent="0.3"/>
    <row r="143" spans="2:4" ht="23.25" x14ac:dyDescent="0.35">
      <c r="B143" s="50" t="s">
        <v>105</v>
      </c>
      <c r="C143" s="51" t="s">
        <v>132</v>
      </c>
      <c r="D143" s="52"/>
    </row>
    <row r="144" spans="2:4" x14ac:dyDescent="0.25">
      <c r="B144" s="53" t="s">
        <v>106</v>
      </c>
      <c r="C144" t="b">
        <v>1</v>
      </c>
      <c r="D144" s="54"/>
    </row>
    <row r="145" spans="2:4" x14ac:dyDescent="0.25">
      <c r="B145" s="53" t="s">
        <v>107</v>
      </c>
      <c r="C145" t="s">
        <v>133</v>
      </c>
      <c r="D145" s="54"/>
    </row>
    <row r="146" spans="2:4" x14ac:dyDescent="0.25">
      <c r="B146" s="53" t="s">
        <v>109</v>
      </c>
      <c r="C146" t="b">
        <v>1</v>
      </c>
      <c r="D146" s="54"/>
    </row>
    <row r="147" spans="2:4" x14ac:dyDescent="0.25">
      <c r="B147" s="53"/>
      <c r="D147" s="54"/>
    </row>
    <row r="148" spans="2:4" x14ac:dyDescent="0.25">
      <c r="B148" s="53" t="s">
        <v>110</v>
      </c>
      <c r="C148" t="s">
        <v>16</v>
      </c>
      <c r="D148" s="54"/>
    </row>
    <row r="149" spans="2:4" x14ac:dyDescent="0.25">
      <c r="B149" s="53" t="s">
        <v>111</v>
      </c>
      <c r="C149" t="s">
        <v>112</v>
      </c>
      <c r="D149" s="54"/>
    </row>
    <row r="150" spans="2:4" x14ac:dyDescent="0.25">
      <c r="B150" s="53" t="s">
        <v>113</v>
      </c>
      <c r="D150" s="54"/>
    </row>
    <row r="151" spans="2:4" x14ac:dyDescent="0.25">
      <c r="B151" s="53" t="s">
        <v>114</v>
      </c>
      <c r="C151" t="b">
        <v>1</v>
      </c>
      <c r="D151" s="54"/>
    </row>
    <row r="152" spans="2:4" x14ac:dyDescent="0.25">
      <c r="B152" s="53"/>
      <c r="D152" s="54"/>
    </row>
    <row r="153" spans="2:4" x14ac:dyDescent="0.25">
      <c r="B153" s="53" t="s">
        <v>110</v>
      </c>
      <c r="C153" t="s">
        <v>99</v>
      </c>
      <c r="D153" s="54"/>
    </row>
    <row r="154" spans="2:4" x14ac:dyDescent="0.25">
      <c r="B154" s="53" t="s">
        <v>111</v>
      </c>
      <c r="C154" t="s">
        <v>112</v>
      </c>
      <c r="D154" s="54"/>
    </row>
    <row r="155" spans="2:4" x14ac:dyDescent="0.25">
      <c r="B155" s="53" t="s">
        <v>113</v>
      </c>
      <c r="D155" s="54"/>
    </row>
    <row r="156" spans="2:4" x14ac:dyDescent="0.25">
      <c r="B156" s="53" t="s">
        <v>114</v>
      </c>
      <c r="C156" t="b">
        <v>0</v>
      </c>
      <c r="D156" s="54"/>
    </row>
    <row r="157" spans="2:4" x14ac:dyDescent="0.25">
      <c r="B157" s="53"/>
      <c r="D157" s="54"/>
    </row>
    <row r="158" spans="2:4" x14ac:dyDescent="0.25">
      <c r="B158" s="53" t="s">
        <v>110</v>
      </c>
      <c r="C158" t="s">
        <v>54</v>
      </c>
      <c r="D158" s="54"/>
    </row>
    <row r="159" spans="2:4" x14ac:dyDescent="0.25">
      <c r="B159" s="53" t="s">
        <v>111</v>
      </c>
      <c r="C159" t="s">
        <v>112</v>
      </c>
      <c r="D159" s="54"/>
    </row>
    <row r="160" spans="2:4" x14ac:dyDescent="0.25">
      <c r="B160" s="53" t="s">
        <v>113</v>
      </c>
      <c r="D160" s="54"/>
    </row>
    <row r="161" spans="2:4" x14ac:dyDescent="0.25">
      <c r="B161" s="53" t="s">
        <v>114</v>
      </c>
      <c r="C161" t="b">
        <v>1</v>
      </c>
      <c r="D161" s="54"/>
    </row>
    <row r="162" spans="2:4" x14ac:dyDescent="0.25">
      <c r="B162" s="53"/>
      <c r="D162" s="54"/>
    </row>
    <row r="163" spans="2:4" x14ac:dyDescent="0.25">
      <c r="B163" s="53" t="s">
        <v>110</v>
      </c>
      <c r="C163" t="s">
        <v>58</v>
      </c>
      <c r="D163" s="54"/>
    </row>
    <row r="164" spans="2:4" x14ac:dyDescent="0.25">
      <c r="B164" s="53" t="s">
        <v>111</v>
      </c>
      <c r="C164" t="s">
        <v>115</v>
      </c>
      <c r="D164" s="58" t="s">
        <v>134</v>
      </c>
    </row>
    <row r="165" spans="2:4" ht="15.75" thickBot="1" x14ac:dyDescent="0.3">
      <c r="B165" s="55" t="s">
        <v>113</v>
      </c>
      <c r="C165" s="56"/>
      <c r="D165" s="57"/>
    </row>
    <row r="166" spans="2:4" x14ac:dyDescent="0.25">
      <c r="B166" s="53" t="s">
        <v>114</v>
      </c>
      <c r="C166" t="b">
        <v>0</v>
      </c>
      <c r="D166" s="54"/>
    </row>
    <row r="168" spans="2:4" x14ac:dyDescent="0.25">
      <c r="B168" s="53" t="s">
        <v>110</v>
      </c>
      <c r="C168" t="s">
        <v>103</v>
      </c>
      <c r="D168" s="54"/>
    </row>
    <row r="169" spans="2:4" x14ac:dyDescent="0.25">
      <c r="B169" s="53" t="s">
        <v>111</v>
      </c>
      <c r="C169" t="s">
        <v>115</v>
      </c>
      <c r="D169" s="58" t="s">
        <v>135</v>
      </c>
    </row>
    <row r="170" spans="2:4" ht="15.75" thickBot="1" x14ac:dyDescent="0.3">
      <c r="B170" s="55" t="s">
        <v>113</v>
      </c>
      <c r="C170" s="56" t="s">
        <v>104</v>
      </c>
      <c r="D170" s="57"/>
    </row>
    <row r="171" spans="2:4" x14ac:dyDescent="0.25">
      <c r="B171" s="53" t="s">
        <v>114</v>
      </c>
      <c r="C171" t="b">
        <v>0</v>
      </c>
      <c r="D171" s="54"/>
    </row>
    <row r="172" spans="2:4" ht="15.75" thickBot="1" x14ac:dyDescent="0.3"/>
    <row r="173" spans="2:4" ht="23.25" x14ac:dyDescent="0.35">
      <c r="B173" s="50" t="s">
        <v>105</v>
      </c>
      <c r="C173" s="51" t="s">
        <v>136</v>
      </c>
      <c r="D173" s="52"/>
    </row>
    <row r="174" spans="2:4" x14ac:dyDescent="0.25">
      <c r="B174" s="53" t="s">
        <v>106</v>
      </c>
      <c r="C174" t="b">
        <v>1</v>
      </c>
      <c r="D174" s="54"/>
    </row>
    <row r="175" spans="2:4" x14ac:dyDescent="0.25">
      <c r="B175" s="53" t="s">
        <v>107</v>
      </c>
      <c r="C175" t="s">
        <v>137</v>
      </c>
      <c r="D175" s="54"/>
    </row>
    <row r="176" spans="2:4" x14ac:dyDescent="0.25">
      <c r="B176" s="53" t="s">
        <v>109</v>
      </c>
      <c r="C176" t="b">
        <v>1</v>
      </c>
      <c r="D176" s="54"/>
    </row>
    <row r="177" spans="2:4" x14ac:dyDescent="0.25">
      <c r="B177" s="53"/>
      <c r="D177" s="54"/>
    </row>
    <row r="178" spans="2:4" x14ac:dyDescent="0.25">
      <c r="B178" s="53" t="s">
        <v>110</v>
      </c>
      <c r="C178" t="s">
        <v>16</v>
      </c>
      <c r="D178" s="54"/>
    </row>
    <row r="179" spans="2:4" x14ac:dyDescent="0.25">
      <c r="B179" s="53" t="s">
        <v>111</v>
      </c>
      <c r="C179" t="s">
        <v>112</v>
      </c>
      <c r="D179" s="54"/>
    </row>
    <row r="180" spans="2:4" x14ac:dyDescent="0.25">
      <c r="B180" s="53" t="s">
        <v>113</v>
      </c>
      <c r="D180" s="54"/>
    </row>
    <row r="181" spans="2:4" x14ac:dyDescent="0.25">
      <c r="B181" s="53" t="s">
        <v>114</v>
      </c>
      <c r="C181" t="b">
        <v>1</v>
      </c>
      <c r="D181" s="54"/>
    </row>
    <row r="182" spans="2:4" x14ac:dyDescent="0.25">
      <c r="B182" s="53"/>
      <c r="D182" s="54"/>
    </row>
    <row r="183" spans="2:4" x14ac:dyDescent="0.25">
      <c r="B183" s="53" t="s">
        <v>110</v>
      </c>
      <c r="C183" t="s">
        <v>21</v>
      </c>
      <c r="D183" s="54"/>
    </row>
    <row r="184" spans="2:4" x14ac:dyDescent="0.25">
      <c r="B184" s="53" t="s">
        <v>111</v>
      </c>
      <c r="C184" t="s">
        <v>112</v>
      </c>
      <c r="D184" s="54"/>
    </row>
    <row r="185" spans="2:4" x14ac:dyDescent="0.25">
      <c r="B185" s="53" t="s">
        <v>113</v>
      </c>
      <c r="D185" s="54"/>
    </row>
    <row r="186" spans="2:4" x14ac:dyDescent="0.25">
      <c r="B186" s="53" t="s">
        <v>114</v>
      </c>
      <c r="C186" t="b">
        <v>0</v>
      </c>
      <c r="D186" s="54"/>
    </row>
    <row r="187" spans="2:4" x14ac:dyDescent="0.25">
      <c r="B187" s="53"/>
      <c r="D187" s="54"/>
    </row>
    <row r="188" spans="2:4" x14ac:dyDescent="0.25">
      <c r="B188" s="53" t="s">
        <v>110</v>
      </c>
      <c r="C188" t="s">
        <v>138</v>
      </c>
      <c r="D188" s="54"/>
    </row>
    <row r="189" spans="2:4" x14ac:dyDescent="0.25">
      <c r="B189" s="53" t="s">
        <v>111</v>
      </c>
      <c r="C189" t="s">
        <v>115</v>
      </c>
      <c r="D189" s="54" t="s">
        <v>139</v>
      </c>
    </row>
    <row r="190" spans="2:4" x14ac:dyDescent="0.25">
      <c r="B190" s="53" t="s">
        <v>113</v>
      </c>
      <c r="D190" s="54"/>
    </row>
    <row r="191" spans="2:4" x14ac:dyDescent="0.25">
      <c r="B191" s="53" t="s">
        <v>114</v>
      </c>
      <c r="C191" t="b">
        <v>0</v>
      </c>
      <c r="D191" s="54"/>
    </row>
    <row r="192" spans="2:4" x14ac:dyDescent="0.25">
      <c r="B192" s="53"/>
      <c r="D192" s="54"/>
    </row>
    <row r="193" spans="2:4" x14ac:dyDescent="0.25">
      <c r="B193" s="53" t="s">
        <v>110</v>
      </c>
      <c r="C193" t="s">
        <v>140</v>
      </c>
      <c r="D193" s="54"/>
    </row>
    <row r="194" spans="2:4" x14ac:dyDescent="0.25">
      <c r="B194" s="53" t="s">
        <v>111</v>
      </c>
      <c r="C194" t="s">
        <v>112</v>
      </c>
      <c r="D194" s="54"/>
    </row>
    <row r="195" spans="2:4" x14ac:dyDescent="0.25">
      <c r="B195" s="53" t="s">
        <v>113</v>
      </c>
      <c r="D195" s="54"/>
    </row>
    <row r="196" spans="2:4" x14ac:dyDescent="0.25">
      <c r="B196" s="53" t="s">
        <v>114</v>
      </c>
      <c r="C196" t="b">
        <v>0</v>
      </c>
      <c r="D196" s="54"/>
    </row>
    <row r="197" spans="2:4" x14ac:dyDescent="0.25">
      <c r="B197" s="53"/>
      <c r="D197" s="54"/>
    </row>
    <row r="198" spans="2:4" x14ac:dyDescent="0.25">
      <c r="B198" s="53" t="s">
        <v>110</v>
      </c>
      <c r="C198" t="s">
        <v>141</v>
      </c>
      <c r="D198" s="54"/>
    </row>
    <row r="199" spans="2:4" x14ac:dyDescent="0.25">
      <c r="B199" s="53" t="s">
        <v>111</v>
      </c>
      <c r="C199" t="s">
        <v>130</v>
      </c>
      <c r="D199" s="54" t="s">
        <v>142</v>
      </c>
    </row>
    <row r="200" spans="2:4" x14ac:dyDescent="0.25">
      <c r="B200" s="53" t="s">
        <v>113</v>
      </c>
      <c r="C200" t="s">
        <v>143</v>
      </c>
      <c r="D200" s="54"/>
    </row>
    <row r="201" spans="2:4" x14ac:dyDescent="0.25">
      <c r="B201" s="53" t="s">
        <v>114</v>
      </c>
      <c r="C201" t="b">
        <v>0</v>
      </c>
      <c r="D201" s="54"/>
    </row>
    <row r="202" spans="2:4" x14ac:dyDescent="0.25">
      <c r="B202" s="53"/>
      <c r="D202" s="54"/>
    </row>
    <row r="203" spans="2:4" x14ac:dyDescent="0.25">
      <c r="B203" s="53" t="s">
        <v>110</v>
      </c>
      <c r="C203" t="s">
        <v>144</v>
      </c>
      <c r="D203" s="54"/>
    </row>
    <row r="204" spans="2:4" x14ac:dyDescent="0.25">
      <c r="B204" s="53" t="s">
        <v>111</v>
      </c>
      <c r="C204" t="s">
        <v>112</v>
      </c>
      <c r="D204" s="54"/>
    </row>
    <row r="205" spans="2:4" ht="15.75" thickBot="1" x14ac:dyDescent="0.3">
      <c r="B205" s="55" t="s">
        <v>113</v>
      </c>
      <c r="C205" s="56"/>
      <c r="D205" s="57"/>
    </row>
    <row r="206" spans="2:4" x14ac:dyDescent="0.25">
      <c r="B206" s="53" t="s">
        <v>114</v>
      </c>
      <c r="C206" t="b">
        <v>0</v>
      </c>
      <c r="D206" s="54"/>
    </row>
    <row r="207" spans="2:4" ht="15.75" thickBot="1" x14ac:dyDescent="0.3"/>
    <row r="208" spans="2:4" ht="23.25" x14ac:dyDescent="0.35">
      <c r="B208" s="50" t="s">
        <v>105</v>
      </c>
      <c r="C208" s="51" t="s">
        <v>145</v>
      </c>
      <c r="D208" s="52"/>
    </row>
    <row r="209" spans="2:4" x14ac:dyDescent="0.25">
      <c r="B209" s="53" t="s">
        <v>106</v>
      </c>
      <c r="C209" t="b">
        <v>1</v>
      </c>
      <c r="D209" s="54"/>
    </row>
    <row r="210" spans="2:4" x14ac:dyDescent="0.25">
      <c r="B210" s="53" t="s">
        <v>107</v>
      </c>
      <c r="C210" t="s">
        <v>146</v>
      </c>
      <c r="D210" s="54"/>
    </row>
    <row r="211" spans="2:4" x14ac:dyDescent="0.25">
      <c r="B211" s="53" t="s">
        <v>109</v>
      </c>
      <c r="C211" t="b">
        <v>1</v>
      </c>
      <c r="D211" s="54"/>
    </row>
    <row r="212" spans="2:4" x14ac:dyDescent="0.25">
      <c r="B212" s="53"/>
      <c r="D212" s="54"/>
    </row>
    <row r="213" spans="2:4" x14ac:dyDescent="0.25">
      <c r="B213" s="53" t="s">
        <v>110</v>
      </c>
      <c r="C213" t="s">
        <v>55</v>
      </c>
      <c r="D213" s="54"/>
    </row>
    <row r="214" spans="2:4" x14ac:dyDescent="0.25">
      <c r="B214" s="53" t="s">
        <v>111</v>
      </c>
      <c r="C214" t="s">
        <v>115</v>
      </c>
      <c r="D214" s="54" t="s">
        <v>120</v>
      </c>
    </row>
    <row r="215" spans="2:4" x14ac:dyDescent="0.25">
      <c r="B215" s="53" t="s">
        <v>113</v>
      </c>
      <c r="C215" t="s">
        <v>23</v>
      </c>
      <c r="D215" s="54"/>
    </row>
    <row r="216" spans="2:4" x14ac:dyDescent="0.25">
      <c r="B216" s="53" t="s">
        <v>114</v>
      </c>
      <c r="C216" t="b">
        <v>0</v>
      </c>
      <c r="D216" s="54"/>
    </row>
    <row r="217" spans="2:4" x14ac:dyDescent="0.25">
      <c r="B217" s="53"/>
      <c r="D217" s="54"/>
    </row>
    <row r="218" spans="2:4" x14ac:dyDescent="0.25">
      <c r="B218" s="53" t="s">
        <v>110</v>
      </c>
      <c r="C218" t="s">
        <v>56</v>
      </c>
      <c r="D218" s="54"/>
    </row>
    <row r="219" spans="2:4" x14ac:dyDescent="0.25">
      <c r="B219" s="53" t="s">
        <v>111</v>
      </c>
      <c r="C219" t="s">
        <v>112</v>
      </c>
      <c r="D219" s="54"/>
    </row>
    <row r="220" spans="2:4" x14ac:dyDescent="0.25">
      <c r="B220" s="53" t="s">
        <v>113</v>
      </c>
      <c r="D220" s="54"/>
    </row>
    <row r="221" spans="2:4" x14ac:dyDescent="0.25">
      <c r="B221" s="53" t="s">
        <v>114</v>
      </c>
      <c r="C221" t="b">
        <v>0</v>
      </c>
      <c r="D221" s="54"/>
    </row>
    <row r="222" spans="2:4" x14ac:dyDescent="0.25">
      <c r="B222" s="53"/>
      <c r="D222" s="54"/>
    </row>
    <row r="223" spans="2:4" x14ac:dyDescent="0.25">
      <c r="B223" s="53" t="s">
        <v>110</v>
      </c>
      <c r="C223" t="s">
        <v>57</v>
      </c>
      <c r="D223" s="54"/>
    </row>
    <row r="224" spans="2:4" x14ac:dyDescent="0.25">
      <c r="B224" s="53" t="s">
        <v>111</v>
      </c>
      <c r="C224" t="s">
        <v>112</v>
      </c>
      <c r="D224" s="54"/>
    </row>
    <row r="225" spans="2:4" ht="15.75" thickBot="1" x14ac:dyDescent="0.3">
      <c r="B225" s="55" t="s">
        <v>113</v>
      </c>
      <c r="C225" s="56"/>
      <c r="D225" s="57"/>
    </row>
    <row r="226" spans="2:4" x14ac:dyDescent="0.25">
      <c r="B226" s="53" t="s">
        <v>114</v>
      </c>
      <c r="C226" t="b">
        <v>0</v>
      </c>
      <c r="D226" s="54"/>
    </row>
    <row r="227" spans="2:4" ht="15.75" thickBot="1" x14ac:dyDescent="0.3"/>
    <row r="228" spans="2:4" ht="23.25" x14ac:dyDescent="0.35">
      <c r="B228" s="50" t="s">
        <v>105</v>
      </c>
      <c r="C228" s="51" t="s">
        <v>147</v>
      </c>
      <c r="D228" s="52"/>
    </row>
    <row r="229" spans="2:4" x14ac:dyDescent="0.25">
      <c r="B229" s="53" t="s">
        <v>106</v>
      </c>
      <c r="C229" t="b">
        <v>1</v>
      </c>
      <c r="D229" s="54"/>
    </row>
    <row r="230" spans="2:4" x14ac:dyDescent="0.25">
      <c r="B230" s="53" t="s">
        <v>107</v>
      </c>
      <c r="C230" t="s">
        <v>148</v>
      </c>
      <c r="D230" s="54"/>
    </row>
    <row r="231" spans="2:4" x14ac:dyDescent="0.25">
      <c r="B231" s="53" t="s">
        <v>109</v>
      </c>
      <c r="C231" t="b">
        <v>1</v>
      </c>
      <c r="D231" s="54"/>
    </row>
    <row r="232" spans="2:4" x14ac:dyDescent="0.25">
      <c r="B232" s="53"/>
      <c r="D232" s="54"/>
    </row>
    <row r="233" spans="2:4" x14ac:dyDescent="0.25">
      <c r="B233" s="53" t="s">
        <v>110</v>
      </c>
      <c r="C233" t="s">
        <v>149</v>
      </c>
      <c r="D233" s="54"/>
    </row>
    <row r="234" spans="2:4" x14ac:dyDescent="0.25">
      <c r="B234" s="53" t="s">
        <v>111</v>
      </c>
      <c r="C234" t="s">
        <v>112</v>
      </c>
      <c r="D234" s="54"/>
    </row>
    <row r="235" spans="2:4" x14ac:dyDescent="0.25">
      <c r="B235" s="53" t="s">
        <v>113</v>
      </c>
      <c r="D235" s="54"/>
    </row>
    <row r="236" spans="2:4" x14ac:dyDescent="0.25">
      <c r="B236" s="53" t="s">
        <v>114</v>
      </c>
      <c r="C236" t="b">
        <v>1</v>
      </c>
      <c r="D236" s="54"/>
    </row>
    <row r="237" spans="2:4" x14ac:dyDescent="0.25">
      <c r="B237" s="53"/>
      <c r="D237" s="54"/>
    </row>
    <row r="238" spans="2:4" x14ac:dyDescent="0.25">
      <c r="B238" s="53" t="s">
        <v>110</v>
      </c>
      <c r="C238" t="s">
        <v>150</v>
      </c>
      <c r="D238" s="54"/>
    </row>
    <row r="239" spans="2:4" x14ac:dyDescent="0.25">
      <c r="B239" s="53" t="s">
        <v>111</v>
      </c>
      <c r="C239" t="s">
        <v>112</v>
      </c>
      <c r="D239" s="54"/>
    </row>
    <row r="240" spans="2:4" x14ac:dyDescent="0.25">
      <c r="B240" s="53" t="s">
        <v>113</v>
      </c>
      <c r="D240" s="54"/>
    </row>
    <row r="241" spans="2:4" x14ac:dyDescent="0.25">
      <c r="B241" s="53" t="s">
        <v>114</v>
      </c>
      <c r="C241" t="b">
        <v>1</v>
      </c>
      <c r="D241" s="54"/>
    </row>
    <row r="242" spans="2:4" x14ac:dyDescent="0.25">
      <c r="B242" s="53"/>
      <c r="D242" s="54"/>
    </row>
    <row r="243" spans="2:4" x14ac:dyDescent="0.25">
      <c r="B243" s="53" t="s">
        <v>110</v>
      </c>
      <c r="C243" t="s">
        <v>151</v>
      </c>
      <c r="D243" s="54"/>
    </row>
    <row r="244" spans="2:4" x14ac:dyDescent="0.25">
      <c r="B244" s="53" t="s">
        <v>111</v>
      </c>
      <c r="C244" t="s">
        <v>112</v>
      </c>
      <c r="D244" s="54"/>
    </row>
    <row r="245" spans="2:4" x14ac:dyDescent="0.25">
      <c r="B245" s="53" t="s">
        <v>113</v>
      </c>
      <c r="D245" s="54"/>
    </row>
    <row r="246" spans="2:4" x14ac:dyDescent="0.25">
      <c r="B246" s="53" t="s">
        <v>114</v>
      </c>
      <c r="C246" t="b">
        <v>0</v>
      </c>
      <c r="D246" s="54"/>
    </row>
    <row r="247" spans="2:4" x14ac:dyDescent="0.25">
      <c r="B247" s="53"/>
      <c r="D247" s="54"/>
    </row>
    <row r="248" spans="2:4" x14ac:dyDescent="0.25">
      <c r="B248" s="53" t="s">
        <v>110</v>
      </c>
      <c r="C248" t="s">
        <v>152</v>
      </c>
      <c r="D248" s="54"/>
    </row>
    <row r="249" spans="2:4" x14ac:dyDescent="0.25">
      <c r="B249" s="53" t="s">
        <v>111</v>
      </c>
      <c r="C249" t="s">
        <v>112</v>
      </c>
      <c r="D249" s="54"/>
    </row>
    <row r="250" spans="2:4" x14ac:dyDescent="0.25">
      <c r="B250" s="53" t="s">
        <v>113</v>
      </c>
      <c r="C250">
        <v>1</v>
      </c>
      <c r="D250" s="54"/>
    </row>
    <row r="251" spans="2:4" x14ac:dyDescent="0.25">
      <c r="B251" s="53" t="s">
        <v>114</v>
      </c>
      <c r="C251" t="b">
        <v>0</v>
      </c>
      <c r="D251" s="54"/>
    </row>
    <row r="252" spans="2:4" x14ac:dyDescent="0.25">
      <c r="B252" s="53"/>
      <c r="D252" s="54"/>
    </row>
    <row r="253" spans="2:4" x14ac:dyDescent="0.25">
      <c r="B253" s="53" t="s">
        <v>110</v>
      </c>
      <c r="C253" t="s">
        <v>153</v>
      </c>
      <c r="D253" s="54"/>
    </row>
    <row r="254" spans="2:4" x14ac:dyDescent="0.25">
      <c r="B254" s="53" t="s">
        <v>111</v>
      </c>
      <c r="C254" t="s">
        <v>112</v>
      </c>
      <c r="D254" s="54"/>
    </row>
    <row r="255" spans="2:4" ht="15.75" thickBot="1" x14ac:dyDescent="0.3">
      <c r="B255" s="55" t="s">
        <v>113</v>
      </c>
      <c r="C255" s="56">
        <v>1</v>
      </c>
      <c r="D255" s="57"/>
    </row>
    <row r="256" spans="2:4" x14ac:dyDescent="0.25">
      <c r="B256" s="53" t="s">
        <v>114</v>
      </c>
      <c r="C256" t="b">
        <v>0</v>
      </c>
      <c r="D256" s="54"/>
    </row>
    <row r="257" spans="2:4" ht="15.75" thickBot="1" x14ac:dyDescent="0.3"/>
    <row r="258" spans="2:4" ht="23.25" x14ac:dyDescent="0.35">
      <c r="B258" s="50" t="s">
        <v>105</v>
      </c>
      <c r="C258" s="51" t="s">
        <v>154</v>
      </c>
      <c r="D258" s="52"/>
    </row>
    <row r="259" spans="2:4" x14ac:dyDescent="0.25">
      <c r="B259" s="53" t="s">
        <v>106</v>
      </c>
      <c r="C259" t="b">
        <v>1</v>
      </c>
      <c r="D259" s="54"/>
    </row>
    <row r="260" spans="2:4" x14ac:dyDescent="0.25">
      <c r="B260" s="53" t="s">
        <v>107</v>
      </c>
      <c r="C260" t="s">
        <v>155</v>
      </c>
      <c r="D260" s="54"/>
    </row>
    <row r="261" spans="2:4" x14ac:dyDescent="0.25">
      <c r="B261" s="53" t="s">
        <v>109</v>
      </c>
      <c r="C261" t="b">
        <v>1</v>
      </c>
      <c r="D261" s="54"/>
    </row>
    <row r="262" spans="2:4" x14ac:dyDescent="0.25">
      <c r="B262" s="53"/>
      <c r="D262" s="54"/>
    </row>
    <row r="263" spans="2:4" x14ac:dyDescent="0.25">
      <c r="B263" s="53" t="s">
        <v>110</v>
      </c>
      <c r="C263" t="s">
        <v>16</v>
      </c>
      <c r="D263" s="54"/>
    </row>
    <row r="264" spans="2:4" x14ac:dyDescent="0.25">
      <c r="B264" s="53" t="s">
        <v>111</v>
      </c>
      <c r="C264" t="s">
        <v>112</v>
      </c>
      <c r="D264" s="54"/>
    </row>
    <row r="265" spans="2:4" x14ac:dyDescent="0.25">
      <c r="B265" s="53" t="s">
        <v>113</v>
      </c>
      <c r="D265" s="54"/>
    </row>
    <row r="266" spans="2:4" x14ac:dyDescent="0.25">
      <c r="B266" s="53" t="s">
        <v>114</v>
      </c>
      <c r="C266" t="b">
        <v>1</v>
      </c>
      <c r="D266" s="54"/>
    </row>
    <row r="267" spans="2:4" x14ac:dyDescent="0.25">
      <c r="B267" s="53"/>
      <c r="D267" s="54"/>
    </row>
    <row r="268" spans="2:4" x14ac:dyDescent="0.25">
      <c r="B268" s="53" t="s">
        <v>110</v>
      </c>
      <c r="C268" t="s">
        <v>156</v>
      </c>
      <c r="D268" s="54"/>
    </row>
    <row r="269" spans="2:4" x14ac:dyDescent="0.25">
      <c r="B269" s="53" t="s">
        <v>111</v>
      </c>
      <c r="C269" t="s">
        <v>112</v>
      </c>
      <c r="D269" s="54"/>
    </row>
    <row r="270" spans="2:4" x14ac:dyDescent="0.25">
      <c r="B270" s="53" t="s">
        <v>113</v>
      </c>
      <c r="D270" s="54"/>
    </row>
    <row r="271" spans="2:4" x14ac:dyDescent="0.25">
      <c r="B271" s="53" t="s">
        <v>114</v>
      </c>
      <c r="C271" t="b">
        <v>0</v>
      </c>
      <c r="D271" s="54"/>
    </row>
    <row r="272" spans="2:4" x14ac:dyDescent="0.25">
      <c r="B272" s="53"/>
      <c r="D272" s="54"/>
    </row>
    <row r="273" spans="2:4" x14ac:dyDescent="0.25">
      <c r="B273" s="53" t="s">
        <v>110</v>
      </c>
      <c r="C273" t="s">
        <v>157</v>
      </c>
      <c r="D273" s="54"/>
    </row>
    <row r="274" spans="2:4" x14ac:dyDescent="0.25">
      <c r="B274" s="53" t="s">
        <v>111</v>
      </c>
      <c r="C274" t="s">
        <v>115</v>
      </c>
      <c r="D274" s="54" t="s">
        <v>158</v>
      </c>
    </row>
    <row r="275" spans="2:4" ht="15.75" thickBot="1" x14ac:dyDescent="0.3">
      <c r="B275" s="55" t="s">
        <v>113</v>
      </c>
      <c r="C275" s="56" t="s">
        <v>159</v>
      </c>
      <c r="D275" s="57"/>
    </row>
    <row r="276" spans="2:4" x14ac:dyDescent="0.25">
      <c r="B276" s="53" t="s">
        <v>114</v>
      </c>
      <c r="C276" t="b">
        <v>0</v>
      </c>
      <c r="D276" s="54"/>
    </row>
    <row r="277" spans="2:4" ht="15.75" thickBot="1" x14ac:dyDescent="0.3"/>
    <row r="278" spans="2:4" ht="23.25" x14ac:dyDescent="0.35">
      <c r="B278" s="50" t="s">
        <v>105</v>
      </c>
      <c r="C278" s="51" t="s">
        <v>160</v>
      </c>
      <c r="D278" s="52"/>
    </row>
    <row r="279" spans="2:4" x14ac:dyDescent="0.25">
      <c r="B279" s="53" t="s">
        <v>106</v>
      </c>
      <c r="C279" t="b">
        <v>1</v>
      </c>
      <c r="D279" s="54"/>
    </row>
    <row r="280" spans="2:4" x14ac:dyDescent="0.25">
      <c r="B280" s="53" t="s">
        <v>107</v>
      </c>
      <c r="C280" t="s">
        <v>155</v>
      </c>
      <c r="D280" s="54"/>
    </row>
    <row r="281" spans="2:4" x14ac:dyDescent="0.25">
      <c r="B281" s="53" t="s">
        <v>109</v>
      </c>
      <c r="C281" t="b">
        <v>1</v>
      </c>
      <c r="D281" s="54"/>
    </row>
    <row r="282" spans="2:4" x14ac:dyDescent="0.25">
      <c r="B282" s="53"/>
      <c r="D282" s="54"/>
    </row>
    <row r="283" spans="2:4" x14ac:dyDescent="0.25">
      <c r="B283" s="53" t="s">
        <v>110</v>
      </c>
      <c r="C283" t="s">
        <v>16</v>
      </c>
      <c r="D283" s="54"/>
    </row>
    <row r="284" spans="2:4" x14ac:dyDescent="0.25">
      <c r="B284" s="53" t="s">
        <v>111</v>
      </c>
      <c r="C284" t="s">
        <v>112</v>
      </c>
      <c r="D284" s="54"/>
    </row>
    <row r="285" spans="2:4" x14ac:dyDescent="0.25">
      <c r="B285" s="53" t="s">
        <v>113</v>
      </c>
      <c r="D285" s="54"/>
    </row>
    <row r="286" spans="2:4" x14ac:dyDescent="0.25">
      <c r="B286" s="53" t="s">
        <v>114</v>
      </c>
      <c r="C286" t="b">
        <v>1</v>
      </c>
      <c r="D286" s="54"/>
    </row>
    <row r="287" spans="2:4" x14ac:dyDescent="0.25">
      <c r="B287" s="53"/>
      <c r="D287" s="54"/>
    </row>
    <row r="288" spans="2:4" x14ac:dyDescent="0.25">
      <c r="B288" s="53" t="s">
        <v>110</v>
      </c>
      <c r="C288" t="s">
        <v>161</v>
      </c>
      <c r="D288" s="54"/>
    </row>
    <row r="289" spans="2:4" x14ac:dyDescent="0.25">
      <c r="B289" s="53" t="s">
        <v>111</v>
      </c>
      <c r="C289" t="s">
        <v>112</v>
      </c>
      <c r="D289" s="54"/>
    </row>
    <row r="290" spans="2:4" x14ac:dyDescent="0.25">
      <c r="B290" s="53" t="s">
        <v>113</v>
      </c>
      <c r="D290" s="54"/>
    </row>
    <row r="291" spans="2:4" x14ac:dyDescent="0.25">
      <c r="B291" s="53" t="s">
        <v>114</v>
      </c>
      <c r="C291" t="b">
        <v>0</v>
      </c>
      <c r="D291" s="54"/>
    </row>
    <row r="292" spans="2:4" x14ac:dyDescent="0.25">
      <c r="B292" s="53"/>
      <c r="D292" s="54"/>
    </row>
    <row r="293" spans="2:4" x14ac:dyDescent="0.25">
      <c r="B293" s="53" t="s">
        <v>110</v>
      </c>
      <c r="C293" t="s">
        <v>157</v>
      </c>
      <c r="D293" s="54"/>
    </row>
    <row r="294" spans="2:4" x14ac:dyDescent="0.25">
      <c r="B294" s="53" t="s">
        <v>111</v>
      </c>
      <c r="C294" t="s">
        <v>115</v>
      </c>
      <c r="D294" s="54" t="s">
        <v>158</v>
      </c>
    </row>
    <row r="295" spans="2:4" ht="15.75" thickBot="1" x14ac:dyDescent="0.3">
      <c r="B295" s="55" t="s">
        <v>113</v>
      </c>
      <c r="C295" s="56" t="s">
        <v>159</v>
      </c>
      <c r="D295" s="57"/>
    </row>
    <row r="296" spans="2:4" x14ac:dyDescent="0.25">
      <c r="B296" s="53" t="s">
        <v>114</v>
      </c>
      <c r="C296" t="b">
        <v>0</v>
      </c>
      <c r="D296" s="54"/>
    </row>
    <row r="297" spans="2:4" ht="15.75" thickBot="1" x14ac:dyDescent="0.3"/>
    <row r="298" spans="2:4" ht="23.25" x14ac:dyDescent="0.35">
      <c r="B298" s="50" t="s">
        <v>105</v>
      </c>
      <c r="C298" s="51" t="s">
        <v>162</v>
      </c>
      <c r="D298" s="52"/>
    </row>
    <row r="299" spans="2:4" x14ac:dyDescent="0.25">
      <c r="B299" s="53" t="s">
        <v>106</v>
      </c>
      <c r="C299" t="b">
        <v>1</v>
      </c>
      <c r="D299" s="54"/>
    </row>
    <row r="300" spans="2:4" x14ac:dyDescent="0.25">
      <c r="B300" s="53" t="s">
        <v>107</v>
      </c>
      <c r="C300" t="s">
        <v>155</v>
      </c>
      <c r="D300" s="54"/>
    </row>
    <row r="301" spans="2:4" x14ac:dyDescent="0.25">
      <c r="B301" s="53" t="s">
        <v>109</v>
      </c>
      <c r="C301" t="b">
        <v>1</v>
      </c>
      <c r="D301" s="54"/>
    </row>
    <row r="302" spans="2:4" x14ac:dyDescent="0.25">
      <c r="B302" s="53"/>
      <c r="D302" s="54"/>
    </row>
    <row r="303" spans="2:4" x14ac:dyDescent="0.25">
      <c r="B303" s="53" t="s">
        <v>110</v>
      </c>
      <c r="C303" t="s">
        <v>58</v>
      </c>
      <c r="D303" s="54"/>
    </row>
    <row r="304" spans="2:4" x14ac:dyDescent="0.25">
      <c r="B304" s="53" t="s">
        <v>111</v>
      </c>
      <c r="C304" t="s">
        <v>112</v>
      </c>
      <c r="D304" s="54"/>
    </row>
    <row r="305" spans="2:4" ht="15.75" thickBot="1" x14ac:dyDescent="0.3">
      <c r="B305" s="55" t="s">
        <v>113</v>
      </c>
      <c r="C305" s="56"/>
      <c r="D305" s="57"/>
    </row>
    <row r="306" spans="2:4" x14ac:dyDescent="0.25">
      <c r="B306" s="53" t="s">
        <v>114</v>
      </c>
      <c r="C306" t="b">
        <v>0</v>
      </c>
      <c r="D306" s="5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3"/>
  <sheetViews>
    <sheetView workbookViewId="0">
      <selection activeCell="C39" sqref="C39"/>
    </sheetView>
  </sheetViews>
  <sheetFormatPr defaultRowHeight="15" x14ac:dyDescent="0.25"/>
  <cols>
    <col min="1" max="1" width="9" bestFit="1" customWidth="1"/>
    <col min="2" max="2" width="11.140625" bestFit="1" customWidth="1"/>
    <col min="3" max="3" width="22" bestFit="1" customWidth="1"/>
    <col min="4" max="4" width="15.140625" bestFit="1" customWidth="1"/>
  </cols>
  <sheetData>
    <row r="1" spans="1:4" x14ac:dyDescent="0.25">
      <c r="A1" t="s">
        <v>3</v>
      </c>
      <c r="B1" t="s">
        <v>1</v>
      </c>
      <c r="C1" t="s">
        <v>62</v>
      </c>
      <c r="D1" t="s">
        <v>59</v>
      </c>
    </row>
    <row r="2" spans="1:4" x14ac:dyDescent="0.25">
      <c r="A2">
        <f t="shared" ref="A2:A3" si="0">ROW(A1)</f>
        <v>1</v>
      </c>
      <c r="B2" t="s">
        <v>2</v>
      </c>
      <c r="C2">
        <v>1.58</v>
      </c>
      <c r="D2" t="s">
        <v>61</v>
      </c>
    </row>
    <row r="3" spans="1:4" x14ac:dyDescent="0.25">
      <c r="A3">
        <f t="shared" si="0"/>
        <v>2</v>
      </c>
      <c r="B3" t="s">
        <v>2</v>
      </c>
      <c r="C3">
        <v>1.58</v>
      </c>
      <c r="D3" t="s">
        <v>60</v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Method">
                <anchor moveWithCells="1" sizeWithCells="1">
                  <from>
                    <xdr:col>14</xdr:col>
                    <xdr:colOff>257175</xdr:colOff>
                    <xdr:row>0</xdr:row>
                    <xdr:rowOff>95250</xdr:rowOff>
                  </from>
                  <to>
                    <xdr:col>17</xdr:col>
                    <xdr:colOff>581025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ePrepSheet">
                <anchor moveWithCells="1" sizeWithCells="1">
                  <from>
                    <xdr:col>14</xdr:col>
                    <xdr:colOff>238125</xdr:colOff>
                    <xdr:row>6</xdr:row>
                    <xdr:rowOff>66675</xdr:rowOff>
                  </from>
                  <to>
                    <xdr:col>17</xdr:col>
                    <xdr:colOff>571500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0780E-86B1-4AFF-BEC1-3ED66954E40D}">
  <sheetPr codeName="Sheet2"/>
  <dimension ref="B1:H138"/>
  <sheetViews>
    <sheetView tabSelected="1" topLeftCell="A67" zoomScale="80" zoomScaleNormal="80" workbookViewId="0">
      <selection activeCell="E77" sqref="E77"/>
    </sheetView>
  </sheetViews>
  <sheetFormatPr defaultRowHeight="15" x14ac:dyDescent="0.25"/>
  <cols>
    <col min="2" max="2" width="29.140625" bestFit="1" customWidth="1"/>
    <col min="3" max="3" width="56.42578125" bestFit="1" customWidth="1"/>
    <col min="4" max="4" width="42" bestFit="1" customWidth="1"/>
    <col min="5" max="5" width="34.5703125" bestFit="1" customWidth="1"/>
    <col min="6" max="6" width="29.140625" bestFit="1" customWidth="1"/>
    <col min="7" max="7" width="34.5703125" bestFit="1" customWidth="1"/>
    <col min="8" max="8" width="46.28515625" bestFit="1" customWidth="1"/>
    <col min="9" max="9" width="11.5703125" bestFit="1" customWidth="1"/>
    <col min="10" max="10" width="34.5703125" bestFit="1" customWidth="1"/>
    <col min="11" max="11" width="6.28515625" bestFit="1" customWidth="1"/>
    <col min="12" max="12" width="34.5703125" bestFit="1" customWidth="1"/>
    <col min="13" max="13" width="38.42578125" bestFit="1" customWidth="1"/>
    <col min="14" max="14" width="34.5703125" bestFit="1" customWidth="1"/>
    <col min="15" max="15" width="11.5703125" bestFit="1" customWidth="1"/>
    <col min="16" max="16" width="34.5703125" bestFit="1" customWidth="1"/>
    <col min="17" max="17" width="11.5703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2:8" ht="15.75" thickBot="1" x14ac:dyDescent="0.3"/>
    <row r="2" spans="2:8" ht="15.75" x14ac:dyDescent="0.25">
      <c r="D2" s="61" t="s">
        <v>5</v>
      </c>
      <c r="E2" s="30"/>
      <c r="F2" s="62" t="s">
        <v>6</v>
      </c>
    </row>
    <row r="3" spans="2:8" x14ac:dyDescent="0.25">
      <c r="D3" s="59" t="s">
        <v>0</v>
      </c>
      <c r="E3" s="1" t="s">
        <v>9</v>
      </c>
      <c r="F3" s="63"/>
    </row>
    <row r="4" spans="2:8" ht="15.75" thickBot="1" x14ac:dyDescent="0.3">
      <c r="D4" s="60" t="s">
        <v>8</v>
      </c>
      <c r="E4" s="2" t="s">
        <v>4</v>
      </c>
      <c r="F4" s="64"/>
    </row>
    <row r="6" spans="2:8" ht="20.25" x14ac:dyDescent="0.25">
      <c r="E6" s="3" t="s">
        <v>7</v>
      </c>
    </row>
    <row r="7" spans="2:8" ht="15.75" thickBot="1" x14ac:dyDescent="0.3"/>
    <row r="8" spans="2:8" ht="15.75" x14ac:dyDescent="0.25">
      <c r="D8" s="67" t="s">
        <v>26</v>
      </c>
      <c r="E8" s="38"/>
      <c r="F8" s="68" t="s">
        <v>6</v>
      </c>
    </row>
    <row r="9" spans="2:8" x14ac:dyDescent="0.25">
      <c r="D9" s="65" t="s">
        <v>11</v>
      </c>
      <c r="E9" s="12" t="str">
        <f>Worklist!$D$1</f>
        <v>Volume Route</v>
      </c>
      <c r="F9" s="69"/>
    </row>
    <row r="10" spans="2:8" x14ac:dyDescent="0.25">
      <c r="D10" s="65" t="s">
        <v>12</v>
      </c>
      <c r="E10" s="12" t="s">
        <v>60</v>
      </c>
      <c r="F10" s="69"/>
    </row>
    <row r="11" spans="2:8" ht="15.75" thickBot="1" x14ac:dyDescent="0.3">
      <c r="D11" s="66" t="s">
        <v>14</v>
      </c>
      <c r="E11" s="15" t="s">
        <v>61</v>
      </c>
      <c r="F11" s="70"/>
    </row>
    <row r="12" spans="2:8" ht="15.75" thickBot="1" x14ac:dyDescent="0.3"/>
    <row r="13" spans="2:8" ht="15.75" x14ac:dyDescent="0.25">
      <c r="B13" s="61" t="s">
        <v>5</v>
      </c>
      <c r="C13" s="30"/>
      <c r="D13" s="62" t="s">
        <v>6</v>
      </c>
      <c r="F13" s="61" t="s">
        <v>5</v>
      </c>
      <c r="G13" s="30"/>
      <c r="H13" s="62" t="s">
        <v>6</v>
      </c>
    </row>
    <row r="14" spans="2:8" x14ac:dyDescent="0.25">
      <c r="B14" s="59" t="s">
        <v>0</v>
      </c>
      <c r="C14" s="1" t="s">
        <v>60</v>
      </c>
      <c r="D14" s="63" t="s">
        <v>76</v>
      </c>
      <c r="F14" s="59" t="s">
        <v>0</v>
      </c>
      <c r="G14" s="1" t="s">
        <v>61</v>
      </c>
      <c r="H14" s="63" t="s">
        <v>75</v>
      </c>
    </row>
    <row r="15" spans="2:8" ht="15.75" thickBot="1" x14ac:dyDescent="0.3">
      <c r="B15" s="60" t="s">
        <v>8</v>
      </c>
      <c r="C15" s="2" t="s">
        <v>4</v>
      </c>
      <c r="D15" s="64"/>
      <c r="F15" s="60" t="s">
        <v>8</v>
      </c>
      <c r="G15" s="2" t="s">
        <v>4</v>
      </c>
      <c r="H15" s="64"/>
    </row>
    <row r="17" spans="2:8" ht="20.25" x14ac:dyDescent="0.25">
      <c r="C17" s="3" t="s">
        <v>7</v>
      </c>
      <c r="G17" s="3" t="s">
        <v>7</v>
      </c>
    </row>
    <row r="18" spans="2:8" ht="15.75" thickBot="1" x14ac:dyDescent="0.3"/>
    <row r="19" spans="2:8" ht="15.75" x14ac:dyDescent="0.25">
      <c r="B19" s="73" t="s">
        <v>63</v>
      </c>
      <c r="C19" s="37"/>
      <c r="D19" s="74" t="s">
        <v>6</v>
      </c>
      <c r="F19" s="73" t="s">
        <v>63</v>
      </c>
      <c r="G19" s="37"/>
      <c r="H19" s="74" t="s">
        <v>6</v>
      </c>
    </row>
    <row r="20" spans="2:8" x14ac:dyDescent="0.25">
      <c r="B20" s="71" t="s">
        <v>16</v>
      </c>
      <c r="C20" s="21" t="str">
        <f>Method!$E$3</f>
        <v>Sample</v>
      </c>
      <c r="D20" s="75"/>
      <c r="F20" s="71" t="s">
        <v>16</v>
      </c>
      <c r="G20" s="21" t="str">
        <f>Method!$E$3</f>
        <v>Sample</v>
      </c>
      <c r="H20" s="75"/>
    </row>
    <row r="21" spans="2:8" x14ac:dyDescent="0.25">
      <c r="B21" s="71" t="s">
        <v>44</v>
      </c>
      <c r="C21" s="21" t="s">
        <v>64</v>
      </c>
      <c r="D21" s="75"/>
      <c r="F21" s="71" t="s">
        <v>44</v>
      </c>
      <c r="G21" s="21" t="s">
        <v>64</v>
      </c>
      <c r="H21" s="75"/>
    </row>
    <row r="22" spans="2:8" x14ac:dyDescent="0.25">
      <c r="B22" s="71" t="s">
        <v>47</v>
      </c>
      <c r="C22" s="21" t="str">
        <f>Worklist!$C$1</f>
        <v>Concentration (mg/mL)</v>
      </c>
      <c r="D22" s="75"/>
      <c r="F22" s="71" t="s">
        <v>47</v>
      </c>
      <c r="G22" s="21" t="str">
        <f>Worklist!$C$1</f>
        <v>Concentration (mg/mL)</v>
      </c>
      <c r="H22" s="75"/>
    </row>
    <row r="23" spans="2:8" x14ac:dyDescent="0.25">
      <c r="B23" s="71" t="s">
        <v>48</v>
      </c>
      <c r="C23" s="21">
        <v>1</v>
      </c>
      <c r="D23" s="75"/>
      <c r="F23" s="71" t="s">
        <v>48</v>
      </c>
      <c r="G23" s="21">
        <v>1</v>
      </c>
      <c r="H23" s="75"/>
    </row>
    <row r="24" spans="2:8" x14ac:dyDescent="0.25">
      <c r="B24" s="71" t="s">
        <v>49</v>
      </c>
      <c r="C24" s="21">
        <f>316/4</f>
        <v>79</v>
      </c>
      <c r="D24" s="75"/>
      <c r="F24" s="71" t="s">
        <v>49</v>
      </c>
      <c r="G24" s="21">
        <v>166.36</v>
      </c>
      <c r="H24" s="75"/>
    </row>
    <row r="25" spans="2:8" ht="15.75" thickBot="1" x14ac:dyDescent="0.3">
      <c r="B25" s="72" t="s">
        <v>50</v>
      </c>
      <c r="C25" s="22">
        <f>316/4</f>
        <v>79</v>
      </c>
      <c r="D25" s="76"/>
      <c r="F25" s="72" t="s">
        <v>50</v>
      </c>
      <c r="G25" s="22">
        <v>166.36</v>
      </c>
      <c r="H25" s="76"/>
    </row>
    <row r="27" spans="2:8" ht="20.25" x14ac:dyDescent="0.25">
      <c r="C27" s="3" t="s">
        <v>7</v>
      </c>
      <c r="G27" s="3" t="s">
        <v>7</v>
      </c>
    </row>
    <row r="28" spans="2:8" ht="15.75" thickBot="1" x14ac:dyDescent="0.3"/>
    <row r="29" spans="2:8" ht="15.75" x14ac:dyDescent="0.25">
      <c r="B29" s="79" t="s">
        <v>24</v>
      </c>
      <c r="C29" s="31"/>
      <c r="D29" s="80" t="s">
        <v>6</v>
      </c>
      <c r="F29" s="79" t="s">
        <v>24</v>
      </c>
      <c r="G29" s="31"/>
      <c r="H29" s="80" t="s">
        <v>6</v>
      </c>
    </row>
    <row r="30" spans="2:8" x14ac:dyDescent="0.25">
      <c r="B30" s="77" t="s">
        <v>16</v>
      </c>
      <c r="C30" s="7" t="s">
        <v>67</v>
      </c>
      <c r="D30" s="81"/>
      <c r="F30" s="77" t="s">
        <v>16</v>
      </c>
      <c r="G30" s="7" t="s">
        <v>67</v>
      </c>
      <c r="H30" s="81"/>
    </row>
    <row r="31" spans="2:8" x14ac:dyDescent="0.25">
      <c r="B31" s="77" t="s">
        <v>17</v>
      </c>
      <c r="C31" s="7" t="s">
        <v>74</v>
      </c>
      <c r="D31" s="81"/>
      <c r="F31" s="77" t="s">
        <v>17</v>
      </c>
      <c r="G31" s="7" t="s">
        <v>74</v>
      </c>
      <c r="H31" s="81"/>
    </row>
    <row r="32" spans="2:8" x14ac:dyDescent="0.25">
      <c r="B32" s="77" t="s">
        <v>19</v>
      </c>
      <c r="C32" s="7" t="s">
        <v>20</v>
      </c>
      <c r="D32" s="81"/>
      <c r="F32" s="77" t="s">
        <v>19</v>
      </c>
      <c r="G32" s="7" t="s">
        <v>20</v>
      </c>
      <c r="H32" s="81"/>
    </row>
    <row r="33" spans="2:8" x14ac:dyDescent="0.25">
      <c r="B33" s="77" t="s">
        <v>21</v>
      </c>
      <c r="C33" s="7">
        <f>6.12 /4</f>
        <v>1.53</v>
      </c>
      <c r="D33" s="81"/>
      <c r="F33" s="77" t="s">
        <v>21</v>
      </c>
      <c r="G33" s="7">
        <v>3.11</v>
      </c>
      <c r="H33" s="81"/>
    </row>
    <row r="34" spans="2:8" ht="15.75" thickBot="1" x14ac:dyDescent="0.3">
      <c r="B34" s="78" t="s">
        <v>22</v>
      </c>
      <c r="C34" s="10" t="s">
        <v>23</v>
      </c>
      <c r="D34" s="82"/>
      <c r="F34" s="78" t="s">
        <v>22</v>
      </c>
      <c r="G34" s="10" t="s">
        <v>23</v>
      </c>
      <c r="H34" s="82"/>
    </row>
    <row r="36" spans="2:8" ht="20.25" x14ac:dyDescent="0.25">
      <c r="C36" s="3" t="s">
        <v>7</v>
      </c>
      <c r="G36" s="3" t="s">
        <v>7</v>
      </c>
    </row>
    <row r="37" spans="2:8" ht="15.75" thickBot="1" x14ac:dyDescent="0.3"/>
    <row r="38" spans="2:8" ht="15.75" x14ac:dyDescent="0.25">
      <c r="B38" s="85" t="s">
        <v>70</v>
      </c>
      <c r="C38" s="32"/>
      <c r="D38" s="86" t="s">
        <v>6</v>
      </c>
      <c r="F38" s="85" t="s">
        <v>70</v>
      </c>
      <c r="G38" s="32"/>
      <c r="H38" s="86" t="s">
        <v>6</v>
      </c>
    </row>
    <row r="39" spans="2:8" x14ac:dyDescent="0.25">
      <c r="B39" s="83" t="s">
        <v>51</v>
      </c>
      <c r="C39" s="25">
        <v>37</v>
      </c>
      <c r="D39" s="87"/>
      <c r="F39" s="83" t="s">
        <v>51</v>
      </c>
      <c r="G39" s="25">
        <v>37</v>
      </c>
      <c r="H39" s="87"/>
    </row>
    <row r="40" spans="2:8" x14ac:dyDescent="0.25">
      <c r="B40" s="83" t="s">
        <v>52</v>
      </c>
      <c r="C40" s="25">
        <v>30</v>
      </c>
      <c r="D40" s="87"/>
      <c r="F40" s="83" t="s">
        <v>52</v>
      </c>
      <c r="G40" s="25">
        <v>30</v>
      </c>
      <c r="H40" s="87"/>
    </row>
    <row r="41" spans="2:8" ht="15.75" thickBot="1" x14ac:dyDescent="0.3">
      <c r="B41" s="84" t="s">
        <v>53</v>
      </c>
      <c r="C41" s="26">
        <v>0</v>
      </c>
      <c r="D41" s="88"/>
      <c r="F41" s="84" t="s">
        <v>53</v>
      </c>
      <c r="G41" s="26">
        <v>0</v>
      </c>
      <c r="H41" s="88"/>
    </row>
    <row r="43" spans="2:8" ht="20.25" x14ac:dyDescent="0.25">
      <c r="C43" s="3" t="s">
        <v>7</v>
      </c>
      <c r="G43" s="3" t="s">
        <v>7</v>
      </c>
    </row>
    <row r="44" spans="2:8" ht="15.75" thickBot="1" x14ac:dyDescent="0.3"/>
    <row r="45" spans="2:8" ht="15.75" x14ac:dyDescent="0.25">
      <c r="B45" s="79" t="s">
        <v>24</v>
      </c>
      <c r="C45" s="31"/>
      <c r="D45" s="80" t="s">
        <v>6</v>
      </c>
      <c r="F45" s="79" t="s">
        <v>24</v>
      </c>
      <c r="G45" s="31"/>
      <c r="H45" s="80" t="s">
        <v>6</v>
      </c>
    </row>
    <row r="46" spans="2:8" x14ac:dyDescent="0.25">
      <c r="B46" s="77" t="s">
        <v>16</v>
      </c>
      <c r="C46" s="7" t="s">
        <v>71</v>
      </c>
      <c r="D46" s="81"/>
      <c r="F46" s="77" t="s">
        <v>16</v>
      </c>
      <c r="G46" s="7" t="s">
        <v>71</v>
      </c>
      <c r="H46" s="81"/>
    </row>
    <row r="47" spans="2:8" x14ac:dyDescent="0.25">
      <c r="B47" s="77" t="s">
        <v>17</v>
      </c>
      <c r="C47" s="7" t="s">
        <v>72</v>
      </c>
      <c r="D47" s="81"/>
      <c r="F47" s="77" t="s">
        <v>17</v>
      </c>
      <c r="G47" s="7" t="s">
        <v>72</v>
      </c>
      <c r="H47" s="81"/>
    </row>
    <row r="48" spans="2:8" x14ac:dyDescent="0.25">
      <c r="B48" s="77" t="s">
        <v>19</v>
      </c>
      <c r="C48" s="7" t="s">
        <v>20</v>
      </c>
      <c r="D48" s="81"/>
      <c r="F48" s="77" t="s">
        <v>19</v>
      </c>
      <c r="G48" s="7" t="s">
        <v>20</v>
      </c>
      <c r="H48" s="81"/>
    </row>
    <row r="49" spans="2:8" x14ac:dyDescent="0.25">
      <c r="B49" s="77" t="s">
        <v>21</v>
      </c>
      <c r="C49" s="7">
        <f>79.53 / 4</f>
        <v>19.8825</v>
      </c>
      <c r="D49" s="81"/>
      <c r="F49" s="77" t="s">
        <v>21</v>
      </c>
      <c r="G49" s="7">
        <v>40.1</v>
      </c>
      <c r="H49" s="81"/>
    </row>
    <row r="50" spans="2:8" ht="15.75" thickBot="1" x14ac:dyDescent="0.3">
      <c r="B50" s="78" t="s">
        <v>22</v>
      </c>
      <c r="C50" s="10" t="s">
        <v>23</v>
      </c>
      <c r="D50" s="82"/>
      <c r="F50" s="78" t="s">
        <v>22</v>
      </c>
      <c r="G50" s="10" t="s">
        <v>23</v>
      </c>
      <c r="H50" s="82"/>
    </row>
    <row r="52" spans="2:8" ht="20.25" x14ac:dyDescent="0.25">
      <c r="C52" s="3" t="s">
        <v>7</v>
      </c>
      <c r="G52" s="3" t="s">
        <v>7</v>
      </c>
    </row>
    <row r="53" spans="2:8" ht="15.75" thickBot="1" x14ac:dyDescent="0.3"/>
    <row r="54" spans="2:8" ht="15.75" x14ac:dyDescent="0.25">
      <c r="B54" s="85" t="s">
        <v>70</v>
      </c>
      <c r="C54" s="32"/>
      <c r="D54" s="86" t="s">
        <v>6</v>
      </c>
      <c r="F54" s="85" t="s">
        <v>70</v>
      </c>
      <c r="G54" s="32"/>
      <c r="H54" s="86" t="s">
        <v>6</v>
      </c>
    </row>
    <row r="55" spans="2:8" x14ac:dyDescent="0.25">
      <c r="B55" s="83" t="s">
        <v>51</v>
      </c>
      <c r="C55" s="25" t="s">
        <v>20</v>
      </c>
      <c r="D55" s="87"/>
      <c r="F55" s="83" t="s">
        <v>51</v>
      </c>
      <c r="G55" s="25" t="s">
        <v>20</v>
      </c>
      <c r="H55" s="87"/>
    </row>
    <row r="56" spans="2:8" x14ac:dyDescent="0.25">
      <c r="B56" s="83" t="s">
        <v>52</v>
      </c>
      <c r="C56" s="25">
        <v>30</v>
      </c>
      <c r="D56" s="87"/>
      <c r="F56" s="83" t="s">
        <v>52</v>
      </c>
      <c r="G56" s="25">
        <v>30</v>
      </c>
      <c r="H56" s="87"/>
    </row>
    <row r="57" spans="2:8" ht="15.75" thickBot="1" x14ac:dyDescent="0.3">
      <c r="B57" s="84" t="s">
        <v>53</v>
      </c>
      <c r="C57" s="26">
        <v>0</v>
      </c>
      <c r="D57" s="88"/>
      <c r="F57" s="84" t="s">
        <v>53</v>
      </c>
      <c r="G57" s="26">
        <v>0</v>
      </c>
      <c r="H57" s="88"/>
    </row>
    <row r="59" spans="2:8" ht="20.25" x14ac:dyDescent="0.25">
      <c r="C59" s="3" t="s">
        <v>7</v>
      </c>
      <c r="G59" s="3" t="s">
        <v>7</v>
      </c>
    </row>
    <row r="60" spans="2:8" ht="15.75" thickBot="1" x14ac:dyDescent="0.3"/>
    <row r="61" spans="2:8" ht="15.75" x14ac:dyDescent="0.25">
      <c r="B61" s="91" t="s">
        <v>93</v>
      </c>
      <c r="C61" s="35"/>
      <c r="D61" s="92" t="s">
        <v>6</v>
      </c>
      <c r="F61" s="61" t="s">
        <v>5</v>
      </c>
      <c r="G61" s="30"/>
      <c r="H61" s="62" t="s">
        <v>6</v>
      </c>
    </row>
    <row r="62" spans="2:8" x14ac:dyDescent="0.25">
      <c r="B62" s="89" t="s">
        <v>55</v>
      </c>
      <c r="C62" s="28" t="s">
        <v>66</v>
      </c>
      <c r="D62" s="93"/>
      <c r="F62" s="59" t="s">
        <v>0</v>
      </c>
      <c r="G62" s="1" t="s">
        <v>101</v>
      </c>
      <c r="H62" s="63"/>
    </row>
    <row r="63" spans="2:8" ht="15.75" thickBot="1" x14ac:dyDescent="0.3">
      <c r="B63" s="89" t="s">
        <v>56</v>
      </c>
      <c r="C63" s="28" t="s">
        <v>94</v>
      </c>
      <c r="D63" s="93"/>
      <c r="F63" s="60" t="s">
        <v>8</v>
      </c>
      <c r="G63" s="2" t="s">
        <v>4</v>
      </c>
      <c r="H63" s="64"/>
    </row>
    <row r="64" spans="2:8" ht="15.75" thickBot="1" x14ac:dyDescent="0.3">
      <c r="B64" s="90" t="s">
        <v>57</v>
      </c>
      <c r="C64" s="29" t="s">
        <v>95</v>
      </c>
      <c r="D64" s="94"/>
    </row>
    <row r="65" spans="2:8" ht="20.25" x14ac:dyDescent="0.25">
      <c r="G65" s="3" t="s">
        <v>7</v>
      </c>
    </row>
    <row r="66" spans="2:8" ht="21" thickBot="1" x14ac:dyDescent="0.3">
      <c r="C66" s="3" t="s">
        <v>7</v>
      </c>
    </row>
    <row r="67" spans="2:8" ht="16.5" thickBot="1" x14ac:dyDescent="0.3">
      <c r="F67" s="61" t="s">
        <v>5</v>
      </c>
      <c r="G67" s="30"/>
      <c r="H67" s="62" t="s">
        <v>6</v>
      </c>
    </row>
    <row r="68" spans="2:8" ht="15.75" x14ac:dyDescent="0.25">
      <c r="B68" s="97" t="s">
        <v>69</v>
      </c>
      <c r="C68" s="34"/>
      <c r="D68" s="98" t="s">
        <v>6</v>
      </c>
      <c r="F68" s="59" t="s">
        <v>0</v>
      </c>
      <c r="G68" s="1" t="s">
        <v>77</v>
      </c>
      <c r="H68" s="63"/>
    </row>
    <row r="69" spans="2:8" ht="15.75" thickBot="1" x14ac:dyDescent="0.3">
      <c r="B69" s="95" t="s">
        <v>45</v>
      </c>
      <c r="C69" s="23" t="str">
        <f>Method!$G$68</f>
        <v>LV Desalting Plate</v>
      </c>
      <c r="D69" s="99"/>
      <c r="F69" s="60" t="s">
        <v>8</v>
      </c>
      <c r="G69" s="2" t="s">
        <v>4</v>
      </c>
      <c r="H69" s="64"/>
    </row>
    <row r="70" spans="2:8" ht="15.75" thickBot="1" x14ac:dyDescent="0.3">
      <c r="B70" s="96" t="s">
        <v>46</v>
      </c>
      <c r="C70" s="24" t="s">
        <v>23</v>
      </c>
      <c r="D70" s="100"/>
    </row>
    <row r="71" spans="2:8" ht="20.25" x14ac:dyDescent="0.25">
      <c r="G71" s="3" t="s">
        <v>7</v>
      </c>
    </row>
    <row r="72" spans="2:8" ht="21" thickBot="1" x14ac:dyDescent="0.3">
      <c r="C72" s="3" t="s">
        <v>7</v>
      </c>
    </row>
    <row r="73" spans="2:8" ht="16.5" thickBot="1" x14ac:dyDescent="0.3">
      <c r="F73" s="103" t="s">
        <v>100</v>
      </c>
      <c r="G73" s="33"/>
      <c r="H73" s="104" t="s">
        <v>6</v>
      </c>
    </row>
    <row r="74" spans="2:8" ht="15.75" x14ac:dyDescent="0.25">
      <c r="B74" s="91" t="s">
        <v>93</v>
      </c>
      <c r="C74" s="35"/>
      <c r="D74" s="92" t="s">
        <v>6</v>
      </c>
      <c r="F74" s="101" t="s">
        <v>16</v>
      </c>
      <c r="G74" s="19" t="str">
        <f>Method!$G$14</f>
        <v>Low Volume</v>
      </c>
      <c r="H74" s="105"/>
    </row>
    <row r="75" spans="2:8" x14ac:dyDescent="0.25">
      <c r="B75" s="89" t="s">
        <v>55</v>
      </c>
      <c r="C75" s="28" t="s">
        <v>23</v>
      </c>
      <c r="D75" s="93"/>
      <c r="F75" s="101" t="s">
        <v>99</v>
      </c>
      <c r="G75" s="19" t="str">
        <f>Method!$G$62</f>
        <v>LV Desalting Waste</v>
      </c>
      <c r="H75" s="105"/>
    </row>
    <row r="76" spans="2:8" x14ac:dyDescent="0.25">
      <c r="B76" s="89" t="s">
        <v>56</v>
      </c>
      <c r="C76" s="28" t="s">
        <v>96</v>
      </c>
      <c r="D76" s="93"/>
      <c r="F76" s="101" t="s">
        <v>54</v>
      </c>
      <c r="G76" s="19" t="s">
        <v>79</v>
      </c>
      <c r="H76" s="105"/>
    </row>
    <row r="77" spans="2:8" ht="15.75" thickBot="1" x14ac:dyDescent="0.3">
      <c r="B77" s="90" t="s">
        <v>57</v>
      </c>
      <c r="C77" s="29" t="s">
        <v>97</v>
      </c>
      <c r="D77" s="94"/>
      <c r="F77" s="101" t="s">
        <v>58</v>
      </c>
      <c r="G77" s="19">
        <v>200</v>
      </c>
      <c r="H77" s="105"/>
    </row>
    <row r="78" spans="2:8" ht="15.75" thickBot="1" x14ac:dyDescent="0.3">
      <c r="F78" s="102" t="s">
        <v>103</v>
      </c>
      <c r="G78" s="20" t="s">
        <v>163</v>
      </c>
      <c r="H78" s="106"/>
    </row>
    <row r="79" spans="2:8" ht="20.25" x14ac:dyDescent="0.25">
      <c r="C79" s="3" t="s">
        <v>7</v>
      </c>
    </row>
    <row r="80" spans="2:8" ht="21" thickBot="1" x14ac:dyDescent="0.3">
      <c r="G80" s="3" t="s">
        <v>7</v>
      </c>
    </row>
    <row r="81" spans="2:8" ht="16.5" thickBot="1" x14ac:dyDescent="0.3">
      <c r="B81" s="61" t="s">
        <v>5</v>
      </c>
      <c r="C81" s="30"/>
      <c r="D81" s="62" t="s">
        <v>6</v>
      </c>
    </row>
    <row r="82" spans="2:8" ht="15.75" x14ac:dyDescent="0.25">
      <c r="B82" s="59" t="s">
        <v>0</v>
      </c>
      <c r="C82" s="1" t="s">
        <v>80</v>
      </c>
      <c r="D82" s="63"/>
      <c r="F82" s="97" t="s">
        <v>69</v>
      </c>
      <c r="G82" s="34"/>
      <c r="H82" s="98" t="s">
        <v>6</v>
      </c>
    </row>
    <row r="83" spans="2:8" ht="15.75" thickBot="1" x14ac:dyDescent="0.3">
      <c r="B83" s="60" t="s">
        <v>8</v>
      </c>
      <c r="C83" s="2" t="s">
        <v>4</v>
      </c>
      <c r="D83" s="64"/>
      <c r="F83" s="95" t="s">
        <v>45</v>
      </c>
      <c r="G83" s="23" t="str">
        <f>Method!$C$14</f>
        <v>High Volume</v>
      </c>
      <c r="H83" s="99"/>
    </row>
    <row r="84" spans="2:8" ht="15.75" thickBot="1" x14ac:dyDescent="0.3">
      <c r="F84" s="96" t="s">
        <v>46</v>
      </c>
      <c r="G84" s="24" t="s">
        <v>23</v>
      </c>
      <c r="H84" s="100"/>
    </row>
    <row r="85" spans="2:8" ht="20.25" x14ac:dyDescent="0.25">
      <c r="C85" s="3" t="s">
        <v>7</v>
      </c>
    </row>
    <row r="86" spans="2:8" ht="21" thickBot="1" x14ac:dyDescent="0.3">
      <c r="G86" s="3" t="s">
        <v>7</v>
      </c>
    </row>
    <row r="87" spans="2:8" ht="16.5" thickBot="1" x14ac:dyDescent="0.3">
      <c r="B87" s="108" t="s">
        <v>82</v>
      </c>
      <c r="C87" s="36"/>
      <c r="D87" s="109" t="s">
        <v>6</v>
      </c>
    </row>
    <row r="88" spans="2:8" ht="30.75" thickBot="1" x14ac:dyDescent="0.3">
      <c r="B88" s="107" t="s">
        <v>58</v>
      </c>
      <c r="C88" s="27">
        <v>600</v>
      </c>
      <c r="D88" s="110" t="s">
        <v>89</v>
      </c>
      <c r="F88" s="61" t="s">
        <v>5</v>
      </c>
      <c r="G88" s="30"/>
      <c r="H88" s="62" t="s">
        <v>6</v>
      </c>
    </row>
    <row r="89" spans="2:8" x14ac:dyDescent="0.25">
      <c r="F89" s="59" t="s">
        <v>0</v>
      </c>
      <c r="G89" s="1" t="s">
        <v>81</v>
      </c>
      <c r="H89" s="63"/>
    </row>
    <row r="90" spans="2:8" ht="21" thickBot="1" x14ac:dyDescent="0.3">
      <c r="C90" s="3" t="s">
        <v>7</v>
      </c>
      <c r="F90" s="60" t="s">
        <v>8</v>
      </c>
      <c r="G90" s="2" t="s">
        <v>4</v>
      </c>
      <c r="H90" s="64"/>
    </row>
    <row r="91" spans="2:8" ht="15.75" thickBot="1" x14ac:dyDescent="0.3"/>
    <row r="92" spans="2:8" ht="20.25" x14ac:dyDescent="0.25">
      <c r="B92" s="79" t="s">
        <v>24</v>
      </c>
      <c r="C92" s="31"/>
      <c r="D92" s="80" t="s">
        <v>6</v>
      </c>
      <c r="G92" s="3" t="s">
        <v>7</v>
      </c>
    </row>
    <row r="93" spans="2:8" ht="15.75" thickBot="1" x14ac:dyDescent="0.3">
      <c r="B93" s="77" t="s">
        <v>16</v>
      </c>
      <c r="C93" s="7" t="s">
        <v>83</v>
      </c>
      <c r="D93" s="81"/>
    </row>
    <row r="94" spans="2:8" ht="15.75" x14ac:dyDescent="0.25">
      <c r="B94" s="77" t="s">
        <v>17</v>
      </c>
      <c r="C94" s="7" t="s">
        <v>87</v>
      </c>
      <c r="D94" s="81"/>
      <c r="F94" s="79" t="s">
        <v>24</v>
      </c>
      <c r="G94" s="31"/>
      <c r="H94" s="80" t="s">
        <v>6</v>
      </c>
    </row>
    <row r="95" spans="2:8" x14ac:dyDescent="0.25">
      <c r="B95" s="77" t="s">
        <v>19</v>
      </c>
      <c r="C95" s="7" t="s">
        <v>88</v>
      </c>
      <c r="D95" s="81"/>
      <c r="F95" s="77" t="s">
        <v>16</v>
      </c>
      <c r="G95" s="7" t="str">
        <f>Method!$G$68</f>
        <v>LV Desalting Plate</v>
      </c>
      <c r="H95" s="81"/>
    </row>
    <row r="96" spans="2:8" x14ac:dyDescent="0.25">
      <c r="B96" s="77" t="s">
        <v>21</v>
      </c>
      <c r="C96" s="7">
        <v>1.58</v>
      </c>
      <c r="D96" s="81"/>
      <c r="F96" s="77" t="s">
        <v>17</v>
      </c>
      <c r="G96" s="7" t="s">
        <v>43</v>
      </c>
      <c r="H96" s="81"/>
    </row>
    <row r="97" spans="2:8" ht="15.75" thickBot="1" x14ac:dyDescent="0.3">
      <c r="B97" s="78" t="s">
        <v>22</v>
      </c>
      <c r="C97" s="10" t="s">
        <v>23</v>
      </c>
      <c r="D97" s="82"/>
      <c r="F97" s="77" t="s">
        <v>19</v>
      </c>
      <c r="G97" s="7" t="s">
        <v>20</v>
      </c>
      <c r="H97" s="81"/>
    </row>
    <row r="98" spans="2:8" x14ac:dyDescent="0.25">
      <c r="F98" s="77" t="s">
        <v>21</v>
      </c>
      <c r="G98" s="7">
        <v>180</v>
      </c>
      <c r="H98" s="81"/>
    </row>
    <row r="99" spans="2:8" ht="21" thickBot="1" x14ac:dyDescent="0.3">
      <c r="C99" s="3" t="s">
        <v>7</v>
      </c>
      <c r="F99" s="78" t="s">
        <v>22</v>
      </c>
      <c r="G99" s="10" t="s">
        <v>66</v>
      </c>
      <c r="H99" s="82"/>
    </row>
    <row r="100" spans="2:8" ht="15.75" thickBot="1" x14ac:dyDescent="0.3"/>
    <row r="101" spans="2:8" ht="20.25" x14ac:dyDescent="0.25">
      <c r="B101" s="79" t="s">
        <v>24</v>
      </c>
      <c r="C101" s="31"/>
      <c r="D101" s="80" t="s">
        <v>6</v>
      </c>
      <c r="G101" s="3" t="s">
        <v>7</v>
      </c>
    </row>
    <row r="102" spans="2:8" ht="15.75" thickBot="1" x14ac:dyDescent="0.3">
      <c r="B102" s="77" t="s">
        <v>16</v>
      </c>
      <c r="C102" s="7" t="s">
        <v>85</v>
      </c>
      <c r="D102" s="81"/>
    </row>
    <row r="103" spans="2:8" ht="15.75" x14ac:dyDescent="0.25">
      <c r="B103" s="77" t="s">
        <v>17</v>
      </c>
      <c r="C103" s="7" t="s">
        <v>87</v>
      </c>
      <c r="D103" s="81"/>
      <c r="F103" s="79" t="s">
        <v>24</v>
      </c>
      <c r="G103" s="31"/>
      <c r="H103" s="80" t="s">
        <v>6</v>
      </c>
    </row>
    <row r="104" spans="2:8" x14ac:dyDescent="0.25">
      <c r="B104" s="77" t="s">
        <v>19</v>
      </c>
      <c r="C104" s="7" t="s">
        <v>88</v>
      </c>
      <c r="D104" s="81"/>
      <c r="F104" s="77" t="s">
        <v>16</v>
      </c>
      <c r="G104" s="7" t="s">
        <v>83</v>
      </c>
      <c r="H104" s="81"/>
    </row>
    <row r="105" spans="2:8" x14ac:dyDescent="0.25">
      <c r="B105" s="77" t="s">
        <v>21</v>
      </c>
      <c r="C105" s="7">
        <v>15.8</v>
      </c>
      <c r="D105" s="81"/>
      <c r="F105" s="77" t="s">
        <v>17</v>
      </c>
      <c r="G105" s="7" t="s">
        <v>87</v>
      </c>
      <c r="H105" s="81"/>
    </row>
    <row r="106" spans="2:8" ht="15.75" thickBot="1" x14ac:dyDescent="0.3">
      <c r="B106" s="78" t="s">
        <v>22</v>
      </c>
      <c r="C106" s="10" t="s">
        <v>23</v>
      </c>
      <c r="D106" s="82"/>
      <c r="F106" s="77" t="s">
        <v>19</v>
      </c>
      <c r="G106" s="7" t="s">
        <v>88</v>
      </c>
      <c r="H106" s="81"/>
    </row>
    <row r="107" spans="2:8" x14ac:dyDescent="0.25">
      <c r="F107" s="77" t="s">
        <v>21</v>
      </c>
      <c r="G107" s="7">
        <v>1.58</v>
      </c>
      <c r="H107" s="81"/>
    </row>
    <row r="108" spans="2:8" ht="21" thickBot="1" x14ac:dyDescent="0.3">
      <c r="C108" s="3" t="s">
        <v>7</v>
      </c>
      <c r="F108" s="78" t="s">
        <v>22</v>
      </c>
      <c r="G108" s="10" t="s">
        <v>23</v>
      </c>
      <c r="H108" s="82"/>
    </row>
    <row r="109" spans="2:8" ht="15.75" thickBot="1" x14ac:dyDescent="0.3"/>
    <row r="110" spans="2:8" ht="20.25" x14ac:dyDescent="0.25">
      <c r="B110" s="85" t="s">
        <v>70</v>
      </c>
      <c r="C110" s="32"/>
      <c r="D110" s="86" t="s">
        <v>6</v>
      </c>
      <c r="G110" s="3" t="s">
        <v>7</v>
      </c>
    </row>
    <row r="111" spans="2:8" ht="15.75" thickBot="1" x14ac:dyDescent="0.3">
      <c r="B111" s="83" t="s">
        <v>51</v>
      </c>
      <c r="C111" s="25">
        <v>37</v>
      </c>
      <c r="D111" s="87"/>
    </row>
    <row r="112" spans="2:8" ht="15.75" x14ac:dyDescent="0.25">
      <c r="B112" s="83" t="s">
        <v>52</v>
      </c>
      <c r="C112" s="25">
        <f>18*60</f>
        <v>1080</v>
      </c>
      <c r="D112" s="87"/>
      <c r="F112" s="79" t="s">
        <v>24</v>
      </c>
      <c r="G112" s="31"/>
      <c r="H112" s="80" t="s">
        <v>6</v>
      </c>
    </row>
    <row r="113" spans="2:8" ht="15.75" thickBot="1" x14ac:dyDescent="0.3">
      <c r="B113" s="84" t="s">
        <v>53</v>
      </c>
      <c r="C113" s="26">
        <v>0</v>
      </c>
      <c r="D113" s="88"/>
      <c r="F113" s="77" t="s">
        <v>16</v>
      </c>
      <c r="G113" s="7" t="s">
        <v>85</v>
      </c>
      <c r="H113" s="81"/>
    </row>
    <row r="114" spans="2:8" x14ac:dyDescent="0.25">
      <c r="F114" s="77" t="s">
        <v>17</v>
      </c>
      <c r="G114" s="7" t="s">
        <v>87</v>
      </c>
      <c r="H114" s="81"/>
    </row>
    <row r="115" spans="2:8" ht="20.25" x14ac:dyDescent="0.25">
      <c r="C115" s="3" t="s">
        <v>7</v>
      </c>
      <c r="F115" s="77" t="s">
        <v>19</v>
      </c>
      <c r="G115" s="7" t="s">
        <v>88</v>
      </c>
      <c r="H115" s="81"/>
    </row>
    <row r="116" spans="2:8" ht="15.75" thickBot="1" x14ac:dyDescent="0.3">
      <c r="F116" s="77" t="s">
        <v>21</v>
      </c>
      <c r="G116" s="7">
        <v>15.8</v>
      </c>
      <c r="H116" s="81"/>
    </row>
    <row r="117" spans="2:8" ht="16.5" thickBot="1" x14ac:dyDescent="0.3">
      <c r="B117" s="79" t="s">
        <v>24</v>
      </c>
      <c r="C117" s="31"/>
      <c r="D117" s="80" t="s">
        <v>6</v>
      </c>
      <c r="F117" s="78" t="s">
        <v>22</v>
      </c>
      <c r="G117" s="10" t="s">
        <v>23</v>
      </c>
      <c r="H117" s="82"/>
    </row>
    <row r="118" spans="2:8" x14ac:dyDescent="0.25">
      <c r="B118" s="77" t="s">
        <v>16</v>
      </c>
      <c r="C118" s="7" t="s">
        <v>90</v>
      </c>
      <c r="D118" s="81"/>
    </row>
    <row r="119" spans="2:8" ht="20.25" x14ac:dyDescent="0.25">
      <c r="B119" s="77" t="s">
        <v>17</v>
      </c>
      <c r="C119" s="7" t="s">
        <v>91</v>
      </c>
      <c r="D119" s="81"/>
      <c r="G119" s="3" t="s">
        <v>7</v>
      </c>
    </row>
    <row r="120" spans="2:8" ht="15.75" thickBot="1" x14ac:dyDescent="0.3">
      <c r="B120" s="77" t="s">
        <v>19</v>
      </c>
      <c r="C120" s="7" t="s">
        <v>20</v>
      </c>
      <c r="D120" s="81"/>
    </row>
    <row r="121" spans="2:8" ht="15.75" x14ac:dyDescent="0.25">
      <c r="B121" s="77" t="s">
        <v>21</v>
      </c>
      <c r="C121" s="7">
        <v>6</v>
      </c>
      <c r="D121" s="81"/>
      <c r="F121" s="85" t="s">
        <v>70</v>
      </c>
      <c r="G121" s="32"/>
      <c r="H121" s="86" t="s">
        <v>6</v>
      </c>
    </row>
    <row r="122" spans="2:8" ht="15.75" thickBot="1" x14ac:dyDescent="0.3">
      <c r="B122" s="78" t="s">
        <v>22</v>
      </c>
      <c r="C122" s="10" t="s">
        <v>23</v>
      </c>
      <c r="D122" s="82"/>
      <c r="F122" s="83" t="s">
        <v>51</v>
      </c>
      <c r="G122" s="25">
        <v>37</v>
      </c>
      <c r="H122" s="87"/>
    </row>
    <row r="123" spans="2:8" x14ac:dyDescent="0.25">
      <c r="F123" s="83" t="s">
        <v>52</v>
      </c>
      <c r="G123" s="25">
        <f>18*60</f>
        <v>1080</v>
      </c>
      <c r="H123" s="87"/>
    </row>
    <row r="124" spans="2:8" ht="21" thickBot="1" x14ac:dyDescent="0.3">
      <c r="C124" s="3" t="s">
        <v>7</v>
      </c>
      <c r="F124" s="84" t="s">
        <v>53</v>
      </c>
      <c r="G124" s="26">
        <v>0</v>
      </c>
      <c r="H124" s="88"/>
    </row>
    <row r="125" spans="2:8" ht="15.75" thickBot="1" x14ac:dyDescent="0.3"/>
    <row r="126" spans="2:8" ht="20.25" x14ac:dyDescent="0.25">
      <c r="B126" s="61" t="s">
        <v>36</v>
      </c>
      <c r="C126" s="30"/>
      <c r="D126" s="62" t="s">
        <v>6</v>
      </c>
      <c r="G126" s="3" t="s">
        <v>7</v>
      </c>
    </row>
    <row r="127" spans="2:8" ht="15.75" thickBot="1" x14ac:dyDescent="0.3">
      <c r="B127" s="60"/>
      <c r="C127" s="2"/>
      <c r="D127" s="111"/>
    </row>
    <row r="128" spans="2:8" ht="15.75" x14ac:dyDescent="0.25">
      <c r="F128" s="79" t="s">
        <v>24</v>
      </c>
      <c r="G128" s="31"/>
      <c r="H128" s="80" t="s">
        <v>6</v>
      </c>
    </row>
    <row r="129" spans="6:8" x14ac:dyDescent="0.25">
      <c r="F129" s="77" t="s">
        <v>16</v>
      </c>
      <c r="G129" s="7" t="s">
        <v>90</v>
      </c>
      <c r="H129" s="81"/>
    </row>
    <row r="130" spans="6:8" x14ac:dyDescent="0.25">
      <c r="F130" s="77" t="s">
        <v>17</v>
      </c>
      <c r="G130" s="7" t="s">
        <v>91</v>
      </c>
      <c r="H130" s="81"/>
    </row>
    <row r="131" spans="6:8" x14ac:dyDescent="0.25">
      <c r="F131" s="77" t="s">
        <v>19</v>
      </c>
      <c r="G131" s="7" t="s">
        <v>20</v>
      </c>
      <c r="H131" s="81"/>
    </row>
    <row r="132" spans="6:8" x14ac:dyDescent="0.25">
      <c r="F132" s="77" t="s">
        <v>21</v>
      </c>
      <c r="G132" s="7">
        <v>2</v>
      </c>
      <c r="H132" s="81"/>
    </row>
    <row r="133" spans="6:8" ht="15.75" thickBot="1" x14ac:dyDescent="0.3">
      <c r="F133" s="78" t="s">
        <v>22</v>
      </c>
      <c r="G133" s="10" t="s">
        <v>23</v>
      </c>
      <c r="H133" s="82"/>
    </row>
    <row r="135" spans="6:8" ht="20.25" x14ac:dyDescent="0.25">
      <c r="G135" s="3" t="s">
        <v>7</v>
      </c>
    </row>
    <row r="136" spans="6:8" ht="15.75" thickBot="1" x14ac:dyDescent="0.3"/>
    <row r="137" spans="6:8" ht="15.75" x14ac:dyDescent="0.25">
      <c r="F137" s="61" t="s">
        <v>36</v>
      </c>
      <c r="G137" s="30"/>
      <c r="H137" s="62" t="s">
        <v>6</v>
      </c>
    </row>
    <row r="138" spans="6:8" ht="15.75" thickBot="1" x14ac:dyDescent="0.3">
      <c r="F138" s="60"/>
      <c r="G138" s="2"/>
      <c r="H138" s="111"/>
    </row>
  </sheetData>
  <mergeCells count="67">
    <mergeCell ref="D2:E2"/>
    <mergeCell ref="F3:F4"/>
    <mergeCell ref="D8:E8"/>
    <mergeCell ref="F9:F11"/>
    <mergeCell ref="D62:D64"/>
    <mergeCell ref="H14:H15"/>
    <mergeCell ref="F19:G19"/>
    <mergeCell ref="B13:C13"/>
    <mergeCell ref="D14:D15"/>
    <mergeCell ref="F13:G13"/>
    <mergeCell ref="B29:C29"/>
    <mergeCell ref="B19:C19"/>
    <mergeCell ref="D20:D25"/>
    <mergeCell ref="H20:H25"/>
    <mergeCell ref="F29:G29"/>
    <mergeCell ref="H30:H34"/>
    <mergeCell ref="F54:G54"/>
    <mergeCell ref="B61:C61"/>
    <mergeCell ref="D30:D34"/>
    <mergeCell ref="D55:D57"/>
    <mergeCell ref="H55:H57"/>
    <mergeCell ref="F61:G61"/>
    <mergeCell ref="B38:C38"/>
    <mergeCell ref="D39:D41"/>
    <mergeCell ref="B45:C45"/>
    <mergeCell ref="D46:D50"/>
    <mergeCell ref="B54:C54"/>
    <mergeCell ref="H62:H63"/>
    <mergeCell ref="F67:G67"/>
    <mergeCell ref="F38:G38"/>
    <mergeCell ref="H39:H41"/>
    <mergeCell ref="F45:G45"/>
    <mergeCell ref="H46:H50"/>
    <mergeCell ref="B68:C68"/>
    <mergeCell ref="D69:D70"/>
    <mergeCell ref="B74:C74"/>
    <mergeCell ref="B110:C110"/>
    <mergeCell ref="B87:C87"/>
    <mergeCell ref="B126:C126"/>
    <mergeCell ref="D75:D77"/>
    <mergeCell ref="B81:C81"/>
    <mergeCell ref="D82:D83"/>
    <mergeCell ref="B92:C92"/>
    <mergeCell ref="D93:D97"/>
    <mergeCell ref="B101:C101"/>
    <mergeCell ref="D102:D106"/>
    <mergeCell ref="D111:D113"/>
    <mergeCell ref="B117:C117"/>
    <mergeCell ref="D118:D122"/>
    <mergeCell ref="H104:H108"/>
    <mergeCell ref="H68:H69"/>
    <mergeCell ref="F73:G73"/>
    <mergeCell ref="H74:H78"/>
    <mergeCell ref="F82:G82"/>
    <mergeCell ref="H83:H84"/>
    <mergeCell ref="F88:G88"/>
    <mergeCell ref="H89:H90"/>
    <mergeCell ref="F94:G94"/>
    <mergeCell ref="H95:H99"/>
    <mergeCell ref="F103:G103"/>
    <mergeCell ref="F137:G137"/>
    <mergeCell ref="F112:G112"/>
    <mergeCell ref="H113:H117"/>
    <mergeCell ref="F121:G121"/>
    <mergeCell ref="H122:H124"/>
    <mergeCell ref="F128:G128"/>
    <mergeCell ref="H129:H13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ADA74-6316-4881-B07A-DD77D6FDEE4C}">
  <sheetPr codeName="Sheet5">
    <pageSetUpPr fitToPage="1"/>
  </sheetPr>
  <dimension ref="B1:L31"/>
  <sheetViews>
    <sheetView zoomScale="140" zoomScaleNormal="140" workbookViewId="0">
      <selection activeCell="G9" sqref="G9"/>
    </sheetView>
  </sheetViews>
  <sheetFormatPr defaultRowHeight="15" x14ac:dyDescent="0.25"/>
  <cols>
    <col min="2" max="2" width="16.5703125" bestFit="1" customWidth="1"/>
    <col min="3" max="3" width="15.28515625" bestFit="1" customWidth="1"/>
    <col min="4" max="4" width="11.28515625" bestFit="1" customWidth="1"/>
    <col min="6" max="6" width="16.5703125" bestFit="1" customWidth="1"/>
    <col min="7" max="7" width="15.28515625" bestFit="1" customWidth="1"/>
    <col min="8" max="8" width="11.28515625" bestFit="1" customWidth="1"/>
    <col min="10" max="10" width="16.5703125" bestFit="1" customWidth="1"/>
    <col min="11" max="11" width="15.28515625" bestFit="1" customWidth="1"/>
    <col min="12" max="12" width="11.28515625" bestFit="1" customWidth="1"/>
  </cols>
  <sheetData>
    <row r="1" spans="2:12" ht="15.75" thickBot="1" x14ac:dyDescent="0.3"/>
    <row r="2" spans="2:12" ht="15.75" x14ac:dyDescent="0.25">
      <c r="B2" s="114" t="s">
        <v>73</v>
      </c>
      <c r="C2" s="39"/>
      <c r="D2" s="115" t="s">
        <v>6</v>
      </c>
      <c r="F2" s="114" t="s">
        <v>68</v>
      </c>
      <c r="G2" s="39"/>
      <c r="H2" s="115" t="s">
        <v>6</v>
      </c>
      <c r="J2" s="114" t="s">
        <v>102</v>
      </c>
      <c r="K2" s="39"/>
      <c r="L2" s="115" t="s">
        <v>6</v>
      </c>
    </row>
    <row r="3" spans="2:12" x14ac:dyDescent="0.25">
      <c r="B3" s="112" t="s">
        <v>37</v>
      </c>
      <c r="C3" s="17" t="s">
        <v>18</v>
      </c>
      <c r="D3" s="116"/>
      <c r="F3" s="112" t="s">
        <v>37</v>
      </c>
      <c r="G3" s="17" t="s">
        <v>18</v>
      </c>
      <c r="H3" s="116"/>
      <c r="J3" s="112" t="s">
        <v>37</v>
      </c>
      <c r="K3" s="17" t="s">
        <v>18</v>
      </c>
      <c r="L3" s="116"/>
    </row>
    <row r="4" spans="2:12" x14ac:dyDescent="0.25">
      <c r="B4" s="112" t="s">
        <v>19</v>
      </c>
      <c r="C4" s="17" t="s">
        <v>20</v>
      </c>
      <c r="D4" s="116"/>
      <c r="F4" s="112" t="s">
        <v>19</v>
      </c>
      <c r="G4" s="17" t="s">
        <v>20</v>
      </c>
      <c r="H4" s="116"/>
      <c r="J4" s="112" t="s">
        <v>19</v>
      </c>
      <c r="K4" s="17" t="s">
        <v>20</v>
      </c>
      <c r="L4" s="116"/>
    </row>
    <row r="5" spans="2:12" x14ac:dyDescent="0.25">
      <c r="B5" s="112" t="s">
        <v>38</v>
      </c>
      <c r="C5" s="17" t="s">
        <v>41</v>
      </c>
      <c r="D5" s="116"/>
      <c r="F5" s="112" t="s">
        <v>38</v>
      </c>
      <c r="G5" s="17" t="s">
        <v>41</v>
      </c>
      <c r="H5" s="116"/>
      <c r="J5" s="112" t="s">
        <v>38</v>
      </c>
      <c r="K5" s="17" t="s">
        <v>41</v>
      </c>
      <c r="L5" s="116"/>
    </row>
    <row r="6" spans="2:12" x14ac:dyDescent="0.25">
      <c r="B6" s="112" t="s">
        <v>39</v>
      </c>
      <c r="C6" s="17" t="s">
        <v>41</v>
      </c>
      <c r="D6" s="116"/>
      <c r="F6" s="112" t="s">
        <v>39</v>
      </c>
      <c r="G6" s="17" t="s">
        <v>41</v>
      </c>
      <c r="H6" s="116"/>
      <c r="J6" s="112" t="s">
        <v>39</v>
      </c>
      <c r="K6" s="17" t="s">
        <v>41</v>
      </c>
      <c r="L6" s="116"/>
    </row>
    <row r="7" spans="2:12" ht="15.75" thickBot="1" x14ac:dyDescent="0.3">
      <c r="B7" s="113" t="s">
        <v>40</v>
      </c>
      <c r="C7" s="18" t="s">
        <v>42</v>
      </c>
      <c r="D7" s="117"/>
      <c r="F7" s="113" t="s">
        <v>40</v>
      </c>
      <c r="G7" s="18" t="s">
        <v>42</v>
      </c>
      <c r="H7" s="117"/>
      <c r="J7" s="113" t="s">
        <v>40</v>
      </c>
      <c r="K7" s="18" t="s">
        <v>42</v>
      </c>
      <c r="L7" s="117"/>
    </row>
    <row r="9" spans="2:12" ht="15.75" thickBot="1" x14ac:dyDescent="0.3"/>
    <row r="10" spans="2:12" ht="15.75" x14ac:dyDescent="0.25">
      <c r="B10" s="114" t="s">
        <v>92</v>
      </c>
      <c r="C10" s="39"/>
      <c r="D10" s="115" t="s">
        <v>6</v>
      </c>
      <c r="F10" s="114" t="s">
        <v>92</v>
      </c>
      <c r="G10" s="39"/>
      <c r="H10" s="115" t="s">
        <v>6</v>
      </c>
      <c r="J10" s="114" t="s">
        <v>84</v>
      </c>
      <c r="K10" s="39"/>
      <c r="L10" s="115" t="s">
        <v>6</v>
      </c>
    </row>
    <row r="11" spans="2:12" x14ac:dyDescent="0.25">
      <c r="B11" s="112" t="s">
        <v>37</v>
      </c>
      <c r="C11" s="17" t="s">
        <v>18</v>
      </c>
      <c r="D11" s="116"/>
      <c r="F11" s="112" t="s">
        <v>37</v>
      </c>
      <c r="G11" s="17" t="s">
        <v>18</v>
      </c>
      <c r="H11" s="116"/>
      <c r="J11" s="112" t="s">
        <v>37</v>
      </c>
      <c r="K11" s="17" t="s">
        <v>18</v>
      </c>
      <c r="L11" s="116"/>
    </row>
    <row r="12" spans="2:12" x14ac:dyDescent="0.25">
      <c r="B12" s="112" t="s">
        <v>19</v>
      </c>
      <c r="C12" s="17" t="s">
        <v>20</v>
      </c>
      <c r="D12" s="116"/>
      <c r="F12" s="112" t="s">
        <v>19</v>
      </c>
      <c r="G12" s="17" t="s">
        <v>20</v>
      </c>
      <c r="H12" s="116"/>
      <c r="J12" s="112" t="s">
        <v>19</v>
      </c>
      <c r="K12" s="17" t="s">
        <v>20</v>
      </c>
      <c r="L12" s="116"/>
    </row>
    <row r="13" spans="2:12" x14ac:dyDescent="0.25">
      <c r="B13" s="112" t="s">
        <v>38</v>
      </c>
      <c r="C13" s="17" t="s">
        <v>41</v>
      </c>
      <c r="D13" s="116"/>
      <c r="F13" s="112" t="s">
        <v>38</v>
      </c>
      <c r="G13" s="17" t="s">
        <v>41</v>
      </c>
      <c r="H13" s="116"/>
      <c r="J13" s="112" t="s">
        <v>38</v>
      </c>
      <c r="K13" s="17" t="s">
        <v>41</v>
      </c>
      <c r="L13" s="116"/>
    </row>
    <row r="14" spans="2:12" x14ac:dyDescent="0.25">
      <c r="B14" s="112" t="s">
        <v>39</v>
      </c>
      <c r="C14" s="17" t="s">
        <v>41</v>
      </c>
      <c r="D14" s="116"/>
      <c r="F14" s="112" t="s">
        <v>39</v>
      </c>
      <c r="G14" s="17" t="s">
        <v>41</v>
      </c>
      <c r="H14" s="116"/>
      <c r="J14" s="112" t="s">
        <v>39</v>
      </c>
      <c r="K14" s="17" t="s">
        <v>41</v>
      </c>
      <c r="L14" s="116"/>
    </row>
    <row r="15" spans="2:12" ht="15.75" thickBot="1" x14ac:dyDescent="0.3">
      <c r="B15" s="113" t="s">
        <v>40</v>
      </c>
      <c r="C15" s="18" t="s">
        <v>42</v>
      </c>
      <c r="D15" s="117"/>
      <c r="F15" s="113" t="s">
        <v>40</v>
      </c>
      <c r="G15" s="18" t="s">
        <v>42</v>
      </c>
      <c r="H15" s="117"/>
      <c r="J15" s="113" t="s">
        <v>40</v>
      </c>
      <c r="K15" s="18" t="s">
        <v>42</v>
      </c>
      <c r="L15" s="117"/>
    </row>
    <row r="17" spans="2:12" ht="15.75" thickBot="1" x14ac:dyDescent="0.3"/>
    <row r="18" spans="2:12" ht="15.75" x14ac:dyDescent="0.25">
      <c r="B18" s="114" t="s">
        <v>86</v>
      </c>
      <c r="C18" s="39"/>
      <c r="D18" s="115" t="s">
        <v>6</v>
      </c>
      <c r="F18" s="114" t="s">
        <v>65</v>
      </c>
      <c r="G18" s="39"/>
      <c r="H18" s="115" t="s">
        <v>6</v>
      </c>
      <c r="J18" s="114" t="s">
        <v>78</v>
      </c>
      <c r="K18" s="39"/>
      <c r="L18" s="115" t="s">
        <v>6</v>
      </c>
    </row>
    <row r="19" spans="2:12" x14ac:dyDescent="0.25">
      <c r="B19" s="112" t="s">
        <v>37</v>
      </c>
      <c r="C19" s="17" t="s">
        <v>18</v>
      </c>
      <c r="D19" s="116"/>
      <c r="F19" s="112" t="s">
        <v>37</v>
      </c>
      <c r="G19" s="17" t="s">
        <v>18</v>
      </c>
      <c r="H19" s="116"/>
      <c r="J19" s="112" t="s">
        <v>37</v>
      </c>
      <c r="K19" s="17" t="s">
        <v>18</v>
      </c>
      <c r="L19" s="116"/>
    </row>
    <row r="20" spans="2:12" x14ac:dyDescent="0.25">
      <c r="B20" s="112" t="s">
        <v>19</v>
      </c>
      <c r="C20" s="17" t="s">
        <v>20</v>
      </c>
      <c r="D20" s="116"/>
      <c r="F20" s="112" t="s">
        <v>19</v>
      </c>
      <c r="G20" s="17" t="s">
        <v>20</v>
      </c>
      <c r="H20" s="116"/>
      <c r="J20" s="112" t="s">
        <v>19</v>
      </c>
      <c r="K20" s="17" t="s">
        <v>20</v>
      </c>
      <c r="L20" s="116"/>
    </row>
    <row r="21" spans="2:12" x14ac:dyDescent="0.25">
      <c r="B21" s="112" t="s">
        <v>38</v>
      </c>
      <c r="C21" s="17" t="s">
        <v>41</v>
      </c>
      <c r="D21" s="116"/>
      <c r="F21" s="112" t="s">
        <v>38</v>
      </c>
      <c r="G21" s="17" t="s">
        <v>41</v>
      </c>
      <c r="H21" s="116"/>
      <c r="J21" s="112" t="s">
        <v>38</v>
      </c>
      <c r="K21" s="17" t="s">
        <v>41</v>
      </c>
      <c r="L21" s="116"/>
    </row>
    <row r="22" spans="2:12" x14ac:dyDescent="0.25">
      <c r="B22" s="112" t="s">
        <v>39</v>
      </c>
      <c r="C22" s="17" t="s">
        <v>41</v>
      </c>
      <c r="D22" s="116"/>
      <c r="F22" s="112" t="s">
        <v>39</v>
      </c>
      <c r="G22" s="17" t="s">
        <v>41</v>
      </c>
      <c r="H22" s="116"/>
      <c r="J22" s="112" t="s">
        <v>39</v>
      </c>
      <c r="K22" s="17" t="s">
        <v>41</v>
      </c>
      <c r="L22" s="116"/>
    </row>
    <row r="23" spans="2:12" ht="15.75" thickBot="1" x14ac:dyDescent="0.3">
      <c r="B23" s="113" t="s">
        <v>40</v>
      </c>
      <c r="C23" s="18" t="s">
        <v>42</v>
      </c>
      <c r="D23" s="117"/>
      <c r="F23" s="113" t="s">
        <v>40</v>
      </c>
      <c r="G23" s="18" t="s">
        <v>42</v>
      </c>
      <c r="H23" s="117"/>
      <c r="J23" s="113" t="s">
        <v>40</v>
      </c>
      <c r="K23" s="18" t="s">
        <v>42</v>
      </c>
      <c r="L23" s="117"/>
    </row>
    <row r="25" spans="2:12" ht="15.75" thickBot="1" x14ac:dyDescent="0.3"/>
    <row r="26" spans="2:12" ht="15.75" x14ac:dyDescent="0.25">
      <c r="B26" s="114" t="s">
        <v>98</v>
      </c>
      <c r="C26" s="39"/>
      <c r="D26" s="115" t="s">
        <v>6</v>
      </c>
    </row>
    <row r="27" spans="2:12" x14ac:dyDescent="0.25">
      <c r="B27" s="112" t="s">
        <v>37</v>
      </c>
      <c r="C27" s="17" t="s">
        <v>18</v>
      </c>
      <c r="D27" s="116"/>
    </row>
    <row r="28" spans="2:12" x14ac:dyDescent="0.25">
      <c r="B28" s="112" t="s">
        <v>19</v>
      </c>
      <c r="C28" s="17" t="s">
        <v>20</v>
      </c>
      <c r="D28" s="116"/>
    </row>
    <row r="29" spans="2:12" x14ac:dyDescent="0.25">
      <c r="B29" s="112" t="s">
        <v>38</v>
      </c>
      <c r="C29" s="17" t="s">
        <v>41</v>
      </c>
      <c r="D29" s="116"/>
    </row>
    <row r="30" spans="2:12" x14ac:dyDescent="0.25">
      <c r="B30" s="112" t="s">
        <v>39</v>
      </c>
      <c r="C30" s="17" t="s">
        <v>41</v>
      </c>
      <c r="D30" s="116"/>
    </row>
    <row r="31" spans="2:12" ht="15.75" thickBot="1" x14ac:dyDescent="0.3">
      <c r="B31" s="113" t="s">
        <v>40</v>
      </c>
      <c r="C31" s="18" t="s">
        <v>42</v>
      </c>
      <c r="D31" s="117"/>
    </row>
  </sheetData>
  <mergeCells count="20">
    <mergeCell ref="B2:C2"/>
    <mergeCell ref="D3:D7"/>
    <mergeCell ref="F2:G2"/>
    <mergeCell ref="H3:H7"/>
    <mergeCell ref="J2:K2"/>
    <mergeCell ref="L3:L7"/>
    <mergeCell ref="B10:C10"/>
    <mergeCell ref="D11:D15"/>
    <mergeCell ref="F10:G10"/>
    <mergeCell ref="H11:H15"/>
    <mergeCell ref="J10:K10"/>
    <mergeCell ref="L11:L15"/>
    <mergeCell ref="L19:L23"/>
    <mergeCell ref="B26:C26"/>
    <mergeCell ref="D27:D31"/>
    <mergeCell ref="B18:C18"/>
    <mergeCell ref="D19:D23"/>
    <mergeCell ref="F18:G18"/>
    <mergeCell ref="H19:H23"/>
    <mergeCell ref="J18:K18"/>
  </mergeCells>
  <pageMargins left="0.7" right="0.7" top="0.75" bottom="0.75" header="0.3" footer="0.3"/>
  <pageSetup scale="8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F8E72-14C8-4EF5-AC98-9902B543CF9B}">
  <sheetPr codeName="Sheet3"/>
  <dimension ref="B1:K32"/>
  <sheetViews>
    <sheetView zoomScale="90" zoomScaleNormal="90" workbookViewId="0">
      <selection activeCell="C16" sqref="C16"/>
    </sheetView>
  </sheetViews>
  <sheetFormatPr defaultRowHeight="15" x14ac:dyDescent="0.25"/>
  <cols>
    <col min="2" max="2" width="6.140625" bestFit="1" customWidth="1"/>
    <col min="3" max="3" width="33.42578125" bestFit="1" customWidth="1"/>
    <col min="4" max="4" width="16.7109375" bestFit="1" customWidth="1"/>
    <col min="5" max="5" width="33.42578125" bestFit="1" customWidth="1"/>
    <col min="6" max="6" width="11.7109375" bestFit="1" customWidth="1"/>
    <col min="7" max="7" width="33.42578125" bestFit="1" customWidth="1"/>
    <col min="8" max="9" width="11.7109375" bestFit="1" customWidth="1"/>
    <col min="10" max="10" width="33.42578125" bestFit="1" customWidth="1"/>
    <col min="11" max="11" width="11.7109375" bestFit="1" customWidth="1"/>
    <col min="12" max="12" width="33.42578125" bestFit="1" customWidth="1"/>
    <col min="13" max="13" width="6.140625" bestFit="1" customWidth="1"/>
    <col min="14" max="14" width="33.42578125" bestFit="1" customWidth="1"/>
    <col min="15" max="15" width="11.7109375" bestFit="1" customWidth="1"/>
    <col min="16" max="16" width="33.42578125" bestFit="1" customWidth="1"/>
    <col min="17" max="17" width="11.7109375" bestFit="1" customWidth="1"/>
    <col min="18" max="18" width="32.7109375" bestFit="1" customWidth="1"/>
    <col min="19" max="19" width="6.140625" bestFit="1" customWidth="1"/>
    <col min="20" max="20" width="33.42578125" bestFit="1" customWidth="1"/>
    <col min="21" max="21" width="6.140625" bestFit="1" customWidth="1"/>
    <col min="22" max="22" width="33.42578125" bestFit="1" customWidth="1"/>
    <col min="23" max="23" width="11.7109375" bestFit="1" customWidth="1"/>
    <col min="24" max="24" width="32.7109375" bestFit="1" customWidth="1"/>
    <col min="25" max="25" width="11.140625" bestFit="1" customWidth="1"/>
    <col min="26" max="26" width="32.7109375" bestFit="1" customWidth="1"/>
    <col min="27" max="27" width="11.1406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45" t="s">
        <v>5</v>
      </c>
      <c r="E2" s="30"/>
      <c r="F2" s="6" t="s">
        <v>6</v>
      </c>
    </row>
    <row r="3" spans="4:6" x14ac:dyDescent="0.25">
      <c r="D3" s="4" t="s">
        <v>0</v>
      </c>
      <c r="E3" s="1" t="s">
        <v>9</v>
      </c>
      <c r="F3" s="40"/>
    </row>
    <row r="4" spans="4:6" ht="15.75" thickBot="1" x14ac:dyDescent="0.3">
      <c r="D4" s="5" t="s">
        <v>8</v>
      </c>
      <c r="E4" s="2" t="s">
        <v>4</v>
      </c>
      <c r="F4" s="41"/>
    </row>
    <row r="6" spans="4:6" ht="20.25" x14ac:dyDescent="0.25">
      <c r="E6" s="3" t="s">
        <v>7</v>
      </c>
    </row>
    <row r="7" spans="4:6" ht="15.75" thickBot="1" x14ac:dyDescent="0.3"/>
    <row r="8" spans="4:6" ht="15.75" x14ac:dyDescent="0.25">
      <c r="D8" s="45" t="s">
        <v>5</v>
      </c>
      <c r="E8" s="30"/>
      <c r="F8" s="6" t="s">
        <v>6</v>
      </c>
    </row>
    <row r="9" spans="4:6" x14ac:dyDescent="0.25">
      <c r="D9" s="4" t="s">
        <v>0</v>
      </c>
      <c r="E9" s="1" t="s">
        <v>10</v>
      </c>
      <c r="F9" s="40"/>
    </row>
    <row r="10" spans="4:6" ht="15.75" thickBot="1" x14ac:dyDescent="0.3">
      <c r="D10" s="5" t="s">
        <v>8</v>
      </c>
      <c r="E10" s="2" t="s">
        <v>4</v>
      </c>
      <c r="F10" s="41"/>
    </row>
    <row r="12" spans="4:6" ht="20.25" x14ac:dyDescent="0.25">
      <c r="E12" s="3" t="s">
        <v>7</v>
      </c>
    </row>
    <row r="13" spans="4:6" ht="15.75" thickBot="1" x14ac:dyDescent="0.3"/>
    <row r="14" spans="4:6" ht="15.75" x14ac:dyDescent="0.25">
      <c r="D14" s="49" t="s">
        <v>24</v>
      </c>
      <c r="E14" s="31"/>
      <c r="F14" s="11" t="s">
        <v>6</v>
      </c>
    </row>
    <row r="15" spans="4:6" x14ac:dyDescent="0.25">
      <c r="D15" s="8" t="s">
        <v>16</v>
      </c>
      <c r="E15" s="7" t="s">
        <v>25</v>
      </c>
      <c r="F15" s="47"/>
    </row>
    <row r="16" spans="4:6" x14ac:dyDescent="0.25">
      <c r="D16" s="8" t="s">
        <v>17</v>
      </c>
      <c r="E16" s="7" t="s">
        <v>18</v>
      </c>
      <c r="F16" s="47"/>
    </row>
    <row r="17" spans="2:11" x14ac:dyDescent="0.25">
      <c r="D17" s="8" t="s">
        <v>19</v>
      </c>
      <c r="E17" s="7" t="s">
        <v>20</v>
      </c>
      <c r="F17" s="47"/>
      <c r="J17" t="s">
        <v>28</v>
      </c>
    </row>
    <row r="18" spans="2:11" x14ac:dyDescent="0.25">
      <c r="D18" s="8" t="s">
        <v>21</v>
      </c>
      <c r="E18" s="7">
        <v>1</v>
      </c>
      <c r="F18" s="47"/>
      <c r="J18" t="s">
        <v>25</v>
      </c>
    </row>
    <row r="19" spans="2:11" ht="15.75" thickBot="1" x14ac:dyDescent="0.3">
      <c r="D19" s="9" t="s">
        <v>22</v>
      </c>
      <c r="E19" s="10" t="s">
        <v>23</v>
      </c>
      <c r="F19" s="48"/>
      <c r="J19" t="s">
        <v>29</v>
      </c>
    </row>
    <row r="20" spans="2:11" x14ac:dyDescent="0.25">
      <c r="J20" t="s">
        <v>30</v>
      </c>
    </row>
    <row r="21" spans="2:11" ht="20.25" x14ac:dyDescent="0.25">
      <c r="E21" s="3" t="s">
        <v>7</v>
      </c>
      <c r="J21" t="s">
        <v>31</v>
      </c>
      <c r="K21" t="s">
        <v>32</v>
      </c>
    </row>
    <row r="22" spans="2:11" ht="15.75" thickBot="1" x14ac:dyDescent="0.3"/>
    <row r="23" spans="2:11" ht="15.75" x14ac:dyDescent="0.25">
      <c r="D23" s="42" t="s">
        <v>26</v>
      </c>
      <c r="E23" s="38"/>
      <c r="F23" s="16" t="s">
        <v>6</v>
      </c>
    </row>
    <row r="24" spans="2:11" x14ac:dyDescent="0.25">
      <c r="D24" s="13" t="s">
        <v>11</v>
      </c>
      <c r="E24" s="12">
        <v>1</v>
      </c>
      <c r="F24" s="43"/>
      <c r="J24" t="s">
        <v>33</v>
      </c>
    </row>
    <row r="25" spans="2:11" x14ac:dyDescent="0.25">
      <c r="D25" s="13" t="s">
        <v>12</v>
      </c>
      <c r="E25" s="12" t="s">
        <v>13</v>
      </c>
      <c r="F25" s="43"/>
      <c r="J25" t="s">
        <v>34</v>
      </c>
    </row>
    <row r="26" spans="2:11" ht="15.75" thickBot="1" x14ac:dyDescent="0.3">
      <c r="D26" s="14" t="s">
        <v>14</v>
      </c>
      <c r="E26" s="15" t="s">
        <v>15</v>
      </c>
      <c r="F26" s="44"/>
      <c r="J26" t="s">
        <v>35</v>
      </c>
    </row>
    <row r="27" spans="2:11" ht="15.75" thickBot="1" x14ac:dyDescent="0.3"/>
    <row r="28" spans="2:11" ht="15.75" x14ac:dyDescent="0.25">
      <c r="B28" s="45" t="s">
        <v>5</v>
      </c>
      <c r="C28" s="30"/>
      <c r="D28" s="6" t="s">
        <v>6</v>
      </c>
      <c r="F28" s="45" t="s">
        <v>5</v>
      </c>
      <c r="G28" s="30"/>
      <c r="H28" s="6" t="s">
        <v>6</v>
      </c>
    </row>
    <row r="29" spans="2:11" x14ac:dyDescent="0.25">
      <c r="B29" s="4" t="s">
        <v>0</v>
      </c>
      <c r="C29" s="1" t="s">
        <v>13</v>
      </c>
      <c r="D29" s="40"/>
      <c r="E29" s="46" t="s">
        <v>27</v>
      </c>
      <c r="F29" s="4" t="s">
        <v>0</v>
      </c>
      <c r="G29" s="1" t="s">
        <v>15</v>
      </c>
      <c r="H29" s="40"/>
    </row>
    <row r="30" spans="2:11" ht="15.75" thickBot="1" x14ac:dyDescent="0.3">
      <c r="B30" s="5" t="s">
        <v>8</v>
      </c>
      <c r="C30" s="2" t="s">
        <v>4</v>
      </c>
      <c r="D30" s="41"/>
      <c r="E30" s="46"/>
      <c r="F30" s="5" t="s">
        <v>8</v>
      </c>
      <c r="G30" s="2" t="s">
        <v>4</v>
      </c>
      <c r="H30" s="41"/>
    </row>
    <row r="32" spans="2:11" ht="20.25" x14ac:dyDescent="0.25">
      <c r="C32" s="3" t="s">
        <v>7</v>
      </c>
      <c r="G32" s="3" t="s">
        <v>7</v>
      </c>
    </row>
  </sheetData>
  <mergeCells count="13">
    <mergeCell ref="F15:F19"/>
    <mergeCell ref="D2:E2"/>
    <mergeCell ref="F3:F4"/>
    <mergeCell ref="D8:E8"/>
    <mergeCell ref="F9:F10"/>
    <mergeCell ref="D14:E14"/>
    <mergeCell ref="H29:H30"/>
    <mergeCell ref="D23:E23"/>
    <mergeCell ref="F24:F26"/>
    <mergeCell ref="B28:C28"/>
    <mergeCell ref="F28:G28"/>
    <mergeCell ref="D29:D30"/>
    <mergeCell ref="E29:E30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Worklist</vt:lpstr>
      <vt:lpstr>Method</vt:lpstr>
      <vt:lpstr>Solutions</vt:lpstr>
      <vt:lpstr>Method 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2022-04-05T14:46:31Z</cp:lastPrinted>
  <dcterms:created xsi:type="dcterms:W3CDTF">2021-02-05T21:39:59Z</dcterms:created>
  <dcterms:modified xsi:type="dcterms:W3CDTF">2022-04-12T16:17:23Z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