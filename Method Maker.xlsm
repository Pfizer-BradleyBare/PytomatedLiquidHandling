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EAB8AA5F-2596-41B2-95BF-65363A04424F}" xr6:coauthVersionLast="47" xr6:coauthVersionMax="47" xr10:uidLastSave="{00000000-0000-0000-0000-000000000000}"/>
  <bookViews>
    <workbookView xWindow="-120" yWindow="-120" windowWidth="25440" windowHeight="15390" activeTab="1" xr2:uid="{00000000-000D-0000-FFFF-FFFF00000000}"/>
  </bookViews>
  <sheets>
    <sheet name="Worklist" sheetId="3" r:id="rId1"/>
    <sheet name="PrepList" sheetId="97" r:id="rId2"/>
    <sheet name="TestLog" sheetId="96" r:id="rId3"/>
    <sheet name="Method" sheetId="14" r:id="rId4"/>
    <sheet name="Solutions" sheetId="17" r:id="rId5"/>
    <sheet name="Method Notes" sheetId="2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4" i="14" l="1"/>
  <c r="A10" i="3"/>
  <c r="A9" i="3"/>
  <c r="A8" i="3"/>
  <c r="A7" i="3"/>
  <c r="A6" i="3" l="1"/>
  <c r="A5" i="3"/>
  <c r="A4" i="3"/>
  <c r="A3" i="3"/>
  <c r="A2" i="3" l="1"/>
</calcChain>
</file>

<file path=xl/sharedStrings.xml><?xml version="1.0" encoding="utf-8"?>
<sst xmlns="http://schemas.openxmlformats.org/spreadsheetml/2006/main" count="1387" uniqueCount="296">
  <si>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</si>
  <si>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</si>
  <si>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</si>
  <si>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</si>
  <si>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</si>
  <si>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</si>
  <si>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</si>
  <si>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</si>
  <si>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</si>
  <si>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</si>
  <si>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</si>
  <si>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</si>
  <si>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</si>
  <si>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</si>
  <si>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</si>
  <si>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</si>
  <si>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</si>
  <si>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</si>
  <si>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</si>
  <si>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</si>
  <si>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</si>
  <si>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</si>
  <si>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</si>
  <si>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</si>
  <si>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</si>
  <si>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</si>
  <si>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</si>
  <si>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</si>
  <si>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</si>
  <si>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</si>
  <si>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</si>
  <si>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</si>
  <si>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</si>
  <si>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</si>
  <si>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</si>
  <si>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</si>
  <si>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</si>
  <si>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</si>
  <si>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</si>
  <si>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</si>
  <si>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</si>
  <si>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</si>
  <si>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</si>
  <si>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</si>
  <si>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</si>
  <si>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</si>
  <si>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</si>
  <si>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</si>
  <si>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0.5M TCEP</t>
  </si>
  <si>
    <t>0.5M TCEP - (Click Here to Update)</t>
  </si>
  <si>
    <t>Incubate - (Click Here to Update)</t>
  </si>
  <si>
    <t>Preload Liquid - (Click Here to Update)</t>
  </si>
  <si>
    <t>1mg/mL LysC</t>
  </si>
  <si>
    <t>1mg/mL LysC - (Click Here to Update)</t>
  </si>
  <si>
    <t>10% TFA</t>
  </si>
  <si>
    <t>10% TFA - (Click Here to Update)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</si>
  <si>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</si>
  <si>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</si>
  <si>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</si>
  <si>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</si>
  <si>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</si>
  <si>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</si>
  <si>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</si>
  <si>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Excel Location (Row,Col): (7,3)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</si>
  <si>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</si>
  <si>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</si>
  <si>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</si>
  <si>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</si>
  <si>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</si>
  <si>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</si>
  <si>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</si>
  <si>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</si>
  <si>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</si>
  <si>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</si>
  <si>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</si>
  <si>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</si>
  <si>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</si>
  <si>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</si>
  <si>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</si>
  <si>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</si>
  <si>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</si>
  <si>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</si>
  <si>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</si>
  <si>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</si>
  <si>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</si>
  <si>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##4.1##</t>
  </si>
  <si>
    <t>##4.2##</t>
  </si>
  <si>
    <t>##4.3##</t>
  </si>
  <si>
    <t>##4.4##</t>
  </si>
  <si>
    <t>##4.5##</t>
  </si>
  <si>
    <t>##4.6##</t>
  </si>
  <si>
    <t>Step Title: Liquid Transfer</t>
  </si>
  <si>
    <t>Source: 0.5M TCEP</t>
  </si>
  <si>
    <t>Storage Condition: Ambient</t>
  </si>
  <si>
    <t>Mix?: Yes</t>
  </si>
  <si>
    <t>##5.1##</t>
  </si>
  <si>
    <t>##5.2##</t>
  </si>
  <si>
    <t>##5.3##</t>
  </si>
  <si>
    <t>##6.1##</t>
  </si>
  <si>
    <t>##6.2##</t>
  </si>
  <si>
    <t>##6.3##</t>
  </si>
  <si>
    <t>Step Title: Incubate</t>
  </si>
  <si>
    <t>Temp (C): 37.0</t>
  </si>
  <si>
    <t>Time (min): 30.0</t>
  </si>
  <si>
    <t>Shake (rpm): 0.0</t>
  </si>
  <si>
    <t>Labware</t>
  </si>
  <si>
    <t>GetSequenceStrings</t>
  </si>
  <si>
    <t>[PlateNames]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</si>
  <si>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</si>
  <si>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</si>
  <si>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</si>
  <si>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</si>
  <si>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</si>
  <si>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</si>
  <si>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</si>
  <si>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</si>
  <si>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</si>
  <si>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</si>
  <si>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</si>
  <si>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</si>
  <si>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</si>
  <si>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</si>
  <si>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</si>
  <si>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</si>
  <si>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</si>
  <si>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</si>
  <si>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##8.1##</t>
  </si>
  <si>
    <t>##8.2##</t>
  </si>
  <si>
    <t>##8.3##</t>
  </si>
  <si>
    <t>Timer</t>
  </si>
  <si>
    <t>Start</t>
  </si>
  <si>
    <t>[WaitTime]</t>
  </si>
  <si>
    <t>Wai</t>
  </si>
  <si>
    <t>EndReservation</t>
  </si>
  <si>
    <t>Afte</t>
  </si>
  <si>
    <t>ReleaseReservation</t>
  </si>
  <si>
    <t>##9.1##</t>
  </si>
  <si>
    <t>##9.2##</t>
  </si>
  <si>
    <t>##9.3##</t>
  </si>
  <si>
    <t>Temp (C): Ambient</t>
  </si>
  <si>
    <t>GetLidSequenceStrings</t>
  </si>
  <si>
    <t>##10.1##</t>
  </si>
  <si>
    <t>##10.2##</t>
  </si>
  <si>
    <t>##10.3##</t>
  </si>
  <si>
    <t>##10.4##</t>
  </si>
  <si>
    <t>##10.5##</t>
  </si>
  <si>
    <t>##10.6##</t>
  </si>
  <si>
    <t>##10.7##</t>
  </si>
  <si>
    <t>##10.8##</t>
  </si>
  <si>
    <t>##10.9##</t>
  </si>
  <si>
    <t>##10.10##</t>
  </si>
  <si>
    <t>##10.11##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</si>
  <si>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</si>
  <si>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</si>
  <si>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</si>
  <si>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</si>
  <si>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</si>
  <si>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</si>
  <si>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</si>
  <si>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##10.20##</t>
  </si>
  <si>
    <t>##11.1##</t>
  </si>
  <si>
    <t>##11.2##</t>
  </si>
  <si>
    <t>##11.3##</t>
  </si>
  <si>
    <t>Step Title: Preload Liquid</t>
  </si>
  <si>
    <t>Source: 1mg/mL LysC</t>
  </si>
  <si>
    <t>Time (min): 1080.0</t>
  </si>
  <si>
    <t>Source: 10% TFA</t>
  </si>
  <si>
    <t>Step Title: Finish</t>
  </si>
  <si>
    <t>PreRun</t>
  </si>
  <si>
    <t>Samples</t>
  </si>
  <si>
    <t>[SampleNumber]</t>
  </si>
  <si>
    <t>[Name]</t>
  </si>
  <si>
    <t>[LabwareSequence]</t>
  </si>
  <si>
    <t>F1</t>
  </si>
  <si>
    <t>F4</t>
  </si>
  <si>
    <t>[LidSequence]</t>
  </si>
  <si>
    <t>[LoadingLocation]</t>
  </si>
  <si>
    <t>Carrier14_Pos4</t>
  </si>
  <si>
    <t>[Volume]</t>
  </si>
  <si>
    <t>[LabwareType]</t>
  </si>
  <si>
    <t>FlipTube</t>
  </si>
  <si>
    <t>[LabwareCategory]</t>
  </si>
  <si>
    <t>Reagent</t>
  </si>
  <si>
    <t>[LabwareName]</t>
  </si>
  <si>
    <t>1200uL DeepWell 96 Well PCR Plate</t>
  </si>
  <si>
    <t>Hamilton 1.5mL FlipTube</t>
  </si>
  <si>
    <t>Reagent Lot</t>
  </si>
  <si>
    <t>Reagent Volume</t>
  </si>
  <si>
    <t>Diluent Lot</t>
  </si>
  <si>
    <t>Diluent Volume</t>
  </si>
  <si>
    <t>Heate</t>
  </si>
  <si>
    <t>Notif</t>
  </si>
  <si>
    <t>Water</t>
  </si>
  <si>
    <t>Time</t>
  </si>
  <si>
    <t>Transpor</t>
  </si>
  <si>
    <t>StatusUpdat</t>
  </si>
  <si>
    <t>Li</t>
  </si>
  <si>
    <t>EN</t>
  </si>
  <si>
    <t>0.2M CAA in 50mM Tris pH 7.9</t>
  </si>
  <si>
    <t>0.2M CAA in 50mM Tris pH 7.9 - (Click Here to Update)</t>
  </si>
  <si>
    <t>1mg/mL Trypsin in 100mM Tris pH 7.9</t>
  </si>
  <si>
    <t>1mg/mL Trypsin in 100mM Tris pH 7.9 - (Click Here to Update)</t>
  </si>
  <si>
    <t>50mM Tris pH 7.9</t>
  </si>
  <si>
    <t>50mM Tris pH 7.9 - (Click Here to Update)</t>
  </si>
  <si>
    <t>Neg Control 1</t>
  </si>
  <si>
    <t>Neg Control 2</t>
  </si>
  <si>
    <t>Neg Control 3</t>
  </si>
  <si>
    <t>Pos Control 1</t>
  </si>
  <si>
    <t>Pos Control 2</t>
  </si>
  <si>
    <t>Pos Control 3</t>
  </si>
  <si>
    <t>Pos Control 1 IMCS</t>
  </si>
  <si>
    <t>Pos Control 2 IMCS</t>
  </si>
  <si>
    <t>Pos Control 3 IMCS</t>
  </si>
  <si>
    <t>Volume: 158.0</t>
  </si>
  <si>
    <t>Excel Location (Row,Col): (12,3)</t>
  </si>
  <si>
    <t>Liquid Type: General Reagent</t>
  </si>
  <si>
    <t>Volume (uL): 3.08</t>
  </si>
  <si>
    <t>Excel Location (Row,Col): (21,3)</t>
  </si>
  <si>
    <t>Denaturatio</t>
  </si>
  <si>
    <t>##4.7##</t>
  </si>
  <si>
    <t>##4.8##</t>
  </si>
  <si>
    <t>##4.9##</t>
  </si>
  <si>
    <t>##4.10##</t>
  </si>
  <si>
    <t>##4.11##</t>
  </si>
  <si>
    <t>##4.12##</t>
  </si>
  <si>
    <t>##4.13##</t>
  </si>
  <si>
    <t>##4.14##</t>
  </si>
  <si>
    <t>##4.15##</t>
  </si>
  <si>
    <t>##4.16##</t>
  </si>
  <si>
    <t>##4.17##</t>
  </si>
  <si>
    <t>##4.18##</t>
  </si>
  <si>
    <t>##4.19##</t>
  </si>
  <si>
    <t>##4.20##</t>
  </si>
  <si>
    <t>##4.21##</t>
  </si>
  <si>
    <t>##4.22##</t>
  </si>
  <si>
    <t>##4.23##</t>
  </si>
  <si>
    <t>##4.24##</t>
  </si>
  <si>
    <t>##4.25##</t>
  </si>
  <si>
    <t>##4.27##</t>
  </si>
  <si>
    <t>Excel Location (Row,Col): (28,3)</t>
  </si>
  <si>
    <t>Source: 0.2M CAA in 50mM Tris pH 7.9</t>
  </si>
  <si>
    <t>Volume (uL): 39.765</t>
  </si>
  <si>
    <t>Excel Location (Row,Col): (37,3)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</si>
  <si>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</si>
  <si>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</si>
  <si>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</si>
  <si>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</si>
  <si>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</si>
  <si>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</si>
  <si>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</si>
  <si>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</si>
  <si>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</si>
  <si>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Excel Location (Row,Col): (44,3)</t>
  </si>
  <si>
    <t>Source: 50mM Tris pH 7.9</t>
  </si>
  <si>
    <t>Volume (uL): 601.0</t>
  </si>
  <si>
    <t>Excel Location (Row,Col): (53,3)</t>
  </si>
  <si>
    <t>Volume (uL): 5.0</t>
  </si>
  <si>
    <t>Excel Location (Row,Col): (62,3)</t>
  </si>
  <si>
    <t>Source: 1mg/mL Trypsin in 100mM Tris pH 7.9</t>
  </si>
  <si>
    <t>Excel Location (Row,Col): (71,3)</t>
  </si>
  <si>
    <t>##10.19##</t>
  </si>
  <si>
    <t>##10.21##</t>
  </si>
  <si>
    <t>##10.22##</t>
  </si>
  <si>
    <t>##10.23##</t>
  </si>
  <si>
    <t>##10.24##</t>
  </si>
  <si>
    <t>##10.25##</t>
  </si>
  <si>
    <t>##10.27##</t>
  </si>
  <si>
    <t>Excel Location (Row,Col): (78,3)</t>
  </si>
  <si>
    <t>Volume (uL): 9.06</t>
  </si>
  <si>
    <t>Excel Location (Row,Col): (87,3)</t>
  </si>
  <si>
    <t>Denaturation plate deactivated</t>
  </si>
  <si>
    <t>C1</t>
  </si>
  <si>
    <t>Carrier14_Pos4_96WellPCRPlate1200uL_1mLChannel</t>
  </si>
  <si>
    <t>F2</t>
  </si>
  <si>
    <t>F3</t>
  </si>
  <si>
    <t>F5</t>
  </si>
  <si>
    <t>Carrier14_Pos4_Lid_1200uL</t>
  </si>
  <si>
    <t>15mL Centrifuge Tube</t>
  </si>
  <si>
    <t>Hamilton 1.5mL FlipTub</t>
  </si>
  <si>
    <t>Denaturation: 1200uL DeepWell 96 Well PCR Plate</t>
  </si>
  <si>
    <t>Minimum Volume: 5909.0uL</t>
  </si>
  <si>
    <t>Minimum Volume: 177.72uL</t>
  </si>
  <si>
    <t>Minimum Volume: 507.88uL</t>
  </si>
  <si>
    <t>Minimum Volume: 195.0uL</t>
  </si>
  <si>
    <t>Minimum Volume: 231.54uL</t>
  </si>
  <si>
    <t>Volume (uL): 50.0</t>
  </si>
  <si>
    <t>A1: 915.905uL</t>
  </si>
  <si>
    <t>B1: 915.905uL</t>
  </si>
  <si>
    <t>A2: 915.905uL</t>
  </si>
  <si>
    <t>A3: 915.905uL</t>
  </si>
  <si>
    <t>A4: 915.905uL</t>
  </si>
  <si>
    <t>A5: 915.905uL</t>
  </si>
  <si>
    <t>A6: 915.905uL</t>
  </si>
  <si>
    <t>A7: 915.905uL</t>
  </si>
  <si>
    <t>A8: 915.905uL</t>
  </si>
  <si>
    <t>Minimum Volume: 600.0uL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</si>
</sst>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" xfId="0" applyBorder="1"/>
    <xf numFmtId="0" fontId="0" fillId="0" borderId="11" xfId="0" applyBorder="1"/>
    <xf numFmtId="0" fontId="0" fillId="0" borderId="13" xfId="0" applyBorder="1"/>
    <xf numFmtId="0" fontId="8" fillId="0" borderId="1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left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left" vertical="center"/>
    </xf>
    <xf numFmtId="0" fontId="2" fillId="4" borderId="22" xfId="0" applyFont="1" applyFill="1" applyBorder="1" applyAlignment="1">
      <alignment horizontal="left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left" vertical="center"/>
    </xf>
    <xf numFmtId="0" fontId="2" fillId="6" borderId="22" xfId="0" applyFont="1" applyFill="1" applyBorder="1" applyAlignment="1">
      <alignment horizontal="left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0" fillId="0" borderId="20" xfId="0" applyBorder="1"/>
    <xf numFmtId="0" fontId="0" fillId="0" borderId="2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6</xdr:row>
          <xdr:rowOff>66675</xdr:rowOff>
        </xdr:from>
        <xdr:to>
          <xdr:col>15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10"/>
  <sheetViews>
    <sheetView workbookViewId="0">
      <selection activeCell="N19" sqref="N19"/>
    </sheetView>
  </sheetViews>
  <sheetFormatPr defaultRowHeight="15" x14ac:dyDescent="0.25"/>
  <cols>
    <col min="1" max="1" width="9" bestFit="1" customWidth="1"/>
    <col min="2" max="2" width="11.140625" bestFit="1" customWidth="1"/>
  </cols>
  <sheetData>
    <row r="1" spans="1:2" x14ac:dyDescent="0.25">
      <c r="A1" t="s">
        <v>2</v>
      </c>
      <c r="B1" t="s">
        <v>1</v>
      </c>
    </row>
    <row r="2" spans="1:2" x14ac:dyDescent="0.25">
      <c r="A2">
        <f t="shared" ref="A2:A10" si="0">ROW(A1)</f>
        <v>1</v>
      </c>
      <c r="B2" t="s">
        <v>204</v>
      </c>
    </row>
    <row r="3" spans="1:2" x14ac:dyDescent="0.25">
      <c r="A3">
        <f t="shared" si="0"/>
        <v>2</v>
      </c>
      <c r="B3" t="s">
        <v>205</v>
      </c>
    </row>
    <row r="4" spans="1:2" x14ac:dyDescent="0.25">
      <c r="A4">
        <f t="shared" si="0"/>
        <v>3</v>
      </c>
      <c r="B4" t="s">
        <v>206</v>
      </c>
    </row>
    <row r="5" spans="1:2" x14ac:dyDescent="0.25">
      <c r="A5">
        <f t="shared" si="0"/>
        <v>4</v>
      </c>
      <c r="B5" t="s">
        <v>207</v>
      </c>
    </row>
    <row r="6" spans="1:2" x14ac:dyDescent="0.25">
      <c r="A6">
        <f t="shared" si="0"/>
        <v>5</v>
      </c>
      <c r="B6" t="s">
        <v>208</v>
      </c>
    </row>
    <row r="7" spans="1:2" x14ac:dyDescent="0.25">
      <c r="A7">
        <f t="shared" si="0"/>
        <v>6</v>
      </c>
      <c r="B7" t="s">
        <v>209</v>
      </c>
    </row>
    <row r="8" spans="1:2" x14ac:dyDescent="0.25">
      <c r="A8">
        <f t="shared" si="0"/>
        <v>7</v>
      </c>
      <c r="B8" t="s">
        <v>210</v>
      </c>
    </row>
    <row r="9" spans="1:2" x14ac:dyDescent="0.25">
      <c r="A9">
        <f t="shared" si="0"/>
        <v>8</v>
      </c>
      <c r="B9" t="s">
        <v>211</v>
      </c>
    </row>
    <row r="10" spans="1:2" x14ac:dyDescent="0.25">
      <c r="A10">
        <f t="shared" si="0"/>
        <v>9</v>
      </c>
      <c r="B10" t="s">
        <v>212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12</xdr:col>
                    <xdr:colOff>238125</xdr:colOff>
                    <xdr:row>6</xdr:row>
                    <xdr:rowOff>66675</xdr:rowOff>
                  </from>
                  <to>
                    <xdr:col>15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E5A1C-D64D-4C9B-93E2-A2579E7DE22A}">
  <sheetPr>
    <pageSetUpPr fitToPage="1"/>
  </sheetPr>
  <dimension ref="B1:M47"/>
  <sheetViews>
    <sheetView tabSelected="1" workbookViewId="0">
      <selection activeCell="G13" sqref="G13"/>
    </sheetView>
  </sheetViews>
  <sheetFormatPr defaultRowHeight="15" x14ac:dyDescent="0.25"/>
  <cols>
    <col min="2" max="2" width="12.85546875" bestFit="1" customWidth="1"/>
    <col min="3" max="3" width="12.7109375" bestFit="1" customWidth="1"/>
  </cols>
  <sheetData>
    <row r="1" spans="2:13" ht="15.75" thickBot="1" x14ac:dyDescent="0.3"/>
    <row r="2" spans="2:13" ht="27" thickBot="1" x14ac:dyDescent="0.45">
      <c r="B2" s="44" t="s">
        <v>279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6"/>
    </row>
    <row r="3" spans="2:13" x14ac:dyDescent="0.25">
      <c r="B3" s="93" t="s">
        <v>286</v>
      </c>
      <c r="C3" s="22" t="s">
        <v>287</v>
      </c>
      <c r="D3" s="22"/>
      <c r="E3" s="22"/>
      <c r="F3" s="22"/>
      <c r="G3" s="22"/>
      <c r="H3" s="22"/>
      <c r="I3" s="22"/>
      <c r="J3" s="22"/>
      <c r="K3" s="22"/>
      <c r="L3" s="22"/>
      <c r="M3" s="23"/>
    </row>
    <row r="4" spans="2:13" x14ac:dyDescent="0.25">
      <c r="B4" s="24" t="s">
        <v>288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6"/>
    </row>
    <row r="5" spans="2:13" x14ac:dyDescent="0.25">
      <c r="B5" s="24" t="s">
        <v>289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6"/>
    </row>
    <row r="6" spans="2:13" x14ac:dyDescent="0.25">
      <c r="B6" s="24" t="s">
        <v>290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6"/>
    </row>
    <row r="7" spans="2:13" x14ac:dyDescent="0.25">
      <c r="B7" s="24" t="s">
        <v>291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6"/>
    </row>
    <row r="8" spans="2:13" x14ac:dyDescent="0.25">
      <c r="B8" s="24" t="s">
        <v>292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6"/>
    </row>
    <row r="9" spans="2:13" x14ac:dyDescent="0.25">
      <c r="B9" s="24" t="s">
        <v>293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</row>
    <row r="10" spans="2:13" ht="15.75" thickBot="1" x14ac:dyDescent="0.3">
      <c r="B10" s="27" t="s">
        <v>294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9"/>
    </row>
    <row r="14" spans="2:13" ht="15.75" thickBot="1" x14ac:dyDescent="0.3"/>
    <row r="15" spans="2:13" ht="19.5" thickBot="1" x14ac:dyDescent="0.35">
      <c r="B15" s="38" t="s">
        <v>202</v>
      </c>
      <c r="C15" s="39"/>
      <c r="D15" s="39"/>
      <c r="E15" s="39"/>
      <c r="F15" s="40"/>
      <c r="I15" s="38" t="s">
        <v>48</v>
      </c>
      <c r="J15" s="39"/>
      <c r="K15" s="39"/>
      <c r="L15" s="39"/>
      <c r="M15" s="40"/>
    </row>
    <row r="16" spans="2:13" ht="16.5" thickBot="1" x14ac:dyDescent="0.3">
      <c r="B16" s="41" t="s">
        <v>277</v>
      </c>
      <c r="C16" s="42"/>
      <c r="D16" s="42"/>
      <c r="E16" s="42"/>
      <c r="F16" s="43"/>
      <c r="I16" s="41" t="s">
        <v>185</v>
      </c>
      <c r="J16" s="42"/>
      <c r="K16" s="42"/>
      <c r="L16" s="42"/>
      <c r="M16" s="43"/>
    </row>
    <row r="17" spans="2:13" ht="16.5" thickBot="1" x14ac:dyDescent="0.3">
      <c r="B17" s="41" t="s">
        <v>280</v>
      </c>
      <c r="C17" s="42"/>
      <c r="D17" s="42"/>
      <c r="E17" s="42"/>
      <c r="F17" s="43"/>
      <c r="I17" s="41" t="s">
        <v>281</v>
      </c>
      <c r="J17" s="42"/>
      <c r="K17" s="42"/>
      <c r="L17" s="42"/>
      <c r="M17" s="43"/>
    </row>
    <row r="18" spans="2:13" x14ac:dyDescent="0.25">
      <c r="B18" s="92" t="s">
        <v>182</v>
      </c>
      <c r="C18" s="35"/>
      <c r="D18" s="35"/>
      <c r="E18" s="35"/>
      <c r="F18" s="36"/>
      <c r="I18" s="92" t="s">
        <v>182</v>
      </c>
      <c r="J18" s="35"/>
      <c r="K18" s="35"/>
      <c r="L18" s="35"/>
      <c r="M18" s="36"/>
    </row>
    <row r="19" spans="2:13" x14ac:dyDescent="0.25">
      <c r="B19" s="32" t="s">
        <v>186</v>
      </c>
      <c r="C19" s="33"/>
      <c r="D19" s="33"/>
      <c r="E19" s="33"/>
      <c r="F19" s="37"/>
      <c r="I19" s="32" t="s">
        <v>186</v>
      </c>
      <c r="J19" s="33"/>
      <c r="K19" s="33"/>
      <c r="L19" s="33"/>
      <c r="M19" s="37"/>
    </row>
    <row r="20" spans="2:13" x14ac:dyDescent="0.25">
      <c r="B20" s="32" t="s">
        <v>187</v>
      </c>
      <c r="C20" s="33"/>
      <c r="D20" s="33"/>
      <c r="E20" s="33"/>
      <c r="F20" s="37"/>
      <c r="I20" s="32" t="s">
        <v>187</v>
      </c>
      <c r="J20" s="33"/>
      <c r="K20" s="33"/>
      <c r="L20" s="33"/>
      <c r="M20" s="37"/>
    </row>
    <row r="21" spans="2:13" x14ac:dyDescent="0.25">
      <c r="B21" s="32" t="s">
        <v>43</v>
      </c>
      <c r="C21" s="33"/>
      <c r="D21" s="33"/>
      <c r="E21" s="33"/>
      <c r="F21" s="37"/>
      <c r="I21" s="32" t="s">
        <v>43</v>
      </c>
      <c r="J21" s="33"/>
      <c r="K21" s="33"/>
      <c r="L21" s="33"/>
      <c r="M21" s="37"/>
    </row>
    <row r="22" spans="2:13" x14ac:dyDescent="0.25">
      <c r="B22" s="32" t="s">
        <v>188</v>
      </c>
      <c r="C22" s="33"/>
      <c r="D22" s="33"/>
      <c r="E22" s="33"/>
      <c r="F22" s="37"/>
      <c r="I22" s="32" t="s">
        <v>188</v>
      </c>
      <c r="J22" s="33"/>
      <c r="K22" s="33"/>
      <c r="L22" s="33"/>
      <c r="M22" s="37"/>
    </row>
    <row r="23" spans="2:13" ht="15.75" thickBot="1" x14ac:dyDescent="0.3">
      <c r="B23" s="34" t="s">
        <v>189</v>
      </c>
      <c r="C23" s="30"/>
      <c r="D23" s="30"/>
      <c r="E23" s="30"/>
      <c r="F23" s="31"/>
      <c r="I23" s="34" t="s">
        <v>189</v>
      </c>
      <c r="J23" s="30"/>
      <c r="K23" s="30"/>
      <c r="L23" s="30"/>
      <c r="M23" s="31"/>
    </row>
    <row r="26" spans="2:13" ht="15.75" thickBot="1" x14ac:dyDescent="0.3"/>
    <row r="27" spans="2:13" ht="19.5" thickBot="1" x14ac:dyDescent="0.35">
      <c r="B27" s="38" t="s">
        <v>198</v>
      </c>
      <c r="C27" s="39"/>
      <c r="D27" s="39"/>
      <c r="E27" s="39"/>
      <c r="F27" s="40"/>
      <c r="I27" s="38" t="s">
        <v>52</v>
      </c>
      <c r="J27" s="39"/>
      <c r="K27" s="39"/>
      <c r="L27" s="39"/>
      <c r="M27" s="40"/>
    </row>
    <row r="28" spans="2:13" ht="16.5" thickBot="1" x14ac:dyDescent="0.3">
      <c r="B28" s="41" t="s">
        <v>185</v>
      </c>
      <c r="C28" s="42"/>
      <c r="D28" s="42"/>
      <c r="E28" s="42"/>
      <c r="F28" s="43"/>
      <c r="I28" s="41" t="s">
        <v>185</v>
      </c>
      <c r="J28" s="42"/>
      <c r="K28" s="42"/>
      <c r="L28" s="42"/>
      <c r="M28" s="43"/>
    </row>
    <row r="29" spans="2:13" ht="16.5" thickBot="1" x14ac:dyDescent="0.3">
      <c r="B29" s="41" t="s">
        <v>282</v>
      </c>
      <c r="C29" s="42"/>
      <c r="D29" s="42"/>
      <c r="E29" s="42"/>
      <c r="F29" s="43"/>
      <c r="I29" s="41" t="s">
        <v>283</v>
      </c>
      <c r="J29" s="42"/>
      <c r="K29" s="42"/>
      <c r="L29" s="42"/>
      <c r="M29" s="43"/>
    </row>
    <row r="30" spans="2:13" x14ac:dyDescent="0.25">
      <c r="B30" s="92" t="s">
        <v>182</v>
      </c>
      <c r="C30" s="35"/>
      <c r="D30" s="35"/>
      <c r="E30" s="35"/>
      <c r="F30" s="36"/>
      <c r="I30" s="92" t="s">
        <v>182</v>
      </c>
      <c r="J30" s="35"/>
      <c r="K30" s="35"/>
      <c r="L30" s="35"/>
      <c r="M30" s="36"/>
    </row>
    <row r="31" spans="2:13" x14ac:dyDescent="0.25">
      <c r="B31" s="32" t="s">
        <v>186</v>
      </c>
      <c r="C31" s="33"/>
      <c r="D31" s="33"/>
      <c r="E31" s="33"/>
      <c r="F31" s="37"/>
      <c r="I31" s="32" t="s">
        <v>186</v>
      </c>
      <c r="J31" s="33"/>
      <c r="K31" s="33"/>
      <c r="L31" s="33"/>
      <c r="M31" s="37"/>
    </row>
    <row r="32" spans="2:13" x14ac:dyDescent="0.25">
      <c r="B32" s="32" t="s">
        <v>187</v>
      </c>
      <c r="C32" s="33"/>
      <c r="D32" s="33"/>
      <c r="E32" s="33"/>
      <c r="F32" s="37"/>
      <c r="I32" s="32" t="s">
        <v>187</v>
      </c>
      <c r="J32" s="33"/>
      <c r="K32" s="33"/>
      <c r="L32" s="33"/>
      <c r="M32" s="37"/>
    </row>
    <row r="33" spans="2:13" x14ac:dyDescent="0.25">
      <c r="B33" s="32" t="s">
        <v>43</v>
      </c>
      <c r="C33" s="33"/>
      <c r="D33" s="33"/>
      <c r="E33" s="33"/>
      <c r="F33" s="37"/>
      <c r="I33" s="32" t="s">
        <v>43</v>
      </c>
      <c r="J33" s="33"/>
      <c r="K33" s="33"/>
      <c r="L33" s="33"/>
      <c r="M33" s="37"/>
    </row>
    <row r="34" spans="2:13" x14ac:dyDescent="0.25">
      <c r="B34" s="32" t="s">
        <v>188</v>
      </c>
      <c r="C34" s="33"/>
      <c r="D34" s="33"/>
      <c r="E34" s="33"/>
      <c r="F34" s="37"/>
      <c r="I34" s="32" t="s">
        <v>188</v>
      </c>
      <c r="J34" s="33"/>
      <c r="K34" s="33"/>
      <c r="L34" s="33"/>
      <c r="M34" s="37"/>
    </row>
    <row r="35" spans="2:13" ht="15.75" thickBot="1" x14ac:dyDescent="0.3">
      <c r="B35" s="34" t="s">
        <v>189</v>
      </c>
      <c r="C35" s="30"/>
      <c r="D35" s="30"/>
      <c r="E35" s="30"/>
      <c r="F35" s="31"/>
      <c r="I35" s="34" t="s">
        <v>189</v>
      </c>
      <c r="J35" s="30"/>
      <c r="K35" s="30"/>
      <c r="L35" s="30"/>
      <c r="M35" s="31"/>
    </row>
    <row r="38" spans="2:13" ht="15.75" thickBot="1" x14ac:dyDescent="0.3"/>
    <row r="39" spans="2:13" ht="19.5" thickBot="1" x14ac:dyDescent="0.35">
      <c r="B39" s="38" t="s">
        <v>200</v>
      </c>
      <c r="C39" s="39"/>
      <c r="D39" s="39"/>
      <c r="E39" s="39"/>
      <c r="F39" s="40"/>
      <c r="I39" s="38" t="s">
        <v>54</v>
      </c>
      <c r="J39" s="39"/>
      <c r="K39" s="39"/>
      <c r="L39" s="39"/>
      <c r="M39" s="40"/>
    </row>
    <row r="40" spans="2:13" ht="16.5" thickBot="1" x14ac:dyDescent="0.3">
      <c r="B40" s="41" t="s">
        <v>185</v>
      </c>
      <c r="C40" s="42"/>
      <c r="D40" s="42"/>
      <c r="E40" s="42"/>
      <c r="F40" s="43"/>
      <c r="I40" s="41" t="s">
        <v>185</v>
      </c>
      <c r="J40" s="42"/>
      <c r="K40" s="42"/>
      <c r="L40" s="42"/>
      <c r="M40" s="43"/>
    </row>
    <row r="41" spans="2:13" ht="16.5" thickBot="1" x14ac:dyDescent="0.3">
      <c r="B41" s="41" t="s">
        <v>295</v>
      </c>
      <c r="C41" s="42"/>
      <c r="D41" s="42"/>
      <c r="E41" s="42"/>
      <c r="F41" s="43"/>
      <c r="I41" s="41" t="s">
        <v>284</v>
      </c>
      <c r="J41" s="42"/>
      <c r="K41" s="42"/>
      <c r="L41" s="42"/>
      <c r="M41" s="43"/>
    </row>
    <row r="42" spans="2:13" x14ac:dyDescent="0.25">
      <c r="B42" s="92" t="s">
        <v>182</v>
      </c>
      <c r="C42" s="35"/>
      <c r="D42" s="35"/>
      <c r="E42" s="35"/>
      <c r="F42" s="36"/>
      <c r="I42" s="92" t="s">
        <v>182</v>
      </c>
      <c r="J42" s="35"/>
      <c r="K42" s="35"/>
      <c r="L42" s="35"/>
      <c r="M42" s="36"/>
    </row>
    <row r="43" spans="2:13" x14ac:dyDescent="0.25">
      <c r="B43" s="32" t="s">
        <v>186</v>
      </c>
      <c r="C43" s="33"/>
      <c r="D43" s="33"/>
      <c r="E43" s="33"/>
      <c r="F43" s="37"/>
      <c r="I43" s="32" t="s">
        <v>186</v>
      </c>
      <c r="J43" s="33"/>
      <c r="K43" s="33"/>
      <c r="L43" s="33"/>
      <c r="M43" s="37"/>
    </row>
    <row r="44" spans="2:13" x14ac:dyDescent="0.25">
      <c r="B44" s="32" t="s">
        <v>187</v>
      </c>
      <c r="C44" s="33"/>
      <c r="D44" s="33"/>
      <c r="E44" s="33"/>
      <c r="F44" s="37"/>
      <c r="I44" s="32" t="s">
        <v>187</v>
      </c>
      <c r="J44" s="33"/>
      <c r="K44" s="33"/>
      <c r="L44" s="33"/>
      <c r="M44" s="37"/>
    </row>
    <row r="45" spans="2:13" x14ac:dyDescent="0.25">
      <c r="B45" s="32" t="s">
        <v>43</v>
      </c>
      <c r="C45" s="33"/>
      <c r="D45" s="33"/>
      <c r="E45" s="33"/>
      <c r="F45" s="37"/>
      <c r="I45" s="32" t="s">
        <v>43</v>
      </c>
      <c r="J45" s="33"/>
      <c r="K45" s="33"/>
      <c r="L45" s="33"/>
      <c r="M45" s="37"/>
    </row>
    <row r="46" spans="2:13" x14ac:dyDescent="0.25">
      <c r="B46" s="32" t="s">
        <v>188</v>
      </c>
      <c r="C46" s="33"/>
      <c r="D46" s="33"/>
      <c r="E46" s="33"/>
      <c r="F46" s="37"/>
      <c r="I46" s="32" t="s">
        <v>188</v>
      </c>
      <c r="J46" s="33"/>
      <c r="K46" s="33"/>
      <c r="L46" s="33"/>
      <c r="M46" s="37"/>
    </row>
    <row r="47" spans="2:13" ht="15.75" thickBot="1" x14ac:dyDescent="0.3">
      <c r="B47" s="34" t="s">
        <v>189</v>
      </c>
      <c r="C47" s="30"/>
      <c r="D47" s="30"/>
      <c r="E47" s="30"/>
      <c r="F47" s="31"/>
      <c r="I47" s="34" t="s">
        <v>189</v>
      </c>
      <c r="J47" s="30"/>
      <c r="K47" s="30"/>
      <c r="L47" s="30"/>
      <c r="M47" s="31"/>
    </row>
  </sheetData>
  <mergeCells count="91">
    <mergeCell ref="K47:M47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  <pageSetup scale="71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5204-0ED1-48CF-80E5-07BD6157BD75}">
  <dimension ref="B3:BF713"/>
  <sheetViews>
    <sheetView workbookViewId="0"/>
  </sheetViews>
  <sheetFormatPr defaultRowHeight="15" x14ac:dyDescent="0.25"/>
  <sheetData>
    <row r="3" spans="2:5" x14ac:dyDescent="0.25">
      <c r="D3" t="s">
        <v>56</v>
      </c>
      <c r="E3" t="s">
        <v>57</v>
      </c>
    </row>
    <row r="4" spans="2:5" x14ac:dyDescent="0.25">
      <c r="D4" t="s">
        <v>58</v>
      </c>
      <c r="E4" t="s">
        <v>59</v>
      </c>
    </row>
    <row r="5" spans="2:5" x14ac:dyDescent="0.25">
      <c r="D5" t="s">
        <v>60</v>
      </c>
      <c r="E5" t="s">
        <v>9</v>
      </c>
    </row>
    <row r="6" spans="2:5" x14ac:dyDescent="0.25">
      <c r="D6" t="s">
        <v>61</v>
      </c>
      <c r="E6">
        <v>37</v>
      </c>
    </row>
    <row r="7" spans="2:5" x14ac:dyDescent="0.25">
      <c r="D7" t="s">
        <v>62</v>
      </c>
      <c r="E7">
        <v>0</v>
      </c>
    </row>
    <row r="12" spans="2:5" x14ac:dyDescent="0.25">
      <c r="B12" t="s">
        <v>163</v>
      </c>
    </row>
    <row r="13" spans="2:5" x14ac:dyDescent="0.25">
      <c r="B13" t="s">
        <v>63</v>
      </c>
    </row>
    <row r="14" spans="2:5" x14ac:dyDescent="0.25">
      <c r="B14" t="s">
        <v>213</v>
      </c>
    </row>
    <row r="19" spans="2:13" x14ac:dyDescent="0.25">
      <c r="B19" t="s">
        <v>91</v>
      </c>
    </row>
    <row r="20" spans="2:13" x14ac:dyDescent="0.25">
      <c r="B20" t="s">
        <v>214</v>
      </c>
    </row>
    <row r="21" spans="2:13" x14ac:dyDescent="0.25">
      <c r="B21" t="s">
        <v>92</v>
      </c>
    </row>
    <row r="22" spans="2:13" x14ac:dyDescent="0.25">
      <c r="B22" t="s">
        <v>215</v>
      </c>
    </row>
    <row r="23" spans="2:13" x14ac:dyDescent="0.25">
      <c r="B23" t="s">
        <v>93</v>
      </c>
    </row>
    <row r="24" spans="2:13" x14ac:dyDescent="0.25">
      <c r="B24" t="s">
        <v>216</v>
      </c>
    </row>
    <row r="25" spans="2:13" x14ac:dyDescent="0.25">
      <c r="B25" t="s">
        <v>94</v>
      </c>
    </row>
    <row r="27" spans="2:13" x14ac:dyDescent="0.25">
      <c r="C27" t="s">
        <v>24</v>
      </c>
    </row>
    <row r="29" spans="2:13" x14ac:dyDescent="0.25">
      <c r="D29" t="s">
        <v>56</v>
      </c>
      <c r="E29" t="s">
        <v>64</v>
      </c>
    </row>
    <row r="30" spans="2:13" x14ac:dyDescent="0.25">
      <c r="D30" t="s">
        <v>58</v>
      </c>
      <c r="E30" t="s">
        <v>65</v>
      </c>
    </row>
    <row r="31" spans="2:13" x14ac:dyDescent="0.25">
      <c r="D31" t="s">
        <v>66</v>
      </c>
      <c r="E31">
        <v>3.08</v>
      </c>
      <c r="F31">
        <v>3.08</v>
      </c>
      <c r="G31">
        <v>3.08</v>
      </c>
      <c r="H31">
        <v>3.08</v>
      </c>
      <c r="I31">
        <v>3.08</v>
      </c>
      <c r="J31">
        <v>3.08</v>
      </c>
      <c r="K31">
        <v>3.08</v>
      </c>
      <c r="L31">
        <v>3.08</v>
      </c>
      <c r="M31">
        <v>3.08</v>
      </c>
    </row>
    <row r="32" spans="2:13" x14ac:dyDescent="0.25">
      <c r="D32" t="s">
        <v>67</v>
      </c>
      <c r="E32" t="s">
        <v>192</v>
      </c>
      <c r="F32" t="s">
        <v>192</v>
      </c>
      <c r="G32" t="s">
        <v>192</v>
      </c>
      <c r="H32" t="s">
        <v>192</v>
      </c>
      <c r="I32" t="s">
        <v>192</v>
      </c>
      <c r="J32" t="s">
        <v>192</v>
      </c>
      <c r="K32" t="s">
        <v>192</v>
      </c>
      <c r="L32" t="s">
        <v>192</v>
      </c>
      <c r="M32" t="s">
        <v>68</v>
      </c>
    </row>
    <row r="33" spans="4:13" x14ac:dyDescent="0.25">
      <c r="D33" t="s">
        <v>69</v>
      </c>
    </row>
    <row r="35" spans="4:13" x14ac:dyDescent="0.25">
      <c r="D35" t="s">
        <v>56</v>
      </c>
      <c r="E35" t="s">
        <v>64</v>
      </c>
    </row>
    <row r="36" spans="4:13" x14ac:dyDescent="0.25">
      <c r="D36" t="s">
        <v>58</v>
      </c>
      <c r="E36" t="s">
        <v>70</v>
      </c>
    </row>
    <row r="37" spans="4:13" x14ac:dyDescent="0.25">
      <c r="D37" t="s">
        <v>66</v>
      </c>
      <c r="E37">
        <v>3.08</v>
      </c>
      <c r="F37">
        <v>3.08</v>
      </c>
      <c r="G37">
        <v>3.08</v>
      </c>
      <c r="H37">
        <v>3.08</v>
      </c>
      <c r="I37">
        <v>3.08</v>
      </c>
      <c r="J37">
        <v>3.08</v>
      </c>
      <c r="K37">
        <v>3.08</v>
      </c>
      <c r="L37">
        <v>3.08</v>
      </c>
      <c r="M37">
        <v>3</v>
      </c>
    </row>
    <row r="38" spans="4:13" x14ac:dyDescent="0.25">
      <c r="D38" t="s">
        <v>71</v>
      </c>
    </row>
    <row r="40" spans="4:13" x14ac:dyDescent="0.25">
      <c r="D40" t="s">
        <v>56</v>
      </c>
      <c r="E40" t="s">
        <v>64</v>
      </c>
    </row>
    <row r="41" spans="4:13" x14ac:dyDescent="0.25">
      <c r="D41" t="s">
        <v>58</v>
      </c>
      <c r="E41" t="s">
        <v>73</v>
      </c>
    </row>
    <row r="42" spans="4:13" x14ac:dyDescent="0.25">
      <c r="D42" t="s">
        <v>74</v>
      </c>
      <c r="E42" t="s">
        <v>9</v>
      </c>
      <c r="F42" t="s">
        <v>9</v>
      </c>
      <c r="G42" t="s">
        <v>9</v>
      </c>
      <c r="H42" t="s">
        <v>9</v>
      </c>
      <c r="I42" t="s">
        <v>9</v>
      </c>
      <c r="J42" t="s">
        <v>9</v>
      </c>
      <c r="K42" t="s">
        <v>9</v>
      </c>
      <c r="L42" t="s">
        <v>9</v>
      </c>
      <c r="M42" t="s">
        <v>9</v>
      </c>
    </row>
    <row r="43" spans="4:13" x14ac:dyDescent="0.25">
      <c r="D43" t="s">
        <v>75</v>
      </c>
      <c r="E43">
        <v>1</v>
      </c>
      <c r="F43">
        <v>2</v>
      </c>
      <c r="G43">
        <v>3</v>
      </c>
      <c r="H43">
        <v>4</v>
      </c>
      <c r="I43">
        <v>5</v>
      </c>
      <c r="J43">
        <v>6</v>
      </c>
      <c r="K43">
        <v>7</v>
      </c>
      <c r="L43">
        <v>8</v>
      </c>
      <c r="M43">
        <v>9</v>
      </c>
    </row>
    <row r="44" spans="4:13" x14ac:dyDescent="0.25">
      <c r="D44" t="s">
        <v>76</v>
      </c>
      <c r="E44" t="s">
        <v>48</v>
      </c>
      <c r="F44" t="s">
        <v>48</v>
      </c>
      <c r="G44" t="s">
        <v>48</v>
      </c>
      <c r="H44" t="s">
        <v>48</v>
      </c>
      <c r="I44" t="s">
        <v>48</v>
      </c>
      <c r="J44" t="s">
        <v>48</v>
      </c>
      <c r="K44" t="s">
        <v>48</v>
      </c>
      <c r="L44" t="s">
        <v>48</v>
      </c>
      <c r="M44" t="s">
        <v>48</v>
      </c>
    </row>
    <row r="45" spans="4:13" x14ac:dyDescent="0.25">
      <c r="D45" t="s">
        <v>77</v>
      </c>
      <c r="E45">
        <v>1</v>
      </c>
      <c r="F45">
        <v>2</v>
      </c>
      <c r="G45">
        <v>3</v>
      </c>
      <c r="H45">
        <v>4</v>
      </c>
      <c r="I45">
        <v>5</v>
      </c>
      <c r="J45">
        <v>6</v>
      </c>
      <c r="K45">
        <v>7</v>
      </c>
      <c r="L45">
        <v>8</v>
      </c>
      <c r="M45">
        <v>9</v>
      </c>
    </row>
    <row r="46" spans="4:13" x14ac:dyDescent="0.25">
      <c r="D46" t="s">
        <v>66</v>
      </c>
      <c r="E46">
        <v>3.08</v>
      </c>
      <c r="F46">
        <v>3.08</v>
      </c>
      <c r="G46">
        <v>3.08</v>
      </c>
      <c r="H46">
        <v>3.08</v>
      </c>
      <c r="I46">
        <v>3.08</v>
      </c>
      <c r="J46">
        <v>3.08</v>
      </c>
      <c r="K46">
        <v>3.08</v>
      </c>
      <c r="L46">
        <v>3.08</v>
      </c>
      <c r="M46">
        <v>3.08</v>
      </c>
    </row>
    <row r="47" spans="4:13" x14ac:dyDescent="0.25">
      <c r="D47" t="s">
        <v>78</v>
      </c>
      <c r="E47">
        <v>158</v>
      </c>
      <c r="F47">
        <v>158</v>
      </c>
      <c r="G47">
        <v>158</v>
      </c>
      <c r="H47">
        <v>158</v>
      </c>
      <c r="I47">
        <v>158</v>
      </c>
      <c r="J47">
        <v>158</v>
      </c>
      <c r="K47">
        <v>158</v>
      </c>
      <c r="L47">
        <v>158</v>
      </c>
      <c r="M47">
        <v>158</v>
      </c>
    </row>
    <row r="48" spans="4:13" x14ac:dyDescent="0.25">
      <c r="D48" t="s">
        <v>79</v>
      </c>
      <c r="E48" t="s">
        <v>22</v>
      </c>
      <c r="F48" t="s">
        <v>22</v>
      </c>
      <c r="G48" t="s">
        <v>22</v>
      </c>
      <c r="H48" t="s">
        <v>22</v>
      </c>
      <c r="I48" t="s">
        <v>22</v>
      </c>
      <c r="J48" t="s">
        <v>22</v>
      </c>
      <c r="K48" t="s">
        <v>22</v>
      </c>
      <c r="L48" t="s">
        <v>22</v>
      </c>
      <c r="M48" t="s">
        <v>22</v>
      </c>
    </row>
    <row r="49" spans="2:5" x14ac:dyDescent="0.25">
      <c r="D49" t="s">
        <v>80</v>
      </c>
    </row>
    <row r="50" spans="2:5" x14ac:dyDescent="0.25">
      <c r="D50" t="s">
        <v>81</v>
      </c>
    </row>
    <row r="51" spans="2:5" x14ac:dyDescent="0.25">
      <c r="D51" t="s">
        <v>82</v>
      </c>
      <c r="E51">
        <v>0</v>
      </c>
    </row>
    <row r="52" spans="2:5" x14ac:dyDescent="0.25">
      <c r="D52" t="s">
        <v>83</v>
      </c>
      <c r="E52" t="s">
        <v>84</v>
      </c>
    </row>
    <row r="53" spans="2:5" x14ac:dyDescent="0.25">
      <c r="D53" t="s">
        <v>72</v>
      </c>
    </row>
    <row r="58" spans="2:5" x14ac:dyDescent="0.25">
      <c r="B58" t="s">
        <v>101</v>
      </c>
    </row>
    <row r="59" spans="2:5" x14ac:dyDescent="0.25">
      <c r="B59" t="s">
        <v>217</v>
      </c>
    </row>
    <row r="60" spans="2:5" x14ac:dyDescent="0.25">
      <c r="B60" t="s">
        <v>102</v>
      </c>
    </row>
    <row r="61" spans="2:5" x14ac:dyDescent="0.25">
      <c r="B61" t="s">
        <v>103</v>
      </c>
    </row>
    <row r="62" spans="2:5" x14ac:dyDescent="0.25">
      <c r="B62" t="s">
        <v>104</v>
      </c>
    </row>
    <row r="64" spans="2:5" x14ac:dyDescent="0.25">
      <c r="C64" t="s">
        <v>24</v>
      </c>
    </row>
    <row r="66" spans="4:5" x14ac:dyDescent="0.25">
      <c r="D66" t="s">
        <v>56</v>
      </c>
      <c r="E66" t="s">
        <v>105</v>
      </c>
    </row>
    <row r="67" spans="4:5" x14ac:dyDescent="0.25">
      <c r="D67" t="s">
        <v>58</v>
      </c>
      <c r="E67" t="s">
        <v>106</v>
      </c>
    </row>
    <row r="68" spans="4:5" x14ac:dyDescent="0.25">
      <c r="D68" t="s">
        <v>107</v>
      </c>
      <c r="E68" t="s">
        <v>218</v>
      </c>
    </row>
    <row r="69" spans="4:5" x14ac:dyDescent="0.25">
      <c r="D69" t="s">
        <v>85</v>
      </c>
    </row>
    <row r="71" spans="4:5" x14ac:dyDescent="0.25">
      <c r="D71" t="s">
        <v>56</v>
      </c>
      <c r="E71" t="s">
        <v>105</v>
      </c>
    </row>
    <row r="72" spans="4:5" x14ac:dyDescent="0.25">
      <c r="D72" t="s">
        <v>58</v>
      </c>
      <c r="E72" t="s">
        <v>109</v>
      </c>
    </row>
    <row r="73" spans="4:5" x14ac:dyDescent="0.25">
      <c r="D73" t="s">
        <v>107</v>
      </c>
      <c r="E73" t="s">
        <v>218</v>
      </c>
    </row>
    <row r="74" spans="4:5" x14ac:dyDescent="0.25">
      <c r="D74" t="s">
        <v>86</v>
      </c>
    </row>
    <row r="76" spans="4:5" x14ac:dyDescent="0.25">
      <c r="D76" t="s">
        <v>56</v>
      </c>
      <c r="E76" t="s">
        <v>57</v>
      </c>
    </row>
    <row r="77" spans="4:5" x14ac:dyDescent="0.25">
      <c r="D77" t="s">
        <v>58</v>
      </c>
      <c r="E77" t="s">
        <v>111</v>
      </c>
    </row>
    <row r="78" spans="4:5" x14ac:dyDescent="0.25">
      <c r="D78" t="s">
        <v>60</v>
      </c>
      <c r="E78" t="s">
        <v>218</v>
      </c>
    </row>
    <row r="79" spans="4:5" x14ac:dyDescent="0.25">
      <c r="D79" t="s">
        <v>87</v>
      </c>
    </row>
    <row r="81" spans="4:5" x14ac:dyDescent="0.25">
      <c r="D81" t="s">
        <v>56</v>
      </c>
      <c r="E81" t="s">
        <v>57</v>
      </c>
    </row>
    <row r="82" spans="4:5" x14ac:dyDescent="0.25">
      <c r="D82" t="s">
        <v>58</v>
      </c>
      <c r="E82" t="s">
        <v>113</v>
      </c>
    </row>
    <row r="83" spans="4:5" x14ac:dyDescent="0.25">
      <c r="D83" t="s">
        <v>60</v>
      </c>
      <c r="E83" t="s">
        <v>218</v>
      </c>
    </row>
    <row r="84" spans="4:5" x14ac:dyDescent="0.25">
      <c r="D84" t="s">
        <v>88</v>
      </c>
    </row>
    <row r="86" spans="4:5" x14ac:dyDescent="0.25">
      <c r="D86" t="s">
        <v>56</v>
      </c>
      <c r="E86" t="s">
        <v>114</v>
      </c>
    </row>
    <row r="87" spans="4:5" x14ac:dyDescent="0.25">
      <c r="D87" t="s">
        <v>58</v>
      </c>
      <c r="E87" t="s">
        <v>59</v>
      </c>
    </row>
    <row r="88" spans="4:5" x14ac:dyDescent="0.25">
      <c r="D88" t="s">
        <v>60</v>
      </c>
      <c r="E88" t="s">
        <v>218</v>
      </c>
    </row>
    <row r="89" spans="4:5" x14ac:dyDescent="0.25">
      <c r="D89" t="s">
        <v>89</v>
      </c>
    </row>
    <row r="91" spans="4:5" x14ac:dyDescent="0.25">
      <c r="D91" t="s">
        <v>56</v>
      </c>
      <c r="E91" t="s">
        <v>114</v>
      </c>
    </row>
    <row r="92" spans="4:5" x14ac:dyDescent="0.25">
      <c r="D92" t="s">
        <v>58</v>
      </c>
      <c r="E92" t="s">
        <v>115</v>
      </c>
    </row>
    <row r="93" spans="4:5" x14ac:dyDescent="0.25">
      <c r="D93" t="s">
        <v>60</v>
      </c>
      <c r="E93" t="s">
        <v>218</v>
      </c>
    </row>
    <row r="94" spans="4:5" x14ac:dyDescent="0.25">
      <c r="D94" t="s">
        <v>90</v>
      </c>
    </row>
    <row r="96" spans="4:5" x14ac:dyDescent="0.25">
      <c r="D96" t="s">
        <v>56</v>
      </c>
      <c r="E96" t="s">
        <v>114</v>
      </c>
    </row>
    <row r="97" spans="4:5" x14ac:dyDescent="0.25">
      <c r="D97" t="s">
        <v>58</v>
      </c>
      <c r="E97" t="s">
        <v>116</v>
      </c>
    </row>
    <row r="98" spans="4:5" x14ac:dyDescent="0.25">
      <c r="D98" t="s">
        <v>60</v>
      </c>
      <c r="E98" t="s">
        <v>218</v>
      </c>
    </row>
    <row r="99" spans="4:5" x14ac:dyDescent="0.25">
      <c r="D99" t="s">
        <v>219</v>
      </c>
    </row>
    <row r="101" spans="4:5" x14ac:dyDescent="0.25">
      <c r="D101" t="s">
        <v>56</v>
      </c>
      <c r="E101" t="s">
        <v>57</v>
      </c>
    </row>
    <row r="102" spans="4:5" x14ac:dyDescent="0.25">
      <c r="D102" t="s">
        <v>58</v>
      </c>
      <c r="E102" t="s">
        <v>115</v>
      </c>
    </row>
    <row r="103" spans="4:5" x14ac:dyDescent="0.25">
      <c r="D103" t="s">
        <v>60</v>
      </c>
      <c r="E103" t="s">
        <v>218</v>
      </c>
    </row>
    <row r="104" spans="4:5" x14ac:dyDescent="0.25">
      <c r="D104" t="s">
        <v>220</v>
      </c>
    </row>
    <row r="106" spans="4:5" x14ac:dyDescent="0.25">
      <c r="D106" t="s">
        <v>56</v>
      </c>
      <c r="E106" t="s">
        <v>57</v>
      </c>
    </row>
    <row r="107" spans="4:5" x14ac:dyDescent="0.25">
      <c r="D107" t="s">
        <v>58</v>
      </c>
      <c r="E107" t="s">
        <v>116</v>
      </c>
    </row>
    <row r="108" spans="4:5" x14ac:dyDescent="0.25">
      <c r="D108" t="s">
        <v>60</v>
      </c>
      <c r="E108" t="s">
        <v>218</v>
      </c>
    </row>
    <row r="109" spans="4:5" x14ac:dyDescent="0.25">
      <c r="D109" t="s">
        <v>221</v>
      </c>
    </row>
    <row r="111" spans="4:5" x14ac:dyDescent="0.25">
      <c r="D111" t="s">
        <v>56</v>
      </c>
      <c r="E111" t="s">
        <v>117</v>
      </c>
    </row>
    <row r="112" spans="4:5" x14ac:dyDescent="0.25">
      <c r="D112" t="s">
        <v>58</v>
      </c>
      <c r="E112" t="s">
        <v>118</v>
      </c>
    </row>
    <row r="113" spans="4:5" x14ac:dyDescent="0.25">
      <c r="D113" t="s">
        <v>119</v>
      </c>
    </row>
    <row r="114" spans="4:5" x14ac:dyDescent="0.25">
      <c r="D114" t="s">
        <v>120</v>
      </c>
    </row>
    <row r="115" spans="4:5" x14ac:dyDescent="0.25">
      <c r="D115" t="s">
        <v>121</v>
      </c>
    </row>
    <row r="116" spans="4:5" x14ac:dyDescent="0.25">
      <c r="D116" t="s">
        <v>122</v>
      </c>
    </row>
    <row r="117" spans="4:5" x14ac:dyDescent="0.25">
      <c r="D117" t="s">
        <v>123</v>
      </c>
      <c r="E117" t="b">
        <v>0</v>
      </c>
    </row>
    <row r="118" spans="4:5" x14ac:dyDescent="0.25">
      <c r="D118" t="s">
        <v>124</v>
      </c>
      <c r="E118" t="s">
        <v>84</v>
      </c>
    </row>
    <row r="119" spans="4:5" x14ac:dyDescent="0.25">
      <c r="D119" t="s">
        <v>222</v>
      </c>
    </row>
    <row r="121" spans="4:5" x14ac:dyDescent="0.25">
      <c r="D121" t="s">
        <v>56</v>
      </c>
      <c r="E121" t="s">
        <v>117</v>
      </c>
    </row>
    <row r="122" spans="4:5" x14ac:dyDescent="0.25">
      <c r="D122" t="s">
        <v>58</v>
      </c>
      <c r="E122" t="s">
        <v>118</v>
      </c>
    </row>
    <row r="123" spans="4:5" x14ac:dyDescent="0.25">
      <c r="D123" t="s">
        <v>119</v>
      </c>
    </row>
    <row r="124" spans="4:5" x14ac:dyDescent="0.25">
      <c r="D124" t="s">
        <v>120</v>
      </c>
    </row>
    <row r="125" spans="4:5" x14ac:dyDescent="0.25">
      <c r="D125" t="s">
        <v>121</v>
      </c>
    </row>
    <row r="126" spans="4:5" x14ac:dyDescent="0.25">
      <c r="D126" t="s">
        <v>122</v>
      </c>
    </row>
    <row r="127" spans="4:5" x14ac:dyDescent="0.25">
      <c r="D127" t="s">
        <v>123</v>
      </c>
      <c r="E127" t="b">
        <v>1</v>
      </c>
    </row>
    <row r="128" spans="4:5" x14ac:dyDescent="0.25">
      <c r="D128" t="s">
        <v>124</v>
      </c>
      <c r="E128" t="s">
        <v>84</v>
      </c>
    </row>
    <row r="129" spans="4:5" x14ac:dyDescent="0.25">
      <c r="D129" t="s">
        <v>223</v>
      </c>
    </row>
    <row r="131" spans="4:5" x14ac:dyDescent="0.25">
      <c r="D131" t="s">
        <v>56</v>
      </c>
      <c r="E131" t="s">
        <v>57</v>
      </c>
    </row>
    <row r="132" spans="4:5" x14ac:dyDescent="0.25">
      <c r="D132" t="s">
        <v>58</v>
      </c>
      <c r="E132" t="s">
        <v>125</v>
      </c>
    </row>
    <row r="133" spans="4:5" x14ac:dyDescent="0.25">
      <c r="D133" t="s">
        <v>60</v>
      </c>
      <c r="E133" t="s">
        <v>9</v>
      </c>
    </row>
    <row r="134" spans="4:5" x14ac:dyDescent="0.25">
      <c r="D134" t="s">
        <v>61</v>
      </c>
      <c r="E134">
        <v>37</v>
      </c>
    </row>
    <row r="135" spans="4:5" x14ac:dyDescent="0.25">
      <c r="D135" t="s">
        <v>62</v>
      </c>
      <c r="E135">
        <v>0</v>
      </c>
    </row>
    <row r="136" spans="4:5" x14ac:dyDescent="0.25">
      <c r="D136" t="s">
        <v>224</v>
      </c>
    </row>
    <row r="138" spans="4:5" x14ac:dyDescent="0.25">
      <c r="D138" t="s">
        <v>56</v>
      </c>
      <c r="E138" t="s">
        <v>129</v>
      </c>
    </row>
    <row r="139" spans="4:5" x14ac:dyDescent="0.25">
      <c r="D139" t="s">
        <v>58</v>
      </c>
      <c r="E139" t="s">
        <v>130</v>
      </c>
    </row>
    <row r="140" spans="4:5" x14ac:dyDescent="0.25">
      <c r="D140" t="s">
        <v>131</v>
      </c>
      <c r="E140">
        <v>1800</v>
      </c>
    </row>
    <row r="141" spans="4:5" x14ac:dyDescent="0.25">
      <c r="D141" t="s">
        <v>225</v>
      </c>
    </row>
    <row r="143" spans="4:5" x14ac:dyDescent="0.25">
      <c r="D143" t="s">
        <v>56</v>
      </c>
      <c r="E143" t="s">
        <v>129</v>
      </c>
    </row>
    <row r="144" spans="4:5" x14ac:dyDescent="0.25">
      <c r="D144" t="s">
        <v>58</v>
      </c>
      <c r="E144" t="s">
        <v>132</v>
      </c>
    </row>
    <row r="145" spans="4:5" x14ac:dyDescent="0.25">
      <c r="D145" t="s">
        <v>226</v>
      </c>
    </row>
    <row r="147" spans="4:5" x14ac:dyDescent="0.25">
      <c r="D147" t="s">
        <v>56</v>
      </c>
      <c r="E147" t="s">
        <v>57</v>
      </c>
    </row>
    <row r="148" spans="4:5" x14ac:dyDescent="0.25">
      <c r="D148" t="s">
        <v>58</v>
      </c>
      <c r="E148" t="s">
        <v>133</v>
      </c>
    </row>
    <row r="149" spans="4:5" x14ac:dyDescent="0.25">
      <c r="D149" t="s">
        <v>60</v>
      </c>
      <c r="E149" t="s">
        <v>218</v>
      </c>
    </row>
    <row r="150" spans="4:5" x14ac:dyDescent="0.25">
      <c r="D150" t="s">
        <v>227</v>
      </c>
    </row>
    <row r="152" spans="4:5" x14ac:dyDescent="0.25">
      <c r="D152" t="s">
        <v>56</v>
      </c>
      <c r="E152" t="s">
        <v>114</v>
      </c>
    </row>
    <row r="153" spans="4:5" x14ac:dyDescent="0.25">
      <c r="D153" t="s">
        <v>58</v>
      </c>
      <c r="E153" t="s">
        <v>115</v>
      </c>
    </row>
    <row r="154" spans="4:5" x14ac:dyDescent="0.25">
      <c r="D154" t="s">
        <v>60</v>
      </c>
      <c r="E154" t="s">
        <v>218</v>
      </c>
    </row>
    <row r="155" spans="4:5" x14ac:dyDescent="0.25">
      <c r="D155" t="s">
        <v>228</v>
      </c>
    </row>
    <row r="157" spans="4:5" x14ac:dyDescent="0.25">
      <c r="D157" t="s">
        <v>56</v>
      </c>
      <c r="E157" t="s">
        <v>114</v>
      </c>
    </row>
    <row r="158" spans="4:5" x14ac:dyDescent="0.25">
      <c r="D158" t="s">
        <v>58</v>
      </c>
      <c r="E158" t="s">
        <v>116</v>
      </c>
    </row>
    <row r="159" spans="4:5" x14ac:dyDescent="0.25">
      <c r="D159" t="s">
        <v>60</v>
      </c>
      <c r="E159" t="s">
        <v>218</v>
      </c>
    </row>
    <row r="160" spans="4:5" x14ac:dyDescent="0.25">
      <c r="D160" t="s">
        <v>229</v>
      </c>
    </row>
    <row r="162" spans="4:5" x14ac:dyDescent="0.25">
      <c r="D162" t="s">
        <v>56</v>
      </c>
      <c r="E162" t="s">
        <v>57</v>
      </c>
    </row>
    <row r="163" spans="4:5" x14ac:dyDescent="0.25">
      <c r="D163" t="s">
        <v>58</v>
      </c>
      <c r="E163" t="s">
        <v>115</v>
      </c>
    </row>
    <row r="164" spans="4:5" x14ac:dyDescent="0.25">
      <c r="D164" t="s">
        <v>60</v>
      </c>
      <c r="E164" t="s">
        <v>218</v>
      </c>
    </row>
    <row r="165" spans="4:5" x14ac:dyDescent="0.25">
      <c r="D165" t="s">
        <v>230</v>
      </c>
    </row>
    <row r="167" spans="4:5" x14ac:dyDescent="0.25">
      <c r="D167" t="s">
        <v>56</v>
      </c>
      <c r="E167" t="s">
        <v>57</v>
      </c>
    </row>
    <row r="168" spans="4:5" x14ac:dyDescent="0.25">
      <c r="D168" t="s">
        <v>58</v>
      </c>
      <c r="E168" t="s">
        <v>116</v>
      </c>
    </row>
    <row r="169" spans="4:5" x14ac:dyDescent="0.25">
      <c r="D169" t="s">
        <v>60</v>
      </c>
      <c r="E169" t="s">
        <v>218</v>
      </c>
    </row>
    <row r="170" spans="4:5" x14ac:dyDescent="0.25">
      <c r="D170" t="s">
        <v>231</v>
      </c>
    </row>
    <row r="172" spans="4:5" x14ac:dyDescent="0.25">
      <c r="D172" t="s">
        <v>56</v>
      </c>
      <c r="E172" t="s">
        <v>105</v>
      </c>
    </row>
    <row r="173" spans="4:5" x14ac:dyDescent="0.25">
      <c r="D173" t="s">
        <v>58</v>
      </c>
      <c r="E173" t="s">
        <v>106</v>
      </c>
    </row>
    <row r="174" spans="4:5" x14ac:dyDescent="0.25">
      <c r="D174" t="s">
        <v>107</v>
      </c>
      <c r="E174" t="s">
        <v>218</v>
      </c>
    </row>
    <row r="175" spans="4:5" x14ac:dyDescent="0.25">
      <c r="D175" t="s">
        <v>232</v>
      </c>
    </row>
    <row r="177" spans="4:5" x14ac:dyDescent="0.25">
      <c r="D177" t="s">
        <v>56</v>
      </c>
      <c r="E177" t="s">
        <v>105</v>
      </c>
    </row>
    <row r="178" spans="4:5" x14ac:dyDescent="0.25">
      <c r="D178" t="s">
        <v>58</v>
      </c>
      <c r="E178" t="s">
        <v>109</v>
      </c>
    </row>
    <row r="179" spans="4:5" x14ac:dyDescent="0.25">
      <c r="D179" t="s">
        <v>107</v>
      </c>
      <c r="E179" t="s">
        <v>218</v>
      </c>
    </row>
    <row r="180" spans="4:5" x14ac:dyDescent="0.25">
      <c r="D180" t="s">
        <v>233</v>
      </c>
    </row>
    <row r="182" spans="4:5" x14ac:dyDescent="0.25">
      <c r="D182" t="s">
        <v>56</v>
      </c>
      <c r="E182" t="s">
        <v>57</v>
      </c>
    </row>
    <row r="183" spans="4:5" x14ac:dyDescent="0.25">
      <c r="D183" t="s">
        <v>58</v>
      </c>
      <c r="E183" t="s">
        <v>111</v>
      </c>
    </row>
    <row r="184" spans="4:5" x14ac:dyDescent="0.25">
      <c r="D184" t="s">
        <v>60</v>
      </c>
      <c r="E184" t="s">
        <v>218</v>
      </c>
    </row>
    <row r="185" spans="4:5" x14ac:dyDescent="0.25">
      <c r="D185" t="s">
        <v>234</v>
      </c>
    </row>
    <row r="187" spans="4:5" x14ac:dyDescent="0.25">
      <c r="D187" t="s">
        <v>56</v>
      </c>
      <c r="E187" t="s">
        <v>57</v>
      </c>
    </row>
    <row r="188" spans="4:5" x14ac:dyDescent="0.25">
      <c r="D188" t="s">
        <v>58</v>
      </c>
      <c r="E188" t="s">
        <v>113</v>
      </c>
    </row>
    <row r="189" spans="4:5" x14ac:dyDescent="0.25">
      <c r="D189" t="s">
        <v>60</v>
      </c>
      <c r="E189" t="s">
        <v>218</v>
      </c>
    </row>
    <row r="190" spans="4:5" x14ac:dyDescent="0.25">
      <c r="D190" t="s">
        <v>235</v>
      </c>
    </row>
    <row r="192" spans="4:5" x14ac:dyDescent="0.25">
      <c r="D192" t="s">
        <v>56</v>
      </c>
      <c r="E192" t="s">
        <v>117</v>
      </c>
    </row>
    <row r="193" spans="4:5" x14ac:dyDescent="0.25">
      <c r="D193" t="s">
        <v>58</v>
      </c>
      <c r="E193" t="s">
        <v>118</v>
      </c>
    </row>
    <row r="194" spans="4:5" x14ac:dyDescent="0.25">
      <c r="D194" t="s">
        <v>119</v>
      </c>
    </row>
    <row r="195" spans="4:5" x14ac:dyDescent="0.25">
      <c r="D195" t="s">
        <v>120</v>
      </c>
    </row>
    <row r="196" spans="4:5" x14ac:dyDescent="0.25">
      <c r="D196" t="s">
        <v>121</v>
      </c>
    </row>
    <row r="197" spans="4:5" x14ac:dyDescent="0.25">
      <c r="D197" t="s">
        <v>122</v>
      </c>
    </row>
    <row r="198" spans="4:5" x14ac:dyDescent="0.25">
      <c r="D198" t="s">
        <v>123</v>
      </c>
      <c r="E198" t="b">
        <v>0</v>
      </c>
    </row>
    <row r="199" spans="4:5" x14ac:dyDescent="0.25">
      <c r="D199" t="s">
        <v>124</v>
      </c>
      <c r="E199" t="s">
        <v>134</v>
      </c>
    </row>
    <row r="200" spans="4:5" x14ac:dyDescent="0.25">
      <c r="D200" t="s">
        <v>236</v>
      </c>
    </row>
    <row r="202" spans="4:5" x14ac:dyDescent="0.25">
      <c r="D202" t="s">
        <v>56</v>
      </c>
      <c r="E202" t="s">
        <v>117</v>
      </c>
    </row>
    <row r="203" spans="4:5" x14ac:dyDescent="0.25">
      <c r="D203" t="s">
        <v>58</v>
      </c>
      <c r="E203" t="s">
        <v>118</v>
      </c>
    </row>
    <row r="204" spans="4:5" x14ac:dyDescent="0.25">
      <c r="D204" t="s">
        <v>119</v>
      </c>
    </row>
    <row r="205" spans="4:5" x14ac:dyDescent="0.25">
      <c r="D205" t="s">
        <v>120</v>
      </c>
    </row>
    <row r="206" spans="4:5" x14ac:dyDescent="0.25">
      <c r="D206" t="s">
        <v>121</v>
      </c>
    </row>
    <row r="207" spans="4:5" x14ac:dyDescent="0.25">
      <c r="D207" t="s">
        <v>122</v>
      </c>
    </row>
    <row r="208" spans="4:5" x14ac:dyDescent="0.25">
      <c r="D208" t="s">
        <v>123</v>
      </c>
      <c r="E208" t="b">
        <v>1</v>
      </c>
    </row>
    <row r="209" spans="4:5" x14ac:dyDescent="0.25">
      <c r="D209" t="s">
        <v>124</v>
      </c>
      <c r="E209" t="s">
        <v>134</v>
      </c>
    </row>
    <row r="210" spans="4:5" x14ac:dyDescent="0.25">
      <c r="D210" t="s">
        <v>237</v>
      </c>
    </row>
    <row r="212" spans="4:5" x14ac:dyDescent="0.25">
      <c r="D212" t="s">
        <v>56</v>
      </c>
      <c r="E212" t="s">
        <v>57</v>
      </c>
    </row>
    <row r="213" spans="4:5" x14ac:dyDescent="0.25">
      <c r="D213" t="s">
        <v>58</v>
      </c>
      <c r="E213" t="s">
        <v>135</v>
      </c>
    </row>
    <row r="214" spans="4:5" x14ac:dyDescent="0.25">
      <c r="D214" t="s">
        <v>60</v>
      </c>
      <c r="E214" t="s">
        <v>218</v>
      </c>
    </row>
    <row r="216" spans="4:5" x14ac:dyDescent="0.25">
      <c r="D216" t="s">
        <v>56</v>
      </c>
      <c r="E216" t="s">
        <v>114</v>
      </c>
    </row>
    <row r="217" spans="4:5" x14ac:dyDescent="0.25">
      <c r="D217" t="s">
        <v>58</v>
      </c>
      <c r="E217" t="s">
        <v>135</v>
      </c>
    </row>
    <row r="218" spans="4:5" x14ac:dyDescent="0.25">
      <c r="D218" t="s">
        <v>60</v>
      </c>
      <c r="E218" t="s">
        <v>218</v>
      </c>
    </row>
    <row r="219" spans="4:5" x14ac:dyDescent="0.25">
      <c r="D219" t="s">
        <v>238</v>
      </c>
    </row>
    <row r="221" spans="4:5" x14ac:dyDescent="0.25">
      <c r="D221" t="s">
        <v>56</v>
      </c>
      <c r="E221" t="s">
        <v>57</v>
      </c>
    </row>
    <row r="222" spans="4:5" x14ac:dyDescent="0.25">
      <c r="D222" t="s">
        <v>58</v>
      </c>
      <c r="E222" t="s">
        <v>59</v>
      </c>
    </row>
    <row r="223" spans="4:5" x14ac:dyDescent="0.25">
      <c r="D223" t="s">
        <v>60</v>
      </c>
      <c r="E223" t="s">
        <v>9</v>
      </c>
    </row>
    <row r="224" spans="4:5" x14ac:dyDescent="0.25">
      <c r="D224" t="s">
        <v>61</v>
      </c>
      <c r="E224">
        <v>37</v>
      </c>
    </row>
    <row r="225" spans="2:5" x14ac:dyDescent="0.25">
      <c r="D225" t="s">
        <v>62</v>
      </c>
      <c r="E225">
        <v>0</v>
      </c>
    </row>
    <row r="230" spans="2:5" x14ac:dyDescent="0.25">
      <c r="B230" t="s">
        <v>91</v>
      </c>
    </row>
    <row r="231" spans="2:5" x14ac:dyDescent="0.25">
      <c r="B231" t="s">
        <v>239</v>
      </c>
    </row>
    <row r="232" spans="2:5" x14ac:dyDescent="0.25">
      <c r="B232" t="s">
        <v>240</v>
      </c>
    </row>
    <row r="233" spans="2:5" x14ac:dyDescent="0.25">
      <c r="B233" t="s">
        <v>215</v>
      </c>
    </row>
    <row r="234" spans="2:5" x14ac:dyDescent="0.25">
      <c r="B234" t="s">
        <v>93</v>
      </c>
    </row>
    <row r="235" spans="2:5" x14ac:dyDescent="0.25">
      <c r="B235" t="s">
        <v>241</v>
      </c>
    </row>
    <row r="236" spans="2:5" x14ac:dyDescent="0.25">
      <c r="B236" t="s">
        <v>94</v>
      </c>
    </row>
    <row r="238" spans="2:5" x14ac:dyDescent="0.25">
      <c r="C238" t="s">
        <v>24</v>
      </c>
    </row>
    <row r="240" spans="2:5" x14ac:dyDescent="0.25">
      <c r="D240" t="s">
        <v>56</v>
      </c>
      <c r="E240" t="s">
        <v>64</v>
      </c>
    </row>
    <row r="241" spans="4:13" x14ac:dyDescent="0.25">
      <c r="D241" t="s">
        <v>58</v>
      </c>
      <c r="E241" t="s">
        <v>65</v>
      </c>
    </row>
    <row r="242" spans="4:13" x14ac:dyDescent="0.25">
      <c r="D242" t="s">
        <v>66</v>
      </c>
      <c r="E242">
        <v>39.765000000000001</v>
      </c>
      <c r="F242">
        <v>39.765000000000001</v>
      </c>
      <c r="G242">
        <v>39.765000000000001</v>
      </c>
      <c r="H242">
        <v>39.765000000000001</v>
      </c>
      <c r="I242">
        <v>39.765000000000001</v>
      </c>
      <c r="J242">
        <v>39.765000000000001</v>
      </c>
      <c r="K242">
        <v>39.765000000000001</v>
      </c>
      <c r="L242">
        <v>39.765000000000001</v>
      </c>
      <c r="M242">
        <v>39.765000000000001</v>
      </c>
    </row>
    <row r="243" spans="4:13" x14ac:dyDescent="0.25">
      <c r="D243" t="s">
        <v>67</v>
      </c>
      <c r="E243" t="s">
        <v>192</v>
      </c>
      <c r="F243" t="s">
        <v>192</v>
      </c>
      <c r="G243" t="s">
        <v>192</v>
      </c>
      <c r="H243" t="s">
        <v>192</v>
      </c>
      <c r="I243" t="s">
        <v>192</v>
      </c>
      <c r="J243" t="s">
        <v>192</v>
      </c>
      <c r="K243" t="s">
        <v>192</v>
      </c>
      <c r="L243" t="s">
        <v>192</v>
      </c>
      <c r="M243" t="s">
        <v>68</v>
      </c>
    </row>
    <row r="244" spans="4:13" x14ac:dyDescent="0.25">
      <c r="D244" t="s">
        <v>95</v>
      </c>
    </row>
    <row r="246" spans="4:13" x14ac:dyDescent="0.25">
      <c r="D246" t="s">
        <v>56</v>
      </c>
      <c r="E246" t="s">
        <v>64</v>
      </c>
    </row>
    <row r="247" spans="4:13" x14ac:dyDescent="0.25">
      <c r="D247" t="s">
        <v>58</v>
      </c>
      <c r="E247" t="s">
        <v>70</v>
      </c>
    </row>
    <row r="248" spans="4:13" x14ac:dyDescent="0.25">
      <c r="D248" t="s">
        <v>66</v>
      </c>
      <c r="E248">
        <v>39.765000000000001</v>
      </c>
      <c r="F248">
        <v>39.765000000000001</v>
      </c>
      <c r="G248">
        <v>39.765000000000001</v>
      </c>
      <c r="H248">
        <v>39.765000000000001</v>
      </c>
      <c r="I248">
        <v>39.765000000000001</v>
      </c>
      <c r="J248">
        <v>39.765000000000001</v>
      </c>
      <c r="K248">
        <v>39.765000000000001</v>
      </c>
      <c r="L248">
        <v>39.765000000000001</v>
      </c>
      <c r="M248">
        <v>39.76</v>
      </c>
    </row>
    <row r="249" spans="4:13" x14ac:dyDescent="0.25">
      <c r="D249" t="s">
        <v>96</v>
      </c>
    </row>
    <row r="251" spans="4:13" x14ac:dyDescent="0.25">
      <c r="D251" t="s">
        <v>56</v>
      </c>
      <c r="E251" t="s">
        <v>64</v>
      </c>
    </row>
    <row r="252" spans="4:13" x14ac:dyDescent="0.25">
      <c r="D252" t="s">
        <v>58</v>
      </c>
      <c r="E252" t="s">
        <v>73</v>
      </c>
    </row>
    <row r="253" spans="4:13" x14ac:dyDescent="0.25">
      <c r="D253" t="s">
        <v>74</v>
      </c>
      <c r="E253" t="s">
        <v>9</v>
      </c>
      <c r="F253" t="s">
        <v>9</v>
      </c>
      <c r="G253" t="s">
        <v>9</v>
      </c>
      <c r="H253" t="s">
        <v>9</v>
      </c>
      <c r="I253" t="s">
        <v>9</v>
      </c>
      <c r="J253" t="s">
        <v>9</v>
      </c>
      <c r="K253" t="s">
        <v>9</v>
      </c>
      <c r="L253" t="s">
        <v>9</v>
      </c>
      <c r="M253" t="s">
        <v>9</v>
      </c>
    </row>
    <row r="254" spans="4:13" x14ac:dyDescent="0.25">
      <c r="D254" t="s">
        <v>75</v>
      </c>
      <c r="E254">
        <v>1</v>
      </c>
      <c r="F254">
        <v>2</v>
      </c>
      <c r="G254">
        <v>3</v>
      </c>
      <c r="H254">
        <v>4</v>
      </c>
      <c r="I254">
        <v>5</v>
      </c>
      <c r="J254">
        <v>6</v>
      </c>
      <c r="K254">
        <v>7</v>
      </c>
      <c r="L254">
        <v>8</v>
      </c>
      <c r="M254">
        <v>9</v>
      </c>
    </row>
    <row r="255" spans="4:13" x14ac:dyDescent="0.25">
      <c r="D255" t="s">
        <v>76</v>
      </c>
      <c r="E255" t="s">
        <v>198</v>
      </c>
      <c r="F255" t="s">
        <v>198</v>
      </c>
      <c r="G255" t="s">
        <v>198</v>
      </c>
      <c r="H255" t="s">
        <v>198</v>
      </c>
      <c r="I255" t="s">
        <v>198</v>
      </c>
      <c r="J255" t="s">
        <v>198</v>
      </c>
      <c r="K255" t="s">
        <v>198</v>
      </c>
      <c r="L255" t="s">
        <v>198</v>
      </c>
      <c r="M255" t="s">
        <v>198</v>
      </c>
    </row>
    <row r="256" spans="4:13" x14ac:dyDescent="0.25">
      <c r="D256" t="s">
        <v>77</v>
      </c>
      <c r="E256">
        <v>1</v>
      </c>
      <c r="F256">
        <v>2</v>
      </c>
      <c r="G256">
        <v>3</v>
      </c>
      <c r="H256">
        <v>4</v>
      </c>
      <c r="I256">
        <v>5</v>
      </c>
      <c r="J256">
        <v>6</v>
      </c>
      <c r="K256">
        <v>7</v>
      </c>
      <c r="L256">
        <v>8</v>
      </c>
      <c r="M256">
        <v>9</v>
      </c>
    </row>
    <row r="257" spans="2:13" x14ac:dyDescent="0.25">
      <c r="D257" t="s">
        <v>66</v>
      </c>
      <c r="E257">
        <v>39.765000000000001</v>
      </c>
      <c r="F257">
        <v>39.765000000000001</v>
      </c>
      <c r="G257">
        <v>39.765000000000001</v>
      </c>
      <c r="H257">
        <v>39.765000000000001</v>
      </c>
      <c r="I257">
        <v>39.765000000000001</v>
      </c>
      <c r="J257">
        <v>39.765000000000001</v>
      </c>
      <c r="K257">
        <v>39.765000000000001</v>
      </c>
      <c r="L257">
        <v>39.765000000000001</v>
      </c>
      <c r="M257">
        <v>39.765000000000001</v>
      </c>
    </row>
    <row r="258" spans="2:13" x14ac:dyDescent="0.25">
      <c r="D258" t="s">
        <v>78</v>
      </c>
      <c r="E258">
        <v>161.08000000000001</v>
      </c>
      <c r="F258">
        <v>161.08000000000001</v>
      </c>
      <c r="G258">
        <v>161.08000000000001</v>
      </c>
      <c r="H258">
        <v>161.08000000000001</v>
      </c>
      <c r="I258">
        <v>161.08000000000001</v>
      </c>
      <c r="J258">
        <v>161.08000000000001</v>
      </c>
      <c r="K258">
        <v>161.08000000000001</v>
      </c>
      <c r="L258">
        <v>161.08000000000001</v>
      </c>
      <c r="M258">
        <v>161.08000000000001</v>
      </c>
    </row>
    <row r="259" spans="2:13" x14ac:dyDescent="0.25">
      <c r="D259" t="s">
        <v>79</v>
      </c>
      <c r="E259" t="s">
        <v>22</v>
      </c>
      <c r="F259" t="s">
        <v>22</v>
      </c>
      <c r="G259" t="s">
        <v>22</v>
      </c>
      <c r="H259" t="s">
        <v>22</v>
      </c>
      <c r="I259" t="s">
        <v>22</v>
      </c>
      <c r="J259" t="s">
        <v>22</v>
      </c>
      <c r="K259" t="s">
        <v>22</v>
      </c>
      <c r="L259" t="s">
        <v>22</v>
      </c>
      <c r="M259" t="s">
        <v>22</v>
      </c>
    </row>
    <row r="260" spans="2:13" x14ac:dyDescent="0.25">
      <c r="D260" t="s">
        <v>80</v>
      </c>
    </row>
    <row r="261" spans="2:13" x14ac:dyDescent="0.25">
      <c r="D261" t="s">
        <v>81</v>
      </c>
    </row>
    <row r="262" spans="2:13" x14ac:dyDescent="0.25">
      <c r="D262" t="s">
        <v>82</v>
      </c>
      <c r="E262">
        <v>0</v>
      </c>
    </row>
    <row r="263" spans="2:13" x14ac:dyDescent="0.25">
      <c r="D263" t="s">
        <v>83</v>
      </c>
      <c r="E263" t="s">
        <v>84</v>
      </c>
    </row>
    <row r="264" spans="2:13" x14ac:dyDescent="0.25">
      <c r="D264" t="s">
        <v>97</v>
      </c>
    </row>
    <row r="269" spans="2:13" x14ac:dyDescent="0.25">
      <c r="B269" t="s">
        <v>101</v>
      </c>
    </row>
    <row r="270" spans="2:13" x14ac:dyDescent="0.25">
      <c r="B270" t="s">
        <v>242</v>
      </c>
    </row>
    <row r="271" spans="2:13" x14ac:dyDescent="0.25">
      <c r="B271" t="s">
        <v>139</v>
      </c>
    </row>
    <row r="272" spans="2:13" x14ac:dyDescent="0.25">
      <c r="B272" t="s">
        <v>103</v>
      </c>
    </row>
    <row r="273" spans="2:5" x14ac:dyDescent="0.25">
      <c r="B273" t="s">
        <v>104</v>
      </c>
    </row>
    <row r="275" spans="2:5" x14ac:dyDescent="0.25">
      <c r="C275" t="s">
        <v>24</v>
      </c>
    </row>
    <row r="277" spans="2:5" x14ac:dyDescent="0.25">
      <c r="D277" t="s">
        <v>56</v>
      </c>
      <c r="E277" t="s">
        <v>105</v>
      </c>
    </row>
    <row r="278" spans="2:5" x14ac:dyDescent="0.25">
      <c r="D278" t="s">
        <v>58</v>
      </c>
      <c r="E278" t="s">
        <v>140</v>
      </c>
    </row>
    <row r="279" spans="2:5" x14ac:dyDescent="0.25">
      <c r="D279" t="s">
        <v>107</v>
      </c>
      <c r="E279" t="s">
        <v>218</v>
      </c>
    </row>
    <row r="280" spans="2:5" x14ac:dyDescent="0.25">
      <c r="D280" t="s">
        <v>98</v>
      </c>
    </row>
    <row r="282" spans="2:5" x14ac:dyDescent="0.25">
      <c r="D282" t="s">
        <v>56</v>
      </c>
      <c r="E282" t="s">
        <v>114</v>
      </c>
    </row>
    <row r="283" spans="2:5" x14ac:dyDescent="0.25">
      <c r="D283" t="s">
        <v>58</v>
      </c>
      <c r="E283" t="s">
        <v>59</v>
      </c>
    </row>
    <row r="284" spans="2:5" x14ac:dyDescent="0.25">
      <c r="D284" t="s">
        <v>60</v>
      </c>
      <c r="E284" t="s">
        <v>218</v>
      </c>
    </row>
    <row r="285" spans="2:5" x14ac:dyDescent="0.25">
      <c r="D285" t="s">
        <v>99</v>
      </c>
    </row>
    <row r="287" spans="2:5" x14ac:dyDescent="0.25">
      <c r="D287" t="s">
        <v>56</v>
      </c>
      <c r="E287" t="s">
        <v>114</v>
      </c>
    </row>
    <row r="288" spans="2:5" x14ac:dyDescent="0.25">
      <c r="D288" t="s">
        <v>58</v>
      </c>
      <c r="E288" t="s">
        <v>115</v>
      </c>
    </row>
    <row r="289" spans="4:5" x14ac:dyDescent="0.25">
      <c r="D289" t="s">
        <v>60</v>
      </c>
      <c r="E289" t="s">
        <v>218</v>
      </c>
    </row>
    <row r="290" spans="4:5" x14ac:dyDescent="0.25">
      <c r="D290" t="s">
        <v>100</v>
      </c>
    </row>
    <row r="292" spans="4:5" x14ac:dyDescent="0.25">
      <c r="D292" t="s">
        <v>56</v>
      </c>
      <c r="E292" t="s">
        <v>114</v>
      </c>
    </row>
    <row r="293" spans="4:5" x14ac:dyDescent="0.25">
      <c r="D293" t="s">
        <v>58</v>
      </c>
      <c r="E293" t="s">
        <v>116</v>
      </c>
    </row>
    <row r="294" spans="4:5" x14ac:dyDescent="0.25">
      <c r="D294" t="s">
        <v>60</v>
      </c>
      <c r="E294" t="s">
        <v>218</v>
      </c>
    </row>
    <row r="295" spans="4:5" x14ac:dyDescent="0.25">
      <c r="D295" t="s">
        <v>243</v>
      </c>
    </row>
    <row r="297" spans="4:5" x14ac:dyDescent="0.25">
      <c r="D297" t="s">
        <v>56</v>
      </c>
      <c r="E297" t="s">
        <v>117</v>
      </c>
    </row>
    <row r="298" spans="4:5" x14ac:dyDescent="0.25">
      <c r="D298" t="s">
        <v>58</v>
      </c>
      <c r="E298" t="s">
        <v>118</v>
      </c>
    </row>
    <row r="299" spans="4:5" x14ac:dyDescent="0.25">
      <c r="D299" t="s">
        <v>119</v>
      </c>
    </row>
    <row r="300" spans="4:5" x14ac:dyDescent="0.25">
      <c r="D300" t="s">
        <v>120</v>
      </c>
    </row>
    <row r="301" spans="4:5" x14ac:dyDescent="0.25">
      <c r="D301" t="s">
        <v>121</v>
      </c>
    </row>
    <row r="302" spans="4:5" x14ac:dyDescent="0.25">
      <c r="D302" t="s">
        <v>122</v>
      </c>
    </row>
    <row r="303" spans="4:5" x14ac:dyDescent="0.25">
      <c r="D303" t="s">
        <v>123</v>
      </c>
      <c r="E303" t="b">
        <v>1</v>
      </c>
    </row>
    <row r="304" spans="4:5" x14ac:dyDescent="0.25">
      <c r="D304" t="s">
        <v>124</v>
      </c>
      <c r="E304" t="s">
        <v>134</v>
      </c>
    </row>
    <row r="305" spans="4:5" x14ac:dyDescent="0.25">
      <c r="D305" t="s">
        <v>244</v>
      </c>
    </row>
    <row r="307" spans="4:5" x14ac:dyDescent="0.25">
      <c r="D307" t="s">
        <v>56</v>
      </c>
      <c r="E307" t="s">
        <v>129</v>
      </c>
    </row>
    <row r="308" spans="4:5" x14ac:dyDescent="0.25">
      <c r="D308" t="s">
        <v>58</v>
      </c>
      <c r="E308" t="s">
        <v>130</v>
      </c>
    </row>
    <row r="309" spans="4:5" x14ac:dyDescent="0.25">
      <c r="D309" t="s">
        <v>131</v>
      </c>
      <c r="E309">
        <v>1800</v>
      </c>
    </row>
    <row r="310" spans="4:5" x14ac:dyDescent="0.25">
      <c r="D310" t="s">
        <v>245</v>
      </c>
    </row>
    <row r="312" spans="4:5" x14ac:dyDescent="0.25">
      <c r="D312" t="s">
        <v>56</v>
      </c>
      <c r="E312" t="s">
        <v>129</v>
      </c>
    </row>
    <row r="313" spans="4:5" x14ac:dyDescent="0.25">
      <c r="D313" t="s">
        <v>58</v>
      </c>
      <c r="E313" t="s">
        <v>132</v>
      </c>
    </row>
    <row r="314" spans="4:5" x14ac:dyDescent="0.25">
      <c r="D314" t="s">
        <v>246</v>
      </c>
    </row>
    <row r="316" spans="4:5" x14ac:dyDescent="0.25">
      <c r="D316" t="s">
        <v>56</v>
      </c>
      <c r="E316" t="s">
        <v>114</v>
      </c>
    </row>
    <row r="317" spans="4:5" x14ac:dyDescent="0.25">
      <c r="D317" t="s">
        <v>58</v>
      </c>
      <c r="E317" t="s">
        <v>115</v>
      </c>
    </row>
    <row r="318" spans="4:5" x14ac:dyDescent="0.25">
      <c r="D318" t="s">
        <v>60</v>
      </c>
      <c r="E318" t="s">
        <v>218</v>
      </c>
    </row>
    <row r="319" spans="4:5" x14ac:dyDescent="0.25">
      <c r="D319" t="s">
        <v>247</v>
      </c>
    </row>
    <row r="321" spans="4:5" x14ac:dyDescent="0.25">
      <c r="D321" t="s">
        <v>56</v>
      </c>
      <c r="E321" t="s">
        <v>114</v>
      </c>
    </row>
    <row r="322" spans="4:5" x14ac:dyDescent="0.25">
      <c r="D322" t="s">
        <v>58</v>
      </c>
      <c r="E322" t="s">
        <v>116</v>
      </c>
    </row>
    <row r="323" spans="4:5" x14ac:dyDescent="0.25">
      <c r="D323" t="s">
        <v>60</v>
      </c>
      <c r="E323" t="s">
        <v>218</v>
      </c>
    </row>
    <row r="324" spans="4:5" x14ac:dyDescent="0.25">
      <c r="D324" t="s">
        <v>248</v>
      </c>
    </row>
    <row r="326" spans="4:5" x14ac:dyDescent="0.25">
      <c r="D326" t="s">
        <v>56</v>
      </c>
      <c r="E326" t="s">
        <v>105</v>
      </c>
    </row>
    <row r="327" spans="4:5" x14ac:dyDescent="0.25">
      <c r="D327" t="s">
        <v>58</v>
      </c>
      <c r="E327" t="s">
        <v>140</v>
      </c>
    </row>
    <row r="328" spans="4:5" x14ac:dyDescent="0.25">
      <c r="D328" t="s">
        <v>107</v>
      </c>
      <c r="E328" t="s">
        <v>218</v>
      </c>
    </row>
    <row r="329" spans="4:5" x14ac:dyDescent="0.25">
      <c r="D329" t="s">
        <v>249</v>
      </c>
    </row>
    <row r="331" spans="4:5" x14ac:dyDescent="0.25">
      <c r="D331" t="s">
        <v>56</v>
      </c>
      <c r="E331" t="s">
        <v>117</v>
      </c>
    </row>
    <row r="332" spans="4:5" x14ac:dyDescent="0.25">
      <c r="D332" t="s">
        <v>58</v>
      </c>
      <c r="E332" t="s">
        <v>118</v>
      </c>
    </row>
    <row r="333" spans="4:5" x14ac:dyDescent="0.25">
      <c r="D333" t="s">
        <v>119</v>
      </c>
    </row>
    <row r="334" spans="4:5" x14ac:dyDescent="0.25">
      <c r="D334" t="s">
        <v>120</v>
      </c>
    </row>
    <row r="335" spans="4:5" x14ac:dyDescent="0.25">
      <c r="D335" t="s">
        <v>121</v>
      </c>
    </row>
    <row r="336" spans="4:5" x14ac:dyDescent="0.25">
      <c r="D336" t="s">
        <v>122</v>
      </c>
    </row>
    <row r="337" spans="2:5" x14ac:dyDescent="0.25">
      <c r="D337" t="s">
        <v>123</v>
      </c>
      <c r="E337" t="b">
        <v>1</v>
      </c>
    </row>
    <row r="338" spans="2:5" x14ac:dyDescent="0.25">
      <c r="D338" t="s">
        <v>124</v>
      </c>
      <c r="E338" t="s">
        <v>134</v>
      </c>
    </row>
    <row r="339" spans="2:5" x14ac:dyDescent="0.25">
      <c r="D339" t="s">
        <v>250</v>
      </c>
    </row>
    <row r="341" spans="2:5" x14ac:dyDescent="0.25">
      <c r="D341" t="s">
        <v>56</v>
      </c>
      <c r="E341" t="s">
        <v>114</v>
      </c>
    </row>
    <row r="342" spans="2:5" x14ac:dyDescent="0.25">
      <c r="D342" t="s">
        <v>58</v>
      </c>
      <c r="E342" t="s">
        <v>135</v>
      </c>
    </row>
    <row r="343" spans="2:5" x14ac:dyDescent="0.25">
      <c r="D343" t="s">
        <v>60</v>
      </c>
      <c r="E343" t="s">
        <v>218</v>
      </c>
    </row>
    <row r="344" spans="2:5" x14ac:dyDescent="0.25">
      <c r="D344" t="s">
        <v>251</v>
      </c>
    </row>
    <row r="349" spans="2:5" x14ac:dyDescent="0.25">
      <c r="B349" t="s">
        <v>91</v>
      </c>
    </row>
    <row r="350" spans="2:5" x14ac:dyDescent="0.25">
      <c r="B350" t="s">
        <v>252</v>
      </c>
    </row>
    <row r="351" spans="2:5" x14ac:dyDescent="0.25">
      <c r="B351" t="s">
        <v>253</v>
      </c>
    </row>
    <row r="352" spans="2:5" x14ac:dyDescent="0.25">
      <c r="B352" t="s">
        <v>215</v>
      </c>
    </row>
    <row r="353" spans="2:13" x14ac:dyDescent="0.25">
      <c r="B353" t="s">
        <v>93</v>
      </c>
    </row>
    <row r="354" spans="2:13" x14ac:dyDescent="0.25">
      <c r="B354" t="s">
        <v>254</v>
      </c>
    </row>
    <row r="355" spans="2:13" x14ac:dyDescent="0.25">
      <c r="B355" t="s">
        <v>94</v>
      </c>
    </row>
    <row r="357" spans="2:13" x14ac:dyDescent="0.25">
      <c r="C357" t="s">
        <v>24</v>
      </c>
    </row>
    <row r="359" spans="2:13" x14ac:dyDescent="0.25">
      <c r="D359" t="s">
        <v>56</v>
      </c>
      <c r="E359" t="s">
        <v>64</v>
      </c>
    </row>
    <row r="360" spans="2:13" x14ac:dyDescent="0.25">
      <c r="D360" t="s">
        <v>58</v>
      </c>
      <c r="E360" t="s">
        <v>65</v>
      </c>
    </row>
    <row r="361" spans="2:13" x14ac:dyDescent="0.25">
      <c r="D361" t="s">
        <v>66</v>
      </c>
      <c r="E361">
        <v>601</v>
      </c>
      <c r="F361">
        <v>601</v>
      </c>
      <c r="G361">
        <v>601</v>
      </c>
      <c r="H361">
        <v>601</v>
      </c>
      <c r="I361">
        <v>601</v>
      </c>
      <c r="J361">
        <v>601</v>
      </c>
      <c r="K361">
        <v>601</v>
      </c>
      <c r="L361">
        <v>601</v>
      </c>
      <c r="M361">
        <v>601</v>
      </c>
    </row>
    <row r="362" spans="2:13" x14ac:dyDescent="0.25">
      <c r="D362" t="s">
        <v>67</v>
      </c>
      <c r="E362" t="s">
        <v>192</v>
      </c>
      <c r="F362" t="s">
        <v>192</v>
      </c>
      <c r="G362" t="s">
        <v>192</v>
      </c>
      <c r="H362" t="s">
        <v>192</v>
      </c>
      <c r="I362" t="s">
        <v>192</v>
      </c>
      <c r="J362" t="s">
        <v>192</v>
      </c>
      <c r="K362" t="s">
        <v>192</v>
      </c>
      <c r="L362" t="s">
        <v>192</v>
      </c>
      <c r="M362" t="s">
        <v>68</v>
      </c>
    </row>
    <row r="363" spans="2:13" x14ac:dyDescent="0.25">
      <c r="D363" t="s">
        <v>108</v>
      </c>
    </row>
    <row r="365" spans="2:13" x14ac:dyDescent="0.25">
      <c r="D365" t="s">
        <v>56</v>
      </c>
      <c r="E365" t="s">
        <v>64</v>
      </c>
    </row>
    <row r="366" spans="2:13" x14ac:dyDescent="0.25">
      <c r="D366" t="s">
        <v>58</v>
      </c>
      <c r="E366" t="s">
        <v>70</v>
      </c>
    </row>
    <row r="367" spans="2:13" x14ac:dyDescent="0.25">
      <c r="D367" t="s">
        <v>66</v>
      </c>
      <c r="E367">
        <v>601</v>
      </c>
      <c r="F367">
        <v>601</v>
      </c>
      <c r="G367">
        <v>601</v>
      </c>
      <c r="H367">
        <v>601</v>
      </c>
      <c r="I367">
        <v>601</v>
      </c>
      <c r="J367">
        <v>601</v>
      </c>
      <c r="K367">
        <v>601</v>
      </c>
      <c r="L367">
        <v>601</v>
      </c>
      <c r="M367">
        <v>601</v>
      </c>
    </row>
    <row r="368" spans="2:13" x14ac:dyDescent="0.25">
      <c r="D368" t="s">
        <v>110</v>
      </c>
    </row>
    <row r="370" spans="4:13" x14ac:dyDescent="0.25">
      <c r="D370" t="s">
        <v>56</v>
      </c>
      <c r="E370" t="s">
        <v>64</v>
      </c>
    </row>
    <row r="371" spans="4:13" x14ac:dyDescent="0.25">
      <c r="D371" t="s">
        <v>58</v>
      </c>
      <c r="E371" t="s">
        <v>73</v>
      </c>
    </row>
    <row r="372" spans="4:13" x14ac:dyDescent="0.25">
      <c r="D372" t="s">
        <v>74</v>
      </c>
      <c r="E372" t="s">
        <v>9</v>
      </c>
      <c r="F372" t="s">
        <v>9</v>
      </c>
      <c r="G372" t="s">
        <v>9</v>
      </c>
      <c r="H372" t="s">
        <v>9</v>
      </c>
      <c r="I372" t="s">
        <v>9</v>
      </c>
      <c r="J372" t="s">
        <v>9</v>
      </c>
      <c r="K372" t="s">
        <v>9</v>
      </c>
      <c r="L372" t="s">
        <v>9</v>
      </c>
      <c r="M372" t="s">
        <v>9</v>
      </c>
    </row>
    <row r="373" spans="4:13" x14ac:dyDescent="0.25">
      <c r="D373" t="s">
        <v>75</v>
      </c>
      <c r="E373">
        <v>1</v>
      </c>
      <c r="F373">
        <v>2</v>
      </c>
      <c r="G373">
        <v>3</v>
      </c>
      <c r="H373">
        <v>4</v>
      </c>
      <c r="I373">
        <v>5</v>
      </c>
      <c r="J373">
        <v>6</v>
      </c>
      <c r="K373">
        <v>7</v>
      </c>
      <c r="L373">
        <v>8</v>
      </c>
      <c r="M373">
        <v>9</v>
      </c>
    </row>
    <row r="374" spans="4:13" x14ac:dyDescent="0.25">
      <c r="D374" t="s">
        <v>76</v>
      </c>
      <c r="E374" t="s">
        <v>202</v>
      </c>
      <c r="F374" t="s">
        <v>202</v>
      </c>
      <c r="G374" t="s">
        <v>202</v>
      </c>
      <c r="H374" t="s">
        <v>202</v>
      </c>
      <c r="I374" t="s">
        <v>202</v>
      </c>
      <c r="J374" t="s">
        <v>202</v>
      </c>
      <c r="K374" t="s">
        <v>202</v>
      </c>
      <c r="L374" t="s">
        <v>202</v>
      </c>
      <c r="M374" t="s">
        <v>202</v>
      </c>
    </row>
    <row r="375" spans="4:13" x14ac:dyDescent="0.25">
      <c r="D375" t="s">
        <v>77</v>
      </c>
      <c r="E375">
        <v>1</v>
      </c>
      <c r="F375">
        <v>2</v>
      </c>
      <c r="G375">
        <v>3</v>
      </c>
      <c r="H375">
        <v>4</v>
      </c>
      <c r="I375">
        <v>5</v>
      </c>
      <c r="J375">
        <v>6</v>
      </c>
      <c r="K375">
        <v>7</v>
      </c>
      <c r="L375">
        <v>8</v>
      </c>
      <c r="M375">
        <v>9</v>
      </c>
    </row>
    <row r="376" spans="4:13" x14ac:dyDescent="0.25">
      <c r="D376" t="s">
        <v>66</v>
      </c>
      <c r="E376">
        <v>601</v>
      </c>
      <c r="F376">
        <v>601</v>
      </c>
      <c r="G376">
        <v>601</v>
      </c>
      <c r="H376">
        <v>601</v>
      </c>
      <c r="I376">
        <v>601</v>
      </c>
      <c r="J376">
        <v>601</v>
      </c>
      <c r="K376">
        <v>601</v>
      </c>
      <c r="L376">
        <v>601</v>
      </c>
      <c r="M376">
        <v>601</v>
      </c>
    </row>
    <row r="377" spans="4:13" x14ac:dyDescent="0.25">
      <c r="D377" t="s">
        <v>78</v>
      </c>
      <c r="E377">
        <v>200.845</v>
      </c>
      <c r="F377">
        <v>200.845</v>
      </c>
      <c r="G377">
        <v>200.845</v>
      </c>
      <c r="H377">
        <v>200.845</v>
      </c>
      <c r="I377">
        <v>200.845</v>
      </c>
      <c r="J377">
        <v>200.845</v>
      </c>
      <c r="K377">
        <v>200.845</v>
      </c>
      <c r="L377">
        <v>200.845</v>
      </c>
      <c r="M377">
        <v>200.845</v>
      </c>
    </row>
    <row r="378" spans="4:13" x14ac:dyDescent="0.25">
      <c r="D378" t="s">
        <v>79</v>
      </c>
      <c r="E378" t="s">
        <v>22</v>
      </c>
      <c r="F378" t="s">
        <v>22</v>
      </c>
      <c r="G378" t="s">
        <v>22</v>
      </c>
      <c r="H378" t="s">
        <v>22</v>
      </c>
      <c r="I378" t="s">
        <v>22</v>
      </c>
      <c r="J378" t="s">
        <v>22</v>
      </c>
      <c r="K378" t="s">
        <v>22</v>
      </c>
      <c r="L378" t="s">
        <v>22</v>
      </c>
      <c r="M378" t="s">
        <v>22</v>
      </c>
    </row>
    <row r="379" spans="4:13" x14ac:dyDescent="0.25">
      <c r="D379" t="s">
        <v>80</v>
      </c>
    </row>
    <row r="380" spans="4:13" x14ac:dyDescent="0.25">
      <c r="D380" t="s">
        <v>81</v>
      </c>
    </row>
    <row r="381" spans="4:13" x14ac:dyDescent="0.25">
      <c r="D381" t="s">
        <v>82</v>
      </c>
      <c r="E381">
        <v>0</v>
      </c>
    </row>
    <row r="382" spans="4:13" x14ac:dyDescent="0.25">
      <c r="D382" t="s">
        <v>83</v>
      </c>
      <c r="E382" t="s">
        <v>84</v>
      </c>
    </row>
    <row r="383" spans="4:13" x14ac:dyDescent="0.25">
      <c r="D383" t="s">
        <v>112</v>
      </c>
    </row>
    <row r="388" spans="2:13" x14ac:dyDescent="0.25">
      <c r="B388" t="s">
        <v>91</v>
      </c>
    </row>
    <row r="389" spans="2:13" x14ac:dyDescent="0.25">
      <c r="B389" t="s">
        <v>255</v>
      </c>
    </row>
    <row r="390" spans="2:13" x14ac:dyDescent="0.25">
      <c r="B390" t="s">
        <v>164</v>
      </c>
    </row>
    <row r="391" spans="2:13" x14ac:dyDescent="0.25">
      <c r="B391" t="s">
        <v>215</v>
      </c>
    </row>
    <row r="392" spans="2:13" x14ac:dyDescent="0.25">
      <c r="B392" t="s">
        <v>93</v>
      </c>
    </row>
    <row r="393" spans="2:13" x14ac:dyDescent="0.25">
      <c r="B393" t="s">
        <v>256</v>
      </c>
    </row>
    <row r="394" spans="2:13" x14ac:dyDescent="0.25">
      <c r="B394" t="s">
        <v>94</v>
      </c>
    </row>
    <row r="396" spans="2:13" x14ac:dyDescent="0.25">
      <c r="C396" t="s">
        <v>24</v>
      </c>
    </row>
    <row r="398" spans="2:13" x14ac:dyDescent="0.25">
      <c r="D398" t="s">
        <v>56</v>
      </c>
      <c r="E398" t="s">
        <v>64</v>
      </c>
    </row>
    <row r="399" spans="2:13" x14ac:dyDescent="0.25">
      <c r="D399" t="s">
        <v>58</v>
      </c>
      <c r="E399" t="s">
        <v>65</v>
      </c>
    </row>
    <row r="400" spans="2:13" x14ac:dyDescent="0.25">
      <c r="D400" t="s">
        <v>66</v>
      </c>
      <c r="E400">
        <v>5</v>
      </c>
      <c r="F400">
        <v>5</v>
      </c>
      <c r="G400">
        <v>5</v>
      </c>
      <c r="H400">
        <v>5</v>
      </c>
      <c r="I400">
        <v>5</v>
      </c>
      <c r="J400">
        <v>5</v>
      </c>
      <c r="K400">
        <v>5</v>
      </c>
      <c r="L400">
        <v>5</v>
      </c>
      <c r="M400">
        <v>5</v>
      </c>
    </row>
    <row r="401" spans="4:13" x14ac:dyDescent="0.25">
      <c r="D401" t="s">
        <v>67</v>
      </c>
      <c r="E401" t="s">
        <v>192</v>
      </c>
      <c r="F401" t="s">
        <v>192</v>
      </c>
      <c r="G401" t="s">
        <v>192</v>
      </c>
      <c r="H401" t="s">
        <v>192</v>
      </c>
      <c r="I401" t="s">
        <v>192</v>
      </c>
      <c r="J401" t="s">
        <v>192</v>
      </c>
      <c r="K401" t="s">
        <v>192</v>
      </c>
      <c r="L401" t="s">
        <v>192</v>
      </c>
      <c r="M401" t="s">
        <v>68</v>
      </c>
    </row>
    <row r="402" spans="4:13" x14ac:dyDescent="0.25">
      <c r="D402" t="s">
        <v>126</v>
      </c>
    </row>
    <row r="404" spans="4:13" x14ac:dyDescent="0.25">
      <c r="D404" t="s">
        <v>56</v>
      </c>
      <c r="E404" t="s">
        <v>64</v>
      </c>
    </row>
    <row r="405" spans="4:13" x14ac:dyDescent="0.25">
      <c r="D405" t="s">
        <v>58</v>
      </c>
      <c r="E405" t="s">
        <v>70</v>
      </c>
    </row>
    <row r="406" spans="4:13" x14ac:dyDescent="0.25">
      <c r="D406" t="s">
        <v>66</v>
      </c>
      <c r="E406">
        <v>5</v>
      </c>
      <c r="F406">
        <v>5</v>
      </c>
      <c r="G406">
        <v>5</v>
      </c>
      <c r="H406">
        <v>5</v>
      </c>
      <c r="I406">
        <v>5</v>
      </c>
      <c r="J406">
        <v>5</v>
      </c>
      <c r="K406">
        <v>5</v>
      </c>
      <c r="L406">
        <v>5</v>
      </c>
      <c r="M406">
        <v>5</v>
      </c>
    </row>
    <row r="407" spans="4:13" x14ac:dyDescent="0.25">
      <c r="D407" t="s">
        <v>127</v>
      </c>
    </row>
    <row r="409" spans="4:13" x14ac:dyDescent="0.25">
      <c r="D409" t="s">
        <v>56</v>
      </c>
      <c r="E409" t="s">
        <v>64</v>
      </c>
    </row>
    <row r="410" spans="4:13" x14ac:dyDescent="0.25">
      <c r="D410" t="s">
        <v>58</v>
      </c>
      <c r="E410" t="s">
        <v>73</v>
      </c>
    </row>
    <row r="411" spans="4:13" x14ac:dyDescent="0.25">
      <c r="D411" t="s">
        <v>74</v>
      </c>
      <c r="E411" t="s">
        <v>9</v>
      </c>
      <c r="F411" t="s">
        <v>9</v>
      </c>
      <c r="G411" t="s">
        <v>9</v>
      </c>
      <c r="H411" t="s">
        <v>9</v>
      </c>
      <c r="I411" t="s">
        <v>9</v>
      </c>
      <c r="J411" t="s">
        <v>9</v>
      </c>
      <c r="K411" t="s">
        <v>9</v>
      </c>
      <c r="L411" t="s">
        <v>9</v>
      </c>
      <c r="M411" t="s">
        <v>9</v>
      </c>
    </row>
    <row r="412" spans="4:13" x14ac:dyDescent="0.25">
      <c r="D412" t="s">
        <v>75</v>
      </c>
      <c r="E412">
        <v>1</v>
      </c>
      <c r="F412">
        <v>2</v>
      </c>
      <c r="G412">
        <v>3</v>
      </c>
      <c r="H412">
        <v>4</v>
      </c>
      <c r="I412">
        <v>5</v>
      </c>
      <c r="J412">
        <v>6</v>
      </c>
      <c r="K412">
        <v>7</v>
      </c>
      <c r="L412">
        <v>8</v>
      </c>
      <c r="M412">
        <v>9</v>
      </c>
    </row>
    <row r="413" spans="4:13" x14ac:dyDescent="0.25">
      <c r="D413" t="s">
        <v>76</v>
      </c>
      <c r="E413" t="s">
        <v>52</v>
      </c>
      <c r="F413" t="s">
        <v>52</v>
      </c>
      <c r="G413" t="s">
        <v>52</v>
      </c>
      <c r="H413" t="s">
        <v>52</v>
      </c>
      <c r="I413" t="s">
        <v>52</v>
      </c>
      <c r="J413" t="s">
        <v>52</v>
      </c>
      <c r="K413" t="s">
        <v>52</v>
      </c>
      <c r="L413" t="s">
        <v>52</v>
      </c>
      <c r="M413" t="s">
        <v>52</v>
      </c>
    </row>
    <row r="414" spans="4:13" x14ac:dyDescent="0.25">
      <c r="D414" t="s">
        <v>77</v>
      </c>
      <c r="E414">
        <v>1</v>
      </c>
      <c r="F414">
        <v>2</v>
      </c>
      <c r="G414">
        <v>3</v>
      </c>
      <c r="H414">
        <v>4</v>
      </c>
      <c r="I414">
        <v>5</v>
      </c>
      <c r="J414">
        <v>6</v>
      </c>
      <c r="K414">
        <v>7</v>
      </c>
      <c r="L414">
        <v>8</v>
      </c>
      <c r="M414">
        <v>9</v>
      </c>
    </row>
    <row r="415" spans="4:13" x14ac:dyDescent="0.25">
      <c r="D415" t="s">
        <v>66</v>
      </c>
      <c r="E415">
        <v>5</v>
      </c>
      <c r="F415">
        <v>5</v>
      </c>
      <c r="G415">
        <v>5</v>
      </c>
      <c r="H415">
        <v>5</v>
      </c>
      <c r="I415">
        <v>5</v>
      </c>
      <c r="J415">
        <v>5</v>
      </c>
      <c r="K415">
        <v>5</v>
      </c>
      <c r="L415">
        <v>5</v>
      </c>
      <c r="M415">
        <v>5</v>
      </c>
    </row>
    <row r="416" spans="4:13" x14ac:dyDescent="0.25">
      <c r="D416" t="s">
        <v>78</v>
      </c>
      <c r="E416">
        <v>801.84500000000003</v>
      </c>
      <c r="F416">
        <v>801.84500000000003</v>
      </c>
      <c r="G416">
        <v>801.84500000000003</v>
      </c>
      <c r="H416">
        <v>801.84500000000003</v>
      </c>
      <c r="I416">
        <v>801.84500000000003</v>
      </c>
      <c r="J416">
        <v>801.84500000000003</v>
      </c>
      <c r="K416">
        <v>801.84500000000003</v>
      </c>
      <c r="L416">
        <v>801.84500000000003</v>
      </c>
      <c r="M416">
        <v>801.84500000000003</v>
      </c>
    </row>
    <row r="417" spans="2:13" x14ac:dyDescent="0.25">
      <c r="D417" t="s">
        <v>79</v>
      </c>
      <c r="E417" t="s">
        <v>22</v>
      </c>
      <c r="F417" t="s">
        <v>22</v>
      </c>
      <c r="G417" t="s">
        <v>22</v>
      </c>
      <c r="H417" t="s">
        <v>22</v>
      </c>
      <c r="I417" t="s">
        <v>22</v>
      </c>
      <c r="J417" t="s">
        <v>22</v>
      </c>
      <c r="K417" t="s">
        <v>22</v>
      </c>
      <c r="L417" t="s">
        <v>22</v>
      </c>
      <c r="M417" t="s">
        <v>22</v>
      </c>
    </row>
    <row r="418" spans="2:13" x14ac:dyDescent="0.25">
      <c r="D418" t="s">
        <v>80</v>
      </c>
    </row>
    <row r="419" spans="2:13" x14ac:dyDescent="0.25">
      <c r="D419" t="s">
        <v>81</v>
      </c>
    </row>
    <row r="420" spans="2:13" x14ac:dyDescent="0.25">
      <c r="D420" t="s">
        <v>82</v>
      </c>
      <c r="E420">
        <v>0</v>
      </c>
    </row>
    <row r="421" spans="2:13" x14ac:dyDescent="0.25">
      <c r="D421" t="s">
        <v>83</v>
      </c>
      <c r="E421" t="s">
        <v>84</v>
      </c>
    </row>
    <row r="422" spans="2:13" x14ac:dyDescent="0.25">
      <c r="D422" t="s">
        <v>128</v>
      </c>
    </row>
    <row r="427" spans="2:13" x14ac:dyDescent="0.25">
      <c r="B427" t="s">
        <v>91</v>
      </c>
    </row>
    <row r="428" spans="2:13" x14ac:dyDescent="0.25">
      <c r="B428" t="s">
        <v>257</v>
      </c>
    </row>
    <row r="429" spans="2:13" x14ac:dyDescent="0.25">
      <c r="B429" t="s">
        <v>258</v>
      </c>
    </row>
    <row r="430" spans="2:13" x14ac:dyDescent="0.25">
      <c r="B430" t="s">
        <v>215</v>
      </c>
    </row>
    <row r="431" spans="2:13" x14ac:dyDescent="0.25">
      <c r="B431" t="s">
        <v>93</v>
      </c>
    </row>
    <row r="432" spans="2:13" x14ac:dyDescent="0.25">
      <c r="B432" t="s">
        <v>285</v>
      </c>
    </row>
    <row r="433" spans="2:13" x14ac:dyDescent="0.25">
      <c r="B433" t="s">
        <v>94</v>
      </c>
    </row>
    <row r="435" spans="2:13" x14ac:dyDescent="0.25">
      <c r="C435" t="s">
        <v>24</v>
      </c>
    </row>
    <row r="437" spans="2:13" x14ac:dyDescent="0.25">
      <c r="D437" t="s">
        <v>56</v>
      </c>
      <c r="E437" t="s">
        <v>64</v>
      </c>
    </row>
    <row r="438" spans="2:13" x14ac:dyDescent="0.25">
      <c r="D438" t="s">
        <v>58</v>
      </c>
      <c r="E438" t="s">
        <v>65</v>
      </c>
    </row>
    <row r="439" spans="2:13" x14ac:dyDescent="0.25">
      <c r="D439" t="s">
        <v>66</v>
      </c>
      <c r="E439">
        <v>50</v>
      </c>
      <c r="F439">
        <v>50</v>
      </c>
      <c r="G439">
        <v>50</v>
      </c>
      <c r="H439">
        <v>50</v>
      </c>
      <c r="I439">
        <v>50</v>
      </c>
      <c r="J439">
        <v>50</v>
      </c>
      <c r="K439">
        <v>50</v>
      </c>
      <c r="L439">
        <v>50</v>
      </c>
      <c r="M439">
        <v>50</v>
      </c>
    </row>
    <row r="440" spans="2:13" x14ac:dyDescent="0.25">
      <c r="D440" t="s">
        <v>67</v>
      </c>
      <c r="E440" t="s">
        <v>192</v>
      </c>
      <c r="F440" t="s">
        <v>192</v>
      </c>
      <c r="G440" t="s">
        <v>192</v>
      </c>
      <c r="H440" t="s">
        <v>192</v>
      </c>
      <c r="I440" t="s">
        <v>192</v>
      </c>
      <c r="J440" t="s">
        <v>192</v>
      </c>
      <c r="K440" t="s">
        <v>192</v>
      </c>
      <c r="L440" t="s">
        <v>192</v>
      </c>
      <c r="M440" t="s">
        <v>68</v>
      </c>
    </row>
    <row r="441" spans="2:13" x14ac:dyDescent="0.25">
      <c r="D441" t="s">
        <v>136</v>
      </c>
    </row>
    <row r="443" spans="2:13" x14ac:dyDescent="0.25">
      <c r="D443" t="s">
        <v>56</v>
      </c>
      <c r="E443" t="s">
        <v>64</v>
      </c>
    </row>
    <row r="444" spans="2:13" x14ac:dyDescent="0.25">
      <c r="D444" t="s">
        <v>58</v>
      </c>
      <c r="E444" t="s">
        <v>70</v>
      </c>
    </row>
    <row r="445" spans="2:13" x14ac:dyDescent="0.25">
      <c r="D445" t="s">
        <v>66</v>
      </c>
      <c r="E445">
        <v>50</v>
      </c>
      <c r="F445">
        <v>50</v>
      </c>
      <c r="G445">
        <v>50</v>
      </c>
      <c r="H445">
        <v>50</v>
      </c>
      <c r="I445">
        <v>50</v>
      </c>
      <c r="J445">
        <v>50</v>
      </c>
      <c r="K445">
        <v>50</v>
      </c>
      <c r="L445">
        <v>50</v>
      </c>
      <c r="M445">
        <v>50</v>
      </c>
    </row>
    <row r="446" spans="2:13" x14ac:dyDescent="0.25">
      <c r="D446" t="s">
        <v>137</v>
      </c>
    </row>
    <row r="448" spans="2:13" x14ac:dyDescent="0.25">
      <c r="D448" t="s">
        <v>56</v>
      </c>
      <c r="E448" t="s">
        <v>64</v>
      </c>
    </row>
    <row r="449" spans="4:13" x14ac:dyDescent="0.25">
      <c r="D449" t="s">
        <v>58</v>
      </c>
      <c r="E449" t="s">
        <v>73</v>
      </c>
    </row>
    <row r="450" spans="4:13" x14ac:dyDescent="0.25">
      <c r="D450" t="s">
        <v>74</v>
      </c>
      <c r="E450" t="s">
        <v>9</v>
      </c>
      <c r="F450" t="s">
        <v>9</v>
      </c>
      <c r="G450" t="s">
        <v>9</v>
      </c>
      <c r="H450" t="s">
        <v>9</v>
      </c>
      <c r="I450" t="s">
        <v>9</v>
      </c>
      <c r="J450" t="s">
        <v>9</v>
      </c>
      <c r="K450" t="s">
        <v>9</v>
      </c>
      <c r="L450" t="s">
        <v>9</v>
      </c>
      <c r="M450" t="s">
        <v>9</v>
      </c>
    </row>
    <row r="451" spans="4:13" x14ac:dyDescent="0.25">
      <c r="D451" t="s">
        <v>75</v>
      </c>
      <c r="E451">
        <v>1</v>
      </c>
      <c r="F451">
        <v>2</v>
      </c>
      <c r="G451">
        <v>3</v>
      </c>
      <c r="H451">
        <v>4</v>
      </c>
      <c r="I451">
        <v>5</v>
      </c>
      <c r="J451">
        <v>6</v>
      </c>
      <c r="K451">
        <v>7</v>
      </c>
      <c r="L451">
        <v>8</v>
      </c>
      <c r="M451">
        <v>9</v>
      </c>
    </row>
    <row r="452" spans="4:13" x14ac:dyDescent="0.25">
      <c r="D452" t="s">
        <v>76</v>
      </c>
      <c r="E452" t="s">
        <v>200</v>
      </c>
      <c r="F452" t="s">
        <v>200</v>
      </c>
      <c r="G452" t="s">
        <v>200</v>
      </c>
      <c r="H452" t="s">
        <v>200</v>
      </c>
      <c r="I452" t="s">
        <v>200</v>
      </c>
      <c r="J452" t="s">
        <v>200</v>
      </c>
      <c r="K452" t="s">
        <v>200</v>
      </c>
      <c r="L452" t="s">
        <v>200</v>
      </c>
      <c r="M452" t="s">
        <v>200</v>
      </c>
    </row>
    <row r="453" spans="4:13" x14ac:dyDescent="0.25">
      <c r="D453" t="s">
        <v>77</v>
      </c>
      <c r="E453">
        <v>1</v>
      </c>
      <c r="F453">
        <v>2</v>
      </c>
      <c r="G453">
        <v>3</v>
      </c>
      <c r="H453">
        <v>4</v>
      </c>
      <c r="I453">
        <v>5</v>
      </c>
      <c r="J453">
        <v>6</v>
      </c>
      <c r="K453">
        <v>7</v>
      </c>
      <c r="L453">
        <v>8</v>
      </c>
      <c r="M453">
        <v>9</v>
      </c>
    </row>
    <row r="454" spans="4:13" x14ac:dyDescent="0.25">
      <c r="D454" t="s">
        <v>66</v>
      </c>
      <c r="E454">
        <v>50</v>
      </c>
      <c r="F454">
        <v>50</v>
      </c>
      <c r="G454">
        <v>50</v>
      </c>
      <c r="H454">
        <v>50</v>
      </c>
      <c r="I454">
        <v>50</v>
      </c>
      <c r="J454">
        <v>50</v>
      </c>
      <c r="K454">
        <v>50</v>
      </c>
      <c r="L454">
        <v>50</v>
      </c>
      <c r="M454">
        <v>50</v>
      </c>
    </row>
    <row r="455" spans="4:13" x14ac:dyDescent="0.25">
      <c r="D455" t="s">
        <v>78</v>
      </c>
      <c r="E455">
        <v>806.84500000000003</v>
      </c>
      <c r="F455">
        <v>806.84500000000003</v>
      </c>
      <c r="G455">
        <v>806.84500000000003</v>
      </c>
      <c r="H455">
        <v>806.84500000000003</v>
      </c>
      <c r="I455">
        <v>806.84500000000003</v>
      </c>
      <c r="J455">
        <v>806.84500000000003</v>
      </c>
      <c r="K455">
        <v>806.84500000000003</v>
      </c>
      <c r="L455">
        <v>806.84500000000003</v>
      </c>
      <c r="M455">
        <v>806.84500000000003</v>
      </c>
    </row>
    <row r="456" spans="4:13" x14ac:dyDescent="0.25">
      <c r="D456" t="s">
        <v>79</v>
      </c>
      <c r="E456" t="s">
        <v>22</v>
      </c>
      <c r="F456" t="s">
        <v>22</v>
      </c>
      <c r="G456" t="s">
        <v>22</v>
      </c>
      <c r="H456" t="s">
        <v>22</v>
      </c>
      <c r="I456" t="s">
        <v>22</v>
      </c>
      <c r="J456" t="s">
        <v>22</v>
      </c>
      <c r="K456" t="s">
        <v>22</v>
      </c>
      <c r="L456" t="s">
        <v>22</v>
      </c>
      <c r="M456" t="s">
        <v>22</v>
      </c>
    </row>
    <row r="457" spans="4:13" x14ac:dyDescent="0.25">
      <c r="D457" t="s">
        <v>80</v>
      </c>
    </row>
    <row r="458" spans="4:13" x14ac:dyDescent="0.25">
      <c r="D458" t="s">
        <v>81</v>
      </c>
    </row>
    <row r="459" spans="4:13" x14ac:dyDescent="0.25">
      <c r="D459" t="s">
        <v>82</v>
      </c>
      <c r="E459">
        <v>0</v>
      </c>
    </row>
    <row r="460" spans="4:13" x14ac:dyDescent="0.25">
      <c r="D460" t="s">
        <v>83</v>
      </c>
      <c r="E460" t="s">
        <v>84</v>
      </c>
    </row>
    <row r="461" spans="4:13" x14ac:dyDescent="0.25">
      <c r="D461" t="s">
        <v>138</v>
      </c>
    </row>
    <row r="466" spans="2:5" x14ac:dyDescent="0.25">
      <c r="B466" t="s">
        <v>101</v>
      </c>
    </row>
    <row r="467" spans="2:5" x14ac:dyDescent="0.25">
      <c r="B467" t="s">
        <v>259</v>
      </c>
    </row>
    <row r="468" spans="2:5" x14ac:dyDescent="0.25">
      <c r="B468" t="s">
        <v>102</v>
      </c>
    </row>
    <row r="469" spans="2:5" x14ac:dyDescent="0.25">
      <c r="B469" t="s">
        <v>165</v>
      </c>
    </row>
    <row r="470" spans="2:5" x14ac:dyDescent="0.25">
      <c r="B470" t="s">
        <v>104</v>
      </c>
    </row>
    <row r="472" spans="2:5" x14ac:dyDescent="0.25">
      <c r="C472" t="s">
        <v>24</v>
      </c>
    </row>
    <row r="474" spans="2:5" x14ac:dyDescent="0.25">
      <c r="D474" t="s">
        <v>56</v>
      </c>
      <c r="E474" t="s">
        <v>105</v>
      </c>
    </row>
    <row r="475" spans="2:5" x14ac:dyDescent="0.25">
      <c r="D475" t="s">
        <v>58</v>
      </c>
      <c r="E475" t="s">
        <v>106</v>
      </c>
    </row>
    <row r="476" spans="2:5" x14ac:dyDescent="0.25">
      <c r="D476" t="s">
        <v>107</v>
      </c>
      <c r="E476" t="s">
        <v>218</v>
      </c>
    </row>
    <row r="477" spans="2:5" x14ac:dyDescent="0.25">
      <c r="D477" t="s">
        <v>141</v>
      </c>
    </row>
    <row r="479" spans="2:5" x14ac:dyDescent="0.25">
      <c r="D479" t="s">
        <v>56</v>
      </c>
      <c r="E479" t="s">
        <v>105</v>
      </c>
    </row>
    <row r="480" spans="2:5" x14ac:dyDescent="0.25">
      <c r="D480" t="s">
        <v>58</v>
      </c>
      <c r="E480" t="s">
        <v>109</v>
      </c>
    </row>
    <row r="481" spans="4:5" x14ac:dyDescent="0.25">
      <c r="D481" t="s">
        <v>107</v>
      </c>
      <c r="E481" t="s">
        <v>218</v>
      </c>
    </row>
    <row r="482" spans="4:5" x14ac:dyDescent="0.25">
      <c r="D482" t="s">
        <v>142</v>
      </c>
    </row>
    <row r="484" spans="4:5" x14ac:dyDescent="0.25">
      <c r="D484" t="s">
        <v>56</v>
      </c>
      <c r="E484" t="s">
        <v>57</v>
      </c>
    </row>
    <row r="485" spans="4:5" x14ac:dyDescent="0.25">
      <c r="D485" t="s">
        <v>58</v>
      </c>
      <c r="E485" t="s">
        <v>111</v>
      </c>
    </row>
    <row r="486" spans="4:5" x14ac:dyDescent="0.25">
      <c r="D486" t="s">
        <v>60</v>
      </c>
      <c r="E486" t="s">
        <v>218</v>
      </c>
    </row>
    <row r="487" spans="4:5" x14ac:dyDescent="0.25">
      <c r="D487" t="s">
        <v>143</v>
      </c>
    </row>
    <row r="489" spans="4:5" x14ac:dyDescent="0.25">
      <c r="D489" t="s">
        <v>56</v>
      </c>
      <c r="E489" t="s">
        <v>57</v>
      </c>
    </row>
    <row r="490" spans="4:5" x14ac:dyDescent="0.25">
      <c r="D490" t="s">
        <v>58</v>
      </c>
      <c r="E490" t="s">
        <v>113</v>
      </c>
    </row>
    <row r="491" spans="4:5" x14ac:dyDescent="0.25">
      <c r="D491" t="s">
        <v>60</v>
      </c>
      <c r="E491" t="s">
        <v>218</v>
      </c>
    </row>
    <row r="492" spans="4:5" x14ac:dyDescent="0.25">
      <c r="D492" t="s">
        <v>144</v>
      </c>
    </row>
    <row r="494" spans="4:5" x14ac:dyDescent="0.25">
      <c r="D494" t="s">
        <v>56</v>
      </c>
      <c r="E494" t="s">
        <v>114</v>
      </c>
    </row>
    <row r="495" spans="4:5" x14ac:dyDescent="0.25">
      <c r="D495" t="s">
        <v>58</v>
      </c>
      <c r="E495" t="s">
        <v>59</v>
      </c>
    </row>
    <row r="496" spans="4:5" x14ac:dyDescent="0.25">
      <c r="D496" t="s">
        <v>60</v>
      </c>
      <c r="E496" t="s">
        <v>218</v>
      </c>
    </row>
    <row r="497" spans="4:5" x14ac:dyDescent="0.25">
      <c r="D497" t="s">
        <v>145</v>
      </c>
    </row>
    <row r="499" spans="4:5" x14ac:dyDescent="0.25">
      <c r="D499" t="s">
        <v>56</v>
      </c>
      <c r="E499" t="s">
        <v>114</v>
      </c>
    </row>
    <row r="500" spans="4:5" x14ac:dyDescent="0.25">
      <c r="D500" t="s">
        <v>58</v>
      </c>
      <c r="E500" t="s">
        <v>115</v>
      </c>
    </row>
    <row r="501" spans="4:5" x14ac:dyDescent="0.25">
      <c r="D501" t="s">
        <v>60</v>
      </c>
      <c r="E501" t="s">
        <v>218</v>
      </c>
    </row>
    <row r="502" spans="4:5" x14ac:dyDescent="0.25">
      <c r="D502" t="s">
        <v>146</v>
      </c>
    </row>
    <row r="504" spans="4:5" x14ac:dyDescent="0.25">
      <c r="D504" t="s">
        <v>56</v>
      </c>
      <c r="E504" t="s">
        <v>114</v>
      </c>
    </row>
    <row r="505" spans="4:5" x14ac:dyDescent="0.25">
      <c r="D505" t="s">
        <v>58</v>
      </c>
      <c r="E505" t="s">
        <v>116</v>
      </c>
    </row>
    <row r="506" spans="4:5" x14ac:dyDescent="0.25">
      <c r="D506" t="s">
        <v>60</v>
      </c>
      <c r="E506" t="s">
        <v>218</v>
      </c>
    </row>
    <row r="507" spans="4:5" x14ac:dyDescent="0.25">
      <c r="D507" t="s">
        <v>147</v>
      </c>
    </row>
    <row r="509" spans="4:5" x14ac:dyDescent="0.25">
      <c r="D509" t="s">
        <v>56</v>
      </c>
      <c r="E509" t="s">
        <v>57</v>
      </c>
    </row>
    <row r="510" spans="4:5" x14ac:dyDescent="0.25">
      <c r="D510" t="s">
        <v>58</v>
      </c>
      <c r="E510" t="s">
        <v>115</v>
      </c>
    </row>
    <row r="511" spans="4:5" x14ac:dyDescent="0.25">
      <c r="D511" t="s">
        <v>60</v>
      </c>
      <c r="E511" t="s">
        <v>218</v>
      </c>
    </row>
    <row r="512" spans="4:5" x14ac:dyDescent="0.25">
      <c r="D512" t="s">
        <v>148</v>
      </c>
    </row>
    <row r="514" spans="4:5" x14ac:dyDescent="0.25">
      <c r="D514" t="s">
        <v>56</v>
      </c>
      <c r="E514" t="s">
        <v>57</v>
      </c>
    </row>
    <row r="515" spans="4:5" x14ac:dyDescent="0.25">
      <c r="D515" t="s">
        <v>58</v>
      </c>
      <c r="E515" t="s">
        <v>116</v>
      </c>
    </row>
    <row r="516" spans="4:5" x14ac:dyDescent="0.25">
      <c r="D516" t="s">
        <v>60</v>
      </c>
      <c r="E516" t="s">
        <v>218</v>
      </c>
    </row>
    <row r="517" spans="4:5" x14ac:dyDescent="0.25">
      <c r="D517" t="s">
        <v>149</v>
      </c>
    </row>
    <row r="519" spans="4:5" x14ac:dyDescent="0.25">
      <c r="D519" t="s">
        <v>56</v>
      </c>
      <c r="E519" t="s">
        <v>117</v>
      </c>
    </row>
    <row r="520" spans="4:5" x14ac:dyDescent="0.25">
      <c r="D520" t="s">
        <v>58</v>
      </c>
      <c r="E520" t="s">
        <v>118</v>
      </c>
    </row>
    <row r="521" spans="4:5" x14ac:dyDescent="0.25">
      <c r="D521" t="s">
        <v>119</v>
      </c>
    </row>
    <row r="522" spans="4:5" x14ac:dyDescent="0.25">
      <c r="D522" t="s">
        <v>120</v>
      </c>
    </row>
    <row r="523" spans="4:5" x14ac:dyDescent="0.25">
      <c r="D523" t="s">
        <v>121</v>
      </c>
    </row>
    <row r="524" spans="4:5" x14ac:dyDescent="0.25">
      <c r="D524" t="s">
        <v>122</v>
      </c>
    </row>
    <row r="525" spans="4:5" x14ac:dyDescent="0.25">
      <c r="D525" t="s">
        <v>123</v>
      </c>
      <c r="E525" t="b">
        <v>0</v>
      </c>
    </row>
    <row r="526" spans="4:5" x14ac:dyDescent="0.25">
      <c r="D526" t="s">
        <v>124</v>
      </c>
      <c r="E526" t="s">
        <v>84</v>
      </c>
    </row>
    <row r="527" spans="4:5" x14ac:dyDescent="0.25">
      <c r="D527" t="s">
        <v>150</v>
      </c>
    </row>
    <row r="529" spans="4:5" x14ac:dyDescent="0.25">
      <c r="D529" t="s">
        <v>56</v>
      </c>
      <c r="E529" t="s">
        <v>117</v>
      </c>
    </row>
    <row r="530" spans="4:5" x14ac:dyDescent="0.25">
      <c r="D530" t="s">
        <v>58</v>
      </c>
      <c r="E530" t="s">
        <v>118</v>
      </c>
    </row>
    <row r="531" spans="4:5" x14ac:dyDescent="0.25">
      <c r="D531" t="s">
        <v>119</v>
      </c>
    </row>
    <row r="532" spans="4:5" x14ac:dyDescent="0.25">
      <c r="D532" t="s">
        <v>120</v>
      </c>
    </row>
    <row r="533" spans="4:5" x14ac:dyDescent="0.25">
      <c r="D533" t="s">
        <v>121</v>
      </c>
    </row>
    <row r="534" spans="4:5" x14ac:dyDescent="0.25">
      <c r="D534" t="s">
        <v>122</v>
      </c>
    </row>
    <row r="535" spans="4:5" x14ac:dyDescent="0.25">
      <c r="D535" t="s">
        <v>123</v>
      </c>
      <c r="E535" t="b">
        <v>1</v>
      </c>
    </row>
    <row r="536" spans="4:5" x14ac:dyDescent="0.25">
      <c r="D536" t="s">
        <v>124</v>
      </c>
      <c r="E536" t="s">
        <v>84</v>
      </c>
    </row>
    <row r="537" spans="4:5" x14ac:dyDescent="0.25">
      <c r="D537" t="s">
        <v>151</v>
      </c>
    </row>
    <row r="539" spans="4:5" x14ac:dyDescent="0.25">
      <c r="D539" t="s">
        <v>56</v>
      </c>
      <c r="E539" t="s">
        <v>57</v>
      </c>
    </row>
    <row r="540" spans="4:5" x14ac:dyDescent="0.25">
      <c r="D540" t="s">
        <v>58</v>
      </c>
      <c r="E540" t="s">
        <v>125</v>
      </c>
    </row>
    <row r="541" spans="4:5" x14ac:dyDescent="0.25">
      <c r="D541" t="s">
        <v>60</v>
      </c>
      <c r="E541" t="s">
        <v>9</v>
      </c>
    </row>
    <row r="542" spans="4:5" x14ac:dyDescent="0.25">
      <c r="D542" t="s">
        <v>61</v>
      </c>
      <c r="E542">
        <v>37</v>
      </c>
    </row>
    <row r="543" spans="4:5" x14ac:dyDescent="0.25">
      <c r="D543" t="s">
        <v>62</v>
      </c>
      <c r="E543">
        <v>0</v>
      </c>
    </row>
    <row r="544" spans="4:5" x14ac:dyDescent="0.25">
      <c r="D544" t="s">
        <v>152</v>
      </c>
    </row>
    <row r="546" spans="4:5" x14ac:dyDescent="0.25">
      <c r="D546" t="s">
        <v>56</v>
      </c>
      <c r="E546" t="s">
        <v>129</v>
      </c>
    </row>
    <row r="547" spans="4:5" x14ac:dyDescent="0.25">
      <c r="D547" t="s">
        <v>58</v>
      </c>
      <c r="E547" t="s">
        <v>130</v>
      </c>
    </row>
    <row r="548" spans="4:5" x14ac:dyDescent="0.25">
      <c r="D548" t="s">
        <v>131</v>
      </c>
      <c r="E548">
        <v>64800</v>
      </c>
    </row>
    <row r="549" spans="4:5" x14ac:dyDescent="0.25">
      <c r="D549" t="s">
        <v>153</v>
      </c>
    </row>
    <row r="551" spans="4:5" x14ac:dyDescent="0.25">
      <c r="D551" t="s">
        <v>56</v>
      </c>
      <c r="E551" t="s">
        <v>129</v>
      </c>
    </row>
    <row r="552" spans="4:5" x14ac:dyDescent="0.25">
      <c r="D552" t="s">
        <v>58</v>
      </c>
      <c r="E552" t="s">
        <v>132</v>
      </c>
    </row>
    <row r="553" spans="4:5" x14ac:dyDescent="0.25">
      <c r="D553" t="s">
        <v>154</v>
      </c>
    </row>
    <row r="555" spans="4:5" x14ac:dyDescent="0.25">
      <c r="D555" t="s">
        <v>56</v>
      </c>
      <c r="E555" t="s">
        <v>57</v>
      </c>
    </row>
    <row r="556" spans="4:5" x14ac:dyDescent="0.25">
      <c r="D556" t="s">
        <v>58</v>
      </c>
      <c r="E556" t="s">
        <v>133</v>
      </c>
    </row>
    <row r="557" spans="4:5" x14ac:dyDescent="0.25">
      <c r="D557" t="s">
        <v>60</v>
      </c>
      <c r="E557" t="s">
        <v>218</v>
      </c>
    </row>
    <row r="558" spans="4:5" x14ac:dyDescent="0.25">
      <c r="D558" t="s">
        <v>155</v>
      </c>
    </row>
    <row r="560" spans="4:5" x14ac:dyDescent="0.25">
      <c r="D560" t="s">
        <v>56</v>
      </c>
      <c r="E560" t="s">
        <v>114</v>
      </c>
    </row>
    <row r="561" spans="4:5" x14ac:dyDescent="0.25">
      <c r="D561" t="s">
        <v>58</v>
      </c>
      <c r="E561" t="s">
        <v>115</v>
      </c>
    </row>
    <row r="562" spans="4:5" x14ac:dyDescent="0.25">
      <c r="D562" t="s">
        <v>60</v>
      </c>
      <c r="E562" t="s">
        <v>218</v>
      </c>
    </row>
    <row r="563" spans="4:5" x14ac:dyDescent="0.25">
      <c r="D563" t="s">
        <v>156</v>
      </c>
    </row>
    <row r="565" spans="4:5" x14ac:dyDescent="0.25">
      <c r="D565" t="s">
        <v>56</v>
      </c>
      <c r="E565" t="s">
        <v>114</v>
      </c>
    </row>
    <row r="566" spans="4:5" x14ac:dyDescent="0.25">
      <c r="D566" t="s">
        <v>58</v>
      </c>
      <c r="E566" t="s">
        <v>116</v>
      </c>
    </row>
    <row r="567" spans="4:5" x14ac:dyDescent="0.25">
      <c r="D567" t="s">
        <v>60</v>
      </c>
      <c r="E567" t="s">
        <v>218</v>
      </c>
    </row>
    <row r="568" spans="4:5" x14ac:dyDescent="0.25">
      <c r="D568" t="s">
        <v>157</v>
      </c>
    </row>
    <row r="570" spans="4:5" x14ac:dyDescent="0.25">
      <c r="D570" t="s">
        <v>56</v>
      </c>
      <c r="E570" t="s">
        <v>57</v>
      </c>
    </row>
    <row r="571" spans="4:5" x14ac:dyDescent="0.25">
      <c r="D571" t="s">
        <v>58</v>
      </c>
      <c r="E571" t="s">
        <v>115</v>
      </c>
    </row>
    <row r="572" spans="4:5" x14ac:dyDescent="0.25">
      <c r="D572" t="s">
        <v>60</v>
      </c>
      <c r="E572" t="s">
        <v>218</v>
      </c>
    </row>
    <row r="573" spans="4:5" x14ac:dyDescent="0.25">
      <c r="D573" t="s">
        <v>158</v>
      </c>
    </row>
    <row r="575" spans="4:5" x14ac:dyDescent="0.25">
      <c r="D575" t="s">
        <v>56</v>
      </c>
      <c r="E575" t="s">
        <v>57</v>
      </c>
    </row>
    <row r="576" spans="4:5" x14ac:dyDescent="0.25">
      <c r="D576" t="s">
        <v>58</v>
      </c>
      <c r="E576" t="s">
        <v>116</v>
      </c>
    </row>
    <row r="577" spans="4:5" x14ac:dyDescent="0.25">
      <c r="D577" t="s">
        <v>60</v>
      </c>
      <c r="E577" t="s">
        <v>218</v>
      </c>
    </row>
    <row r="578" spans="4:5" x14ac:dyDescent="0.25">
      <c r="D578" t="s">
        <v>260</v>
      </c>
    </row>
    <row r="580" spans="4:5" x14ac:dyDescent="0.25">
      <c r="D580" t="s">
        <v>56</v>
      </c>
      <c r="E580" t="s">
        <v>105</v>
      </c>
    </row>
    <row r="581" spans="4:5" x14ac:dyDescent="0.25">
      <c r="D581" t="s">
        <v>58</v>
      </c>
      <c r="E581" t="s">
        <v>106</v>
      </c>
    </row>
    <row r="582" spans="4:5" x14ac:dyDescent="0.25">
      <c r="D582" t="s">
        <v>107</v>
      </c>
      <c r="E582" t="s">
        <v>218</v>
      </c>
    </row>
    <row r="583" spans="4:5" x14ac:dyDescent="0.25">
      <c r="D583" t="s">
        <v>159</v>
      </c>
    </row>
    <row r="585" spans="4:5" x14ac:dyDescent="0.25">
      <c r="D585" t="s">
        <v>56</v>
      </c>
      <c r="E585" t="s">
        <v>105</v>
      </c>
    </row>
    <row r="586" spans="4:5" x14ac:dyDescent="0.25">
      <c r="D586" t="s">
        <v>58</v>
      </c>
      <c r="E586" t="s">
        <v>109</v>
      </c>
    </row>
    <row r="587" spans="4:5" x14ac:dyDescent="0.25">
      <c r="D587" t="s">
        <v>107</v>
      </c>
      <c r="E587" t="s">
        <v>218</v>
      </c>
    </row>
    <row r="588" spans="4:5" x14ac:dyDescent="0.25">
      <c r="D588" t="s">
        <v>261</v>
      </c>
    </row>
    <row r="590" spans="4:5" x14ac:dyDescent="0.25">
      <c r="D590" t="s">
        <v>56</v>
      </c>
      <c r="E590" t="s">
        <v>57</v>
      </c>
    </row>
    <row r="591" spans="4:5" x14ac:dyDescent="0.25">
      <c r="D591" t="s">
        <v>58</v>
      </c>
      <c r="E591" t="s">
        <v>111</v>
      </c>
    </row>
    <row r="592" spans="4:5" x14ac:dyDescent="0.25">
      <c r="D592" t="s">
        <v>60</v>
      </c>
      <c r="E592" t="s">
        <v>218</v>
      </c>
    </row>
    <row r="593" spans="4:5" x14ac:dyDescent="0.25">
      <c r="D593" t="s">
        <v>262</v>
      </c>
    </row>
    <row r="595" spans="4:5" x14ac:dyDescent="0.25">
      <c r="D595" t="s">
        <v>56</v>
      </c>
      <c r="E595" t="s">
        <v>57</v>
      </c>
    </row>
    <row r="596" spans="4:5" x14ac:dyDescent="0.25">
      <c r="D596" t="s">
        <v>58</v>
      </c>
      <c r="E596" t="s">
        <v>113</v>
      </c>
    </row>
    <row r="597" spans="4:5" x14ac:dyDescent="0.25">
      <c r="D597" t="s">
        <v>60</v>
      </c>
      <c r="E597" t="s">
        <v>218</v>
      </c>
    </row>
    <row r="598" spans="4:5" x14ac:dyDescent="0.25">
      <c r="D598" t="s">
        <v>263</v>
      </c>
    </row>
    <row r="600" spans="4:5" x14ac:dyDescent="0.25">
      <c r="D600" t="s">
        <v>56</v>
      </c>
      <c r="E600" t="s">
        <v>117</v>
      </c>
    </row>
    <row r="601" spans="4:5" x14ac:dyDescent="0.25">
      <c r="D601" t="s">
        <v>58</v>
      </c>
      <c r="E601" t="s">
        <v>118</v>
      </c>
    </row>
    <row r="602" spans="4:5" x14ac:dyDescent="0.25">
      <c r="D602" t="s">
        <v>119</v>
      </c>
    </row>
    <row r="603" spans="4:5" x14ac:dyDescent="0.25">
      <c r="D603" t="s">
        <v>120</v>
      </c>
    </row>
    <row r="604" spans="4:5" x14ac:dyDescent="0.25">
      <c r="D604" t="s">
        <v>121</v>
      </c>
    </row>
    <row r="605" spans="4:5" x14ac:dyDescent="0.25">
      <c r="D605" t="s">
        <v>122</v>
      </c>
    </row>
    <row r="606" spans="4:5" x14ac:dyDescent="0.25">
      <c r="D606" t="s">
        <v>123</v>
      </c>
      <c r="E606" t="b">
        <v>0</v>
      </c>
    </row>
    <row r="607" spans="4:5" x14ac:dyDescent="0.25">
      <c r="D607" t="s">
        <v>124</v>
      </c>
      <c r="E607" t="s">
        <v>134</v>
      </c>
    </row>
    <row r="608" spans="4:5" x14ac:dyDescent="0.25">
      <c r="D608" t="s">
        <v>264</v>
      </c>
    </row>
    <row r="610" spans="4:5" x14ac:dyDescent="0.25">
      <c r="D610" t="s">
        <v>56</v>
      </c>
      <c r="E610" t="s">
        <v>117</v>
      </c>
    </row>
    <row r="611" spans="4:5" x14ac:dyDescent="0.25">
      <c r="D611" t="s">
        <v>58</v>
      </c>
      <c r="E611" t="s">
        <v>118</v>
      </c>
    </row>
    <row r="612" spans="4:5" x14ac:dyDescent="0.25">
      <c r="D612" t="s">
        <v>119</v>
      </c>
    </row>
    <row r="613" spans="4:5" x14ac:dyDescent="0.25">
      <c r="D613" t="s">
        <v>120</v>
      </c>
    </row>
    <row r="614" spans="4:5" x14ac:dyDescent="0.25">
      <c r="D614" t="s">
        <v>121</v>
      </c>
    </row>
    <row r="615" spans="4:5" x14ac:dyDescent="0.25">
      <c r="D615" t="s">
        <v>122</v>
      </c>
    </row>
    <row r="616" spans="4:5" x14ac:dyDescent="0.25">
      <c r="D616" t="s">
        <v>123</v>
      </c>
      <c r="E616" t="b">
        <v>1</v>
      </c>
    </row>
    <row r="617" spans="4:5" x14ac:dyDescent="0.25">
      <c r="D617" t="s">
        <v>124</v>
      </c>
      <c r="E617" t="s">
        <v>134</v>
      </c>
    </row>
    <row r="618" spans="4:5" x14ac:dyDescent="0.25">
      <c r="D618" t="s">
        <v>265</v>
      </c>
    </row>
    <row r="620" spans="4:5" x14ac:dyDescent="0.25">
      <c r="D620" t="s">
        <v>56</v>
      </c>
      <c r="E620" t="s">
        <v>57</v>
      </c>
    </row>
    <row r="621" spans="4:5" x14ac:dyDescent="0.25">
      <c r="D621" t="s">
        <v>58</v>
      </c>
      <c r="E621" t="s">
        <v>135</v>
      </c>
    </row>
    <row r="622" spans="4:5" x14ac:dyDescent="0.25">
      <c r="D622" t="s">
        <v>60</v>
      </c>
      <c r="E622" t="s">
        <v>218</v>
      </c>
    </row>
    <row r="624" spans="4:5" x14ac:dyDescent="0.25">
      <c r="D624" t="s">
        <v>56</v>
      </c>
      <c r="E624" t="s">
        <v>114</v>
      </c>
    </row>
    <row r="625" spans="2:5" x14ac:dyDescent="0.25">
      <c r="D625" t="s">
        <v>58</v>
      </c>
      <c r="E625" t="s">
        <v>135</v>
      </c>
    </row>
    <row r="626" spans="2:5" x14ac:dyDescent="0.25">
      <c r="D626" t="s">
        <v>60</v>
      </c>
      <c r="E626" t="s">
        <v>218</v>
      </c>
    </row>
    <row r="627" spans="2:5" x14ac:dyDescent="0.25">
      <c r="D627" t="s">
        <v>266</v>
      </c>
    </row>
    <row r="632" spans="2:5" x14ac:dyDescent="0.25">
      <c r="B632" t="s">
        <v>91</v>
      </c>
    </row>
    <row r="633" spans="2:5" x14ac:dyDescent="0.25">
      <c r="B633" t="s">
        <v>267</v>
      </c>
    </row>
    <row r="634" spans="2:5" x14ac:dyDescent="0.25">
      <c r="B634" t="s">
        <v>166</v>
      </c>
    </row>
    <row r="635" spans="2:5" x14ac:dyDescent="0.25">
      <c r="B635" t="s">
        <v>215</v>
      </c>
    </row>
    <row r="636" spans="2:5" x14ac:dyDescent="0.25">
      <c r="B636" t="s">
        <v>93</v>
      </c>
    </row>
    <row r="637" spans="2:5" x14ac:dyDescent="0.25">
      <c r="B637" t="s">
        <v>268</v>
      </c>
    </row>
    <row r="638" spans="2:5" x14ac:dyDescent="0.25">
      <c r="B638" t="s">
        <v>94</v>
      </c>
    </row>
    <row r="640" spans="2:5" x14ac:dyDescent="0.25">
      <c r="C640" t="s">
        <v>24</v>
      </c>
    </row>
    <row r="642" spans="4:13" x14ac:dyDescent="0.25">
      <c r="D642" t="s">
        <v>56</v>
      </c>
      <c r="E642" t="s">
        <v>64</v>
      </c>
    </row>
    <row r="643" spans="4:13" x14ac:dyDescent="0.25">
      <c r="D643" t="s">
        <v>58</v>
      </c>
      <c r="E643" t="s">
        <v>65</v>
      </c>
    </row>
    <row r="644" spans="4:13" x14ac:dyDescent="0.25">
      <c r="D644" t="s">
        <v>66</v>
      </c>
      <c r="E644">
        <v>9.06</v>
      </c>
      <c r="F644">
        <v>9.06</v>
      </c>
      <c r="G644">
        <v>9.06</v>
      </c>
      <c r="H644">
        <v>9.06</v>
      </c>
      <c r="I644">
        <v>9.06</v>
      </c>
      <c r="J644">
        <v>9.06</v>
      </c>
      <c r="K644">
        <v>9.06</v>
      </c>
      <c r="L644">
        <v>9.06</v>
      </c>
      <c r="M644">
        <v>9.06</v>
      </c>
    </row>
    <row r="645" spans="4:13" x14ac:dyDescent="0.25">
      <c r="D645" t="s">
        <v>67</v>
      </c>
      <c r="E645" t="s">
        <v>192</v>
      </c>
      <c r="F645" t="s">
        <v>192</v>
      </c>
      <c r="G645" t="s">
        <v>192</v>
      </c>
      <c r="H645" t="s">
        <v>192</v>
      </c>
      <c r="I645" t="s">
        <v>192</v>
      </c>
      <c r="J645" t="s">
        <v>192</v>
      </c>
      <c r="K645" t="s">
        <v>192</v>
      </c>
      <c r="L645" t="s">
        <v>192</v>
      </c>
      <c r="M645" t="s">
        <v>68</v>
      </c>
    </row>
    <row r="646" spans="4:13" x14ac:dyDescent="0.25">
      <c r="D646" t="s">
        <v>160</v>
      </c>
    </row>
    <row r="648" spans="4:13" x14ac:dyDescent="0.25">
      <c r="D648" t="s">
        <v>56</v>
      </c>
      <c r="E648" t="s">
        <v>64</v>
      </c>
    </row>
    <row r="649" spans="4:13" x14ac:dyDescent="0.25">
      <c r="D649" t="s">
        <v>58</v>
      </c>
      <c r="E649" t="s">
        <v>70</v>
      </c>
    </row>
    <row r="650" spans="4:13" x14ac:dyDescent="0.25">
      <c r="D650" t="s">
        <v>66</v>
      </c>
      <c r="E650">
        <v>9.06</v>
      </c>
      <c r="F650">
        <v>9.06</v>
      </c>
      <c r="G650">
        <v>9.06</v>
      </c>
      <c r="H650">
        <v>9.06</v>
      </c>
      <c r="I650">
        <v>9.06</v>
      </c>
      <c r="J650">
        <v>9.06</v>
      </c>
      <c r="K650">
        <v>9.06</v>
      </c>
      <c r="L650">
        <v>9.06</v>
      </c>
      <c r="M650">
        <v>9</v>
      </c>
    </row>
    <row r="651" spans="4:13" x14ac:dyDescent="0.25">
      <c r="D651" t="s">
        <v>161</v>
      </c>
    </row>
    <row r="653" spans="4:13" x14ac:dyDescent="0.25">
      <c r="D653" t="s">
        <v>56</v>
      </c>
      <c r="E653" t="s">
        <v>64</v>
      </c>
    </row>
    <row r="654" spans="4:13" x14ac:dyDescent="0.25">
      <c r="D654" t="s">
        <v>58</v>
      </c>
      <c r="E654" t="s">
        <v>73</v>
      </c>
    </row>
    <row r="655" spans="4:13" x14ac:dyDescent="0.25">
      <c r="D655" t="s">
        <v>74</v>
      </c>
      <c r="E655" t="s">
        <v>9</v>
      </c>
      <c r="F655" t="s">
        <v>9</v>
      </c>
      <c r="G655" t="s">
        <v>9</v>
      </c>
      <c r="H655" t="s">
        <v>9</v>
      </c>
      <c r="I655" t="s">
        <v>9</v>
      </c>
      <c r="J655" t="s">
        <v>9</v>
      </c>
      <c r="K655" t="s">
        <v>9</v>
      </c>
      <c r="L655" t="s">
        <v>9</v>
      </c>
      <c r="M655" t="s">
        <v>9</v>
      </c>
    </row>
    <row r="656" spans="4:13" x14ac:dyDescent="0.25">
      <c r="D656" t="s">
        <v>75</v>
      </c>
      <c r="E656">
        <v>1</v>
      </c>
      <c r="F656">
        <v>2</v>
      </c>
      <c r="G656">
        <v>3</v>
      </c>
      <c r="H656">
        <v>4</v>
      </c>
      <c r="I656">
        <v>5</v>
      </c>
      <c r="J656">
        <v>6</v>
      </c>
      <c r="K656">
        <v>7</v>
      </c>
      <c r="L656">
        <v>8</v>
      </c>
      <c r="M656">
        <v>9</v>
      </c>
    </row>
    <row r="657" spans="2:13" x14ac:dyDescent="0.25">
      <c r="D657" t="s">
        <v>76</v>
      </c>
      <c r="E657" t="s">
        <v>54</v>
      </c>
      <c r="F657" t="s">
        <v>54</v>
      </c>
      <c r="G657" t="s">
        <v>54</v>
      </c>
      <c r="H657" t="s">
        <v>54</v>
      </c>
      <c r="I657" t="s">
        <v>54</v>
      </c>
      <c r="J657" t="s">
        <v>54</v>
      </c>
      <c r="K657" t="s">
        <v>54</v>
      </c>
      <c r="L657" t="s">
        <v>54</v>
      </c>
      <c r="M657" t="s">
        <v>54</v>
      </c>
    </row>
    <row r="658" spans="2:13" x14ac:dyDescent="0.25">
      <c r="D658" t="s">
        <v>77</v>
      </c>
      <c r="E658">
        <v>1</v>
      </c>
      <c r="F658">
        <v>2</v>
      </c>
      <c r="G658">
        <v>3</v>
      </c>
      <c r="H658">
        <v>4</v>
      </c>
      <c r="I658">
        <v>5</v>
      </c>
      <c r="J658">
        <v>6</v>
      </c>
      <c r="K658">
        <v>7</v>
      </c>
      <c r="L658">
        <v>8</v>
      </c>
      <c r="M658">
        <v>9</v>
      </c>
    </row>
    <row r="659" spans="2:13" x14ac:dyDescent="0.25">
      <c r="D659" t="s">
        <v>66</v>
      </c>
      <c r="E659">
        <v>9.06</v>
      </c>
      <c r="F659">
        <v>9.06</v>
      </c>
      <c r="G659">
        <v>9.06</v>
      </c>
      <c r="H659">
        <v>9.06</v>
      </c>
      <c r="I659">
        <v>9.06</v>
      </c>
      <c r="J659">
        <v>9.06</v>
      </c>
      <c r="K659">
        <v>9.06</v>
      </c>
      <c r="L659">
        <v>9.06</v>
      </c>
      <c r="M659">
        <v>9.06</v>
      </c>
    </row>
    <row r="660" spans="2:13" x14ac:dyDescent="0.25">
      <c r="D660" t="s">
        <v>78</v>
      </c>
      <c r="E660">
        <v>856.84500000000003</v>
      </c>
      <c r="F660">
        <v>856.84500000000003</v>
      </c>
      <c r="G660">
        <v>856.84500000000003</v>
      </c>
      <c r="H660">
        <v>856.84500000000003</v>
      </c>
      <c r="I660">
        <v>856.84500000000003</v>
      </c>
      <c r="J660">
        <v>856.84500000000003</v>
      </c>
      <c r="K660">
        <v>856.84500000000003</v>
      </c>
      <c r="L660">
        <v>856.84500000000003</v>
      </c>
      <c r="M660">
        <v>856.84500000000003</v>
      </c>
    </row>
    <row r="661" spans="2:13" x14ac:dyDescent="0.25">
      <c r="D661" t="s">
        <v>79</v>
      </c>
      <c r="E661" t="s">
        <v>22</v>
      </c>
      <c r="F661" t="s">
        <v>22</v>
      </c>
      <c r="G661" t="s">
        <v>22</v>
      </c>
      <c r="H661" t="s">
        <v>22</v>
      </c>
      <c r="I661" t="s">
        <v>22</v>
      </c>
      <c r="J661" t="s">
        <v>22</v>
      </c>
      <c r="K661" t="s">
        <v>22</v>
      </c>
      <c r="L661" t="s">
        <v>22</v>
      </c>
      <c r="M661" t="s">
        <v>22</v>
      </c>
    </row>
    <row r="662" spans="2:13" x14ac:dyDescent="0.25">
      <c r="D662" t="s">
        <v>80</v>
      </c>
    </row>
    <row r="663" spans="2:13" x14ac:dyDescent="0.25">
      <c r="D663" t="s">
        <v>81</v>
      </c>
    </row>
    <row r="664" spans="2:13" x14ac:dyDescent="0.25">
      <c r="D664" t="s">
        <v>82</v>
      </c>
      <c r="E664">
        <v>0</v>
      </c>
    </row>
    <row r="665" spans="2:13" x14ac:dyDescent="0.25">
      <c r="D665" t="s">
        <v>83</v>
      </c>
      <c r="E665" t="s">
        <v>84</v>
      </c>
    </row>
    <row r="666" spans="2:13" x14ac:dyDescent="0.25">
      <c r="D666" t="s">
        <v>162</v>
      </c>
    </row>
    <row r="671" spans="2:13" x14ac:dyDescent="0.25">
      <c r="B671" t="s">
        <v>167</v>
      </c>
    </row>
    <row r="672" spans="2:13" x14ac:dyDescent="0.25">
      <c r="B672" t="s">
        <v>269</v>
      </c>
    </row>
    <row r="674" spans="3:11" x14ac:dyDescent="0.25">
      <c r="C674" t="s">
        <v>270</v>
      </c>
    </row>
    <row r="676" spans="3:11" x14ac:dyDescent="0.25">
      <c r="D676" t="s">
        <v>56</v>
      </c>
      <c r="E676" t="s">
        <v>168</v>
      </c>
    </row>
    <row r="677" spans="3:11" x14ac:dyDescent="0.25">
      <c r="D677" t="s">
        <v>58</v>
      </c>
      <c r="E677" t="s">
        <v>169</v>
      </c>
    </row>
    <row r="678" spans="3:11" x14ac:dyDescent="0.25">
      <c r="D678" t="s">
        <v>170</v>
      </c>
    </row>
    <row r="680" spans="3:11" x14ac:dyDescent="0.25">
      <c r="D680" t="s">
        <v>56</v>
      </c>
      <c r="E680" t="s">
        <v>168</v>
      </c>
    </row>
    <row r="681" spans="3:11" x14ac:dyDescent="0.25">
      <c r="D681" t="s">
        <v>58</v>
      </c>
      <c r="E681" t="s">
        <v>105</v>
      </c>
    </row>
    <row r="682" spans="3:11" x14ac:dyDescent="0.25">
      <c r="D682" t="s">
        <v>171</v>
      </c>
      <c r="E682" t="s">
        <v>202</v>
      </c>
      <c r="F682" t="s">
        <v>9</v>
      </c>
      <c r="G682" t="s">
        <v>48</v>
      </c>
      <c r="H682" t="s">
        <v>198</v>
      </c>
      <c r="I682" t="s">
        <v>52</v>
      </c>
      <c r="J682" t="s">
        <v>200</v>
      </c>
      <c r="K682" t="s">
        <v>54</v>
      </c>
    </row>
    <row r="683" spans="3:11" x14ac:dyDescent="0.25">
      <c r="D683" t="s">
        <v>172</v>
      </c>
      <c r="E683" t="s">
        <v>271</v>
      </c>
      <c r="F683" t="s">
        <v>272</v>
      </c>
      <c r="G683" t="s">
        <v>173</v>
      </c>
      <c r="H683" t="s">
        <v>273</v>
      </c>
      <c r="I683" t="s">
        <v>274</v>
      </c>
      <c r="J683" t="s">
        <v>174</v>
      </c>
      <c r="K683" t="s">
        <v>275</v>
      </c>
    </row>
    <row r="684" spans="3:11" x14ac:dyDescent="0.25">
      <c r="D684" t="s">
        <v>175</v>
      </c>
      <c r="E684" t="b">
        <v>0</v>
      </c>
      <c r="F684" t="s">
        <v>276</v>
      </c>
      <c r="G684" t="b">
        <v>1</v>
      </c>
      <c r="H684" t="b">
        <v>1</v>
      </c>
      <c r="I684" t="b">
        <v>1</v>
      </c>
      <c r="J684" t="b">
        <v>1</v>
      </c>
      <c r="K684" t="b">
        <v>1</v>
      </c>
    </row>
    <row r="685" spans="3:11" x14ac:dyDescent="0.25">
      <c r="D685" t="s">
        <v>176</v>
      </c>
      <c r="E685" t="s">
        <v>271</v>
      </c>
      <c r="F685" t="s">
        <v>177</v>
      </c>
      <c r="G685" t="s">
        <v>173</v>
      </c>
      <c r="H685" t="s">
        <v>273</v>
      </c>
      <c r="I685" t="s">
        <v>274</v>
      </c>
      <c r="J685" t="s">
        <v>174</v>
      </c>
      <c r="K685" t="s">
        <v>275</v>
      </c>
    </row>
    <row r="686" spans="3:11" x14ac:dyDescent="0.25">
      <c r="D686" t="s">
        <v>178</v>
      </c>
      <c r="E686">
        <v>5909</v>
      </c>
      <c r="F686">
        <v>915.90499999999997</v>
      </c>
      <c r="G686">
        <v>177.72</v>
      </c>
      <c r="H686">
        <v>507.88499999999902</v>
      </c>
      <c r="I686">
        <v>195</v>
      </c>
      <c r="J686">
        <v>600</v>
      </c>
      <c r="K686">
        <v>231.54</v>
      </c>
    </row>
    <row r="687" spans="3:11" x14ac:dyDescent="0.25">
      <c r="D687" t="s">
        <v>179</v>
      </c>
      <c r="E687" t="s">
        <v>277</v>
      </c>
      <c r="F687" t="s">
        <v>3</v>
      </c>
      <c r="G687" t="s">
        <v>180</v>
      </c>
      <c r="H687" t="s">
        <v>180</v>
      </c>
      <c r="I687" t="s">
        <v>180</v>
      </c>
      <c r="J687" t="s">
        <v>180</v>
      </c>
      <c r="K687" t="s">
        <v>180</v>
      </c>
    </row>
    <row r="688" spans="3:11" x14ac:dyDescent="0.25">
      <c r="D688" t="s">
        <v>181</v>
      </c>
      <c r="E688" t="s">
        <v>182</v>
      </c>
      <c r="F688" t="s">
        <v>42</v>
      </c>
      <c r="G688" t="s">
        <v>182</v>
      </c>
      <c r="H688" t="s">
        <v>182</v>
      </c>
      <c r="I688" t="s">
        <v>182</v>
      </c>
      <c r="J688" t="s">
        <v>182</v>
      </c>
      <c r="K688" t="s">
        <v>182</v>
      </c>
    </row>
    <row r="689" spans="4:58" x14ac:dyDescent="0.25">
      <c r="D689" t="s">
        <v>183</v>
      </c>
      <c r="E689" t="s">
        <v>277</v>
      </c>
      <c r="F689" t="s">
        <v>184</v>
      </c>
      <c r="G689" t="s">
        <v>185</v>
      </c>
      <c r="H689" t="s">
        <v>185</v>
      </c>
      <c r="I689" t="s">
        <v>185</v>
      </c>
      <c r="J689" t="s">
        <v>185</v>
      </c>
      <c r="K689" t="s">
        <v>278</v>
      </c>
    </row>
    <row r="691" spans="4:58" x14ac:dyDescent="0.25">
      <c r="D691" t="s">
        <v>56</v>
      </c>
      <c r="E691" t="s">
        <v>168</v>
      </c>
    </row>
    <row r="692" spans="4:58" x14ac:dyDescent="0.25">
      <c r="D692" t="s">
        <v>58</v>
      </c>
      <c r="E692" t="s">
        <v>64</v>
      </c>
    </row>
    <row r="693" spans="4:58" x14ac:dyDescent="0.25">
      <c r="D693" t="s">
        <v>178</v>
      </c>
      <c r="E693">
        <v>3.08</v>
      </c>
      <c r="F693">
        <v>3.08</v>
      </c>
      <c r="G693">
        <v>3.08</v>
      </c>
      <c r="H693">
        <v>3.08</v>
      </c>
      <c r="I693">
        <v>3.08</v>
      </c>
      <c r="J693">
        <v>3.08</v>
      </c>
      <c r="K693">
        <v>3.08</v>
      </c>
      <c r="L693">
        <v>3.08</v>
      </c>
      <c r="M693">
        <v>3.08</v>
      </c>
      <c r="N693">
        <v>39.765000000000001</v>
      </c>
      <c r="O693">
        <v>39.765000000000001</v>
      </c>
      <c r="P693">
        <v>39.765000000000001</v>
      </c>
      <c r="Q693">
        <v>39.765000000000001</v>
      </c>
      <c r="R693">
        <v>39.765000000000001</v>
      </c>
      <c r="S693">
        <v>39.765000000000001</v>
      </c>
      <c r="T693">
        <v>39.765000000000001</v>
      </c>
      <c r="U693">
        <v>39.765000000000001</v>
      </c>
      <c r="V693">
        <v>39.765000000000001</v>
      </c>
      <c r="W693">
        <v>601</v>
      </c>
      <c r="X693">
        <v>601</v>
      </c>
      <c r="Y693">
        <v>601</v>
      </c>
      <c r="Z693">
        <v>601</v>
      </c>
      <c r="AA693">
        <v>601</v>
      </c>
      <c r="AB693">
        <v>601</v>
      </c>
      <c r="AC693">
        <v>601</v>
      </c>
      <c r="AD693">
        <v>601</v>
      </c>
      <c r="AE693">
        <v>601</v>
      </c>
      <c r="AF693">
        <v>5</v>
      </c>
      <c r="AG693">
        <v>5</v>
      </c>
      <c r="AH693">
        <v>5</v>
      </c>
      <c r="AI693">
        <v>5</v>
      </c>
      <c r="AJ693">
        <v>5</v>
      </c>
      <c r="AK693">
        <v>5</v>
      </c>
      <c r="AL693">
        <v>5</v>
      </c>
      <c r="AM693">
        <v>5</v>
      </c>
      <c r="AN693">
        <v>5</v>
      </c>
      <c r="AO693">
        <v>50</v>
      </c>
      <c r="AP693">
        <v>50</v>
      </c>
      <c r="AQ693">
        <v>50</v>
      </c>
      <c r="AR693">
        <v>50</v>
      </c>
      <c r="AS693">
        <v>50</v>
      </c>
      <c r="AT693">
        <v>50</v>
      </c>
      <c r="AU693">
        <v>50</v>
      </c>
      <c r="AV693">
        <v>50</v>
      </c>
      <c r="AW693">
        <v>50</v>
      </c>
      <c r="AX693">
        <v>9.06</v>
      </c>
      <c r="AY693">
        <v>9.06</v>
      </c>
      <c r="AZ693">
        <v>9.06</v>
      </c>
      <c r="BA693">
        <v>9.06</v>
      </c>
      <c r="BB693">
        <v>9.06</v>
      </c>
      <c r="BC693">
        <v>9.06</v>
      </c>
      <c r="BD693">
        <v>9.06</v>
      </c>
      <c r="BE693">
        <v>9.06</v>
      </c>
      <c r="BF693">
        <v>9</v>
      </c>
    </row>
    <row r="695" spans="4:58" x14ac:dyDescent="0.25">
      <c r="D695" t="s">
        <v>56</v>
      </c>
      <c r="E695" t="s">
        <v>168</v>
      </c>
    </row>
    <row r="696" spans="4:58" x14ac:dyDescent="0.25">
      <c r="D696" t="s">
        <v>58</v>
      </c>
      <c r="E696" t="s">
        <v>190</v>
      </c>
    </row>
    <row r="698" spans="4:58" x14ac:dyDescent="0.25">
      <c r="D698" t="s">
        <v>56</v>
      </c>
      <c r="E698" t="s">
        <v>168</v>
      </c>
    </row>
    <row r="699" spans="4:58" x14ac:dyDescent="0.25">
      <c r="D699" t="s">
        <v>58</v>
      </c>
      <c r="E699" t="s">
        <v>191</v>
      </c>
    </row>
    <row r="701" spans="4:58" x14ac:dyDescent="0.25">
      <c r="D701" t="s">
        <v>56</v>
      </c>
      <c r="E701" t="s">
        <v>168</v>
      </c>
    </row>
    <row r="702" spans="4:58" x14ac:dyDescent="0.25">
      <c r="D702" t="s">
        <v>58</v>
      </c>
      <c r="E702" t="s">
        <v>193</v>
      </c>
    </row>
    <row r="704" spans="4:58" x14ac:dyDescent="0.25">
      <c r="D704" t="s">
        <v>56</v>
      </c>
      <c r="E704" t="s">
        <v>168</v>
      </c>
    </row>
    <row r="705" spans="4:5" x14ac:dyDescent="0.25">
      <c r="D705" t="s">
        <v>58</v>
      </c>
      <c r="E705" t="s">
        <v>194</v>
      </c>
    </row>
    <row r="707" spans="4:5" x14ac:dyDescent="0.25">
      <c r="D707" t="s">
        <v>56</v>
      </c>
      <c r="E707" t="s">
        <v>168</v>
      </c>
    </row>
    <row r="708" spans="4:5" x14ac:dyDescent="0.25">
      <c r="D708" t="s">
        <v>58</v>
      </c>
      <c r="E708" t="s">
        <v>195</v>
      </c>
    </row>
    <row r="710" spans="4:5" x14ac:dyDescent="0.25">
      <c r="D710" t="s">
        <v>56</v>
      </c>
      <c r="E710" t="s">
        <v>168</v>
      </c>
    </row>
    <row r="711" spans="4:5" x14ac:dyDescent="0.25">
      <c r="D711" t="s">
        <v>58</v>
      </c>
      <c r="E711" t="s">
        <v>196</v>
      </c>
    </row>
    <row r="713" spans="4:5" x14ac:dyDescent="0.25">
      <c r="D713" t="s">
        <v>197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D1:F89"/>
  <sheetViews>
    <sheetView topLeftCell="A52" zoomScale="80" zoomScaleNormal="80" workbookViewId="0">
      <selection activeCell="C68" sqref="C68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16.7109375" bestFit="1" customWidth="1"/>
    <col min="5" max="5" width="37.28515625" bestFit="1" customWidth="1"/>
    <col min="6" max="6" width="11.57031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65" t="s">
        <v>4</v>
      </c>
      <c r="E2" s="48"/>
      <c r="F2" s="66" t="s">
        <v>5</v>
      </c>
    </row>
    <row r="3" spans="4:6" x14ac:dyDescent="0.25">
      <c r="D3" s="63" t="s">
        <v>0</v>
      </c>
      <c r="E3" s="1" t="s">
        <v>9</v>
      </c>
      <c r="F3" s="67"/>
    </row>
    <row r="4" spans="4:6" ht="15.75" thickBot="1" x14ac:dyDescent="0.3">
      <c r="D4" s="64" t="s">
        <v>7</v>
      </c>
      <c r="E4" s="2" t="s">
        <v>3</v>
      </c>
      <c r="F4" s="68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70" t="s">
        <v>51</v>
      </c>
      <c r="E8" s="50"/>
      <c r="F8" s="71" t="s">
        <v>5</v>
      </c>
    </row>
    <row r="9" spans="4:6" ht="15.75" thickBot="1" x14ac:dyDescent="0.3">
      <c r="D9" s="69" t="s">
        <v>47</v>
      </c>
      <c r="E9" s="21">
        <v>158</v>
      </c>
      <c r="F9" s="72"/>
    </row>
    <row r="11" spans="4:6" ht="20.25" x14ac:dyDescent="0.25">
      <c r="E11" s="3" t="s">
        <v>6</v>
      </c>
    </row>
    <row r="12" spans="4:6" ht="15.75" thickBot="1" x14ac:dyDescent="0.3"/>
    <row r="13" spans="4:6" ht="15.75" x14ac:dyDescent="0.25">
      <c r="D13" s="75" t="s">
        <v>23</v>
      </c>
      <c r="E13" s="47"/>
      <c r="F13" s="76" t="s">
        <v>5</v>
      </c>
    </row>
    <row r="14" spans="4:6" x14ac:dyDescent="0.25">
      <c r="D14" s="73" t="s">
        <v>15</v>
      </c>
      <c r="E14" s="7" t="s">
        <v>48</v>
      </c>
      <c r="F14" s="77"/>
    </row>
    <row r="15" spans="4:6" x14ac:dyDescent="0.25">
      <c r="D15" s="73" t="s">
        <v>16</v>
      </c>
      <c r="E15" s="7" t="s">
        <v>17</v>
      </c>
      <c r="F15" s="77"/>
    </row>
    <row r="16" spans="4:6" x14ac:dyDescent="0.25">
      <c r="D16" s="73" t="s">
        <v>18</v>
      </c>
      <c r="E16" s="7" t="s">
        <v>19</v>
      </c>
      <c r="F16" s="77"/>
    </row>
    <row r="17" spans="4:6" x14ac:dyDescent="0.25">
      <c r="D17" s="73" t="s">
        <v>20</v>
      </c>
      <c r="E17" s="7">
        <v>3.08</v>
      </c>
      <c r="F17" s="77"/>
    </row>
    <row r="18" spans="4:6" ht="15.75" thickBot="1" x14ac:dyDescent="0.3">
      <c r="D18" s="74" t="s">
        <v>21</v>
      </c>
      <c r="E18" s="10" t="s">
        <v>22</v>
      </c>
      <c r="F18" s="78"/>
    </row>
    <row r="20" spans="4:6" ht="20.25" x14ac:dyDescent="0.25">
      <c r="E20" s="3" t="s">
        <v>6</v>
      </c>
    </row>
    <row r="21" spans="4:6" ht="15.75" thickBot="1" x14ac:dyDescent="0.3"/>
    <row r="22" spans="4:6" ht="15.75" x14ac:dyDescent="0.25">
      <c r="D22" s="81" t="s">
        <v>50</v>
      </c>
      <c r="E22" s="49"/>
      <c r="F22" s="82" t="s">
        <v>5</v>
      </c>
    </row>
    <row r="23" spans="4:6" x14ac:dyDescent="0.25">
      <c r="D23" s="79" t="s">
        <v>44</v>
      </c>
      <c r="E23" s="19">
        <v>37</v>
      </c>
      <c r="F23" s="83"/>
    </row>
    <row r="24" spans="4:6" x14ac:dyDescent="0.25">
      <c r="D24" s="79" t="s">
        <v>45</v>
      </c>
      <c r="E24" s="19">
        <v>30</v>
      </c>
      <c r="F24" s="83"/>
    </row>
    <row r="25" spans="4:6" ht="15.75" thickBot="1" x14ac:dyDescent="0.3">
      <c r="D25" s="80" t="s">
        <v>46</v>
      </c>
      <c r="E25" s="20">
        <v>0</v>
      </c>
      <c r="F25" s="84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75" t="s">
        <v>23</v>
      </c>
      <c r="E29" s="47"/>
      <c r="F29" s="76" t="s">
        <v>5</v>
      </c>
    </row>
    <row r="30" spans="4:6" x14ac:dyDescent="0.25">
      <c r="D30" s="73" t="s">
        <v>15</v>
      </c>
      <c r="E30" s="7" t="s">
        <v>198</v>
      </c>
      <c r="F30" s="77"/>
    </row>
    <row r="31" spans="4:6" x14ac:dyDescent="0.25">
      <c r="D31" s="73" t="s">
        <v>16</v>
      </c>
      <c r="E31" s="7" t="s">
        <v>17</v>
      </c>
      <c r="F31" s="77"/>
    </row>
    <row r="32" spans="4:6" x14ac:dyDescent="0.25">
      <c r="D32" s="73" t="s">
        <v>18</v>
      </c>
      <c r="E32" s="7" t="s">
        <v>19</v>
      </c>
      <c r="F32" s="77"/>
    </row>
    <row r="33" spans="4:6" x14ac:dyDescent="0.25">
      <c r="D33" s="73" t="s">
        <v>20</v>
      </c>
      <c r="E33" s="7">
        <v>39.765000000000001</v>
      </c>
      <c r="F33" s="77"/>
    </row>
    <row r="34" spans="4:6" ht="15.75" thickBot="1" x14ac:dyDescent="0.3">
      <c r="D34" s="74" t="s">
        <v>21</v>
      </c>
      <c r="E34" s="10" t="s">
        <v>22</v>
      </c>
      <c r="F34" s="78"/>
    </row>
    <row r="36" spans="4:6" ht="20.25" x14ac:dyDescent="0.25">
      <c r="E36" s="3" t="s">
        <v>6</v>
      </c>
    </row>
    <row r="37" spans="4:6" ht="15.75" thickBot="1" x14ac:dyDescent="0.3"/>
    <row r="38" spans="4:6" ht="15.75" x14ac:dyDescent="0.25">
      <c r="D38" s="81" t="s">
        <v>50</v>
      </c>
      <c r="E38" s="49"/>
      <c r="F38" s="82" t="s">
        <v>5</v>
      </c>
    </row>
    <row r="39" spans="4:6" x14ac:dyDescent="0.25">
      <c r="D39" s="79" t="s">
        <v>44</v>
      </c>
      <c r="E39" s="19" t="s">
        <v>19</v>
      </c>
      <c r="F39" s="83"/>
    </row>
    <row r="40" spans="4:6" x14ac:dyDescent="0.25">
      <c r="D40" s="79" t="s">
        <v>45</v>
      </c>
      <c r="E40" s="19">
        <v>30</v>
      </c>
      <c r="F40" s="83"/>
    </row>
    <row r="41" spans="4:6" ht="15.75" thickBot="1" x14ac:dyDescent="0.3">
      <c r="D41" s="80" t="s">
        <v>46</v>
      </c>
      <c r="E41" s="20">
        <v>0</v>
      </c>
      <c r="F41" s="84"/>
    </row>
    <row r="43" spans="4:6" ht="20.25" x14ac:dyDescent="0.25">
      <c r="E43" s="3" t="s">
        <v>6</v>
      </c>
    </row>
    <row r="44" spans="4:6" ht="15.75" thickBot="1" x14ac:dyDescent="0.3"/>
    <row r="45" spans="4:6" ht="15.75" x14ac:dyDescent="0.25">
      <c r="D45" s="75" t="s">
        <v>23</v>
      </c>
      <c r="E45" s="47"/>
      <c r="F45" s="76" t="s">
        <v>5</v>
      </c>
    </row>
    <row r="46" spans="4:6" x14ac:dyDescent="0.25">
      <c r="D46" s="73" t="s">
        <v>15</v>
      </c>
      <c r="E46" s="7" t="s">
        <v>202</v>
      </c>
      <c r="F46" s="77"/>
    </row>
    <row r="47" spans="4:6" x14ac:dyDescent="0.25">
      <c r="D47" s="73" t="s">
        <v>16</v>
      </c>
      <c r="E47" s="7" t="s">
        <v>17</v>
      </c>
      <c r="F47" s="77"/>
    </row>
    <row r="48" spans="4:6" x14ac:dyDescent="0.25">
      <c r="D48" s="73" t="s">
        <v>18</v>
      </c>
      <c r="E48" s="7" t="s">
        <v>19</v>
      </c>
      <c r="F48" s="77"/>
    </row>
    <row r="49" spans="4:6" x14ac:dyDescent="0.25">
      <c r="D49" s="73" t="s">
        <v>20</v>
      </c>
      <c r="E49" s="7">
        <v>601</v>
      </c>
      <c r="F49" s="77"/>
    </row>
    <row r="50" spans="4:6" ht="15.75" thickBot="1" x14ac:dyDescent="0.3">
      <c r="D50" s="74" t="s">
        <v>21</v>
      </c>
      <c r="E50" s="10" t="s">
        <v>22</v>
      </c>
      <c r="F50" s="78"/>
    </row>
    <row r="52" spans="4:6" ht="20.25" x14ac:dyDescent="0.25">
      <c r="E52" s="3" t="s">
        <v>6</v>
      </c>
    </row>
    <row r="53" spans="4:6" ht="15.75" thickBot="1" x14ac:dyDescent="0.3"/>
    <row r="54" spans="4:6" ht="15.75" x14ac:dyDescent="0.25">
      <c r="D54" s="75" t="s">
        <v>23</v>
      </c>
      <c r="E54" s="47"/>
      <c r="F54" s="76" t="s">
        <v>5</v>
      </c>
    </row>
    <row r="55" spans="4:6" x14ac:dyDescent="0.25">
      <c r="D55" s="73" t="s">
        <v>15</v>
      </c>
      <c r="E55" s="7" t="s">
        <v>52</v>
      </c>
      <c r="F55" s="77"/>
    </row>
    <row r="56" spans="4:6" x14ac:dyDescent="0.25">
      <c r="D56" s="73" t="s">
        <v>16</v>
      </c>
      <c r="E56" s="7" t="s">
        <v>17</v>
      </c>
      <c r="F56" s="77"/>
    </row>
    <row r="57" spans="4:6" x14ac:dyDescent="0.25">
      <c r="D57" s="73" t="s">
        <v>18</v>
      </c>
      <c r="E57" s="7" t="s">
        <v>19</v>
      </c>
      <c r="F57" s="77"/>
    </row>
    <row r="58" spans="4:6" x14ac:dyDescent="0.25">
      <c r="D58" s="73" t="s">
        <v>20</v>
      </c>
      <c r="E58" s="7">
        <v>5</v>
      </c>
      <c r="F58" s="77"/>
    </row>
    <row r="59" spans="4:6" ht="15.75" thickBot="1" x14ac:dyDescent="0.3">
      <c r="D59" s="74" t="s">
        <v>21</v>
      </c>
      <c r="E59" s="10" t="s">
        <v>22</v>
      </c>
      <c r="F59" s="78"/>
    </row>
    <row r="61" spans="4:6" ht="20.25" x14ac:dyDescent="0.25">
      <c r="E61" s="3" t="s">
        <v>6</v>
      </c>
    </row>
    <row r="62" spans="4:6" ht="15.75" thickBot="1" x14ac:dyDescent="0.3"/>
    <row r="63" spans="4:6" ht="15.75" x14ac:dyDescent="0.25">
      <c r="D63" s="75" t="s">
        <v>23</v>
      </c>
      <c r="E63" s="47"/>
      <c r="F63" s="76" t="s">
        <v>5</v>
      </c>
    </row>
    <row r="64" spans="4:6" x14ac:dyDescent="0.25">
      <c r="D64" s="73" t="s">
        <v>15</v>
      </c>
      <c r="E64" s="7" t="s">
        <v>200</v>
      </c>
      <c r="F64" s="77"/>
    </row>
    <row r="65" spans="4:6" x14ac:dyDescent="0.25">
      <c r="D65" s="73" t="s">
        <v>16</v>
      </c>
      <c r="E65" s="7" t="s">
        <v>17</v>
      </c>
      <c r="F65" s="77"/>
    </row>
    <row r="66" spans="4:6" x14ac:dyDescent="0.25">
      <c r="D66" s="73" t="s">
        <v>18</v>
      </c>
      <c r="E66" s="7" t="s">
        <v>19</v>
      </c>
      <c r="F66" s="77"/>
    </row>
    <row r="67" spans="4:6" x14ac:dyDescent="0.25">
      <c r="D67" s="73" t="s">
        <v>20</v>
      </c>
      <c r="E67" s="7">
        <v>50</v>
      </c>
      <c r="F67" s="77"/>
    </row>
    <row r="68" spans="4:6" ht="15.75" thickBot="1" x14ac:dyDescent="0.3">
      <c r="D68" s="74" t="s">
        <v>21</v>
      </c>
      <c r="E68" s="10" t="s">
        <v>22</v>
      </c>
      <c r="F68" s="78"/>
    </row>
    <row r="70" spans="4:6" ht="20.25" x14ac:dyDescent="0.25">
      <c r="E70" s="3" t="s">
        <v>6</v>
      </c>
    </row>
    <row r="71" spans="4:6" ht="15.75" thickBot="1" x14ac:dyDescent="0.3"/>
    <row r="72" spans="4:6" ht="15.75" x14ac:dyDescent="0.25">
      <c r="D72" s="81" t="s">
        <v>50</v>
      </c>
      <c r="E72" s="49"/>
      <c r="F72" s="82" t="s">
        <v>5</v>
      </c>
    </row>
    <row r="73" spans="4:6" x14ac:dyDescent="0.25">
      <c r="D73" s="79" t="s">
        <v>44</v>
      </c>
      <c r="E73" s="19">
        <v>37</v>
      </c>
      <c r="F73" s="83"/>
    </row>
    <row r="74" spans="4:6" x14ac:dyDescent="0.25">
      <c r="D74" s="79" t="s">
        <v>45</v>
      </c>
      <c r="E74" s="19">
        <f xml:space="preserve"> 18*60</f>
        <v>1080</v>
      </c>
      <c r="F74" s="83"/>
    </row>
    <row r="75" spans="4:6" ht="15.75" thickBot="1" x14ac:dyDescent="0.3">
      <c r="D75" s="80" t="s">
        <v>46</v>
      </c>
      <c r="E75" s="20">
        <v>0</v>
      </c>
      <c r="F75" s="84"/>
    </row>
    <row r="77" spans="4:6" ht="20.25" x14ac:dyDescent="0.25">
      <c r="E77" s="3" t="s">
        <v>6</v>
      </c>
    </row>
    <row r="78" spans="4:6" ht="15.75" thickBot="1" x14ac:dyDescent="0.3"/>
    <row r="79" spans="4:6" ht="15.75" x14ac:dyDescent="0.25">
      <c r="D79" s="75" t="s">
        <v>23</v>
      </c>
      <c r="E79" s="47"/>
      <c r="F79" s="76" t="s">
        <v>5</v>
      </c>
    </row>
    <row r="80" spans="4:6" x14ac:dyDescent="0.25">
      <c r="D80" s="73" t="s">
        <v>15</v>
      </c>
      <c r="E80" s="7" t="s">
        <v>54</v>
      </c>
      <c r="F80" s="77"/>
    </row>
    <row r="81" spans="4:6" x14ac:dyDescent="0.25">
      <c r="D81" s="73" t="s">
        <v>16</v>
      </c>
      <c r="E81" s="7" t="s">
        <v>17</v>
      </c>
      <c r="F81" s="77"/>
    </row>
    <row r="82" spans="4:6" x14ac:dyDescent="0.25">
      <c r="D82" s="73" t="s">
        <v>18</v>
      </c>
      <c r="E82" s="7" t="s">
        <v>19</v>
      </c>
      <c r="F82" s="77"/>
    </row>
    <row r="83" spans="4:6" x14ac:dyDescent="0.25">
      <c r="D83" s="73" t="s">
        <v>20</v>
      </c>
      <c r="E83" s="7">
        <v>9.06</v>
      </c>
      <c r="F83" s="77"/>
    </row>
    <row r="84" spans="4:6" ht="15.75" thickBot="1" x14ac:dyDescent="0.3">
      <c r="D84" s="74" t="s">
        <v>21</v>
      </c>
      <c r="E84" s="10" t="s">
        <v>22</v>
      </c>
      <c r="F84" s="78"/>
    </row>
    <row r="86" spans="4:6" ht="20.25" x14ac:dyDescent="0.25">
      <c r="E86" s="3" t="s">
        <v>6</v>
      </c>
    </row>
    <row r="87" spans="4:6" ht="15.75" thickBot="1" x14ac:dyDescent="0.3"/>
    <row r="88" spans="4:6" ht="15.75" x14ac:dyDescent="0.25">
      <c r="D88" s="65" t="s">
        <v>35</v>
      </c>
      <c r="E88" s="48"/>
      <c r="F88" s="66" t="s">
        <v>5</v>
      </c>
    </row>
    <row r="89" spans="4:6" ht="15.75" thickBot="1" x14ac:dyDescent="0.3">
      <c r="D89" s="64"/>
      <c r="E89" s="2"/>
      <c r="F89" s="85"/>
    </row>
  </sheetData>
  <mergeCells count="22">
    <mergeCell ref="D2:E2"/>
    <mergeCell ref="F3:F4"/>
    <mergeCell ref="D8:E8"/>
    <mergeCell ref="D63:E63"/>
    <mergeCell ref="D22:E22"/>
    <mergeCell ref="F23:F25"/>
    <mergeCell ref="D29:E29"/>
    <mergeCell ref="D13:E13"/>
    <mergeCell ref="F14:F18"/>
    <mergeCell ref="F39:F41"/>
    <mergeCell ref="F46:F50"/>
    <mergeCell ref="F55:F59"/>
    <mergeCell ref="F30:F34"/>
    <mergeCell ref="D38:E38"/>
    <mergeCell ref="D45:E45"/>
    <mergeCell ref="D54:E54"/>
    <mergeCell ref="F64:F68"/>
    <mergeCell ref="F73:F75"/>
    <mergeCell ref="F80:F84"/>
    <mergeCell ref="D79:E79"/>
    <mergeCell ref="D88:E88"/>
    <mergeCell ref="D72:E7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88" t="s">
        <v>199</v>
      </c>
      <c r="C2" s="51"/>
      <c r="D2" s="89" t="s">
        <v>5</v>
      </c>
      <c r="F2" s="88" t="s">
        <v>49</v>
      </c>
      <c r="G2" s="51"/>
      <c r="H2" s="89" t="s">
        <v>5</v>
      </c>
      <c r="J2" s="88" t="s">
        <v>55</v>
      </c>
      <c r="K2" s="51"/>
      <c r="L2" s="89" t="s">
        <v>5</v>
      </c>
    </row>
    <row r="3" spans="2:12" x14ac:dyDescent="0.25">
      <c r="B3" s="86" t="s">
        <v>36</v>
      </c>
      <c r="C3" s="17" t="s">
        <v>17</v>
      </c>
      <c r="D3" s="90"/>
      <c r="F3" s="86" t="s">
        <v>36</v>
      </c>
      <c r="G3" s="17" t="s">
        <v>17</v>
      </c>
      <c r="H3" s="90"/>
      <c r="J3" s="86" t="s">
        <v>36</v>
      </c>
      <c r="K3" s="17" t="s">
        <v>17</v>
      </c>
      <c r="L3" s="90"/>
    </row>
    <row r="4" spans="2:12" x14ac:dyDescent="0.25">
      <c r="B4" s="86" t="s">
        <v>18</v>
      </c>
      <c r="C4" s="17" t="s">
        <v>19</v>
      </c>
      <c r="D4" s="90"/>
      <c r="F4" s="86" t="s">
        <v>18</v>
      </c>
      <c r="G4" s="17" t="s">
        <v>19</v>
      </c>
      <c r="H4" s="90"/>
      <c r="J4" s="86" t="s">
        <v>18</v>
      </c>
      <c r="K4" s="17" t="s">
        <v>19</v>
      </c>
      <c r="L4" s="90"/>
    </row>
    <row r="5" spans="2:12" x14ac:dyDescent="0.25">
      <c r="B5" s="86" t="s">
        <v>37</v>
      </c>
      <c r="C5" s="17" t="s">
        <v>40</v>
      </c>
      <c r="D5" s="90"/>
      <c r="F5" s="86" t="s">
        <v>37</v>
      </c>
      <c r="G5" s="17" t="s">
        <v>40</v>
      </c>
      <c r="H5" s="90"/>
      <c r="J5" s="86" t="s">
        <v>37</v>
      </c>
      <c r="K5" s="17" t="s">
        <v>40</v>
      </c>
      <c r="L5" s="90"/>
    </row>
    <row r="6" spans="2:12" x14ac:dyDescent="0.25">
      <c r="B6" s="86" t="s">
        <v>38</v>
      </c>
      <c r="C6" s="17" t="s">
        <v>40</v>
      </c>
      <c r="D6" s="90"/>
      <c r="F6" s="86" t="s">
        <v>38</v>
      </c>
      <c r="G6" s="17" t="s">
        <v>40</v>
      </c>
      <c r="H6" s="90"/>
      <c r="J6" s="86" t="s">
        <v>38</v>
      </c>
      <c r="K6" s="17" t="s">
        <v>40</v>
      </c>
      <c r="L6" s="90"/>
    </row>
    <row r="7" spans="2:12" ht="15.75" thickBot="1" x14ac:dyDescent="0.3">
      <c r="B7" s="87" t="s">
        <v>39</v>
      </c>
      <c r="C7" s="18" t="s">
        <v>41</v>
      </c>
      <c r="D7" s="91"/>
      <c r="F7" s="87" t="s">
        <v>39</v>
      </c>
      <c r="G7" s="18" t="s">
        <v>41</v>
      </c>
      <c r="H7" s="91"/>
      <c r="J7" s="87" t="s">
        <v>39</v>
      </c>
      <c r="K7" s="18" t="s">
        <v>41</v>
      </c>
      <c r="L7" s="91"/>
    </row>
    <row r="9" spans="2:12" ht="15.75" thickBot="1" x14ac:dyDescent="0.3"/>
    <row r="10" spans="2:12" ht="15.75" x14ac:dyDescent="0.25">
      <c r="B10" s="88" t="s">
        <v>53</v>
      </c>
      <c r="C10" s="51"/>
      <c r="D10" s="89" t="s">
        <v>5</v>
      </c>
      <c r="F10" s="88" t="s">
        <v>201</v>
      </c>
      <c r="G10" s="51"/>
      <c r="H10" s="89" t="s">
        <v>5</v>
      </c>
      <c r="J10" s="88" t="s">
        <v>203</v>
      </c>
      <c r="K10" s="51"/>
      <c r="L10" s="89" t="s">
        <v>5</v>
      </c>
    </row>
    <row r="11" spans="2:12" x14ac:dyDescent="0.25">
      <c r="B11" s="86" t="s">
        <v>36</v>
      </c>
      <c r="C11" s="17" t="s">
        <v>17</v>
      </c>
      <c r="D11" s="90"/>
      <c r="F11" s="86" t="s">
        <v>36</v>
      </c>
      <c r="G11" s="17" t="s">
        <v>17</v>
      </c>
      <c r="H11" s="90"/>
      <c r="J11" s="86" t="s">
        <v>36</v>
      </c>
      <c r="K11" s="17" t="s">
        <v>17</v>
      </c>
      <c r="L11" s="90"/>
    </row>
    <row r="12" spans="2:12" x14ac:dyDescent="0.25">
      <c r="B12" s="86" t="s">
        <v>18</v>
      </c>
      <c r="C12" s="17" t="s">
        <v>19</v>
      </c>
      <c r="D12" s="90"/>
      <c r="F12" s="86" t="s">
        <v>18</v>
      </c>
      <c r="G12" s="17" t="s">
        <v>19</v>
      </c>
      <c r="H12" s="90"/>
      <c r="J12" s="86" t="s">
        <v>18</v>
      </c>
      <c r="K12" s="17" t="s">
        <v>19</v>
      </c>
      <c r="L12" s="90"/>
    </row>
    <row r="13" spans="2:12" x14ac:dyDescent="0.25">
      <c r="B13" s="86" t="s">
        <v>37</v>
      </c>
      <c r="C13" s="17" t="s">
        <v>40</v>
      </c>
      <c r="D13" s="90"/>
      <c r="F13" s="86" t="s">
        <v>37</v>
      </c>
      <c r="G13" s="17" t="s">
        <v>40</v>
      </c>
      <c r="H13" s="90"/>
      <c r="J13" s="86" t="s">
        <v>37</v>
      </c>
      <c r="K13" s="17" t="s">
        <v>40</v>
      </c>
      <c r="L13" s="90"/>
    </row>
    <row r="14" spans="2:12" x14ac:dyDescent="0.25">
      <c r="B14" s="86" t="s">
        <v>38</v>
      </c>
      <c r="C14" s="17" t="s">
        <v>40</v>
      </c>
      <c r="D14" s="90"/>
      <c r="F14" s="86" t="s">
        <v>38</v>
      </c>
      <c r="G14" s="17" t="s">
        <v>40</v>
      </c>
      <c r="H14" s="90"/>
      <c r="J14" s="86" t="s">
        <v>38</v>
      </c>
      <c r="K14" s="17" t="s">
        <v>40</v>
      </c>
      <c r="L14" s="90"/>
    </row>
    <row r="15" spans="2:12" ht="15.75" thickBot="1" x14ac:dyDescent="0.3">
      <c r="B15" s="87" t="s">
        <v>39</v>
      </c>
      <c r="C15" s="18" t="s">
        <v>41</v>
      </c>
      <c r="D15" s="91"/>
      <c r="F15" s="87" t="s">
        <v>39</v>
      </c>
      <c r="G15" s="18" t="s">
        <v>41</v>
      </c>
      <c r="H15" s="91"/>
      <c r="J15" s="87" t="s">
        <v>39</v>
      </c>
      <c r="K15" s="18" t="s">
        <v>41</v>
      </c>
      <c r="L15" s="91"/>
    </row>
  </sheetData>
  <mergeCells count="12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  <mergeCell ref="J10:K10"/>
    <mergeCell ref="L11:L15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8" t="s">
        <v>4</v>
      </c>
      <c r="E2" s="48"/>
      <c r="F2" s="6" t="s">
        <v>5</v>
      </c>
    </row>
    <row r="3" spans="4:6" x14ac:dyDescent="0.25">
      <c r="D3" s="4" t="s">
        <v>0</v>
      </c>
      <c r="E3" s="1" t="s">
        <v>8</v>
      </c>
      <c r="F3" s="52"/>
    </row>
    <row r="4" spans="4:6" ht="15.75" thickBot="1" x14ac:dyDescent="0.3">
      <c r="D4" s="5" t="s">
        <v>7</v>
      </c>
      <c r="E4" s="2" t="s">
        <v>3</v>
      </c>
      <c r="F4" s="53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58" t="s">
        <v>4</v>
      </c>
      <c r="E8" s="48"/>
      <c r="F8" s="6" t="s">
        <v>5</v>
      </c>
    </row>
    <row r="9" spans="4:6" x14ac:dyDescent="0.25">
      <c r="D9" s="4" t="s">
        <v>0</v>
      </c>
      <c r="E9" s="1" t="s">
        <v>9</v>
      </c>
      <c r="F9" s="52"/>
    </row>
    <row r="10" spans="4:6" ht="15.75" thickBot="1" x14ac:dyDescent="0.3">
      <c r="D10" s="5" t="s">
        <v>7</v>
      </c>
      <c r="E10" s="2" t="s">
        <v>3</v>
      </c>
      <c r="F10" s="53"/>
    </row>
    <row r="12" spans="4:6" ht="20.25" x14ac:dyDescent="0.25">
      <c r="E12" s="3" t="s">
        <v>6</v>
      </c>
    </row>
    <row r="13" spans="4:6" ht="15.75" thickBot="1" x14ac:dyDescent="0.3"/>
    <row r="14" spans="4:6" ht="15.75" x14ac:dyDescent="0.25">
      <c r="D14" s="62" t="s">
        <v>23</v>
      </c>
      <c r="E14" s="47"/>
      <c r="F14" s="11" t="s">
        <v>5</v>
      </c>
    </row>
    <row r="15" spans="4:6" x14ac:dyDescent="0.25">
      <c r="D15" s="8" t="s">
        <v>15</v>
      </c>
      <c r="E15" s="7" t="s">
        <v>24</v>
      </c>
      <c r="F15" s="60"/>
    </row>
    <row r="16" spans="4:6" x14ac:dyDescent="0.25">
      <c r="D16" s="8" t="s">
        <v>16</v>
      </c>
      <c r="E16" s="7" t="s">
        <v>17</v>
      </c>
      <c r="F16" s="60"/>
    </row>
    <row r="17" spans="2:11" x14ac:dyDescent="0.25">
      <c r="D17" s="8" t="s">
        <v>18</v>
      </c>
      <c r="E17" s="7" t="s">
        <v>19</v>
      </c>
      <c r="F17" s="60"/>
      <c r="J17" t="s">
        <v>27</v>
      </c>
    </row>
    <row r="18" spans="2:11" x14ac:dyDescent="0.25">
      <c r="D18" s="8" t="s">
        <v>20</v>
      </c>
      <c r="E18" s="7">
        <v>1</v>
      </c>
      <c r="F18" s="60"/>
      <c r="J18" t="s">
        <v>24</v>
      </c>
    </row>
    <row r="19" spans="2:11" ht="15.75" thickBot="1" x14ac:dyDescent="0.3">
      <c r="D19" s="9" t="s">
        <v>21</v>
      </c>
      <c r="E19" s="10" t="s">
        <v>22</v>
      </c>
      <c r="F19" s="61"/>
      <c r="J19" t="s">
        <v>28</v>
      </c>
    </row>
    <row r="20" spans="2:11" x14ac:dyDescent="0.25">
      <c r="J20" t="s">
        <v>29</v>
      </c>
    </row>
    <row r="21" spans="2:11" ht="20.25" x14ac:dyDescent="0.25">
      <c r="E21" s="3" t="s">
        <v>6</v>
      </c>
      <c r="J21" t="s">
        <v>30</v>
      </c>
      <c r="K21" t="s">
        <v>31</v>
      </c>
    </row>
    <row r="22" spans="2:11" ht="15.75" thickBot="1" x14ac:dyDescent="0.3"/>
    <row r="23" spans="2:11" ht="15.75" x14ac:dyDescent="0.25">
      <c r="D23" s="54" t="s">
        <v>25</v>
      </c>
      <c r="E23" s="55"/>
      <c r="F23" s="16" t="s">
        <v>5</v>
      </c>
    </row>
    <row r="24" spans="2:11" x14ac:dyDescent="0.25">
      <c r="D24" s="13" t="s">
        <v>10</v>
      </c>
      <c r="E24" s="12">
        <v>1</v>
      </c>
      <c r="F24" s="56"/>
      <c r="J24" t="s">
        <v>32</v>
      </c>
    </row>
    <row r="25" spans="2:11" x14ac:dyDescent="0.25">
      <c r="D25" s="13" t="s">
        <v>11</v>
      </c>
      <c r="E25" s="12" t="s">
        <v>12</v>
      </c>
      <c r="F25" s="56"/>
      <c r="J25" t="s">
        <v>33</v>
      </c>
    </row>
    <row r="26" spans="2:11" ht="15.75" thickBot="1" x14ac:dyDescent="0.3">
      <c r="D26" s="14" t="s">
        <v>13</v>
      </c>
      <c r="E26" s="15" t="s">
        <v>14</v>
      </c>
      <c r="F26" s="57"/>
      <c r="J26" t="s">
        <v>34</v>
      </c>
    </row>
    <row r="27" spans="2:11" ht="15.75" thickBot="1" x14ac:dyDescent="0.3"/>
    <row r="28" spans="2:11" ht="15.75" x14ac:dyDescent="0.25">
      <c r="B28" s="58" t="s">
        <v>4</v>
      </c>
      <c r="C28" s="48"/>
      <c r="D28" s="6" t="s">
        <v>5</v>
      </c>
      <c r="F28" s="58" t="s">
        <v>4</v>
      </c>
      <c r="G28" s="48"/>
      <c r="H28" s="6" t="s">
        <v>5</v>
      </c>
    </row>
    <row r="29" spans="2:11" x14ac:dyDescent="0.25">
      <c r="B29" s="4" t="s">
        <v>0</v>
      </c>
      <c r="C29" s="1" t="s">
        <v>12</v>
      </c>
      <c r="D29" s="52"/>
      <c r="E29" s="59" t="s">
        <v>26</v>
      </c>
      <c r="F29" s="4" t="s">
        <v>0</v>
      </c>
      <c r="G29" s="1" t="s">
        <v>14</v>
      </c>
      <c r="H29" s="52"/>
    </row>
    <row r="30" spans="2:11" ht="15.75" thickBot="1" x14ac:dyDescent="0.3">
      <c r="B30" s="5" t="s">
        <v>7</v>
      </c>
      <c r="C30" s="2" t="s">
        <v>3</v>
      </c>
      <c r="D30" s="53"/>
      <c r="E30" s="59"/>
      <c r="F30" s="5" t="s">
        <v>7</v>
      </c>
      <c r="G30" s="2" t="s">
        <v>3</v>
      </c>
      <c r="H30" s="53"/>
    </row>
    <row r="32" spans="2:11" ht="20.25" x14ac:dyDescent="0.25">
      <c r="C32" s="3" t="s">
        <v>6</v>
      </c>
      <c r="G32" s="3" t="s">
        <v>6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Worklist</vt:lpstr>
      <vt:lpstr>PrepList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2022-04-13T15:49:08Z</cp:lastPrinted>
  <dcterms:created xsi:type="dcterms:W3CDTF">2021-02-05T21:39:59Z</dcterms:created>
  <dcterms:modified xsi:type="dcterms:W3CDTF">2022-04-13T15:49:21Z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