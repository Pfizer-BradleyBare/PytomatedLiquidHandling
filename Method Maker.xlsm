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6A49DAB-34C9-44F8-A94A-21E3D631CCB5}" xr6:coauthVersionLast="47" xr6:coauthVersionMax="47" xr10:uidLastSave="{00000000-0000-0000-0000-000000000000}"/>
  <bookViews>
    <workbookView xWindow="-120" yWindow="-120" windowWidth="25440" windowHeight="15390" firstSheet="1" activeTab="5" xr2:uid="{00000000-000D-0000-FFFF-FFFF00000000}"/>
  </bookViews>
  <sheets>
    <sheet name="BuildingBlocks" sheetId="123" state="hidden" r:id="rId1"/>
    <sheet name="Worklist" sheetId="3" r:id="rId2"/>
    <sheet name="TestLog" sheetId="149" r:id="rId3"/>
    <sheet name="RunLog" sheetId="147" r:id="rId4"/>
    <sheet name="PrepList" sheetId="143" r:id="rId5"/>
    <sheet name="Method" sheetId="14" r:id="rId6"/>
    <sheet name="Solutions" sheetId="1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14" l="1"/>
  <c r="E37" i="14"/>
  <c r="E36" i="14"/>
  <c r="H15" i="3"/>
  <c r="A12" i="3" l="1"/>
  <c r="A11" i="3"/>
  <c r="A10" i="3" l="1"/>
  <c r="A9" i="3"/>
  <c r="A8" i="3"/>
  <c r="A7" i="3"/>
  <c r="A6" i="3" l="1"/>
  <c r="A5" i="3"/>
  <c r="A4" i="3"/>
  <c r="A3" i="3"/>
  <c r="A2" i="3" l="1"/>
</calcChain>
</file>

<file path=xl/sharedStrings.xml><?xml version="1.0" encoding="utf-8"?>
<sst xmlns="http://schemas.openxmlformats.org/spreadsheetml/2006/main" count="1240" uniqueCount="341">
  <si>
    <t>Name</t>
  </si>
  <si>
    <t>Description</t>
  </si>
  <si>
    <t>Sample #</t>
  </si>
  <si>
    <t>96 Well PCR Plate</t>
  </si>
  <si>
    <t>Plate - (Click Here to Update)</t>
  </si>
  <si>
    <t>Comments</t>
  </si>
  <si>
    <t>Add Action (Click Here)</t>
  </si>
  <si>
    <t>Type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</si>
  <si>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</si>
  <si>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</si>
  <si>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</si>
  <si>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</si>
  <si>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</si>
  <si>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</si>
  <si>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</si>
  <si>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</si>
  <si>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</si>
  <si>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</si>
  <si>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</si>
  <si>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</si>
  <si>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</si>
  <si>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</si>
  <si>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</si>
  <si>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</si>
  <si>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</si>
  <si>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</si>
  <si>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</si>
  <si>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</si>
  <si>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</si>
  <si>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</si>
  <si>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</si>
  <si>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</si>
  <si>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Temp (C)</t>
  </si>
  <si>
    <t>Time (min)</t>
  </si>
  <si>
    <t>Shake (rpm)</t>
  </si>
  <si>
    <t>Volume</t>
  </si>
  <si>
    <t>Incubate - (Click Here to Update)</t>
  </si>
  <si>
    <t>10% TFA</t>
  </si>
  <si>
    <t>10% TFA - (Click Here to Update)</t>
  </si>
  <si>
    <t>Reagent</t>
  </si>
  <si>
    <t>Hamilton 1.5mL FlipTube</t>
  </si>
  <si>
    <t>Reagent Lot</t>
  </si>
  <si>
    <t>Reagent Volume</t>
  </si>
  <si>
    <t>Diluent Lot</t>
  </si>
  <si>
    <t>Diluent Volume</t>
  </si>
  <si>
    <t>1mg/mL Trypsin in 100mM Tris pH 7.9</t>
  </si>
  <si>
    <t>1mg/mL Trypsin in 100mM Tris pH 7.9 - (Click Here to Update)</t>
  </si>
  <si>
    <t>Neg Control 1</t>
  </si>
  <si>
    <t>Neg Control 2</t>
  </si>
  <si>
    <t>Neg Control 3</t>
  </si>
  <si>
    <t>Pos Control 1</t>
  </si>
  <si>
    <t>Pos Control 2</t>
  </si>
  <si>
    <t>Pos Control 3</t>
  </si>
  <si>
    <t>Pos Control 1 IMCS</t>
  </si>
  <si>
    <t>Pos Control 2 IMCS</t>
  </si>
  <si>
    <t>Pos Control 3 IMCS</t>
  </si>
  <si>
    <t>Blank</t>
  </si>
  <si>
    <t>Blank IMCS</t>
  </si>
  <si>
    <t>Enzyme</t>
  </si>
  <si>
    <t>Cold</t>
  </si>
  <si>
    <t>Step</t>
  </si>
  <si>
    <t>Disableable</t>
  </si>
  <si>
    <t>Color (Hex Only)</t>
  </si>
  <si>
    <t>F6EAC2</t>
  </si>
  <si>
    <t>Supported?</t>
  </si>
  <si>
    <t>Parameter</t>
  </si>
  <si>
    <t>Input Type</t>
  </si>
  <si>
    <t>TextBox</t>
  </si>
  <si>
    <t>Initial Value</t>
  </si>
  <si>
    <t>Is Argument Solution?</t>
  </si>
  <si>
    <t>ComboBox</t>
  </si>
  <si>
    <t>96 Well PCR Plate,96 Well UV Plate</t>
  </si>
  <si>
    <t>Split Plate</t>
  </si>
  <si>
    <t>F1C40F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</si>
  <si>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</si>
  <si>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</si>
  <si>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</si>
  <si>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</si>
  <si>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</si>
  <si>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</si>
  <si>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</si>
  <si>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8FBFCD</t>
  </si>
  <si>
    <t>General Reagent,Reductant,Alkylant,Quench,Buffer/Diluent,Denaturant,Enzyme,Plate</t>
  </si>
  <si>
    <t>Ambient,Cold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</si>
  <si>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</si>
  <si>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</si>
  <si>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</si>
  <si>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</si>
  <si>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</si>
  <si>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</si>
  <si>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</si>
  <si>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</si>
  <si>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UserComboBox</t>
  </si>
  <si>
    <t>Ambient,Enter Numeric Value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</si>
  <si>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</si>
  <si>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</si>
  <si>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</si>
  <si>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</si>
  <si>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</si>
  <si>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</si>
  <si>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</si>
  <si>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</si>
  <si>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</si>
  <si>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</si>
  <si>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</si>
  <si>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</si>
  <si>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</si>
  <si>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</si>
  <si>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</si>
  <si>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</si>
  <si>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</si>
  <si>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</si>
  <si>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</si>
  <si>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</si>
  <si>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</si>
  <si>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</si>
  <si>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</si>
  <si>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</si>
  <si>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</si>
  <si>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</si>
  <si>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</si>
  <si>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Reptitions</t>
  </si>
  <si>
    <t>Aliquot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</si>
  <si>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</si>
  <si>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</si>
  <si>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</si>
  <si>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</si>
  <si>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</si>
  <si>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</si>
  <si>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</si>
  <si>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</si>
  <si>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Desalting</t>
  </si>
  <si>
    <t>MAM/Low Artifact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</si>
  <si>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</si>
  <si>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</si>
  <si>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</si>
  <si>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</si>
  <si>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</si>
  <si>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</si>
  <si>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</si>
  <si>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Excel Location (Row,Col): (7,3)</t>
  </si>
  <si>
    <t>Step Title: Liquid Transfer</t>
  </si>
  <si>
    <t>Liquid Type: General Reagent</t>
  </si>
  <si>
    <t>Storage Condition: Ambient</t>
  </si>
  <si>
    <t>Mix?: Yes</t>
  </si>
  <si>
    <t>Test</t>
  </si>
  <si>
    <t>Pipette</t>
  </si>
  <si>
    <t>GetLiquidClassStrings</t>
  </si>
  <si>
    <t>[TransferVolume]</t>
  </si>
  <si>
    <t>[LiquidCategory]</t>
  </si>
  <si>
    <t>Water</t>
  </si>
  <si>
    <t>Wate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</si>
  <si>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</si>
  <si>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</si>
  <si>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</si>
  <si>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</si>
  <si>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</si>
  <si>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</si>
  <si>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</si>
  <si>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</si>
  <si>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</si>
  <si>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</si>
  <si>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</si>
  <si>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</si>
  <si>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</si>
  <si>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Step Title: Incubate</t>
  </si>
  <si>
    <t>Temp (C): 37.0</t>
  </si>
  <si>
    <t>Shake (rpm): 0.0</t>
  </si>
  <si>
    <t>Labware</t>
  </si>
  <si>
    <t>GetSequenceStrings</t>
  </si>
  <si>
    <t>[PlateNames]</t>
  </si>
  <si>
    <t>GetLabwareTypes</t>
  </si>
  <si>
    <t>GetReservationHeaterSequenceString</t>
  </si>
  <si>
    <t>GetReservationHeaterTransportType</t>
  </si>
  <si>
    <t>Lid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</si>
  <si>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</si>
  <si>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</si>
  <si>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</si>
  <si>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</si>
  <si>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</si>
  <si>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</si>
  <si>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</si>
  <si>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</si>
  <si>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</si>
  <si>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</si>
  <si>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</si>
  <si>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Timer</t>
  </si>
  <si>
    <t>Start</t>
  </si>
  <si>
    <t>[WaitTime]</t>
  </si>
  <si>
    <t>Wai</t>
  </si>
  <si>
    <t>EndReservation</t>
  </si>
  <si>
    <t>Afte</t>
  </si>
  <si>
    <t>ReleaseReservation</t>
  </si>
  <si>
    <t>Excel Location (Row,Col): (28,3)</t>
  </si>
  <si>
    <t>##6.2##</t>
  </si>
  <si>
    <t>##6.4##</t>
  </si>
  <si>
    <t>Step Title: Plate</t>
  </si>
  <si>
    <t>Name: Desalting</t>
  </si>
  <si>
    <t>Type: 96 Well PCR Plate</t>
  </si>
  <si>
    <t>Liquid Type: Enzyme</t>
  </si>
  <si>
    <t>Storage Condition: Cold</t>
  </si>
  <si>
    <t>##10.1##</t>
  </si>
  <si>
    <t>##10.2##</t>
  </si>
  <si>
    <t>##10.3##</t>
  </si>
  <si>
    <t>Source: 1mg/mL Trypsin in 100mM Tris pH 7.9</t>
  </si>
  <si>
    <t>Volume (uL): 75.0</t>
  </si>
  <si>
    <t>Time (min): 300.0</t>
  </si>
  <si>
    <t>Source: 10% TFA</t>
  </si>
  <si>
    <t>Volume (uL): 13.6</t>
  </si>
  <si>
    <t>Step Title: Finish</t>
  </si>
  <si>
    <t>PreRun</t>
  </si>
  <si>
    <t>Samples</t>
  </si>
  <si>
    <t>[SampleNumber]</t>
  </si>
  <si>
    <t>[Name]</t>
  </si>
  <si>
    <t>[LabwareSequence]</t>
  </si>
  <si>
    <t>Carrier14_Pos1_96WellPCRPlate1200uL_1mLChannel</t>
  </si>
  <si>
    <t>E1</t>
  </si>
  <si>
    <t>F1</t>
  </si>
  <si>
    <t>F2</t>
  </si>
  <si>
    <t>[LidSequence]</t>
  </si>
  <si>
    <t>[LoadingLocation]</t>
  </si>
  <si>
    <t>Carrier14_Pos1</t>
  </si>
  <si>
    <t>Carrier14_Pos4</t>
  </si>
  <si>
    <t>[Volume]</t>
  </si>
  <si>
    <t>[LabwareType]</t>
  </si>
  <si>
    <t>FlipTube</t>
  </si>
  <si>
    <t>[LabwareCategory]</t>
  </si>
  <si>
    <t>[LabwareName]</t>
  </si>
  <si>
    <t>1200uL DeepWell 96 Well PCR Plate</t>
  </si>
  <si>
    <t>Hamilton 1.5mL FlipTub</t>
  </si>
  <si>
    <t>Minimum Volume: 975.0uL</t>
  </si>
  <si>
    <t>Minimum Volume: 299.6uL</t>
  </si>
  <si>
    <t>Heate</t>
  </si>
  <si>
    <t>Notif</t>
  </si>
  <si>
    <t>IMCS SizeX Desalt - (Click Here to Update)</t>
  </si>
  <si>
    <t>Desalting - (Click Here to Update)</t>
  </si>
  <si>
    <t>Performing Desalting Equilibration</t>
  </si>
  <si>
    <t>Equilibrate</t>
  </si>
  <si>
    <t>[Parent]</t>
  </si>
  <si>
    <t>Step Title: IMCS SizeX Desalt</t>
  </si>
  <si>
    <t>Source: Desalting</t>
  </si>
  <si>
    <t>Volume: 100.0</t>
  </si>
  <si>
    <t>Elution Method: MAM/Low Artifact</t>
  </si>
  <si>
    <t>Process</t>
  </si>
  <si>
    <t>test</t>
  </si>
  <si>
    <t>tris</t>
  </si>
  <si>
    <t>tris - (Click Here to Update)</t>
  </si>
  <si>
    <t>Equilibration Buffer: tris</t>
  </si>
  <si>
    <t>Name: test</t>
  </si>
  <si>
    <t>T5</t>
  </si>
  <si>
    <t>Carrier38_Pos1</t>
  </si>
  <si>
    <t>200mL Reagent Trough</t>
  </si>
  <si>
    <t>Minimum Volume: 17000.0uL</t>
  </si>
  <si>
    <t>[Parents]</t>
  </si>
  <si>
    <t>[Waste]</t>
  </si>
  <si>
    <t>[Buffer]</t>
  </si>
  <si>
    <t>[Method]</t>
  </si>
  <si>
    <t>[Positions]</t>
  </si>
  <si>
    <t>1,2,3,4,5,6,7,8,9,10,1</t>
  </si>
  <si>
    <t>Time</t>
  </si>
  <si>
    <t>Transpor</t>
  </si>
  <si>
    <t>StatusUpdat</t>
  </si>
  <si>
    <t>Li</t>
  </si>
  <si>
    <t>EN</t>
  </si>
  <si>
    <t>Liquid</t>
  </si>
  <si>
    <t>Liquid - (Click Here to Update)</t>
  </si>
  <si>
    <t>Source: Liquid</t>
  </si>
  <si>
    <t>Volume (uL): 100.0</t>
  </si>
  <si>
    <t>##2.1##</t>
  </si>
  <si>
    <t>##2.2##</t>
  </si>
  <si>
    <t>##2.3##</t>
  </si>
  <si>
    <t>Excel Location (Row,Col): (16,3)</t>
  </si>
  <si>
    <t>Excel Location (Row,Col): (22,3)</t>
  </si>
  <si>
    <t>##8.1##</t>
  </si>
  <si>
    <t>##8.2##</t>
  </si>
  <si>
    <t>##8.3##</t>
  </si>
  <si>
    <t>##9.1##</t>
  </si>
  <si>
    <t>##9.2##</t>
  </si>
  <si>
    <t>##9.3##</t>
  </si>
  <si>
    <t>Carrier14_Pos2_96WellPCRPlate1200uL_1mLChannel</t>
  </si>
  <si>
    <t>Carrier14_Pos3_96WellPCRPlate200uL_1mLChannel</t>
  </si>
  <si>
    <t>Carrier14_Pos3_Lid_200uL</t>
  </si>
  <si>
    <t>Carrier14_Pos2</t>
  </si>
  <si>
    <t>Carrier14_Pos3</t>
  </si>
  <si>
    <t>200uL Biorad 96 Well PCR Plate</t>
  </si>
  <si>
    <t>[StartPosition]</t>
  </si>
  <si>
    <t>100 + 100</t>
  </si>
  <si>
    <t>Excel Location (Row,Col): (43,3)</t>
  </si>
  <si>
    <t>Carrier38_Pos3_96WellPCRPlate200uL_1mLChannel</t>
  </si>
  <si>
    <t>Carrier38_Pos3</t>
  </si>
  <si>
    <t>Desalting: 200uL Biorad 96 Well PCR Plate</t>
  </si>
  <si>
    <t>A1: 110.0uL</t>
  </si>
  <si>
    <t>B1: 110.0uL</t>
  </si>
  <si>
    <t>A2: 110.0uL</t>
  </si>
  <si>
    <t>B2: 110.0uL</t>
  </si>
  <si>
    <t>A3: 110.0uL</t>
  </si>
  <si>
    <t>B3: 110.0uL</t>
  </si>
  <si>
    <t>A4: 110.0uL</t>
  </si>
  <si>
    <t>A5: 110.0uL</t>
  </si>
  <si>
    <t>A6: 110.0uL</t>
  </si>
  <si>
    <t>A7: 110.0uL</t>
  </si>
  <si>
    <t>A8: 110.0uL</t>
  </si>
  <si>
    <t>Minimum Volume: 1250.0uL</t>
  </si>
  <si>
    <t>Waste</t>
  </si>
  <si>
    <t>Name: Waste</t>
  </si>
  <si>
    <t>Excel Location (Row,Col): (34,3)</t>
  </si>
  <si>
    <t>Waste Plate: Waste</t>
  </si>
  <si>
    <t>test(34, 3)</t>
  </si>
  <si>
    <t>Excel Location (Row,Col): (49,3)</t>
  </si>
  <si>
    <t>Excel Location (Row,Col): (58,3)</t>
  </si>
  <si>
    <t>##9.4##</t>
  </si>
  <si>
    <t>##9.5##</t>
  </si>
  <si>
    <t>##9.6##</t>
  </si>
  <si>
    <t>##9.7##</t>
  </si>
  <si>
    <t>##9.8##</t>
  </si>
  <si>
    <t>##9.9##</t>
  </si>
  <si>
    <t>##9.10##</t>
  </si>
  <si>
    <t>##9.11##</t>
  </si>
  <si>
    <t>##9.12##</t>
  </si>
  <si>
    <t>##9.13##</t>
  </si>
  <si>
    <t>##9.14##</t>
  </si>
  <si>
    <t>##9.15##</t>
  </si>
  <si>
    <t>##9.16##</t>
  </si>
  <si>
    <t>##9.17##</t>
  </si>
  <si>
    <t>##9.18##</t>
  </si>
  <si>
    <t>##9.19##</t>
  </si>
  <si>
    <t>##9.20##</t>
  </si>
  <si>
    <t>##9.21##</t>
  </si>
  <si>
    <t>##9.22##</t>
  </si>
  <si>
    <t>##9.23##</t>
  </si>
  <si>
    <t>##9.24##</t>
  </si>
  <si>
    <t>##9.25##</t>
  </si>
  <si>
    <t>##9.27##</t>
  </si>
  <si>
    <t>Excel Location (Row,Col): (65,3)</t>
  </si>
  <si>
    <t>Excel Location (Row,Col): (74,3)</t>
  </si>
  <si>
    <t>Blah</t>
  </si>
  <si>
    <t>Name: Blah</t>
  </si>
  <si>
    <t>Bla</t>
  </si>
  <si>
    <t>Blah plate deactivated</t>
  </si>
  <si>
    <t>Carrier14_Pos4_96WellPCRPlate200uL_1mLChannel</t>
  </si>
  <si>
    <t>Carrier14_Pos4_Lid_200uL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</si>
</sst>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7AA534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9" fillId="0" borderId="1" xfId="0" applyFont="1" applyBorder="1"/>
    <xf numFmtId="49" fontId="0" fillId="0" borderId="6" xfId="0" applyNumberFormat="1" applyBorder="1"/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0" fillId="0" borderId="0" xfId="0" applyBorder="1"/>
    <xf numFmtId="0" fontId="0" fillId="0" borderId="6" xfId="0" applyBorder="1"/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13" xfId="0" applyFont="1" applyBorder="1"/>
    <xf numFmtId="0" fontId="2" fillId="2" borderId="14" xfId="0" applyFont="1" applyFill="1" applyBorder="1" applyAlignment="1">
      <alignment horizontal="left" vertical="center"/>
    </xf>
    <xf numFmtId="0" fontId="2" fillId="2" borderId="15" xfId="0" applyFont="1" applyFill="1" applyBorder="1" applyAlignment="1">
      <alignment horizontal="left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left" vertical="center"/>
    </xf>
    <xf numFmtId="0" fontId="2" fillId="6" borderId="15" xfId="0" applyFont="1" applyFill="1" applyBorder="1" applyAlignment="1">
      <alignment horizontal="left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left" vertical="center"/>
    </xf>
    <xf numFmtId="0" fontId="2" fillId="4" borderId="15" xfId="0" applyFont="1" applyFill="1" applyBorder="1" applyAlignment="1">
      <alignment horizontal="left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 wrapText="1"/>
    </xf>
    <xf numFmtId="0" fontId="2" fillId="4" borderId="16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left" vertical="center"/>
    </xf>
    <xf numFmtId="0" fontId="2" fillId="5" borderId="15" xfId="0" applyFont="1" applyFill="1" applyBorder="1" applyAlignment="1">
      <alignment horizontal="left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0" fillId="0" borderId="13" xfId="0" applyBorder="1"/>
    <xf numFmtId="0" fontId="0" fillId="0" borderId="1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13</xdr:col>
      <xdr:colOff>47009</xdr:colOff>
      <xdr:row>29</xdr:row>
      <xdr:rowOff>151686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EA8355-7709-4F6A-A840-FBFEE4721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34575" y="20002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99201A0-0E83-4327-B724-9528CB8C8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20975" y="200025"/>
          <a:ext cx="4790476" cy="44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95250</xdr:rowOff>
        </xdr:from>
        <xdr:to>
          <xdr:col>15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6</xdr:row>
          <xdr:rowOff>66675</xdr:rowOff>
        </xdr:from>
        <xdr:to>
          <xdr:col>15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AE13D-84C5-410E-B1BD-A7DFE61DDCCA}">
  <dimension ref="B1:D306"/>
  <sheetViews>
    <sheetView topLeftCell="A151" workbookViewId="0">
      <selection activeCell="C171" sqref="C171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</cols>
  <sheetData>
    <row r="1" spans="2:4" ht="15.75" thickBot="1" x14ac:dyDescent="0.3"/>
    <row r="2" spans="2:4" ht="23.25" x14ac:dyDescent="0.35">
      <c r="B2" s="50" t="s">
        <v>60</v>
      </c>
      <c r="C2" s="18" t="s">
        <v>30</v>
      </c>
      <c r="D2" s="25"/>
    </row>
    <row r="3" spans="2:4" x14ac:dyDescent="0.25">
      <c r="B3" s="22" t="s">
        <v>61</v>
      </c>
      <c r="C3" t="b">
        <v>0</v>
      </c>
      <c r="D3" s="26"/>
    </row>
    <row r="4" spans="2:4" x14ac:dyDescent="0.25">
      <c r="B4" s="22" t="s">
        <v>62</v>
      </c>
      <c r="C4" t="s">
        <v>63</v>
      </c>
      <c r="D4" s="26"/>
    </row>
    <row r="5" spans="2:4" x14ac:dyDescent="0.25">
      <c r="B5" s="22" t="s">
        <v>64</v>
      </c>
      <c r="C5" t="b">
        <v>1</v>
      </c>
      <c r="D5" s="26"/>
    </row>
    <row r="6" spans="2:4" x14ac:dyDescent="0.25">
      <c r="B6" s="22"/>
      <c r="D6" s="26"/>
    </row>
    <row r="7" spans="2:4" x14ac:dyDescent="0.25">
      <c r="B7" s="22" t="s">
        <v>65</v>
      </c>
      <c r="C7" t="s">
        <v>0</v>
      </c>
      <c r="D7" s="26"/>
    </row>
    <row r="8" spans="2:4" x14ac:dyDescent="0.25">
      <c r="B8" s="22" t="s">
        <v>66</v>
      </c>
      <c r="C8" t="s">
        <v>67</v>
      </c>
      <c r="D8" s="26"/>
    </row>
    <row r="9" spans="2:4" x14ac:dyDescent="0.25">
      <c r="B9" s="22" t="s">
        <v>68</v>
      </c>
      <c r="D9" s="26"/>
    </row>
    <row r="10" spans="2:4" x14ac:dyDescent="0.25">
      <c r="B10" s="22" t="s">
        <v>69</v>
      </c>
      <c r="C10" t="b">
        <v>0</v>
      </c>
      <c r="D10" s="26"/>
    </row>
    <row r="11" spans="2:4" x14ac:dyDescent="0.25">
      <c r="B11" s="22"/>
      <c r="D11" s="26"/>
    </row>
    <row r="12" spans="2:4" x14ac:dyDescent="0.25">
      <c r="B12" s="22" t="s">
        <v>65</v>
      </c>
      <c r="C12" t="s">
        <v>7</v>
      </c>
      <c r="D12" s="26"/>
    </row>
    <row r="13" spans="2:4" x14ac:dyDescent="0.25">
      <c r="B13" s="22" t="s">
        <v>66</v>
      </c>
      <c r="C13" t="s">
        <v>70</v>
      </c>
      <c r="D13" s="26" t="s">
        <v>71</v>
      </c>
    </row>
    <row r="14" spans="2:4" ht="15.75" thickBot="1" x14ac:dyDescent="0.3">
      <c r="B14" s="23" t="s">
        <v>68</v>
      </c>
      <c r="C14" s="24" t="s">
        <v>3</v>
      </c>
      <c r="D14" s="27"/>
    </row>
    <row r="15" spans="2:4" x14ac:dyDescent="0.25">
      <c r="B15" s="22" t="s">
        <v>69</v>
      </c>
      <c r="C15" t="b">
        <v>0</v>
      </c>
      <c r="D15" s="26"/>
    </row>
    <row r="16" spans="2:4" ht="15.75" thickBot="1" x14ac:dyDescent="0.3"/>
    <row r="17" spans="2:4" ht="23.25" x14ac:dyDescent="0.35">
      <c r="B17" s="50" t="s">
        <v>60</v>
      </c>
      <c r="C17" s="18" t="s">
        <v>72</v>
      </c>
      <c r="D17" s="25"/>
    </row>
    <row r="18" spans="2:4" x14ac:dyDescent="0.25">
      <c r="B18" s="22" t="s">
        <v>61</v>
      </c>
      <c r="C18" t="b">
        <v>0</v>
      </c>
      <c r="D18" s="26"/>
    </row>
    <row r="19" spans="2:4" x14ac:dyDescent="0.25">
      <c r="B19" s="22" t="s">
        <v>62</v>
      </c>
      <c r="C19" t="s">
        <v>73</v>
      </c>
      <c r="D19" s="26"/>
    </row>
    <row r="20" spans="2:4" x14ac:dyDescent="0.25">
      <c r="B20" s="22" t="s">
        <v>64</v>
      </c>
      <c r="C20" t="b">
        <v>1</v>
      </c>
      <c r="D20" s="26"/>
    </row>
    <row r="21" spans="2:4" x14ac:dyDescent="0.25">
      <c r="B21" s="22"/>
      <c r="D21" s="26"/>
    </row>
    <row r="22" spans="2:4" x14ac:dyDescent="0.25">
      <c r="B22" s="22" t="s">
        <v>65</v>
      </c>
      <c r="C22" t="s">
        <v>9</v>
      </c>
      <c r="D22" s="26"/>
    </row>
    <row r="23" spans="2:4" x14ac:dyDescent="0.25">
      <c r="B23" s="22" t="s">
        <v>66</v>
      </c>
      <c r="C23" t="s">
        <v>67</v>
      </c>
      <c r="D23" s="26"/>
    </row>
    <row r="24" spans="2:4" x14ac:dyDescent="0.25">
      <c r="B24" s="22" t="s">
        <v>68</v>
      </c>
      <c r="D24" s="26"/>
    </row>
    <row r="25" spans="2:4" x14ac:dyDescent="0.25">
      <c r="B25" s="22" t="s">
        <v>69</v>
      </c>
      <c r="C25" t="b">
        <v>0</v>
      </c>
      <c r="D25" s="26"/>
    </row>
    <row r="26" spans="2:4" x14ac:dyDescent="0.25">
      <c r="B26" s="22"/>
      <c r="D26" s="26"/>
    </row>
    <row r="27" spans="2:4" x14ac:dyDescent="0.25">
      <c r="B27" s="22" t="s">
        <v>65</v>
      </c>
      <c r="C27" t="s">
        <v>10</v>
      </c>
      <c r="D27" s="26"/>
    </row>
    <row r="28" spans="2:4" x14ac:dyDescent="0.25">
      <c r="B28" s="22" t="s">
        <v>66</v>
      </c>
      <c r="C28" t="s">
        <v>67</v>
      </c>
      <c r="D28" s="26"/>
    </row>
    <row r="29" spans="2:4" x14ac:dyDescent="0.25">
      <c r="B29" s="22" t="s">
        <v>68</v>
      </c>
      <c r="C29" t="s">
        <v>11</v>
      </c>
      <c r="D29" s="26"/>
    </row>
    <row r="30" spans="2:4" x14ac:dyDescent="0.25">
      <c r="B30" s="22" t="s">
        <v>69</v>
      </c>
      <c r="C30" t="b">
        <v>0</v>
      </c>
      <c r="D30" s="26"/>
    </row>
    <row r="31" spans="2:4" x14ac:dyDescent="0.25">
      <c r="B31" s="22"/>
      <c r="D31" s="26"/>
    </row>
    <row r="32" spans="2:4" x14ac:dyDescent="0.25">
      <c r="B32" s="22" t="s">
        <v>65</v>
      </c>
      <c r="C32" t="s">
        <v>12</v>
      </c>
      <c r="D32" s="26"/>
    </row>
    <row r="33" spans="2:4" x14ac:dyDescent="0.25">
      <c r="B33" s="22" t="s">
        <v>66</v>
      </c>
      <c r="C33" t="s">
        <v>67</v>
      </c>
      <c r="D33" s="26"/>
    </row>
    <row r="34" spans="2:4" ht="15.75" thickBot="1" x14ac:dyDescent="0.3">
      <c r="B34" s="23" t="s">
        <v>68</v>
      </c>
      <c r="C34" s="24" t="s">
        <v>13</v>
      </c>
      <c r="D34" s="27"/>
    </row>
    <row r="35" spans="2:4" x14ac:dyDescent="0.25">
      <c r="B35" s="22" t="s">
        <v>69</v>
      </c>
      <c r="C35" t="b">
        <v>0</v>
      </c>
      <c r="D35" s="26"/>
    </row>
    <row r="36" spans="2:4" ht="15.75" thickBot="1" x14ac:dyDescent="0.3"/>
    <row r="37" spans="2:4" ht="23.25" x14ac:dyDescent="0.35">
      <c r="B37" s="50" t="s">
        <v>60</v>
      </c>
      <c r="C37" s="18" t="s">
        <v>74</v>
      </c>
      <c r="D37" s="25"/>
    </row>
    <row r="38" spans="2:4" x14ac:dyDescent="0.25">
      <c r="B38" s="22" t="s">
        <v>61</v>
      </c>
      <c r="C38" t="b">
        <v>0</v>
      </c>
      <c r="D38" s="26"/>
    </row>
    <row r="39" spans="2:4" x14ac:dyDescent="0.25">
      <c r="B39" s="22" t="s">
        <v>62</v>
      </c>
      <c r="C39" t="s">
        <v>75</v>
      </c>
      <c r="D39" s="26"/>
    </row>
    <row r="40" spans="2:4" x14ac:dyDescent="0.25">
      <c r="B40" s="22" t="s">
        <v>64</v>
      </c>
      <c r="C40" t="b">
        <v>1</v>
      </c>
      <c r="D40" s="26"/>
    </row>
    <row r="41" spans="2:4" x14ac:dyDescent="0.25">
      <c r="B41" s="22"/>
      <c r="D41" s="26"/>
    </row>
    <row r="42" spans="2:4" x14ac:dyDescent="0.25">
      <c r="B42" s="22" t="s">
        <v>65</v>
      </c>
      <c r="C42" t="s">
        <v>76</v>
      </c>
      <c r="D42" s="26"/>
    </row>
    <row r="43" spans="2:4" x14ac:dyDescent="0.25">
      <c r="B43" s="22" t="s">
        <v>66</v>
      </c>
      <c r="C43" t="s">
        <v>67</v>
      </c>
      <c r="D43" s="26"/>
    </row>
    <row r="44" spans="2:4" x14ac:dyDescent="0.25">
      <c r="B44" s="22" t="s">
        <v>68</v>
      </c>
      <c r="D44" s="26"/>
    </row>
    <row r="45" spans="2:4" x14ac:dyDescent="0.25">
      <c r="B45" s="22" t="s">
        <v>69</v>
      </c>
      <c r="C45" t="b">
        <v>0</v>
      </c>
      <c r="D45" s="26"/>
    </row>
    <row r="46" spans="2:4" x14ac:dyDescent="0.25">
      <c r="B46" s="22"/>
      <c r="D46" s="26"/>
    </row>
    <row r="47" spans="2:4" x14ac:dyDescent="0.25">
      <c r="B47" s="22" t="s">
        <v>65</v>
      </c>
      <c r="C47" t="s">
        <v>77</v>
      </c>
      <c r="D47" s="26"/>
    </row>
    <row r="48" spans="2:4" x14ac:dyDescent="0.25">
      <c r="B48" s="22" t="s">
        <v>66</v>
      </c>
      <c r="C48" t="s">
        <v>70</v>
      </c>
      <c r="D48" s="26" t="s">
        <v>78</v>
      </c>
    </row>
    <row r="49" spans="2:4" ht="15.75" thickBot="1" x14ac:dyDescent="0.3">
      <c r="B49" s="23" t="s">
        <v>68</v>
      </c>
      <c r="C49" s="24" t="s">
        <v>21</v>
      </c>
      <c r="D49" s="27"/>
    </row>
    <row r="50" spans="2:4" x14ac:dyDescent="0.25">
      <c r="B50" s="22" t="s">
        <v>69</v>
      </c>
      <c r="C50" t="b">
        <v>0</v>
      </c>
      <c r="D50" s="26"/>
    </row>
    <row r="51" spans="2:4" ht="15.75" thickBot="1" x14ac:dyDescent="0.3"/>
    <row r="52" spans="2:4" ht="23.25" x14ac:dyDescent="0.35">
      <c r="B52" s="50" t="s">
        <v>60</v>
      </c>
      <c r="C52" s="18" t="s">
        <v>79</v>
      </c>
      <c r="D52" s="25"/>
    </row>
    <row r="53" spans="2:4" x14ac:dyDescent="0.25">
      <c r="B53" s="22" t="s">
        <v>61</v>
      </c>
      <c r="C53" t="b">
        <v>0</v>
      </c>
      <c r="D53" s="26"/>
    </row>
    <row r="54" spans="2:4" x14ac:dyDescent="0.25">
      <c r="B54" s="22" t="s">
        <v>62</v>
      </c>
      <c r="C54" t="s">
        <v>63</v>
      </c>
      <c r="D54" s="26"/>
    </row>
    <row r="55" spans="2:4" x14ac:dyDescent="0.25">
      <c r="B55" s="22" t="s">
        <v>64</v>
      </c>
      <c r="C55" t="b">
        <v>1</v>
      </c>
      <c r="D55" s="26"/>
    </row>
    <row r="56" spans="2:4" ht="15.75" thickBot="1" x14ac:dyDescent="0.3">
      <c r="B56" s="23"/>
      <c r="C56" s="24"/>
      <c r="D56" s="27"/>
    </row>
    <row r="57" spans="2:4" ht="15.75" thickBot="1" x14ac:dyDescent="0.3"/>
    <row r="58" spans="2:4" ht="23.25" x14ac:dyDescent="0.35">
      <c r="B58" s="50" t="s">
        <v>60</v>
      </c>
      <c r="C58" s="18" t="s">
        <v>80</v>
      </c>
      <c r="D58" s="25"/>
    </row>
    <row r="59" spans="2:4" x14ac:dyDescent="0.25">
      <c r="B59" s="22" t="s">
        <v>61</v>
      </c>
      <c r="C59" t="b">
        <v>1</v>
      </c>
      <c r="D59" s="26"/>
    </row>
    <row r="60" spans="2:4" x14ac:dyDescent="0.25">
      <c r="B60" s="22" t="s">
        <v>62</v>
      </c>
      <c r="C60" t="s">
        <v>81</v>
      </c>
      <c r="D60" s="26"/>
    </row>
    <row r="61" spans="2:4" x14ac:dyDescent="0.25">
      <c r="B61" s="22" t="s">
        <v>64</v>
      </c>
      <c r="C61" t="b">
        <v>1</v>
      </c>
      <c r="D61" s="26"/>
    </row>
    <row r="62" spans="2:4" x14ac:dyDescent="0.25">
      <c r="B62" s="22"/>
      <c r="D62" s="26"/>
    </row>
    <row r="63" spans="2:4" x14ac:dyDescent="0.25">
      <c r="B63" s="22" t="s">
        <v>65</v>
      </c>
      <c r="C63" t="s">
        <v>14</v>
      </c>
      <c r="D63" s="26"/>
    </row>
    <row r="64" spans="2:4" x14ac:dyDescent="0.25">
      <c r="B64" s="22" t="s">
        <v>66</v>
      </c>
      <c r="C64" t="s">
        <v>67</v>
      </c>
      <c r="D64" s="26"/>
    </row>
    <row r="65" spans="2:4" x14ac:dyDescent="0.25">
      <c r="B65" s="22" t="s">
        <v>68</v>
      </c>
      <c r="D65" s="26"/>
    </row>
    <row r="66" spans="2:4" x14ac:dyDescent="0.25">
      <c r="B66" s="22" t="s">
        <v>69</v>
      </c>
      <c r="C66" t="b">
        <v>1</v>
      </c>
      <c r="D66" s="26"/>
    </row>
    <row r="67" spans="2:4" x14ac:dyDescent="0.25">
      <c r="B67" s="22"/>
      <c r="D67" s="26"/>
    </row>
    <row r="68" spans="2:4" x14ac:dyDescent="0.25">
      <c r="B68" s="22" t="s">
        <v>65</v>
      </c>
      <c r="C68" t="s">
        <v>15</v>
      </c>
      <c r="D68" s="26"/>
    </row>
    <row r="69" spans="2:4" x14ac:dyDescent="0.25">
      <c r="B69" s="22" t="s">
        <v>66</v>
      </c>
      <c r="C69" t="s">
        <v>70</v>
      </c>
      <c r="D69" s="26" t="s">
        <v>82</v>
      </c>
    </row>
    <row r="70" spans="2:4" x14ac:dyDescent="0.25">
      <c r="B70" s="22" t="s">
        <v>68</v>
      </c>
      <c r="C70" t="s">
        <v>16</v>
      </c>
      <c r="D70" s="26"/>
    </row>
    <row r="71" spans="2:4" x14ac:dyDescent="0.25">
      <c r="B71" s="22" t="s">
        <v>69</v>
      </c>
      <c r="C71" t="b">
        <v>0</v>
      </c>
      <c r="D71" s="26"/>
    </row>
    <row r="72" spans="2:4" x14ac:dyDescent="0.25">
      <c r="B72" s="22"/>
      <c r="D72" s="26"/>
    </row>
    <row r="73" spans="2:4" x14ac:dyDescent="0.25">
      <c r="B73" s="22" t="s">
        <v>65</v>
      </c>
      <c r="C73" t="s">
        <v>17</v>
      </c>
      <c r="D73" s="26"/>
    </row>
    <row r="74" spans="2:4" x14ac:dyDescent="0.25">
      <c r="B74" s="22" t="s">
        <v>66</v>
      </c>
      <c r="C74" t="s">
        <v>70</v>
      </c>
      <c r="D74" s="26" t="s">
        <v>83</v>
      </c>
    </row>
    <row r="75" spans="2:4" x14ac:dyDescent="0.25">
      <c r="B75" s="22" t="s">
        <v>68</v>
      </c>
      <c r="C75" t="s">
        <v>18</v>
      </c>
      <c r="D75" s="26"/>
    </row>
    <row r="76" spans="2:4" x14ac:dyDescent="0.25">
      <c r="B76" s="22" t="s">
        <v>69</v>
      </c>
      <c r="C76" t="b">
        <v>0</v>
      </c>
      <c r="D76" s="26"/>
    </row>
    <row r="77" spans="2:4" x14ac:dyDescent="0.25">
      <c r="B77" s="22"/>
      <c r="D77" s="26"/>
    </row>
    <row r="78" spans="2:4" x14ac:dyDescent="0.25">
      <c r="B78" s="22" t="s">
        <v>65</v>
      </c>
      <c r="C78" t="s">
        <v>19</v>
      </c>
      <c r="D78" s="26"/>
    </row>
    <row r="79" spans="2:4" x14ac:dyDescent="0.25">
      <c r="B79" s="22" t="s">
        <v>66</v>
      </c>
      <c r="C79" t="s">
        <v>67</v>
      </c>
      <c r="D79" s="26"/>
    </row>
    <row r="80" spans="2:4" x14ac:dyDescent="0.25">
      <c r="B80" s="22" t="s">
        <v>68</v>
      </c>
      <c r="D80" s="26"/>
    </row>
    <row r="81" spans="2:4" x14ac:dyDescent="0.25">
      <c r="B81" s="22" t="s">
        <v>69</v>
      </c>
      <c r="C81" t="b">
        <v>0</v>
      </c>
      <c r="D81" s="26"/>
    </row>
    <row r="82" spans="2:4" x14ac:dyDescent="0.25">
      <c r="B82" s="22"/>
      <c r="D82" s="26"/>
    </row>
    <row r="83" spans="2:4" x14ac:dyDescent="0.25">
      <c r="B83" s="22" t="s">
        <v>65</v>
      </c>
      <c r="C83" t="s">
        <v>20</v>
      </c>
      <c r="D83" s="26"/>
    </row>
    <row r="84" spans="2:4" x14ac:dyDescent="0.25">
      <c r="B84" s="22" t="s">
        <v>66</v>
      </c>
      <c r="C84" t="s">
        <v>70</v>
      </c>
      <c r="D84" s="26" t="s">
        <v>78</v>
      </c>
    </row>
    <row r="85" spans="2:4" ht="15.75" thickBot="1" x14ac:dyDescent="0.3">
      <c r="B85" s="23" t="s">
        <v>68</v>
      </c>
      <c r="C85" s="24" t="s">
        <v>21</v>
      </c>
      <c r="D85" s="27"/>
    </row>
    <row r="86" spans="2:4" x14ac:dyDescent="0.25">
      <c r="B86" s="22" t="s">
        <v>69</v>
      </c>
      <c r="C86" t="b">
        <v>0</v>
      </c>
      <c r="D86" s="26"/>
    </row>
    <row r="87" spans="2:4" ht="15.75" thickBot="1" x14ac:dyDescent="0.3"/>
    <row r="88" spans="2:4" ht="23.25" x14ac:dyDescent="0.35">
      <c r="B88" s="50" t="s">
        <v>60</v>
      </c>
      <c r="C88" s="18" t="s">
        <v>84</v>
      </c>
      <c r="D88" s="25"/>
    </row>
    <row r="89" spans="2:4" x14ac:dyDescent="0.25">
      <c r="B89" s="22" t="s">
        <v>61</v>
      </c>
      <c r="C89" t="b">
        <v>1</v>
      </c>
      <c r="D89" s="26"/>
    </row>
    <row r="90" spans="2:4" x14ac:dyDescent="0.25">
      <c r="B90" s="22" t="s">
        <v>62</v>
      </c>
      <c r="C90" t="s">
        <v>85</v>
      </c>
      <c r="D90" s="26"/>
    </row>
    <row r="91" spans="2:4" x14ac:dyDescent="0.25">
      <c r="B91" s="22" t="s">
        <v>64</v>
      </c>
      <c r="C91" t="b">
        <v>1</v>
      </c>
      <c r="D91" s="26"/>
    </row>
    <row r="92" spans="2:4" x14ac:dyDescent="0.25">
      <c r="B92" s="22"/>
      <c r="D92" s="26"/>
    </row>
    <row r="93" spans="2:4" x14ac:dyDescent="0.25">
      <c r="B93" s="22" t="s">
        <v>65</v>
      </c>
      <c r="C93" t="s">
        <v>14</v>
      </c>
      <c r="D93" s="26"/>
    </row>
    <row r="94" spans="2:4" x14ac:dyDescent="0.25">
      <c r="B94" s="22" t="s">
        <v>66</v>
      </c>
      <c r="C94" t="s">
        <v>67</v>
      </c>
      <c r="D94" s="26"/>
    </row>
    <row r="95" spans="2:4" x14ac:dyDescent="0.25">
      <c r="B95" s="22" t="s">
        <v>68</v>
      </c>
      <c r="D95" s="26"/>
    </row>
    <row r="96" spans="2:4" x14ac:dyDescent="0.25">
      <c r="B96" s="22" t="s">
        <v>69</v>
      </c>
      <c r="C96" t="b">
        <v>1</v>
      </c>
      <c r="D96" s="26"/>
    </row>
    <row r="97" spans="2:4" x14ac:dyDescent="0.25">
      <c r="B97" s="22"/>
      <c r="D97" s="26"/>
    </row>
    <row r="98" spans="2:4" x14ac:dyDescent="0.25">
      <c r="B98" s="22" t="s">
        <v>65</v>
      </c>
      <c r="C98" t="s">
        <v>31</v>
      </c>
      <c r="D98" s="26"/>
    </row>
    <row r="99" spans="2:4" x14ac:dyDescent="0.25">
      <c r="B99" s="22" t="s">
        <v>66</v>
      </c>
      <c r="C99" t="s">
        <v>67</v>
      </c>
      <c r="D99" s="26"/>
    </row>
    <row r="100" spans="2:4" x14ac:dyDescent="0.25">
      <c r="B100" s="22" t="s">
        <v>68</v>
      </c>
      <c r="D100" s="26"/>
    </row>
    <row r="101" spans="2:4" x14ac:dyDescent="0.25">
      <c r="B101" s="22" t="s">
        <v>69</v>
      </c>
      <c r="C101" t="b">
        <v>1</v>
      </c>
      <c r="D101" s="26"/>
    </row>
    <row r="102" spans="2:4" x14ac:dyDescent="0.25">
      <c r="B102" s="22"/>
      <c r="D102" s="26"/>
    </row>
    <row r="103" spans="2:4" x14ac:dyDescent="0.25">
      <c r="B103" s="22" t="s">
        <v>65</v>
      </c>
      <c r="C103" t="s">
        <v>86</v>
      </c>
      <c r="D103" s="26"/>
    </row>
    <row r="104" spans="2:4" x14ac:dyDescent="0.25">
      <c r="B104" s="22" t="s">
        <v>66</v>
      </c>
      <c r="C104" t="s">
        <v>67</v>
      </c>
      <c r="D104" s="26"/>
    </row>
    <row r="105" spans="2:4" x14ac:dyDescent="0.25">
      <c r="B105" s="22" t="s">
        <v>68</v>
      </c>
      <c r="D105" s="26"/>
    </row>
    <row r="106" spans="2:4" x14ac:dyDescent="0.25">
      <c r="B106" s="22" t="s">
        <v>69</v>
      </c>
      <c r="C106" t="b">
        <v>0</v>
      </c>
      <c r="D106" s="26"/>
    </row>
    <row r="107" spans="2:4" x14ac:dyDescent="0.25">
      <c r="B107" s="22"/>
      <c r="D107" s="26"/>
    </row>
    <row r="108" spans="2:4" x14ac:dyDescent="0.25">
      <c r="B108" s="22" t="s">
        <v>65</v>
      </c>
      <c r="C108" t="s">
        <v>87</v>
      </c>
      <c r="D108" s="26"/>
    </row>
    <row r="109" spans="2:4" x14ac:dyDescent="0.25">
      <c r="B109" s="22" t="s">
        <v>66</v>
      </c>
      <c r="C109" t="s">
        <v>67</v>
      </c>
      <c r="D109" s="26"/>
    </row>
    <row r="110" spans="2:4" x14ac:dyDescent="0.25">
      <c r="B110" s="22" t="s">
        <v>68</v>
      </c>
      <c r="D110" s="26"/>
    </row>
    <row r="111" spans="2:4" x14ac:dyDescent="0.25">
      <c r="B111" s="22" t="s">
        <v>69</v>
      </c>
      <c r="C111" t="b">
        <v>0</v>
      </c>
      <c r="D111" s="26"/>
    </row>
    <row r="112" spans="2:4" x14ac:dyDescent="0.25">
      <c r="B112" s="22"/>
      <c r="D112" s="26"/>
    </row>
    <row r="113" spans="2:4" x14ac:dyDescent="0.25">
      <c r="B113" s="22" t="s">
        <v>65</v>
      </c>
      <c r="C113" t="s">
        <v>88</v>
      </c>
      <c r="D113" s="26"/>
    </row>
    <row r="114" spans="2:4" x14ac:dyDescent="0.25">
      <c r="B114" s="22" t="s">
        <v>66</v>
      </c>
      <c r="C114" t="s">
        <v>67</v>
      </c>
      <c r="D114" s="26"/>
    </row>
    <row r="115" spans="2:4" x14ac:dyDescent="0.25">
      <c r="B115" s="22" t="s">
        <v>68</v>
      </c>
      <c r="D115" s="26"/>
    </row>
    <row r="116" spans="2:4" x14ac:dyDescent="0.25">
      <c r="B116" s="22" t="s">
        <v>69</v>
      </c>
      <c r="C116" t="b">
        <v>0</v>
      </c>
      <c r="D116" s="26"/>
    </row>
    <row r="117" spans="2:4" x14ac:dyDescent="0.25">
      <c r="B117" s="22"/>
      <c r="D117" s="26"/>
    </row>
    <row r="118" spans="2:4" x14ac:dyDescent="0.25">
      <c r="B118" s="22" t="s">
        <v>65</v>
      </c>
      <c r="C118" t="s">
        <v>89</v>
      </c>
      <c r="D118" s="26"/>
    </row>
    <row r="119" spans="2:4" x14ac:dyDescent="0.25">
      <c r="B119" s="22" t="s">
        <v>66</v>
      </c>
      <c r="C119" t="s">
        <v>67</v>
      </c>
      <c r="D119" s="26"/>
    </row>
    <row r="120" spans="2:4" ht="15.75" thickBot="1" x14ac:dyDescent="0.3">
      <c r="B120" s="23" t="s">
        <v>68</v>
      </c>
      <c r="C120" s="24"/>
      <c r="D120" s="27"/>
    </row>
    <row r="121" spans="2:4" x14ac:dyDescent="0.25">
      <c r="B121" s="22" t="s">
        <v>69</v>
      </c>
      <c r="C121" t="b">
        <v>0</v>
      </c>
      <c r="D121" s="26"/>
    </row>
    <row r="122" spans="2:4" ht="15.75" thickBot="1" x14ac:dyDescent="0.3"/>
    <row r="123" spans="2:4" ht="23.25" x14ac:dyDescent="0.35">
      <c r="B123" s="50" t="s">
        <v>60</v>
      </c>
      <c r="C123" s="18" t="s">
        <v>90</v>
      </c>
      <c r="D123" s="25"/>
    </row>
    <row r="124" spans="2:4" x14ac:dyDescent="0.25">
      <c r="B124" s="22" t="s">
        <v>61</v>
      </c>
      <c r="C124" t="b">
        <v>1</v>
      </c>
      <c r="D124" s="26"/>
    </row>
    <row r="125" spans="2:4" x14ac:dyDescent="0.25">
      <c r="B125" s="22" t="s">
        <v>62</v>
      </c>
      <c r="C125" t="s">
        <v>91</v>
      </c>
      <c r="D125" s="26"/>
    </row>
    <row r="126" spans="2:4" x14ac:dyDescent="0.25">
      <c r="B126" s="22" t="s">
        <v>64</v>
      </c>
      <c r="C126" t="b">
        <v>1</v>
      </c>
      <c r="D126" s="26"/>
    </row>
    <row r="127" spans="2:4" x14ac:dyDescent="0.25">
      <c r="B127" s="22"/>
      <c r="D127" s="26"/>
    </row>
    <row r="128" spans="2:4" x14ac:dyDescent="0.25">
      <c r="B128" s="22" t="s">
        <v>65</v>
      </c>
      <c r="C128" t="s">
        <v>32</v>
      </c>
      <c r="D128" s="26"/>
    </row>
    <row r="129" spans="2:4" x14ac:dyDescent="0.25">
      <c r="B129" s="22" t="s">
        <v>66</v>
      </c>
      <c r="C129" t="s">
        <v>92</v>
      </c>
      <c r="D129" s="26" t="s">
        <v>93</v>
      </c>
    </row>
    <row r="130" spans="2:4" x14ac:dyDescent="0.25">
      <c r="B130" s="22" t="s">
        <v>68</v>
      </c>
      <c r="C130" t="s">
        <v>18</v>
      </c>
      <c r="D130" s="26"/>
    </row>
    <row r="131" spans="2:4" x14ac:dyDescent="0.25">
      <c r="B131" s="22" t="s">
        <v>69</v>
      </c>
      <c r="C131" t="b">
        <v>0</v>
      </c>
      <c r="D131" s="26"/>
    </row>
    <row r="132" spans="2:4" x14ac:dyDescent="0.25">
      <c r="B132" s="22"/>
      <c r="D132" s="26"/>
    </row>
    <row r="133" spans="2:4" x14ac:dyDescent="0.25">
      <c r="B133" s="22" t="s">
        <v>65</v>
      </c>
      <c r="C133" t="s">
        <v>33</v>
      </c>
      <c r="D133" s="26"/>
    </row>
    <row r="134" spans="2:4" x14ac:dyDescent="0.25">
      <c r="B134" s="22" t="s">
        <v>66</v>
      </c>
      <c r="C134" t="s">
        <v>67</v>
      </c>
      <c r="D134" s="26"/>
    </row>
    <row r="135" spans="2:4" x14ac:dyDescent="0.25">
      <c r="B135" s="22" t="s">
        <v>68</v>
      </c>
      <c r="D135" s="26"/>
    </row>
    <row r="136" spans="2:4" x14ac:dyDescent="0.25">
      <c r="B136" s="22" t="s">
        <v>69</v>
      </c>
      <c r="C136" t="b">
        <v>0</v>
      </c>
      <c r="D136" s="26"/>
    </row>
    <row r="137" spans="2:4" x14ac:dyDescent="0.25">
      <c r="B137" s="22"/>
      <c r="D137" s="26"/>
    </row>
    <row r="138" spans="2:4" x14ac:dyDescent="0.25">
      <c r="B138" s="22" t="s">
        <v>65</v>
      </c>
      <c r="C138" t="s">
        <v>34</v>
      </c>
      <c r="D138" s="26"/>
    </row>
    <row r="139" spans="2:4" x14ac:dyDescent="0.25">
      <c r="B139" s="22" t="s">
        <v>66</v>
      </c>
      <c r="C139" t="s">
        <v>67</v>
      </c>
      <c r="D139" s="26"/>
    </row>
    <row r="140" spans="2:4" ht="15.75" thickBot="1" x14ac:dyDescent="0.3">
      <c r="B140" s="23" t="s">
        <v>68</v>
      </c>
      <c r="C140" s="24">
        <v>0</v>
      </c>
      <c r="D140" s="27"/>
    </row>
    <row r="141" spans="2:4" x14ac:dyDescent="0.25">
      <c r="B141" s="22" t="s">
        <v>69</v>
      </c>
      <c r="C141" t="b">
        <v>0</v>
      </c>
      <c r="D141" s="26"/>
    </row>
    <row r="142" spans="2:4" ht="15.75" thickBot="1" x14ac:dyDescent="0.3"/>
    <row r="143" spans="2:4" ht="23.25" x14ac:dyDescent="0.35">
      <c r="B143" s="50" t="s">
        <v>60</v>
      </c>
      <c r="C143" s="18" t="s">
        <v>94</v>
      </c>
      <c r="D143" s="25"/>
    </row>
    <row r="144" spans="2:4" x14ac:dyDescent="0.25">
      <c r="B144" s="22" t="s">
        <v>61</v>
      </c>
      <c r="C144" t="b">
        <v>1</v>
      </c>
      <c r="D144" s="26"/>
    </row>
    <row r="145" spans="2:4" x14ac:dyDescent="0.25">
      <c r="B145" s="22" t="s">
        <v>62</v>
      </c>
      <c r="C145" t="s">
        <v>95</v>
      </c>
      <c r="D145" s="26"/>
    </row>
    <row r="146" spans="2:4" x14ac:dyDescent="0.25">
      <c r="B146" s="22" t="s">
        <v>64</v>
      </c>
      <c r="C146" t="b">
        <v>1</v>
      </c>
      <c r="D146" s="26"/>
    </row>
    <row r="147" spans="2:4" x14ac:dyDescent="0.25">
      <c r="B147" s="22"/>
      <c r="D147" s="26"/>
    </row>
    <row r="148" spans="2:4" x14ac:dyDescent="0.25">
      <c r="B148" s="22" t="s">
        <v>65</v>
      </c>
      <c r="C148" t="s">
        <v>14</v>
      </c>
      <c r="D148" s="26"/>
    </row>
    <row r="149" spans="2:4" x14ac:dyDescent="0.25">
      <c r="B149" s="22" t="s">
        <v>66</v>
      </c>
      <c r="C149" t="s">
        <v>67</v>
      </c>
      <c r="D149" s="26"/>
    </row>
    <row r="150" spans="2:4" x14ac:dyDescent="0.25">
      <c r="B150" s="22" t="s">
        <v>68</v>
      </c>
      <c r="D150" s="26"/>
    </row>
    <row r="151" spans="2:4" x14ac:dyDescent="0.25">
      <c r="B151" s="22" t="s">
        <v>69</v>
      </c>
      <c r="C151" t="b">
        <v>1</v>
      </c>
      <c r="D151" s="26"/>
    </row>
    <row r="152" spans="2:4" x14ac:dyDescent="0.25">
      <c r="B152" s="22"/>
      <c r="D152" s="26"/>
    </row>
    <row r="153" spans="2:4" x14ac:dyDescent="0.25">
      <c r="B153" s="22" t="s">
        <v>65</v>
      </c>
      <c r="C153" t="s">
        <v>96</v>
      </c>
      <c r="D153" s="26"/>
    </row>
    <row r="154" spans="2:4" x14ac:dyDescent="0.25">
      <c r="B154" s="22" t="s">
        <v>66</v>
      </c>
      <c r="C154" t="s">
        <v>67</v>
      </c>
      <c r="D154" s="26"/>
    </row>
    <row r="155" spans="2:4" x14ac:dyDescent="0.25">
      <c r="B155" s="22" t="s">
        <v>68</v>
      </c>
      <c r="D155" s="26"/>
    </row>
    <row r="156" spans="2:4" x14ac:dyDescent="0.25">
      <c r="B156" s="22" t="s">
        <v>69</v>
      </c>
      <c r="C156" t="b">
        <v>0</v>
      </c>
      <c r="D156" s="26"/>
    </row>
    <row r="157" spans="2:4" x14ac:dyDescent="0.25">
      <c r="B157" s="22"/>
      <c r="D157" s="26"/>
    </row>
    <row r="158" spans="2:4" x14ac:dyDescent="0.25">
      <c r="B158" s="22" t="s">
        <v>65</v>
      </c>
      <c r="C158" t="s">
        <v>97</v>
      </c>
      <c r="D158" s="26"/>
    </row>
    <row r="159" spans="2:4" x14ac:dyDescent="0.25">
      <c r="B159" s="22" t="s">
        <v>66</v>
      </c>
      <c r="C159" t="s">
        <v>67</v>
      </c>
      <c r="D159" s="26"/>
    </row>
    <row r="160" spans="2:4" x14ac:dyDescent="0.25">
      <c r="B160" s="22" t="s">
        <v>68</v>
      </c>
      <c r="D160" s="26"/>
    </row>
    <row r="161" spans="2:4" x14ac:dyDescent="0.25">
      <c r="B161" s="22" t="s">
        <v>69</v>
      </c>
      <c r="C161" t="b">
        <v>1</v>
      </c>
      <c r="D161" s="26"/>
    </row>
    <row r="162" spans="2:4" x14ac:dyDescent="0.25">
      <c r="B162" s="22"/>
      <c r="D162" s="26"/>
    </row>
    <row r="163" spans="2:4" x14ac:dyDescent="0.25">
      <c r="B163" s="22" t="s">
        <v>65</v>
      </c>
      <c r="C163" t="s">
        <v>35</v>
      </c>
      <c r="D163" s="26"/>
    </row>
    <row r="164" spans="2:4" x14ac:dyDescent="0.25">
      <c r="B164" s="22" t="s">
        <v>66</v>
      </c>
      <c r="C164" t="s">
        <v>70</v>
      </c>
      <c r="D164" s="19" t="s">
        <v>98</v>
      </c>
    </row>
    <row r="165" spans="2:4" ht="15.75" thickBot="1" x14ac:dyDescent="0.3">
      <c r="B165" s="23" t="s">
        <v>68</v>
      </c>
      <c r="C165" s="24"/>
      <c r="D165" s="27"/>
    </row>
    <row r="166" spans="2:4" x14ac:dyDescent="0.25">
      <c r="B166" s="22" t="s">
        <v>69</v>
      </c>
      <c r="C166" t="b">
        <v>0</v>
      </c>
      <c r="D166" s="26"/>
    </row>
    <row r="168" spans="2:4" x14ac:dyDescent="0.25">
      <c r="B168" s="22" t="s">
        <v>65</v>
      </c>
      <c r="C168" t="s">
        <v>99</v>
      </c>
      <c r="D168" s="26"/>
    </row>
    <row r="169" spans="2:4" x14ac:dyDescent="0.25">
      <c r="B169" s="22" t="s">
        <v>66</v>
      </c>
      <c r="C169" t="s">
        <v>70</v>
      </c>
      <c r="D169" s="19" t="s">
        <v>100</v>
      </c>
    </row>
    <row r="170" spans="2:4" ht="15.75" thickBot="1" x14ac:dyDescent="0.3">
      <c r="B170" s="23" t="s">
        <v>68</v>
      </c>
      <c r="C170" s="24" t="s">
        <v>132</v>
      </c>
      <c r="D170" s="27"/>
    </row>
    <row r="171" spans="2:4" x14ac:dyDescent="0.25">
      <c r="B171" s="22" t="s">
        <v>69</v>
      </c>
      <c r="C171" t="b">
        <v>0</v>
      </c>
      <c r="D171" s="26"/>
    </row>
    <row r="172" spans="2:4" ht="15.75" thickBot="1" x14ac:dyDescent="0.3"/>
    <row r="173" spans="2:4" ht="23.25" x14ac:dyDescent="0.35">
      <c r="B173" s="50" t="s">
        <v>60</v>
      </c>
      <c r="C173" s="18" t="s">
        <v>101</v>
      </c>
      <c r="D173" s="25"/>
    </row>
    <row r="174" spans="2:4" x14ac:dyDescent="0.25">
      <c r="B174" s="22" t="s">
        <v>61</v>
      </c>
      <c r="C174" t="b">
        <v>1</v>
      </c>
      <c r="D174" s="26"/>
    </row>
    <row r="175" spans="2:4" x14ac:dyDescent="0.25">
      <c r="B175" s="22" t="s">
        <v>62</v>
      </c>
      <c r="C175" t="s">
        <v>102</v>
      </c>
      <c r="D175" s="26"/>
    </row>
    <row r="176" spans="2:4" x14ac:dyDescent="0.25">
      <c r="B176" s="22" t="s">
        <v>64</v>
      </c>
      <c r="C176" t="b">
        <v>1</v>
      </c>
      <c r="D176" s="26"/>
    </row>
    <row r="177" spans="2:4" x14ac:dyDescent="0.25">
      <c r="B177" s="22"/>
      <c r="D177" s="26"/>
    </row>
    <row r="178" spans="2:4" x14ac:dyDescent="0.25">
      <c r="B178" s="22" t="s">
        <v>65</v>
      </c>
      <c r="C178" t="s">
        <v>14</v>
      </c>
      <c r="D178" s="26"/>
    </row>
    <row r="179" spans="2:4" x14ac:dyDescent="0.25">
      <c r="B179" s="22" t="s">
        <v>66</v>
      </c>
      <c r="C179" t="s">
        <v>67</v>
      </c>
      <c r="D179" s="26"/>
    </row>
    <row r="180" spans="2:4" x14ac:dyDescent="0.25">
      <c r="B180" s="22" t="s">
        <v>68</v>
      </c>
      <c r="D180" s="26"/>
    </row>
    <row r="181" spans="2:4" x14ac:dyDescent="0.25">
      <c r="B181" s="22" t="s">
        <v>69</v>
      </c>
      <c r="C181" t="b">
        <v>1</v>
      </c>
      <c r="D181" s="26"/>
    </row>
    <row r="182" spans="2:4" x14ac:dyDescent="0.25">
      <c r="B182" s="22"/>
      <c r="D182" s="26"/>
    </row>
    <row r="183" spans="2:4" x14ac:dyDescent="0.25">
      <c r="B183" s="22" t="s">
        <v>65</v>
      </c>
      <c r="C183" t="s">
        <v>19</v>
      </c>
      <c r="D183" s="26"/>
    </row>
    <row r="184" spans="2:4" x14ac:dyDescent="0.25">
      <c r="B184" s="22" t="s">
        <v>66</v>
      </c>
      <c r="C184" t="s">
        <v>67</v>
      </c>
      <c r="D184" s="26"/>
    </row>
    <row r="185" spans="2:4" x14ac:dyDescent="0.25">
      <c r="B185" s="22" t="s">
        <v>68</v>
      </c>
      <c r="D185" s="26"/>
    </row>
    <row r="186" spans="2:4" x14ac:dyDescent="0.25">
      <c r="B186" s="22" t="s">
        <v>69</v>
      </c>
      <c r="C186" t="b">
        <v>0</v>
      </c>
      <c r="D186" s="26"/>
    </row>
    <row r="187" spans="2:4" x14ac:dyDescent="0.25">
      <c r="B187" s="22"/>
      <c r="D187" s="26"/>
    </row>
    <row r="188" spans="2:4" x14ac:dyDescent="0.25">
      <c r="B188" s="22" t="s">
        <v>65</v>
      </c>
      <c r="C188" t="s">
        <v>103</v>
      </c>
      <c r="D188" s="26"/>
    </row>
    <row r="189" spans="2:4" x14ac:dyDescent="0.25">
      <c r="B189" s="22" t="s">
        <v>66</v>
      </c>
      <c r="C189" t="s">
        <v>70</v>
      </c>
      <c r="D189" s="26" t="s">
        <v>104</v>
      </c>
    </row>
    <row r="190" spans="2:4" x14ac:dyDescent="0.25">
      <c r="B190" s="22" t="s">
        <v>68</v>
      </c>
      <c r="D190" s="26"/>
    </row>
    <row r="191" spans="2:4" x14ac:dyDescent="0.25">
      <c r="B191" s="22" t="s">
        <v>69</v>
      </c>
      <c r="C191" t="b">
        <v>0</v>
      </c>
      <c r="D191" s="26"/>
    </row>
    <row r="192" spans="2:4" x14ac:dyDescent="0.25">
      <c r="B192" s="22"/>
      <c r="D192" s="26"/>
    </row>
    <row r="193" spans="2:4" x14ac:dyDescent="0.25">
      <c r="B193" s="22" t="s">
        <v>65</v>
      </c>
      <c r="C193" t="s">
        <v>105</v>
      </c>
      <c r="D193" s="26"/>
    </row>
    <row r="194" spans="2:4" x14ac:dyDescent="0.25">
      <c r="B194" s="22" t="s">
        <v>66</v>
      </c>
      <c r="C194" t="s">
        <v>67</v>
      </c>
      <c r="D194" s="26"/>
    </row>
    <row r="195" spans="2:4" x14ac:dyDescent="0.25">
      <c r="B195" s="22" t="s">
        <v>68</v>
      </c>
      <c r="D195" s="26"/>
    </row>
    <row r="196" spans="2:4" x14ac:dyDescent="0.25">
      <c r="B196" s="22" t="s">
        <v>69</v>
      </c>
      <c r="C196" t="b">
        <v>0</v>
      </c>
      <c r="D196" s="26"/>
    </row>
    <row r="197" spans="2:4" x14ac:dyDescent="0.25">
      <c r="B197" s="22"/>
      <c r="D197" s="26"/>
    </row>
    <row r="198" spans="2:4" x14ac:dyDescent="0.25">
      <c r="B198" s="22" t="s">
        <v>65</v>
      </c>
      <c r="C198" t="s">
        <v>106</v>
      </c>
      <c r="D198" s="26"/>
    </row>
    <row r="199" spans="2:4" x14ac:dyDescent="0.25">
      <c r="B199" s="22" t="s">
        <v>66</v>
      </c>
      <c r="C199" t="s">
        <v>92</v>
      </c>
      <c r="D199" s="26" t="s">
        <v>107</v>
      </c>
    </row>
    <row r="200" spans="2:4" x14ac:dyDescent="0.25">
      <c r="B200" s="22" t="s">
        <v>68</v>
      </c>
      <c r="C200" t="s">
        <v>108</v>
      </c>
      <c r="D200" s="26"/>
    </row>
    <row r="201" spans="2:4" x14ac:dyDescent="0.25">
      <c r="B201" s="22" t="s">
        <v>69</v>
      </c>
      <c r="C201" t="b">
        <v>0</v>
      </c>
      <c r="D201" s="26"/>
    </row>
    <row r="202" spans="2:4" x14ac:dyDescent="0.25">
      <c r="B202" s="22"/>
      <c r="D202" s="26"/>
    </row>
    <row r="203" spans="2:4" x14ac:dyDescent="0.25">
      <c r="B203" s="22" t="s">
        <v>65</v>
      </c>
      <c r="C203" t="s">
        <v>109</v>
      </c>
      <c r="D203" s="26"/>
    </row>
    <row r="204" spans="2:4" x14ac:dyDescent="0.25">
      <c r="B204" s="22" t="s">
        <v>66</v>
      </c>
      <c r="C204" t="s">
        <v>67</v>
      </c>
      <c r="D204" s="26"/>
    </row>
    <row r="205" spans="2:4" ht="15.75" thickBot="1" x14ac:dyDescent="0.3">
      <c r="B205" s="23" t="s">
        <v>68</v>
      </c>
      <c r="C205" s="24"/>
      <c r="D205" s="27"/>
    </row>
    <row r="206" spans="2:4" x14ac:dyDescent="0.25">
      <c r="B206" s="22" t="s">
        <v>69</v>
      </c>
      <c r="C206" t="b">
        <v>0</v>
      </c>
      <c r="D206" s="26"/>
    </row>
    <row r="207" spans="2:4" ht="15.75" thickBot="1" x14ac:dyDescent="0.3"/>
    <row r="208" spans="2:4" ht="23.25" x14ac:dyDescent="0.35">
      <c r="B208" s="50" t="s">
        <v>60</v>
      </c>
      <c r="C208" s="18" t="s">
        <v>110</v>
      </c>
      <c r="D208" s="25"/>
    </row>
    <row r="209" spans="2:4" x14ac:dyDescent="0.25">
      <c r="B209" s="22" t="s">
        <v>61</v>
      </c>
      <c r="C209" t="b">
        <v>1</v>
      </c>
      <c r="D209" s="26"/>
    </row>
    <row r="210" spans="2:4" x14ac:dyDescent="0.25">
      <c r="B210" s="22" t="s">
        <v>62</v>
      </c>
      <c r="C210" t="s">
        <v>111</v>
      </c>
      <c r="D210" s="26"/>
    </row>
    <row r="211" spans="2:4" x14ac:dyDescent="0.25">
      <c r="B211" s="22" t="s">
        <v>64</v>
      </c>
      <c r="C211" t="b">
        <v>1</v>
      </c>
      <c r="D211" s="26"/>
    </row>
    <row r="212" spans="2:4" x14ac:dyDescent="0.25">
      <c r="B212" s="22"/>
      <c r="D212" s="26"/>
    </row>
    <row r="213" spans="2:4" x14ac:dyDescent="0.25">
      <c r="B213" s="22" t="s">
        <v>65</v>
      </c>
      <c r="C213" t="s">
        <v>112</v>
      </c>
      <c r="D213" s="26"/>
    </row>
    <row r="214" spans="2:4" x14ac:dyDescent="0.25">
      <c r="B214" s="22" t="s">
        <v>66</v>
      </c>
      <c r="C214" t="s">
        <v>70</v>
      </c>
      <c r="D214" s="26" t="s">
        <v>78</v>
      </c>
    </row>
    <row r="215" spans="2:4" x14ac:dyDescent="0.25">
      <c r="B215" s="22" t="s">
        <v>68</v>
      </c>
      <c r="C215" t="s">
        <v>21</v>
      </c>
      <c r="D215" s="26"/>
    </row>
    <row r="216" spans="2:4" x14ac:dyDescent="0.25">
      <c r="B216" s="22" t="s">
        <v>69</v>
      </c>
      <c r="C216" t="b">
        <v>0</v>
      </c>
      <c r="D216" s="26"/>
    </row>
    <row r="217" spans="2:4" x14ac:dyDescent="0.25">
      <c r="B217" s="22"/>
      <c r="D217" s="26"/>
    </row>
    <row r="218" spans="2:4" x14ac:dyDescent="0.25">
      <c r="B218" s="22" t="s">
        <v>65</v>
      </c>
      <c r="C218" t="s">
        <v>113</v>
      </c>
      <c r="D218" s="26"/>
    </row>
    <row r="219" spans="2:4" x14ac:dyDescent="0.25">
      <c r="B219" s="22" t="s">
        <v>66</v>
      </c>
      <c r="C219" t="s">
        <v>67</v>
      </c>
      <c r="D219" s="26"/>
    </row>
    <row r="220" spans="2:4" x14ac:dyDescent="0.25">
      <c r="B220" s="22" t="s">
        <v>68</v>
      </c>
      <c r="D220" s="26"/>
    </row>
    <row r="221" spans="2:4" x14ac:dyDescent="0.25">
      <c r="B221" s="22" t="s">
        <v>69</v>
      </c>
      <c r="C221" t="b">
        <v>0</v>
      </c>
      <c r="D221" s="26"/>
    </row>
    <row r="222" spans="2:4" x14ac:dyDescent="0.25">
      <c r="B222" s="22"/>
      <c r="D222" s="26"/>
    </row>
    <row r="223" spans="2:4" x14ac:dyDescent="0.25">
      <c r="B223" s="22" t="s">
        <v>65</v>
      </c>
      <c r="C223" t="s">
        <v>114</v>
      </c>
      <c r="D223" s="26"/>
    </row>
    <row r="224" spans="2:4" x14ac:dyDescent="0.25">
      <c r="B224" s="22" t="s">
        <v>66</v>
      </c>
      <c r="C224" t="s">
        <v>67</v>
      </c>
      <c r="D224" s="26"/>
    </row>
    <row r="225" spans="2:4" ht="15.75" thickBot="1" x14ac:dyDescent="0.3">
      <c r="B225" s="23" t="s">
        <v>68</v>
      </c>
      <c r="C225" s="24"/>
      <c r="D225" s="27"/>
    </row>
    <row r="226" spans="2:4" x14ac:dyDescent="0.25">
      <c r="B226" s="22" t="s">
        <v>69</v>
      </c>
      <c r="C226" t="b">
        <v>0</v>
      </c>
      <c r="D226" s="26"/>
    </row>
    <row r="227" spans="2:4" ht="15.75" thickBot="1" x14ac:dyDescent="0.3"/>
    <row r="228" spans="2:4" ht="23.25" x14ac:dyDescent="0.35">
      <c r="B228" s="50" t="s">
        <v>60</v>
      </c>
      <c r="C228" s="18" t="s">
        <v>115</v>
      </c>
      <c r="D228" s="25"/>
    </row>
    <row r="229" spans="2:4" x14ac:dyDescent="0.25">
      <c r="B229" s="22" t="s">
        <v>61</v>
      </c>
      <c r="C229" t="b">
        <v>1</v>
      </c>
      <c r="D229" s="26"/>
    </row>
    <row r="230" spans="2:4" x14ac:dyDescent="0.25">
      <c r="B230" s="22" t="s">
        <v>62</v>
      </c>
      <c r="C230" t="s">
        <v>116</v>
      </c>
      <c r="D230" s="26"/>
    </row>
    <row r="231" spans="2:4" x14ac:dyDescent="0.25">
      <c r="B231" s="22" t="s">
        <v>64</v>
      </c>
      <c r="C231" t="b">
        <v>1</v>
      </c>
      <c r="D231" s="26"/>
    </row>
    <row r="232" spans="2:4" x14ac:dyDescent="0.25">
      <c r="B232" s="22"/>
      <c r="D232" s="26"/>
    </row>
    <row r="233" spans="2:4" x14ac:dyDescent="0.25">
      <c r="B233" s="22" t="s">
        <v>65</v>
      </c>
      <c r="C233" t="s">
        <v>117</v>
      </c>
      <c r="D233" s="26"/>
    </row>
    <row r="234" spans="2:4" x14ac:dyDescent="0.25">
      <c r="B234" s="22" t="s">
        <v>66</v>
      </c>
      <c r="C234" t="s">
        <v>67</v>
      </c>
      <c r="D234" s="26"/>
    </row>
    <row r="235" spans="2:4" x14ac:dyDescent="0.25">
      <c r="B235" s="22" t="s">
        <v>68</v>
      </c>
      <c r="D235" s="26"/>
    </row>
    <row r="236" spans="2:4" x14ac:dyDescent="0.25">
      <c r="B236" s="22" t="s">
        <v>69</v>
      </c>
      <c r="C236" t="b">
        <v>1</v>
      </c>
      <c r="D236" s="26"/>
    </row>
    <row r="237" spans="2:4" x14ac:dyDescent="0.25">
      <c r="B237" s="22"/>
      <c r="D237" s="26"/>
    </row>
    <row r="238" spans="2:4" x14ac:dyDescent="0.25">
      <c r="B238" s="22" t="s">
        <v>65</v>
      </c>
      <c r="C238" t="s">
        <v>118</v>
      </c>
      <c r="D238" s="26"/>
    </row>
    <row r="239" spans="2:4" x14ac:dyDescent="0.25">
      <c r="B239" s="22" t="s">
        <v>66</v>
      </c>
      <c r="C239" t="s">
        <v>67</v>
      </c>
      <c r="D239" s="26"/>
    </row>
    <row r="240" spans="2:4" x14ac:dyDescent="0.25">
      <c r="B240" s="22" t="s">
        <v>68</v>
      </c>
      <c r="D240" s="26"/>
    </row>
    <row r="241" spans="2:4" x14ac:dyDescent="0.25">
      <c r="B241" s="22" t="s">
        <v>69</v>
      </c>
      <c r="C241" t="b">
        <v>1</v>
      </c>
      <c r="D241" s="26"/>
    </row>
    <row r="242" spans="2:4" x14ac:dyDescent="0.25">
      <c r="B242" s="22"/>
      <c r="D242" s="26"/>
    </row>
    <row r="243" spans="2:4" x14ac:dyDescent="0.25">
      <c r="B243" s="22" t="s">
        <v>65</v>
      </c>
      <c r="C243" t="s">
        <v>119</v>
      </c>
      <c r="D243" s="26"/>
    </row>
    <row r="244" spans="2:4" x14ac:dyDescent="0.25">
      <c r="B244" s="22" t="s">
        <v>66</v>
      </c>
      <c r="C244" t="s">
        <v>67</v>
      </c>
      <c r="D244" s="26"/>
    </row>
    <row r="245" spans="2:4" x14ac:dyDescent="0.25">
      <c r="B245" s="22" t="s">
        <v>68</v>
      </c>
      <c r="D245" s="26"/>
    </row>
    <row r="246" spans="2:4" x14ac:dyDescent="0.25">
      <c r="B246" s="22" t="s">
        <v>69</v>
      </c>
      <c r="C246" t="b">
        <v>0</v>
      </c>
      <c r="D246" s="26"/>
    </row>
    <row r="247" spans="2:4" x14ac:dyDescent="0.25">
      <c r="B247" s="22"/>
      <c r="D247" s="26"/>
    </row>
    <row r="248" spans="2:4" x14ac:dyDescent="0.25">
      <c r="B248" s="22" t="s">
        <v>65</v>
      </c>
      <c r="C248" t="s">
        <v>120</v>
      </c>
      <c r="D248" s="26"/>
    </row>
    <row r="249" spans="2:4" x14ac:dyDescent="0.25">
      <c r="B249" s="22" t="s">
        <v>66</v>
      </c>
      <c r="C249" t="s">
        <v>67</v>
      </c>
      <c r="D249" s="26"/>
    </row>
    <row r="250" spans="2:4" x14ac:dyDescent="0.25">
      <c r="B250" s="22" t="s">
        <v>68</v>
      </c>
      <c r="C250">
        <v>1</v>
      </c>
      <c r="D250" s="26"/>
    </row>
    <row r="251" spans="2:4" x14ac:dyDescent="0.25">
      <c r="B251" s="22" t="s">
        <v>69</v>
      </c>
      <c r="C251" t="b">
        <v>0</v>
      </c>
      <c r="D251" s="26"/>
    </row>
    <row r="252" spans="2:4" x14ac:dyDescent="0.25">
      <c r="B252" s="22"/>
      <c r="D252" s="26"/>
    </row>
    <row r="253" spans="2:4" x14ac:dyDescent="0.25">
      <c r="B253" s="22" t="s">
        <v>65</v>
      </c>
      <c r="C253" t="s">
        <v>121</v>
      </c>
      <c r="D253" s="26"/>
    </row>
    <row r="254" spans="2:4" x14ac:dyDescent="0.25">
      <c r="B254" s="22" t="s">
        <v>66</v>
      </c>
      <c r="C254" t="s">
        <v>67</v>
      </c>
      <c r="D254" s="26"/>
    </row>
    <row r="255" spans="2:4" ht="15.75" thickBot="1" x14ac:dyDescent="0.3">
      <c r="B255" s="23" t="s">
        <v>68</v>
      </c>
      <c r="C255" s="24">
        <v>1</v>
      </c>
      <c r="D255" s="27"/>
    </row>
    <row r="256" spans="2:4" x14ac:dyDescent="0.25">
      <c r="B256" s="22" t="s">
        <v>69</v>
      </c>
      <c r="C256" t="b">
        <v>0</v>
      </c>
      <c r="D256" s="26"/>
    </row>
    <row r="257" spans="2:4" ht="15.75" thickBot="1" x14ac:dyDescent="0.3"/>
    <row r="258" spans="2:4" ht="23.25" x14ac:dyDescent="0.35">
      <c r="B258" s="50" t="s">
        <v>60</v>
      </c>
      <c r="C258" s="18" t="s">
        <v>122</v>
      </c>
      <c r="D258" s="25"/>
    </row>
    <row r="259" spans="2:4" x14ac:dyDescent="0.25">
      <c r="B259" s="22" t="s">
        <v>61</v>
      </c>
      <c r="C259" t="b">
        <v>1</v>
      </c>
      <c r="D259" s="26"/>
    </row>
    <row r="260" spans="2:4" x14ac:dyDescent="0.25">
      <c r="B260" s="22" t="s">
        <v>62</v>
      </c>
      <c r="C260" t="s">
        <v>123</v>
      </c>
      <c r="D260" s="26"/>
    </row>
    <row r="261" spans="2:4" x14ac:dyDescent="0.25">
      <c r="B261" s="22" t="s">
        <v>64</v>
      </c>
      <c r="C261" t="b">
        <v>1</v>
      </c>
      <c r="D261" s="26"/>
    </row>
    <row r="262" spans="2:4" x14ac:dyDescent="0.25">
      <c r="B262" s="22"/>
      <c r="D262" s="26"/>
    </row>
    <row r="263" spans="2:4" x14ac:dyDescent="0.25">
      <c r="B263" s="22" t="s">
        <v>65</v>
      </c>
      <c r="C263" t="s">
        <v>14</v>
      </c>
      <c r="D263" s="26"/>
    </row>
    <row r="264" spans="2:4" x14ac:dyDescent="0.25">
      <c r="B264" s="22" t="s">
        <v>66</v>
      </c>
      <c r="C264" t="s">
        <v>67</v>
      </c>
      <c r="D264" s="26"/>
    </row>
    <row r="265" spans="2:4" x14ac:dyDescent="0.25">
      <c r="B265" s="22" t="s">
        <v>68</v>
      </c>
      <c r="D265" s="26"/>
    </row>
    <row r="266" spans="2:4" x14ac:dyDescent="0.25">
      <c r="B266" s="22" t="s">
        <v>69</v>
      </c>
      <c r="C266" t="b">
        <v>1</v>
      </c>
      <c r="D266" s="26"/>
    </row>
    <row r="267" spans="2:4" x14ac:dyDescent="0.25">
      <c r="B267" s="22"/>
      <c r="D267" s="26"/>
    </row>
    <row r="268" spans="2:4" x14ac:dyDescent="0.25">
      <c r="B268" s="22" t="s">
        <v>65</v>
      </c>
      <c r="C268" t="s">
        <v>124</v>
      </c>
      <c r="D268" s="26"/>
    </row>
    <row r="269" spans="2:4" x14ac:dyDescent="0.25">
      <c r="B269" s="22" t="s">
        <v>66</v>
      </c>
      <c r="C269" t="s">
        <v>67</v>
      </c>
      <c r="D269" s="26"/>
    </row>
    <row r="270" spans="2:4" x14ac:dyDescent="0.25">
      <c r="B270" s="22" t="s">
        <v>68</v>
      </c>
      <c r="D270" s="26"/>
    </row>
    <row r="271" spans="2:4" x14ac:dyDescent="0.25">
      <c r="B271" s="22" t="s">
        <v>69</v>
      </c>
      <c r="C271" t="b">
        <v>0</v>
      </c>
      <c r="D271" s="26"/>
    </row>
    <row r="272" spans="2:4" x14ac:dyDescent="0.25">
      <c r="B272" s="22"/>
      <c r="D272" s="26"/>
    </row>
    <row r="273" spans="2:4" x14ac:dyDescent="0.25">
      <c r="B273" s="22" t="s">
        <v>65</v>
      </c>
      <c r="C273" t="s">
        <v>125</v>
      </c>
      <c r="D273" s="26"/>
    </row>
    <row r="274" spans="2:4" x14ac:dyDescent="0.25">
      <c r="B274" s="22" t="s">
        <v>66</v>
      </c>
      <c r="C274" t="s">
        <v>70</v>
      </c>
      <c r="D274" s="26" t="s">
        <v>126</v>
      </c>
    </row>
    <row r="275" spans="2:4" ht="15.75" thickBot="1" x14ac:dyDescent="0.3">
      <c r="B275" s="23" t="s">
        <v>68</v>
      </c>
      <c r="C275" s="24" t="s">
        <v>127</v>
      </c>
      <c r="D275" s="27"/>
    </row>
    <row r="276" spans="2:4" x14ac:dyDescent="0.25">
      <c r="B276" s="22" t="s">
        <v>69</v>
      </c>
      <c r="C276" t="b">
        <v>0</v>
      </c>
      <c r="D276" s="26"/>
    </row>
    <row r="277" spans="2:4" ht="15.75" thickBot="1" x14ac:dyDescent="0.3"/>
    <row r="278" spans="2:4" ht="23.25" x14ac:dyDescent="0.35">
      <c r="B278" s="50" t="s">
        <v>60</v>
      </c>
      <c r="C278" s="18" t="s">
        <v>128</v>
      </c>
      <c r="D278" s="25"/>
    </row>
    <row r="279" spans="2:4" x14ac:dyDescent="0.25">
      <c r="B279" s="22" t="s">
        <v>61</v>
      </c>
      <c r="C279" t="b">
        <v>1</v>
      </c>
      <c r="D279" s="26"/>
    </row>
    <row r="280" spans="2:4" x14ac:dyDescent="0.25">
      <c r="B280" s="22" t="s">
        <v>62</v>
      </c>
      <c r="C280" t="s">
        <v>123</v>
      </c>
      <c r="D280" s="26"/>
    </row>
    <row r="281" spans="2:4" x14ac:dyDescent="0.25">
      <c r="B281" s="22" t="s">
        <v>64</v>
      </c>
      <c r="C281" t="b">
        <v>1</v>
      </c>
      <c r="D281" s="26"/>
    </row>
    <row r="282" spans="2:4" x14ac:dyDescent="0.25">
      <c r="B282" s="22"/>
      <c r="D282" s="26"/>
    </row>
    <row r="283" spans="2:4" x14ac:dyDescent="0.25">
      <c r="B283" s="22" t="s">
        <v>65</v>
      </c>
      <c r="C283" t="s">
        <v>14</v>
      </c>
      <c r="D283" s="26"/>
    </row>
    <row r="284" spans="2:4" x14ac:dyDescent="0.25">
      <c r="B284" s="22" t="s">
        <v>66</v>
      </c>
      <c r="C284" t="s">
        <v>67</v>
      </c>
      <c r="D284" s="26"/>
    </row>
    <row r="285" spans="2:4" x14ac:dyDescent="0.25">
      <c r="B285" s="22" t="s">
        <v>68</v>
      </c>
      <c r="D285" s="26"/>
    </row>
    <row r="286" spans="2:4" x14ac:dyDescent="0.25">
      <c r="B286" s="22" t="s">
        <v>69</v>
      </c>
      <c r="C286" t="b">
        <v>1</v>
      </c>
      <c r="D286" s="26"/>
    </row>
    <row r="287" spans="2:4" x14ac:dyDescent="0.25">
      <c r="B287" s="22"/>
      <c r="D287" s="26"/>
    </row>
    <row r="288" spans="2:4" x14ac:dyDescent="0.25">
      <c r="B288" s="22" t="s">
        <v>65</v>
      </c>
      <c r="C288" t="s">
        <v>129</v>
      </c>
      <c r="D288" s="26"/>
    </row>
    <row r="289" spans="2:4" x14ac:dyDescent="0.25">
      <c r="B289" s="22" t="s">
        <v>66</v>
      </c>
      <c r="C289" t="s">
        <v>67</v>
      </c>
      <c r="D289" s="26"/>
    </row>
    <row r="290" spans="2:4" x14ac:dyDescent="0.25">
      <c r="B290" s="22" t="s">
        <v>68</v>
      </c>
      <c r="D290" s="26"/>
    </row>
    <row r="291" spans="2:4" x14ac:dyDescent="0.25">
      <c r="B291" s="22" t="s">
        <v>69</v>
      </c>
      <c r="C291" t="b">
        <v>0</v>
      </c>
      <c r="D291" s="26"/>
    </row>
    <row r="292" spans="2:4" x14ac:dyDescent="0.25">
      <c r="B292" s="22"/>
      <c r="D292" s="26"/>
    </row>
    <row r="293" spans="2:4" x14ac:dyDescent="0.25">
      <c r="B293" s="22" t="s">
        <v>65</v>
      </c>
      <c r="C293" t="s">
        <v>125</v>
      </c>
      <c r="D293" s="26"/>
    </row>
    <row r="294" spans="2:4" x14ac:dyDescent="0.25">
      <c r="B294" s="22" t="s">
        <v>66</v>
      </c>
      <c r="C294" t="s">
        <v>70</v>
      </c>
      <c r="D294" s="26" t="s">
        <v>126</v>
      </c>
    </row>
    <row r="295" spans="2:4" ht="15.75" thickBot="1" x14ac:dyDescent="0.3">
      <c r="B295" s="23" t="s">
        <v>68</v>
      </c>
      <c r="C295" s="24" t="s">
        <v>127</v>
      </c>
      <c r="D295" s="27"/>
    </row>
    <row r="296" spans="2:4" x14ac:dyDescent="0.25">
      <c r="B296" s="22" t="s">
        <v>69</v>
      </c>
      <c r="C296" t="b">
        <v>0</v>
      </c>
      <c r="D296" s="26"/>
    </row>
    <row r="297" spans="2:4" ht="15.75" thickBot="1" x14ac:dyDescent="0.3"/>
    <row r="298" spans="2:4" ht="23.25" x14ac:dyDescent="0.35">
      <c r="B298" s="50" t="s">
        <v>60</v>
      </c>
      <c r="C298" s="18" t="s">
        <v>130</v>
      </c>
      <c r="D298" s="25"/>
    </row>
    <row r="299" spans="2:4" x14ac:dyDescent="0.25">
      <c r="B299" s="22" t="s">
        <v>61</v>
      </c>
      <c r="C299" t="b">
        <v>1</v>
      </c>
      <c r="D299" s="26"/>
    </row>
    <row r="300" spans="2:4" x14ac:dyDescent="0.25">
      <c r="B300" s="22" t="s">
        <v>62</v>
      </c>
      <c r="C300" t="s">
        <v>123</v>
      </c>
      <c r="D300" s="26"/>
    </row>
    <row r="301" spans="2:4" x14ac:dyDescent="0.25">
      <c r="B301" s="22" t="s">
        <v>64</v>
      </c>
      <c r="C301" t="b">
        <v>1</v>
      </c>
      <c r="D301" s="26"/>
    </row>
    <row r="302" spans="2:4" x14ac:dyDescent="0.25">
      <c r="B302" s="22"/>
      <c r="D302" s="26"/>
    </row>
    <row r="303" spans="2:4" x14ac:dyDescent="0.25">
      <c r="B303" s="22" t="s">
        <v>65</v>
      </c>
      <c r="C303" t="s">
        <v>35</v>
      </c>
      <c r="D303" s="26"/>
    </row>
    <row r="304" spans="2:4" x14ac:dyDescent="0.25">
      <c r="B304" s="22" t="s">
        <v>66</v>
      </c>
      <c r="C304" t="s">
        <v>67</v>
      </c>
      <c r="D304" s="26"/>
    </row>
    <row r="305" spans="2:4" ht="15.75" thickBot="1" x14ac:dyDescent="0.3">
      <c r="B305" s="23" t="s">
        <v>68</v>
      </c>
      <c r="C305" s="24"/>
      <c r="D305" s="27"/>
    </row>
    <row r="306" spans="2:4" x14ac:dyDescent="0.25">
      <c r="B306" s="22" t="s">
        <v>69</v>
      </c>
      <c r="C306" t="b">
        <v>0</v>
      </c>
      <c r="D30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H15" sqref="H15"/>
    </sheetView>
  </sheetViews>
  <sheetFormatPr defaultRowHeight="15" x14ac:dyDescent="0.25"/>
  <cols>
    <col min="1" max="1" width="9" bestFit="1" customWidth="1"/>
    <col min="2" max="2" width="25.28515625" customWidth="1"/>
  </cols>
  <sheetData>
    <row r="1" spans="1:8" x14ac:dyDescent="0.25">
      <c r="A1" t="s">
        <v>2</v>
      </c>
      <c r="B1" t="s">
        <v>1</v>
      </c>
    </row>
    <row r="2" spans="1:8" x14ac:dyDescent="0.25">
      <c r="A2">
        <f t="shared" ref="A2:A12" si="0">ROW(A1)</f>
        <v>1</v>
      </c>
      <c r="B2" t="s">
        <v>47</v>
      </c>
    </row>
    <row r="3" spans="1:8" x14ac:dyDescent="0.25">
      <c r="A3">
        <f t="shared" si="0"/>
        <v>2</v>
      </c>
      <c r="B3" t="s">
        <v>48</v>
      </c>
    </row>
    <row r="4" spans="1:8" x14ac:dyDescent="0.25">
      <c r="A4">
        <f t="shared" si="0"/>
        <v>3</v>
      </c>
      <c r="B4" t="s">
        <v>49</v>
      </c>
    </row>
    <row r="5" spans="1:8" x14ac:dyDescent="0.25">
      <c r="A5">
        <f t="shared" si="0"/>
        <v>4</v>
      </c>
      <c r="B5" t="s">
        <v>50</v>
      </c>
    </row>
    <row r="6" spans="1:8" x14ac:dyDescent="0.25">
      <c r="A6">
        <f t="shared" si="0"/>
        <v>5</v>
      </c>
      <c r="B6" t="s">
        <v>51</v>
      </c>
    </row>
    <row r="7" spans="1:8" x14ac:dyDescent="0.25">
      <c r="A7">
        <f t="shared" si="0"/>
        <v>6</v>
      </c>
      <c r="B7" t="s">
        <v>52</v>
      </c>
    </row>
    <row r="8" spans="1:8" x14ac:dyDescent="0.25">
      <c r="A8">
        <f t="shared" si="0"/>
        <v>7</v>
      </c>
      <c r="B8" t="s">
        <v>53</v>
      </c>
    </row>
    <row r="9" spans="1:8" x14ac:dyDescent="0.25">
      <c r="A9">
        <f t="shared" si="0"/>
        <v>8</v>
      </c>
      <c r="B9" t="s">
        <v>54</v>
      </c>
    </row>
    <row r="10" spans="1:8" x14ac:dyDescent="0.25">
      <c r="A10">
        <f t="shared" si="0"/>
        <v>9</v>
      </c>
      <c r="B10" t="s">
        <v>55</v>
      </c>
    </row>
    <row r="11" spans="1:8" x14ac:dyDescent="0.25">
      <c r="A11">
        <f t="shared" si="0"/>
        <v>10</v>
      </c>
      <c r="B11" t="s">
        <v>57</v>
      </c>
    </row>
    <row r="12" spans="1:8" x14ac:dyDescent="0.25">
      <c r="A12">
        <f t="shared" si="0"/>
        <v>11</v>
      </c>
      <c r="B12" t="s">
        <v>56</v>
      </c>
    </row>
    <row r="15" spans="1:8" x14ac:dyDescent="0.25">
      <c r="H15" t="e">
        <f>1.5*Method!#REF!/SUM(Method!#REF!,Method!#REF!,Method!#REF!)</f>
        <v>#REF!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12</xdr:col>
                    <xdr:colOff>257175</xdr:colOff>
                    <xdr:row>0</xdr:row>
                    <xdr:rowOff>95250</xdr:rowOff>
                  </from>
                  <to>
                    <xdr:col>15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12</xdr:col>
                    <xdr:colOff>238125</xdr:colOff>
                    <xdr:row>6</xdr:row>
                    <xdr:rowOff>66675</xdr:rowOff>
                  </from>
                  <to>
                    <xdr:col>15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37C0D-BF95-4781-B113-4D1E2C011200}">
  <dimension ref="B3:AK417"/>
  <sheetViews>
    <sheetView workbookViewId="0"/>
  </sheetViews>
  <sheetFormatPr defaultRowHeight="15" x14ac:dyDescent="0.25"/>
  <sheetData>
    <row r="3" spans="2:5" x14ac:dyDescent="0.25">
      <c r="D3" t="s">
        <v>133</v>
      </c>
      <c r="E3" t="s">
        <v>134</v>
      </c>
    </row>
    <row r="4" spans="2:5" x14ac:dyDescent="0.25">
      <c r="D4" t="s">
        <v>135</v>
      </c>
      <c r="E4" t="s">
        <v>136</v>
      </c>
    </row>
    <row r="5" spans="2:5" x14ac:dyDescent="0.25">
      <c r="D5" t="s">
        <v>137</v>
      </c>
      <c r="E5" t="s">
        <v>335</v>
      </c>
    </row>
    <row r="6" spans="2:5" x14ac:dyDescent="0.25">
      <c r="D6" t="s">
        <v>138</v>
      </c>
      <c r="E6">
        <v>37</v>
      </c>
    </row>
    <row r="7" spans="2:5" x14ac:dyDescent="0.25">
      <c r="D7" t="s">
        <v>139</v>
      </c>
      <c r="E7">
        <v>0</v>
      </c>
    </row>
    <row r="12" spans="2:5" x14ac:dyDescent="0.25">
      <c r="B12" t="s">
        <v>141</v>
      </c>
    </row>
    <row r="13" spans="2:5" x14ac:dyDescent="0.25">
      <c r="B13" t="s">
        <v>140</v>
      </c>
    </row>
    <row r="14" spans="2:5" x14ac:dyDescent="0.25">
      <c r="B14" t="s">
        <v>266</v>
      </c>
    </row>
    <row r="15" spans="2:5" x14ac:dyDescent="0.25">
      <c r="B15" t="s">
        <v>142</v>
      </c>
    </row>
    <row r="16" spans="2:5" x14ac:dyDescent="0.25">
      <c r="B16" t="s">
        <v>143</v>
      </c>
    </row>
    <row r="17" spans="2:15" x14ac:dyDescent="0.25">
      <c r="B17" t="s">
        <v>267</v>
      </c>
    </row>
    <row r="18" spans="2:15" x14ac:dyDescent="0.25">
      <c r="B18" t="s">
        <v>144</v>
      </c>
    </row>
    <row r="20" spans="2:15" x14ac:dyDescent="0.25">
      <c r="C20" t="s">
        <v>145</v>
      </c>
    </row>
    <row r="22" spans="2:15" x14ac:dyDescent="0.25">
      <c r="D22" t="s">
        <v>133</v>
      </c>
      <c r="E22" t="s">
        <v>146</v>
      </c>
    </row>
    <row r="23" spans="2:15" x14ac:dyDescent="0.25">
      <c r="D23" t="s">
        <v>135</v>
      </c>
      <c r="E23" t="s">
        <v>147</v>
      </c>
    </row>
    <row r="24" spans="2:15" x14ac:dyDescent="0.25">
      <c r="D24" t="s">
        <v>148</v>
      </c>
      <c r="E24">
        <v>100</v>
      </c>
      <c r="F24">
        <v>100</v>
      </c>
      <c r="G24">
        <v>100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  <c r="N24">
        <v>100</v>
      </c>
      <c r="O24">
        <v>100</v>
      </c>
    </row>
    <row r="25" spans="2:15" x14ac:dyDescent="0.25">
      <c r="D25" t="s">
        <v>149</v>
      </c>
      <c r="E25" t="s">
        <v>150</v>
      </c>
      <c r="F25" t="s">
        <v>150</v>
      </c>
      <c r="G25" t="s">
        <v>150</v>
      </c>
      <c r="H25" t="s">
        <v>150</v>
      </c>
      <c r="I25" t="s">
        <v>150</v>
      </c>
      <c r="J25" t="s">
        <v>150</v>
      </c>
      <c r="K25" t="s">
        <v>150</v>
      </c>
      <c r="L25" t="s">
        <v>150</v>
      </c>
      <c r="M25" t="s">
        <v>150</v>
      </c>
      <c r="N25" t="s">
        <v>150</v>
      </c>
      <c r="O25" t="s">
        <v>151</v>
      </c>
    </row>
    <row r="26" spans="2:15" x14ac:dyDescent="0.25">
      <c r="D26" t="s">
        <v>268</v>
      </c>
    </row>
    <row r="28" spans="2:15" x14ac:dyDescent="0.25">
      <c r="D28" t="s">
        <v>133</v>
      </c>
      <c r="E28" t="s">
        <v>146</v>
      </c>
    </row>
    <row r="29" spans="2:15" x14ac:dyDescent="0.25">
      <c r="D29" t="s">
        <v>135</v>
      </c>
      <c r="E29" t="s">
        <v>152</v>
      </c>
    </row>
    <row r="30" spans="2:15" x14ac:dyDescent="0.25">
      <c r="D30" t="s">
        <v>148</v>
      </c>
      <c r="E30">
        <v>100</v>
      </c>
      <c r="F30">
        <v>100</v>
      </c>
      <c r="G30">
        <v>100</v>
      </c>
      <c r="H30">
        <v>100</v>
      </c>
      <c r="I30">
        <v>100</v>
      </c>
      <c r="J30">
        <v>100</v>
      </c>
      <c r="K30">
        <v>100</v>
      </c>
      <c r="L30">
        <v>100</v>
      </c>
      <c r="M30">
        <v>100</v>
      </c>
      <c r="N30">
        <v>100</v>
      </c>
      <c r="O30">
        <v>100</v>
      </c>
    </row>
    <row r="31" spans="2:15" x14ac:dyDescent="0.25">
      <c r="D31" t="s">
        <v>269</v>
      </c>
    </row>
    <row r="33" spans="4:15" x14ac:dyDescent="0.25">
      <c r="D33" t="s">
        <v>133</v>
      </c>
      <c r="E33" t="s">
        <v>146</v>
      </c>
    </row>
    <row r="34" spans="4:15" x14ac:dyDescent="0.25">
      <c r="D34" t="s">
        <v>135</v>
      </c>
      <c r="E34" t="s">
        <v>153</v>
      </c>
    </row>
    <row r="35" spans="4:15" x14ac:dyDescent="0.25">
      <c r="D35" t="s">
        <v>154</v>
      </c>
      <c r="E35" t="s">
        <v>8</v>
      </c>
      <c r="F35" t="s">
        <v>8</v>
      </c>
      <c r="G35" t="s">
        <v>8</v>
      </c>
      <c r="H35" t="s">
        <v>8</v>
      </c>
      <c r="I35" t="s">
        <v>8</v>
      </c>
      <c r="J35" t="s">
        <v>8</v>
      </c>
      <c r="K35" t="s">
        <v>8</v>
      </c>
      <c r="L35" t="s">
        <v>8</v>
      </c>
      <c r="M35" t="s">
        <v>8</v>
      </c>
      <c r="N35" t="s">
        <v>8</v>
      </c>
      <c r="O35" t="s">
        <v>8</v>
      </c>
    </row>
    <row r="36" spans="4:15" x14ac:dyDescent="0.25">
      <c r="D36" t="s">
        <v>155</v>
      </c>
      <c r="E36">
        <v>1</v>
      </c>
      <c r="F36">
        <v>2</v>
      </c>
      <c r="G36">
        <v>3</v>
      </c>
      <c r="H36">
        <v>4</v>
      </c>
      <c r="I36">
        <v>5</v>
      </c>
      <c r="J36">
        <v>6</v>
      </c>
      <c r="K36">
        <v>7</v>
      </c>
      <c r="L36">
        <v>8</v>
      </c>
      <c r="M36">
        <v>9</v>
      </c>
      <c r="N36">
        <v>10</v>
      </c>
      <c r="O36">
        <v>11</v>
      </c>
    </row>
    <row r="37" spans="4:15" x14ac:dyDescent="0.25">
      <c r="D37" t="s">
        <v>156</v>
      </c>
      <c r="E37" t="s">
        <v>264</v>
      </c>
      <c r="F37" t="s">
        <v>264</v>
      </c>
      <c r="G37" t="s">
        <v>264</v>
      </c>
      <c r="H37" t="s">
        <v>264</v>
      </c>
      <c r="I37" t="s">
        <v>264</v>
      </c>
      <c r="J37" t="s">
        <v>264</v>
      </c>
      <c r="K37" t="s">
        <v>264</v>
      </c>
      <c r="L37" t="s">
        <v>264</v>
      </c>
      <c r="M37" t="s">
        <v>264</v>
      </c>
      <c r="N37" t="s">
        <v>264</v>
      </c>
      <c r="O37" t="s">
        <v>264</v>
      </c>
    </row>
    <row r="38" spans="4:15" x14ac:dyDescent="0.25">
      <c r="D38" t="s">
        <v>157</v>
      </c>
      <c r="E38">
        <v>1</v>
      </c>
      <c r="F38">
        <v>2</v>
      </c>
      <c r="G38">
        <v>3</v>
      </c>
      <c r="H38">
        <v>4</v>
      </c>
      <c r="I38">
        <v>5</v>
      </c>
      <c r="J38">
        <v>6</v>
      </c>
      <c r="K38">
        <v>7</v>
      </c>
      <c r="L38">
        <v>8</v>
      </c>
      <c r="M38">
        <v>9</v>
      </c>
      <c r="N38">
        <v>10</v>
      </c>
      <c r="O38">
        <v>11</v>
      </c>
    </row>
    <row r="39" spans="4:15" x14ac:dyDescent="0.25">
      <c r="D39" t="s">
        <v>148</v>
      </c>
      <c r="E39">
        <v>100</v>
      </c>
      <c r="F39">
        <v>100</v>
      </c>
      <c r="G39">
        <v>100</v>
      </c>
      <c r="H39">
        <v>100</v>
      </c>
      <c r="I39">
        <v>100</v>
      </c>
      <c r="J39">
        <v>100</v>
      </c>
      <c r="K39">
        <v>100</v>
      </c>
      <c r="L39">
        <v>100</v>
      </c>
      <c r="M39">
        <v>100</v>
      </c>
      <c r="N39">
        <v>100</v>
      </c>
      <c r="O39">
        <v>100</v>
      </c>
    </row>
    <row r="40" spans="4:15" x14ac:dyDescent="0.25">
      <c r="D40" t="s">
        <v>158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</row>
    <row r="41" spans="4:15" x14ac:dyDescent="0.25">
      <c r="D41" t="s">
        <v>159</v>
      </c>
      <c r="E41" t="s">
        <v>21</v>
      </c>
      <c r="F41" t="s">
        <v>21</v>
      </c>
      <c r="G41" t="s">
        <v>21</v>
      </c>
      <c r="H41" t="s">
        <v>21</v>
      </c>
      <c r="I41" t="s">
        <v>21</v>
      </c>
      <c r="J41" t="s">
        <v>21</v>
      </c>
      <c r="K41" t="s">
        <v>21</v>
      </c>
      <c r="L41" t="s">
        <v>21</v>
      </c>
      <c r="M41" t="s">
        <v>21</v>
      </c>
      <c r="N41" t="s">
        <v>21</v>
      </c>
      <c r="O41" t="s">
        <v>21</v>
      </c>
    </row>
    <row r="42" spans="4:15" x14ac:dyDescent="0.25">
      <c r="D42" t="s">
        <v>160</v>
      </c>
    </row>
    <row r="43" spans="4:15" x14ac:dyDescent="0.25">
      <c r="D43" t="s">
        <v>161</v>
      </c>
    </row>
    <row r="44" spans="4:15" x14ac:dyDescent="0.25">
      <c r="D44" t="s">
        <v>162</v>
      </c>
      <c r="E44">
        <v>0</v>
      </c>
    </row>
    <row r="45" spans="4:15" x14ac:dyDescent="0.25">
      <c r="D45" t="s">
        <v>163</v>
      </c>
      <c r="E45" t="s">
        <v>164</v>
      </c>
    </row>
    <row r="46" spans="4:15" x14ac:dyDescent="0.25">
      <c r="D46" t="s">
        <v>270</v>
      </c>
    </row>
    <row r="51" spans="2:3" x14ac:dyDescent="0.25">
      <c r="B51" t="s">
        <v>196</v>
      </c>
    </row>
    <row r="52" spans="2:3" x14ac:dyDescent="0.25">
      <c r="B52" t="s">
        <v>271</v>
      </c>
    </row>
    <row r="53" spans="2:3" x14ac:dyDescent="0.25">
      <c r="B53" t="s">
        <v>197</v>
      </c>
    </row>
    <row r="54" spans="2:3" x14ac:dyDescent="0.25">
      <c r="B54" t="s">
        <v>198</v>
      </c>
    </row>
    <row r="56" spans="2:3" x14ac:dyDescent="0.25">
      <c r="C56" t="s">
        <v>145</v>
      </c>
    </row>
    <row r="61" spans="2:3" x14ac:dyDescent="0.25">
      <c r="B61" t="s">
        <v>196</v>
      </c>
    </row>
    <row r="62" spans="2:3" x14ac:dyDescent="0.25">
      <c r="B62" t="s">
        <v>272</v>
      </c>
    </row>
    <row r="63" spans="2:3" x14ac:dyDescent="0.25">
      <c r="B63" t="s">
        <v>304</v>
      </c>
    </row>
    <row r="64" spans="2:3" x14ac:dyDescent="0.25">
      <c r="B64" t="s">
        <v>198</v>
      </c>
    </row>
    <row r="66" spans="2:3" x14ac:dyDescent="0.25">
      <c r="C66" t="s">
        <v>145</v>
      </c>
    </row>
    <row r="71" spans="2:3" x14ac:dyDescent="0.25">
      <c r="B71" t="s">
        <v>196</v>
      </c>
    </row>
    <row r="72" spans="2:3" x14ac:dyDescent="0.25">
      <c r="B72" t="s">
        <v>193</v>
      </c>
    </row>
    <row r="73" spans="2:3" x14ac:dyDescent="0.25">
      <c r="B73" t="s">
        <v>248</v>
      </c>
    </row>
    <row r="74" spans="2:3" x14ac:dyDescent="0.25">
      <c r="B74" t="s">
        <v>198</v>
      </c>
    </row>
    <row r="76" spans="2:3" x14ac:dyDescent="0.25">
      <c r="C76" t="s">
        <v>145</v>
      </c>
    </row>
    <row r="81" spans="2:5" x14ac:dyDescent="0.25">
      <c r="B81" t="s">
        <v>239</v>
      </c>
    </row>
    <row r="82" spans="2:5" x14ac:dyDescent="0.25">
      <c r="B82" t="s">
        <v>305</v>
      </c>
    </row>
    <row r="83" spans="2:5" x14ac:dyDescent="0.25">
      <c r="B83" t="s">
        <v>240</v>
      </c>
    </row>
    <row r="84" spans="2:5" x14ac:dyDescent="0.25">
      <c r="B84" t="s">
        <v>306</v>
      </c>
    </row>
    <row r="85" spans="2:5" x14ac:dyDescent="0.25">
      <c r="B85" t="s">
        <v>247</v>
      </c>
    </row>
    <row r="86" spans="2:5" x14ac:dyDescent="0.25">
      <c r="B86" t="s">
        <v>241</v>
      </c>
    </row>
    <row r="87" spans="2:5" x14ac:dyDescent="0.25">
      <c r="B87" t="s">
        <v>242</v>
      </c>
    </row>
    <row r="89" spans="2:5" x14ac:dyDescent="0.25">
      <c r="C89" t="s">
        <v>236</v>
      </c>
    </row>
    <row r="92" spans="2:5" x14ac:dyDescent="0.25">
      <c r="D92" t="s">
        <v>133</v>
      </c>
      <c r="E92" t="s">
        <v>94</v>
      </c>
    </row>
    <row r="93" spans="2:5" x14ac:dyDescent="0.25">
      <c r="D93" t="s">
        <v>135</v>
      </c>
      <c r="E93" t="s">
        <v>237</v>
      </c>
    </row>
    <row r="94" spans="2:5" x14ac:dyDescent="0.25">
      <c r="D94" t="s">
        <v>238</v>
      </c>
      <c r="E94" t="s">
        <v>307</v>
      </c>
    </row>
    <row r="95" spans="2:5" x14ac:dyDescent="0.25">
      <c r="D95" t="s">
        <v>285</v>
      </c>
    </row>
    <row r="96" spans="2:5" x14ac:dyDescent="0.25">
      <c r="D96" t="s">
        <v>194</v>
      </c>
    </row>
    <row r="100" spans="2:5" x14ac:dyDescent="0.25">
      <c r="D100" t="s">
        <v>133</v>
      </c>
      <c r="E100" t="s">
        <v>94</v>
      </c>
    </row>
    <row r="101" spans="2:5" x14ac:dyDescent="0.25">
      <c r="D101" t="s">
        <v>135</v>
      </c>
      <c r="E101" t="s">
        <v>243</v>
      </c>
    </row>
    <row r="102" spans="2:5" x14ac:dyDescent="0.25">
      <c r="D102" t="s">
        <v>238</v>
      </c>
      <c r="E102" t="s">
        <v>307</v>
      </c>
    </row>
    <row r="103" spans="2:5" x14ac:dyDescent="0.25">
      <c r="D103" t="s">
        <v>285</v>
      </c>
    </row>
    <row r="104" spans="2:5" x14ac:dyDescent="0.25">
      <c r="D104" t="s">
        <v>195</v>
      </c>
    </row>
    <row r="105" spans="2:5" x14ac:dyDescent="0.25">
      <c r="C105" t="s">
        <v>145</v>
      </c>
    </row>
    <row r="110" spans="2:5" x14ac:dyDescent="0.25">
      <c r="B110" t="s">
        <v>196</v>
      </c>
    </row>
    <row r="111" spans="2:5" x14ac:dyDescent="0.25">
      <c r="B111" t="s">
        <v>287</v>
      </c>
    </row>
    <row r="112" spans="2:5" x14ac:dyDescent="0.25">
      <c r="B112" t="s">
        <v>336</v>
      </c>
    </row>
    <row r="113" spans="2:3" x14ac:dyDescent="0.25">
      <c r="B113" t="s">
        <v>198</v>
      </c>
    </row>
    <row r="115" spans="2:3" x14ac:dyDescent="0.25">
      <c r="C115" t="s">
        <v>145</v>
      </c>
    </row>
    <row r="120" spans="2:3" x14ac:dyDescent="0.25">
      <c r="B120" t="s">
        <v>141</v>
      </c>
    </row>
    <row r="121" spans="2:3" x14ac:dyDescent="0.25">
      <c r="B121" t="s">
        <v>308</v>
      </c>
    </row>
    <row r="122" spans="2:3" x14ac:dyDescent="0.25">
      <c r="B122" t="s">
        <v>204</v>
      </c>
    </row>
    <row r="123" spans="2:3" x14ac:dyDescent="0.25">
      <c r="B123" t="s">
        <v>199</v>
      </c>
    </row>
    <row r="124" spans="2:3" x14ac:dyDescent="0.25">
      <c r="B124" t="s">
        <v>200</v>
      </c>
    </row>
    <row r="125" spans="2:3" x14ac:dyDescent="0.25">
      <c r="B125" t="s">
        <v>205</v>
      </c>
    </row>
    <row r="126" spans="2:3" x14ac:dyDescent="0.25">
      <c r="B126" t="s">
        <v>144</v>
      </c>
    </row>
    <row r="128" spans="2:3" x14ac:dyDescent="0.25">
      <c r="C128" t="s">
        <v>145</v>
      </c>
    </row>
    <row r="130" spans="4:15" x14ac:dyDescent="0.25">
      <c r="D130" t="s">
        <v>133</v>
      </c>
      <c r="E130" t="s">
        <v>146</v>
      </c>
    </row>
    <row r="131" spans="4:15" x14ac:dyDescent="0.25">
      <c r="D131" t="s">
        <v>135</v>
      </c>
      <c r="E131" t="s">
        <v>147</v>
      </c>
    </row>
    <row r="132" spans="4:15" x14ac:dyDescent="0.25">
      <c r="D132" t="s">
        <v>148</v>
      </c>
      <c r="E132">
        <v>75</v>
      </c>
      <c r="F132">
        <v>75</v>
      </c>
      <c r="G132">
        <v>75</v>
      </c>
      <c r="H132">
        <v>75</v>
      </c>
      <c r="I132">
        <v>75</v>
      </c>
      <c r="J132">
        <v>75</v>
      </c>
      <c r="K132">
        <v>75</v>
      </c>
      <c r="L132">
        <v>75</v>
      </c>
      <c r="M132">
        <v>75</v>
      </c>
      <c r="N132">
        <v>75</v>
      </c>
      <c r="O132">
        <v>75</v>
      </c>
    </row>
    <row r="133" spans="4:15" x14ac:dyDescent="0.25">
      <c r="D133" t="s">
        <v>149</v>
      </c>
      <c r="E133" t="s">
        <v>150</v>
      </c>
      <c r="F133" t="s">
        <v>150</v>
      </c>
      <c r="G133" t="s">
        <v>150</v>
      </c>
      <c r="H133" t="s">
        <v>150</v>
      </c>
      <c r="I133" t="s">
        <v>150</v>
      </c>
      <c r="J133" t="s">
        <v>150</v>
      </c>
      <c r="K133" t="s">
        <v>150</v>
      </c>
      <c r="L133" t="s">
        <v>150</v>
      </c>
      <c r="M133" t="s">
        <v>150</v>
      </c>
      <c r="N133" t="s">
        <v>150</v>
      </c>
      <c r="O133" t="s">
        <v>151</v>
      </c>
    </row>
    <row r="134" spans="4:15" x14ac:dyDescent="0.25">
      <c r="D134" t="s">
        <v>273</v>
      </c>
    </row>
    <row r="136" spans="4:15" x14ac:dyDescent="0.25">
      <c r="D136" t="s">
        <v>133</v>
      </c>
      <c r="E136" t="s">
        <v>146</v>
      </c>
    </row>
    <row r="137" spans="4:15" x14ac:dyDescent="0.25">
      <c r="D137" t="s">
        <v>135</v>
      </c>
      <c r="E137" t="s">
        <v>152</v>
      </c>
    </row>
    <row r="138" spans="4:15" x14ac:dyDescent="0.25">
      <c r="D138" t="s">
        <v>148</v>
      </c>
      <c r="E138">
        <v>75</v>
      </c>
      <c r="F138">
        <v>75</v>
      </c>
      <c r="G138">
        <v>75</v>
      </c>
      <c r="H138">
        <v>75</v>
      </c>
      <c r="I138">
        <v>75</v>
      </c>
      <c r="J138">
        <v>75</v>
      </c>
      <c r="K138">
        <v>75</v>
      </c>
      <c r="L138">
        <v>75</v>
      </c>
      <c r="M138">
        <v>75</v>
      </c>
      <c r="N138">
        <v>75</v>
      </c>
      <c r="O138">
        <v>75</v>
      </c>
    </row>
    <row r="139" spans="4:15" x14ac:dyDescent="0.25">
      <c r="D139" t="s">
        <v>274</v>
      </c>
    </row>
    <row r="141" spans="4:15" x14ac:dyDescent="0.25">
      <c r="D141" t="s">
        <v>133</v>
      </c>
      <c r="E141" t="s">
        <v>146</v>
      </c>
    </row>
    <row r="142" spans="4:15" x14ac:dyDescent="0.25">
      <c r="D142" t="s">
        <v>135</v>
      </c>
      <c r="E142" t="s">
        <v>153</v>
      </c>
    </row>
    <row r="143" spans="4:15" x14ac:dyDescent="0.25">
      <c r="D143" t="s">
        <v>154</v>
      </c>
      <c r="E143" t="s">
        <v>335</v>
      </c>
      <c r="F143" t="s">
        <v>335</v>
      </c>
      <c r="G143" t="s">
        <v>335</v>
      </c>
      <c r="H143" t="s">
        <v>335</v>
      </c>
      <c r="I143" t="s">
        <v>335</v>
      </c>
      <c r="J143" t="s">
        <v>335</v>
      </c>
      <c r="K143" t="s">
        <v>335</v>
      </c>
      <c r="L143" t="s">
        <v>335</v>
      </c>
      <c r="M143" t="s">
        <v>335</v>
      </c>
      <c r="N143" t="s">
        <v>335</v>
      </c>
      <c r="O143" t="s">
        <v>335</v>
      </c>
    </row>
    <row r="144" spans="4:15" x14ac:dyDescent="0.25">
      <c r="D144" t="s">
        <v>155</v>
      </c>
      <c r="E144">
        <v>1</v>
      </c>
      <c r="F144">
        <v>2</v>
      </c>
      <c r="G144">
        <v>3</v>
      </c>
      <c r="H144">
        <v>4</v>
      </c>
      <c r="I144">
        <v>5</v>
      </c>
      <c r="J144">
        <v>6</v>
      </c>
      <c r="K144">
        <v>7</v>
      </c>
      <c r="L144">
        <v>8</v>
      </c>
      <c r="M144">
        <v>9</v>
      </c>
      <c r="N144">
        <v>10</v>
      </c>
      <c r="O144">
        <v>11</v>
      </c>
    </row>
    <row r="145" spans="2:15" x14ac:dyDescent="0.25">
      <c r="D145" t="s">
        <v>156</v>
      </c>
      <c r="E145" t="s">
        <v>45</v>
      </c>
      <c r="F145" t="s">
        <v>45</v>
      </c>
      <c r="G145" t="s">
        <v>45</v>
      </c>
      <c r="H145" t="s">
        <v>45</v>
      </c>
      <c r="I145" t="s">
        <v>45</v>
      </c>
      <c r="J145" t="s">
        <v>45</v>
      </c>
      <c r="K145" t="s">
        <v>45</v>
      </c>
      <c r="L145" t="s">
        <v>45</v>
      </c>
      <c r="M145" t="s">
        <v>45</v>
      </c>
      <c r="N145" t="s">
        <v>45</v>
      </c>
      <c r="O145" t="s">
        <v>45</v>
      </c>
    </row>
    <row r="146" spans="2:15" x14ac:dyDescent="0.25">
      <c r="D146" t="s">
        <v>157</v>
      </c>
      <c r="E146">
        <v>1</v>
      </c>
      <c r="F146">
        <v>2</v>
      </c>
      <c r="G146">
        <v>3</v>
      </c>
      <c r="H146">
        <v>4</v>
      </c>
      <c r="I146">
        <v>5</v>
      </c>
      <c r="J146">
        <v>6</v>
      </c>
      <c r="K146">
        <v>7</v>
      </c>
      <c r="L146">
        <v>8</v>
      </c>
      <c r="M146">
        <v>9</v>
      </c>
      <c r="N146">
        <v>10</v>
      </c>
      <c r="O146">
        <v>11</v>
      </c>
    </row>
    <row r="147" spans="2:15" x14ac:dyDescent="0.25">
      <c r="D147" t="s">
        <v>148</v>
      </c>
      <c r="E147">
        <v>75</v>
      </c>
      <c r="F147">
        <v>75</v>
      </c>
      <c r="G147">
        <v>75</v>
      </c>
      <c r="H147">
        <v>75</v>
      </c>
      <c r="I147">
        <v>75</v>
      </c>
      <c r="J147">
        <v>75</v>
      </c>
      <c r="K147">
        <v>75</v>
      </c>
      <c r="L147">
        <v>75</v>
      </c>
      <c r="M147">
        <v>75</v>
      </c>
      <c r="N147">
        <v>75</v>
      </c>
      <c r="O147">
        <v>75</v>
      </c>
    </row>
    <row r="148" spans="2:15" x14ac:dyDescent="0.25">
      <c r="D148" t="s">
        <v>158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</row>
    <row r="149" spans="2:15" x14ac:dyDescent="0.25">
      <c r="D149" t="s">
        <v>159</v>
      </c>
      <c r="E149" t="s">
        <v>21</v>
      </c>
      <c r="F149" t="s">
        <v>21</v>
      </c>
      <c r="G149" t="s">
        <v>21</v>
      </c>
      <c r="H149" t="s">
        <v>21</v>
      </c>
      <c r="I149" t="s">
        <v>21</v>
      </c>
      <c r="J149" t="s">
        <v>21</v>
      </c>
      <c r="K149" t="s">
        <v>21</v>
      </c>
      <c r="L149" t="s">
        <v>21</v>
      </c>
      <c r="M149" t="s">
        <v>21</v>
      </c>
      <c r="N149" t="s">
        <v>21</v>
      </c>
      <c r="O149" t="s">
        <v>21</v>
      </c>
    </row>
    <row r="150" spans="2:15" x14ac:dyDescent="0.25">
      <c r="D150" t="s">
        <v>160</v>
      </c>
    </row>
    <row r="151" spans="2:15" x14ac:dyDescent="0.25">
      <c r="D151" t="s">
        <v>161</v>
      </c>
    </row>
    <row r="152" spans="2:15" x14ac:dyDescent="0.25">
      <c r="D152" t="s">
        <v>162</v>
      </c>
      <c r="E152">
        <v>0</v>
      </c>
    </row>
    <row r="153" spans="2:15" x14ac:dyDescent="0.25">
      <c r="D153" t="s">
        <v>163</v>
      </c>
      <c r="E153" t="s">
        <v>164</v>
      </c>
    </row>
    <row r="154" spans="2:15" x14ac:dyDescent="0.25">
      <c r="D154" t="s">
        <v>275</v>
      </c>
    </row>
    <row r="159" spans="2:15" x14ac:dyDescent="0.25">
      <c r="B159" t="s">
        <v>165</v>
      </c>
    </row>
    <row r="160" spans="2:15" x14ac:dyDescent="0.25">
      <c r="B160" t="s">
        <v>309</v>
      </c>
    </row>
    <row r="161" spans="2:5" x14ac:dyDescent="0.25">
      <c r="B161" t="s">
        <v>166</v>
      </c>
    </row>
    <row r="162" spans="2:5" x14ac:dyDescent="0.25">
      <c r="B162" t="s">
        <v>206</v>
      </c>
    </row>
    <row r="163" spans="2:5" x14ac:dyDescent="0.25">
      <c r="B163" t="s">
        <v>167</v>
      </c>
    </row>
    <row r="165" spans="2:5" x14ac:dyDescent="0.25">
      <c r="C165" t="s">
        <v>145</v>
      </c>
    </row>
    <row r="167" spans="2:5" x14ac:dyDescent="0.25">
      <c r="D167" t="s">
        <v>133</v>
      </c>
      <c r="E167" t="s">
        <v>168</v>
      </c>
    </row>
    <row r="168" spans="2:5" x14ac:dyDescent="0.25">
      <c r="D168" t="s">
        <v>135</v>
      </c>
      <c r="E168" t="s">
        <v>169</v>
      </c>
    </row>
    <row r="169" spans="2:5" x14ac:dyDescent="0.25">
      <c r="D169" t="s">
        <v>170</v>
      </c>
      <c r="E169" t="s">
        <v>337</v>
      </c>
    </row>
    <row r="170" spans="2:5" x14ac:dyDescent="0.25">
      <c r="D170" t="s">
        <v>276</v>
      </c>
    </row>
    <row r="172" spans="2:5" x14ac:dyDescent="0.25">
      <c r="D172" t="s">
        <v>133</v>
      </c>
      <c r="E172" t="s">
        <v>168</v>
      </c>
    </row>
    <row r="173" spans="2:5" x14ac:dyDescent="0.25">
      <c r="D173" t="s">
        <v>135</v>
      </c>
      <c r="E173" t="s">
        <v>171</v>
      </c>
    </row>
    <row r="174" spans="2:5" x14ac:dyDescent="0.25">
      <c r="D174" t="s">
        <v>170</v>
      </c>
      <c r="E174" t="s">
        <v>337</v>
      </c>
    </row>
    <row r="175" spans="2:5" x14ac:dyDescent="0.25">
      <c r="D175" t="s">
        <v>277</v>
      </c>
    </row>
    <row r="177" spans="4:5" x14ac:dyDescent="0.25">
      <c r="D177" t="s">
        <v>133</v>
      </c>
      <c r="E177" t="s">
        <v>134</v>
      </c>
    </row>
    <row r="178" spans="4:5" x14ac:dyDescent="0.25">
      <c r="D178" t="s">
        <v>135</v>
      </c>
      <c r="E178" t="s">
        <v>172</v>
      </c>
    </row>
    <row r="179" spans="4:5" x14ac:dyDescent="0.25">
      <c r="D179" t="s">
        <v>137</v>
      </c>
      <c r="E179" t="s">
        <v>337</v>
      </c>
    </row>
    <row r="180" spans="4:5" x14ac:dyDescent="0.25">
      <c r="D180" t="s">
        <v>278</v>
      </c>
    </row>
    <row r="182" spans="4:5" x14ac:dyDescent="0.25">
      <c r="D182" t="s">
        <v>133</v>
      </c>
      <c r="E182" t="s">
        <v>134</v>
      </c>
    </row>
    <row r="183" spans="4:5" x14ac:dyDescent="0.25">
      <c r="D183" t="s">
        <v>135</v>
      </c>
      <c r="E183" t="s">
        <v>173</v>
      </c>
    </row>
    <row r="184" spans="4:5" x14ac:dyDescent="0.25">
      <c r="D184" t="s">
        <v>137</v>
      </c>
      <c r="E184" t="s">
        <v>337</v>
      </c>
    </row>
    <row r="185" spans="4:5" x14ac:dyDescent="0.25">
      <c r="D185" t="s">
        <v>310</v>
      </c>
    </row>
    <row r="187" spans="4:5" x14ac:dyDescent="0.25">
      <c r="D187" t="s">
        <v>133</v>
      </c>
      <c r="E187" t="s">
        <v>174</v>
      </c>
    </row>
    <row r="188" spans="4:5" x14ac:dyDescent="0.25">
      <c r="D188" t="s">
        <v>135</v>
      </c>
      <c r="E188" t="s">
        <v>136</v>
      </c>
    </row>
    <row r="189" spans="4:5" x14ac:dyDescent="0.25">
      <c r="D189" t="s">
        <v>137</v>
      </c>
      <c r="E189" t="s">
        <v>337</v>
      </c>
    </row>
    <row r="190" spans="4:5" x14ac:dyDescent="0.25">
      <c r="D190" t="s">
        <v>311</v>
      </c>
    </row>
    <row r="192" spans="4:5" x14ac:dyDescent="0.25">
      <c r="D192" t="s">
        <v>133</v>
      </c>
      <c r="E192" t="s">
        <v>174</v>
      </c>
    </row>
    <row r="193" spans="4:5" x14ac:dyDescent="0.25">
      <c r="D193" t="s">
        <v>135</v>
      </c>
      <c r="E193" t="s">
        <v>175</v>
      </c>
    </row>
    <row r="194" spans="4:5" x14ac:dyDescent="0.25">
      <c r="D194" t="s">
        <v>137</v>
      </c>
      <c r="E194" t="s">
        <v>337</v>
      </c>
    </row>
    <row r="195" spans="4:5" x14ac:dyDescent="0.25">
      <c r="D195" t="s">
        <v>312</v>
      </c>
    </row>
    <row r="197" spans="4:5" x14ac:dyDescent="0.25">
      <c r="D197" t="s">
        <v>133</v>
      </c>
      <c r="E197" t="s">
        <v>174</v>
      </c>
    </row>
    <row r="198" spans="4:5" x14ac:dyDescent="0.25">
      <c r="D198" t="s">
        <v>135</v>
      </c>
      <c r="E198" t="s">
        <v>176</v>
      </c>
    </row>
    <row r="199" spans="4:5" x14ac:dyDescent="0.25">
      <c r="D199" t="s">
        <v>137</v>
      </c>
      <c r="E199" t="s">
        <v>337</v>
      </c>
    </row>
    <row r="200" spans="4:5" x14ac:dyDescent="0.25">
      <c r="D200" t="s">
        <v>313</v>
      </c>
    </row>
    <row r="202" spans="4:5" x14ac:dyDescent="0.25">
      <c r="D202" t="s">
        <v>133</v>
      </c>
      <c r="E202" t="s">
        <v>134</v>
      </c>
    </row>
    <row r="203" spans="4:5" x14ac:dyDescent="0.25">
      <c r="D203" t="s">
        <v>135</v>
      </c>
      <c r="E203" t="s">
        <v>175</v>
      </c>
    </row>
    <row r="204" spans="4:5" x14ac:dyDescent="0.25">
      <c r="D204" t="s">
        <v>137</v>
      </c>
      <c r="E204" t="s">
        <v>337</v>
      </c>
    </row>
    <row r="205" spans="4:5" x14ac:dyDescent="0.25">
      <c r="D205" t="s">
        <v>314</v>
      </c>
    </row>
    <row r="207" spans="4:5" x14ac:dyDescent="0.25">
      <c r="D207" t="s">
        <v>133</v>
      </c>
      <c r="E207" t="s">
        <v>134</v>
      </c>
    </row>
    <row r="208" spans="4:5" x14ac:dyDescent="0.25">
      <c r="D208" t="s">
        <v>135</v>
      </c>
      <c r="E208" t="s">
        <v>176</v>
      </c>
    </row>
    <row r="209" spans="4:5" x14ac:dyDescent="0.25">
      <c r="D209" t="s">
        <v>137</v>
      </c>
      <c r="E209" t="s">
        <v>337</v>
      </c>
    </row>
    <row r="210" spans="4:5" x14ac:dyDescent="0.25">
      <c r="D210" t="s">
        <v>315</v>
      </c>
    </row>
    <row r="212" spans="4:5" x14ac:dyDescent="0.25">
      <c r="D212" t="s">
        <v>133</v>
      </c>
      <c r="E212" t="s">
        <v>177</v>
      </c>
    </row>
    <row r="213" spans="4:5" x14ac:dyDescent="0.25">
      <c r="D213" t="s">
        <v>135</v>
      </c>
      <c r="E213" t="s">
        <v>178</v>
      </c>
    </row>
    <row r="214" spans="4:5" x14ac:dyDescent="0.25">
      <c r="D214" t="s">
        <v>179</v>
      </c>
    </row>
    <row r="215" spans="4:5" x14ac:dyDescent="0.25">
      <c r="D215" t="s">
        <v>180</v>
      </c>
    </row>
    <row r="216" spans="4:5" x14ac:dyDescent="0.25">
      <c r="D216" t="s">
        <v>181</v>
      </c>
    </row>
    <row r="217" spans="4:5" x14ac:dyDescent="0.25">
      <c r="D217" t="s">
        <v>182</v>
      </c>
    </row>
    <row r="218" spans="4:5" x14ac:dyDescent="0.25">
      <c r="D218" t="s">
        <v>183</v>
      </c>
      <c r="E218" t="b">
        <v>0</v>
      </c>
    </row>
    <row r="219" spans="4:5" x14ac:dyDescent="0.25">
      <c r="D219" t="s">
        <v>184</v>
      </c>
      <c r="E219" t="s">
        <v>164</v>
      </c>
    </row>
    <row r="220" spans="4:5" x14ac:dyDescent="0.25">
      <c r="D220" t="s">
        <v>316</v>
      </c>
    </row>
    <row r="222" spans="4:5" x14ac:dyDescent="0.25">
      <c r="D222" t="s">
        <v>133</v>
      </c>
      <c r="E222" t="s">
        <v>177</v>
      </c>
    </row>
    <row r="223" spans="4:5" x14ac:dyDescent="0.25">
      <c r="D223" t="s">
        <v>135</v>
      </c>
      <c r="E223" t="s">
        <v>178</v>
      </c>
    </row>
    <row r="224" spans="4:5" x14ac:dyDescent="0.25">
      <c r="D224" t="s">
        <v>179</v>
      </c>
    </row>
    <row r="225" spans="4:5" x14ac:dyDescent="0.25">
      <c r="D225" t="s">
        <v>180</v>
      </c>
    </row>
    <row r="226" spans="4:5" x14ac:dyDescent="0.25">
      <c r="D226" t="s">
        <v>181</v>
      </c>
    </row>
    <row r="227" spans="4:5" x14ac:dyDescent="0.25">
      <c r="D227" t="s">
        <v>182</v>
      </c>
    </row>
    <row r="228" spans="4:5" x14ac:dyDescent="0.25">
      <c r="D228" t="s">
        <v>183</v>
      </c>
      <c r="E228" t="b">
        <v>1</v>
      </c>
    </row>
    <row r="229" spans="4:5" x14ac:dyDescent="0.25">
      <c r="D229" t="s">
        <v>184</v>
      </c>
      <c r="E229" t="s">
        <v>164</v>
      </c>
    </row>
    <row r="230" spans="4:5" x14ac:dyDescent="0.25">
      <c r="D230" t="s">
        <v>317</v>
      </c>
    </row>
    <row r="232" spans="4:5" x14ac:dyDescent="0.25">
      <c r="D232" t="s">
        <v>133</v>
      </c>
      <c r="E232" t="s">
        <v>134</v>
      </c>
    </row>
    <row r="233" spans="4:5" x14ac:dyDescent="0.25">
      <c r="D233" t="s">
        <v>135</v>
      </c>
      <c r="E233" t="s">
        <v>185</v>
      </c>
    </row>
    <row r="234" spans="4:5" x14ac:dyDescent="0.25">
      <c r="D234" t="s">
        <v>137</v>
      </c>
      <c r="E234" t="s">
        <v>335</v>
      </c>
    </row>
    <row r="235" spans="4:5" x14ac:dyDescent="0.25">
      <c r="D235" t="s">
        <v>138</v>
      </c>
      <c r="E235">
        <v>37</v>
      </c>
    </row>
    <row r="236" spans="4:5" x14ac:dyDescent="0.25">
      <c r="D236" t="s">
        <v>139</v>
      </c>
      <c r="E236">
        <v>0</v>
      </c>
    </row>
    <row r="237" spans="4:5" x14ac:dyDescent="0.25">
      <c r="D237" t="s">
        <v>318</v>
      </c>
    </row>
    <row r="239" spans="4:5" x14ac:dyDescent="0.25">
      <c r="D239" t="s">
        <v>133</v>
      </c>
      <c r="E239" t="s">
        <v>186</v>
      </c>
    </row>
    <row r="240" spans="4:5" x14ac:dyDescent="0.25">
      <c r="D240" t="s">
        <v>135</v>
      </c>
      <c r="E240" t="s">
        <v>187</v>
      </c>
    </row>
    <row r="241" spans="4:5" x14ac:dyDescent="0.25">
      <c r="D241" t="s">
        <v>188</v>
      </c>
      <c r="E241">
        <v>18000</v>
      </c>
    </row>
    <row r="242" spans="4:5" x14ac:dyDescent="0.25">
      <c r="D242" t="s">
        <v>319</v>
      </c>
    </row>
    <row r="244" spans="4:5" x14ac:dyDescent="0.25">
      <c r="D244" t="s">
        <v>133</v>
      </c>
      <c r="E244" t="s">
        <v>186</v>
      </c>
    </row>
    <row r="245" spans="4:5" x14ac:dyDescent="0.25">
      <c r="D245" t="s">
        <v>135</v>
      </c>
      <c r="E245" t="s">
        <v>189</v>
      </c>
    </row>
    <row r="246" spans="4:5" x14ac:dyDescent="0.25">
      <c r="D246" t="s">
        <v>320</v>
      </c>
    </row>
    <row r="248" spans="4:5" x14ac:dyDescent="0.25">
      <c r="D248" t="s">
        <v>133</v>
      </c>
      <c r="E248" t="s">
        <v>134</v>
      </c>
    </row>
    <row r="249" spans="4:5" x14ac:dyDescent="0.25">
      <c r="D249" t="s">
        <v>135</v>
      </c>
      <c r="E249" t="s">
        <v>190</v>
      </c>
    </row>
    <row r="250" spans="4:5" x14ac:dyDescent="0.25">
      <c r="D250" t="s">
        <v>137</v>
      </c>
      <c r="E250" t="s">
        <v>337</v>
      </c>
    </row>
    <row r="251" spans="4:5" x14ac:dyDescent="0.25">
      <c r="D251" t="s">
        <v>321</v>
      </c>
    </row>
    <row r="253" spans="4:5" x14ac:dyDescent="0.25">
      <c r="D253" t="s">
        <v>133</v>
      </c>
      <c r="E253" t="s">
        <v>174</v>
      </c>
    </row>
    <row r="254" spans="4:5" x14ac:dyDescent="0.25">
      <c r="D254" t="s">
        <v>135</v>
      </c>
      <c r="E254" t="s">
        <v>175</v>
      </c>
    </row>
    <row r="255" spans="4:5" x14ac:dyDescent="0.25">
      <c r="D255" t="s">
        <v>137</v>
      </c>
      <c r="E255" t="s">
        <v>337</v>
      </c>
    </row>
    <row r="256" spans="4:5" x14ac:dyDescent="0.25">
      <c r="D256" t="s">
        <v>322</v>
      </c>
    </row>
    <row r="258" spans="4:5" x14ac:dyDescent="0.25">
      <c r="D258" t="s">
        <v>133</v>
      </c>
      <c r="E258" t="s">
        <v>174</v>
      </c>
    </row>
    <row r="259" spans="4:5" x14ac:dyDescent="0.25">
      <c r="D259" t="s">
        <v>135</v>
      </c>
      <c r="E259" t="s">
        <v>176</v>
      </c>
    </row>
    <row r="260" spans="4:5" x14ac:dyDescent="0.25">
      <c r="D260" t="s">
        <v>137</v>
      </c>
      <c r="E260" t="s">
        <v>337</v>
      </c>
    </row>
    <row r="261" spans="4:5" x14ac:dyDescent="0.25">
      <c r="D261" t="s">
        <v>323</v>
      </c>
    </row>
    <row r="263" spans="4:5" x14ac:dyDescent="0.25">
      <c r="D263" t="s">
        <v>133</v>
      </c>
      <c r="E263" t="s">
        <v>134</v>
      </c>
    </row>
    <row r="264" spans="4:5" x14ac:dyDescent="0.25">
      <c r="D264" t="s">
        <v>135</v>
      </c>
      <c r="E264" t="s">
        <v>175</v>
      </c>
    </row>
    <row r="265" spans="4:5" x14ac:dyDescent="0.25">
      <c r="D265" t="s">
        <v>137</v>
      </c>
      <c r="E265" t="s">
        <v>337</v>
      </c>
    </row>
    <row r="266" spans="4:5" x14ac:dyDescent="0.25">
      <c r="D266" t="s">
        <v>324</v>
      </c>
    </row>
    <row r="268" spans="4:5" x14ac:dyDescent="0.25">
      <c r="D268" t="s">
        <v>133</v>
      </c>
      <c r="E268" t="s">
        <v>134</v>
      </c>
    </row>
    <row r="269" spans="4:5" x14ac:dyDescent="0.25">
      <c r="D269" t="s">
        <v>135</v>
      </c>
      <c r="E269" t="s">
        <v>176</v>
      </c>
    </row>
    <row r="270" spans="4:5" x14ac:dyDescent="0.25">
      <c r="D270" t="s">
        <v>137</v>
      </c>
      <c r="E270" t="s">
        <v>337</v>
      </c>
    </row>
    <row r="271" spans="4:5" x14ac:dyDescent="0.25">
      <c r="D271" t="s">
        <v>325</v>
      </c>
    </row>
    <row r="273" spans="4:5" x14ac:dyDescent="0.25">
      <c r="D273" t="s">
        <v>133</v>
      </c>
      <c r="E273" t="s">
        <v>168</v>
      </c>
    </row>
    <row r="274" spans="4:5" x14ac:dyDescent="0.25">
      <c r="D274" t="s">
        <v>135</v>
      </c>
      <c r="E274" t="s">
        <v>169</v>
      </c>
    </row>
    <row r="275" spans="4:5" x14ac:dyDescent="0.25">
      <c r="D275" t="s">
        <v>170</v>
      </c>
      <c r="E275" t="s">
        <v>337</v>
      </c>
    </row>
    <row r="276" spans="4:5" x14ac:dyDescent="0.25">
      <c r="D276" t="s">
        <v>326</v>
      </c>
    </row>
    <row r="278" spans="4:5" x14ac:dyDescent="0.25">
      <c r="D278" t="s">
        <v>133</v>
      </c>
      <c r="E278" t="s">
        <v>168</v>
      </c>
    </row>
    <row r="279" spans="4:5" x14ac:dyDescent="0.25">
      <c r="D279" t="s">
        <v>135</v>
      </c>
      <c r="E279" t="s">
        <v>171</v>
      </c>
    </row>
    <row r="280" spans="4:5" x14ac:dyDescent="0.25">
      <c r="D280" t="s">
        <v>170</v>
      </c>
      <c r="E280" t="s">
        <v>337</v>
      </c>
    </row>
    <row r="281" spans="4:5" x14ac:dyDescent="0.25">
      <c r="D281" t="s">
        <v>327</v>
      </c>
    </row>
    <row r="283" spans="4:5" x14ac:dyDescent="0.25">
      <c r="D283" t="s">
        <v>133</v>
      </c>
      <c r="E283" t="s">
        <v>134</v>
      </c>
    </row>
    <row r="284" spans="4:5" x14ac:dyDescent="0.25">
      <c r="D284" t="s">
        <v>135</v>
      </c>
      <c r="E284" t="s">
        <v>172</v>
      </c>
    </row>
    <row r="285" spans="4:5" x14ac:dyDescent="0.25">
      <c r="D285" t="s">
        <v>137</v>
      </c>
      <c r="E285" t="s">
        <v>337</v>
      </c>
    </row>
    <row r="286" spans="4:5" x14ac:dyDescent="0.25">
      <c r="D286" t="s">
        <v>328</v>
      </c>
    </row>
    <row r="288" spans="4:5" x14ac:dyDescent="0.25">
      <c r="D288" t="s">
        <v>133</v>
      </c>
      <c r="E288" t="s">
        <v>134</v>
      </c>
    </row>
    <row r="289" spans="4:5" x14ac:dyDescent="0.25">
      <c r="D289" t="s">
        <v>135</v>
      </c>
      <c r="E289" t="s">
        <v>173</v>
      </c>
    </row>
    <row r="290" spans="4:5" x14ac:dyDescent="0.25">
      <c r="D290" t="s">
        <v>137</v>
      </c>
      <c r="E290" t="s">
        <v>337</v>
      </c>
    </row>
    <row r="291" spans="4:5" x14ac:dyDescent="0.25">
      <c r="D291" t="s">
        <v>329</v>
      </c>
    </row>
    <row r="293" spans="4:5" x14ac:dyDescent="0.25">
      <c r="D293" t="s">
        <v>133</v>
      </c>
      <c r="E293" t="s">
        <v>177</v>
      </c>
    </row>
    <row r="294" spans="4:5" x14ac:dyDescent="0.25">
      <c r="D294" t="s">
        <v>135</v>
      </c>
      <c r="E294" t="s">
        <v>178</v>
      </c>
    </row>
    <row r="295" spans="4:5" x14ac:dyDescent="0.25">
      <c r="D295" t="s">
        <v>179</v>
      </c>
    </row>
    <row r="296" spans="4:5" x14ac:dyDescent="0.25">
      <c r="D296" t="s">
        <v>180</v>
      </c>
    </row>
    <row r="297" spans="4:5" x14ac:dyDescent="0.25">
      <c r="D297" t="s">
        <v>181</v>
      </c>
    </row>
    <row r="298" spans="4:5" x14ac:dyDescent="0.25">
      <c r="D298" t="s">
        <v>182</v>
      </c>
    </row>
    <row r="299" spans="4:5" x14ac:dyDescent="0.25">
      <c r="D299" t="s">
        <v>183</v>
      </c>
      <c r="E299" t="b">
        <v>0</v>
      </c>
    </row>
    <row r="300" spans="4:5" x14ac:dyDescent="0.25">
      <c r="D300" t="s">
        <v>184</v>
      </c>
      <c r="E300" t="s">
        <v>191</v>
      </c>
    </row>
    <row r="301" spans="4:5" x14ac:dyDescent="0.25">
      <c r="D301" t="s">
        <v>330</v>
      </c>
    </row>
    <row r="303" spans="4:5" x14ac:dyDescent="0.25">
      <c r="D303" t="s">
        <v>133</v>
      </c>
      <c r="E303" t="s">
        <v>177</v>
      </c>
    </row>
    <row r="304" spans="4:5" x14ac:dyDescent="0.25">
      <c r="D304" t="s">
        <v>135</v>
      </c>
      <c r="E304" t="s">
        <v>178</v>
      </c>
    </row>
    <row r="305" spans="4:5" x14ac:dyDescent="0.25">
      <c r="D305" t="s">
        <v>179</v>
      </c>
    </row>
    <row r="306" spans="4:5" x14ac:dyDescent="0.25">
      <c r="D306" t="s">
        <v>180</v>
      </c>
    </row>
    <row r="307" spans="4:5" x14ac:dyDescent="0.25">
      <c r="D307" t="s">
        <v>181</v>
      </c>
    </row>
    <row r="308" spans="4:5" x14ac:dyDescent="0.25">
      <c r="D308" t="s">
        <v>182</v>
      </c>
    </row>
    <row r="309" spans="4:5" x14ac:dyDescent="0.25">
      <c r="D309" t="s">
        <v>183</v>
      </c>
      <c r="E309" t="b">
        <v>1</v>
      </c>
    </row>
    <row r="310" spans="4:5" x14ac:dyDescent="0.25">
      <c r="D310" t="s">
        <v>184</v>
      </c>
      <c r="E310" t="s">
        <v>191</v>
      </c>
    </row>
    <row r="311" spans="4:5" x14ac:dyDescent="0.25">
      <c r="D311" t="s">
        <v>331</v>
      </c>
    </row>
    <row r="313" spans="4:5" x14ac:dyDescent="0.25">
      <c r="D313" t="s">
        <v>133</v>
      </c>
      <c r="E313" t="s">
        <v>134</v>
      </c>
    </row>
    <row r="314" spans="4:5" x14ac:dyDescent="0.25">
      <c r="D314" t="s">
        <v>135</v>
      </c>
      <c r="E314" t="s">
        <v>192</v>
      </c>
    </row>
    <row r="315" spans="4:5" x14ac:dyDescent="0.25">
      <c r="D315" t="s">
        <v>137</v>
      </c>
      <c r="E315" t="s">
        <v>337</v>
      </c>
    </row>
    <row r="317" spans="4:5" x14ac:dyDescent="0.25">
      <c r="D317" t="s">
        <v>133</v>
      </c>
      <c r="E317" t="s">
        <v>174</v>
      </c>
    </row>
    <row r="318" spans="4:5" x14ac:dyDescent="0.25">
      <c r="D318" t="s">
        <v>135</v>
      </c>
      <c r="E318" t="s">
        <v>192</v>
      </c>
    </row>
    <row r="319" spans="4:5" x14ac:dyDescent="0.25">
      <c r="D319" t="s">
        <v>137</v>
      </c>
      <c r="E319" t="s">
        <v>337</v>
      </c>
    </row>
    <row r="320" spans="4:5" x14ac:dyDescent="0.25">
      <c r="D320" t="s">
        <v>332</v>
      </c>
    </row>
    <row r="325" spans="2:5" x14ac:dyDescent="0.25">
      <c r="B325" t="s">
        <v>141</v>
      </c>
    </row>
    <row r="326" spans="2:5" x14ac:dyDescent="0.25">
      <c r="B326" t="s">
        <v>333</v>
      </c>
    </row>
    <row r="327" spans="2:5" x14ac:dyDescent="0.25">
      <c r="B327" t="s">
        <v>207</v>
      </c>
    </row>
    <row r="328" spans="2:5" x14ac:dyDescent="0.25">
      <c r="B328" t="s">
        <v>142</v>
      </c>
    </row>
    <row r="329" spans="2:5" x14ac:dyDescent="0.25">
      <c r="B329" t="s">
        <v>143</v>
      </c>
    </row>
    <row r="330" spans="2:5" x14ac:dyDescent="0.25">
      <c r="B330" t="s">
        <v>208</v>
      </c>
    </row>
    <row r="331" spans="2:5" x14ac:dyDescent="0.25">
      <c r="B331" t="s">
        <v>144</v>
      </c>
    </row>
    <row r="333" spans="2:5" x14ac:dyDescent="0.25">
      <c r="C333" t="s">
        <v>145</v>
      </c>
    </row>
    <row r="335" spans="2:5" x14ac:dyDescent="0.25">
      <c r="D335" t="s">
        <v>133</v>
      </c>
      <c r="E335" t="s">
        <v>146</v>
      </c>
    </row>
    <row r="336" spans="2:5" x14ac:dyDescent="0.25">
      <c r="D336" t="s">
        <v>135</v>
      </c>
      <c r="E336" t="s">
        <v>147</v>
      </c>
    </row>
    <row r="337" spans="4:15" x14ac:dyDescent="0.25">
      <c r="D337" t="s">
        <v>148</v>
      </c>
      <c r="E337">
        <v>13.6</v>
      </c>
      <c r="F337">
        <v>13.6</v>
      </c>
      <c r="G337">
        <v>13.6</v>
      </c>
      <c r="H337">
        <v>13.6</v>
      </c>
      <c r="I337">
        <v>13.6</v>
      </c>
      <c r="J337">
        <v>13.6</v>
      </c>
      <c r="K337">
        <v>13.6</v>
      </c>
      <c r="L337">
        <v>13.6</v>
      </c>
      <c r="M337">
        <v>13.6</v>
      </c>
      <c r="N337">
        <v>13.6</v>
      </c>
      <c r="O337">
        <v>13.6</v>
      </c>
    </row>
    <row r="338" spans="4:15" x14ac:dyDescent="0.25">
      <c r="D338" t="s">
        <v>149</v>
      </c>
      <c r="E338" t="s">
        <v>150</v>
      </c>
      <c r="F338" t="s">
        <v>150</v>
      </c>
      <c r="G338" t="s">
        <v>150</v>
      </c>
      <c r="H338" t="s">
        <v>150</v>
      </c>
      <c r="I338" t="s">
        <v>150</v>
      </c>
      <c r="J338" t="s">
        <v>150</v>
      </c>
      <c r="K338" t="s">
        <v>150</v>
      </c>
      <c r="L338" t="s">
        <v>150</v>
      </c>
      <c r="M338" t="s">
        <v>150</v>
      </c>
      <c r="N338" t="s">
        <v>150</v>
      </c>
      <c r="O338" t="s">
        <v>151</v>
      </c>
    </row>
    <row r="339" spans="4:15" x14ac:dyDescent="0.25">
      <c r="D339" t="s">
        <v>201</v>
      </c>
    </row>
    <row r="341" spans="4:15" x14ac:dyDescent="0.25">
      <c r="D341" t="s">
        <v>133</v>
      </c>
      <c r="E341" t="s">
        <v>146</v>
      </c>
    </row>
    <row r="342" spans="4:15" x14ac:dyDescent="0.25">
      <c r="D342" t="s">
        <v>135</v>
      </c>
      <c r="E342" t="s">
        <v>152</v>
      </c>
    </row>
    <row r="343" spans="4:15" x14ac:dyDescent="0.25">
      <c r="D343" t="s">
        <v>148</v>
      </c>
      <c r="E343">
        <v>13.6</v>
      </c>
      <c r="F343">
        <v>13.6</v>
      </c>
      <c r="G343">
        <v>13.6</v>
      </c>
      <c r="H343">
        <v>13.6</v>
      </c>
      <c r="I343">
        <v>13.6</v>
      </c>
      <c r="J343">
        <v>13.6</v>
      </c>
      <c r="K343">
        <v>13.6</v>
      </c>
      <c r="L343">
        <v>13.6</v>
      </c>
      <c r="M343">
        <v>13.6</v>
      </c>
      <c r="N343">
        <v>13.6</v>
      </c>
      <c r="O343">
        <v>13</v>
      </c>
    </row>
    <row r="344" spans="4:15" x14ac:dyDescent="0.25">
      <c r="D344" t="s">
        <v>202</v>
      </c>
    </row>
    <row r="346" spans="4:15" x14ac:dyDescent="0.25">
      <c r="D346" t="s">
        <v>133</v>
      </c>
      <c r="E346" t="s">
        <v>146</v>
      </c>
    </row>
    <row r="347" spans="4:15" x14ac:dyDescent="0.25">
      <c r="D347" t="s">
        <v>135</v>
      </c>
      <c r="E347" t="s">
        <v>153</v>
      </c>
    </row>
    <row r="348" spans="4:15" x14ac:dyDescent="0.25">
      <c r="D348" t="s">
        <v>154</v>
      </c>
      <c r="E348" t="s">
        <v>335</v>
      </c>
      <c r="F348" t="s">
        <v>335</v>
      </c>
      <c r="G348" t="s">
        <v>335</v>
      </c>
      <c r="H348" t="s">
        <v>335</v>
      </c>
      <c r="I348" t="s">
        <v>335</v>
      </c>
      <c r="J348" t="s">
        <v>335</v>
      </c>
      <c r="K348" t="s">
        <v>335</v>
      </c>
      <c r="L348" t="s">
        <v>335</v>
      </c>
      <c r="M348" t="s">
        <v>335</v>
      </c>
      <c r="N348" t="s">
        <v>335</v>
      </c>
      <c r="O348" t="s">
        <v>335</v>
      </c>
    </row>
    <row r="349" spans="4:15" x14ac:dyDescent="0.25">
      <c r="D349" t="s">
        <v>155</v>
      </c>
      <c r="E349">
        <v>1</v>
      </c>
      <c r="F349">
        <v>2</v>
      </c>
      <c r="G349">
        <v>3</v>
      </c>
      <c r="H349">
        <v>4</v>
      </c>
      <c r="I349">
        <v>5</v>
      </c>
      <c r="J349">
        <v>6</v>
      </c>
      <c r="K349">
        <v>7</v>
      </c>
      <c r="L349">
        <v>8</v>
      </c>
      <c r="M349">
        <v>9</v>
      </c>
      <c r="N349">
        <v>10</v>
      </c>
      <c r="O349">
        <v>11</v>
      </c>
    </row>
    <row r="350" spans="4:15" x14ac:dyDescent="0.25">
      <c r="D350" t="s">
        <v>156</v>
      </c>
      <c r="E350" t="s">
        <v>37</v>
      </c>
      <c r="F350" t="s">
        <v>37</v>
      </c>
      <c r="G350" t="s">
        <v>37</v>
      </c>
      <c r="H350" t="s">
        <v>37</v>
      </c>
      <c r="I350" t="s">
        <v>37</v>
      </c>
      <c r="J350" t="s">
        <v>37</v>
      </c>
      <c r="K350" t="s">
        <v>37</v>
      </c>
      <c r="L350" t="s">
        <v>37</v>
      </c>
      <c r="M350" t="s">
        <v>37</v>
      </c>
      <c r="N350" t="s">
        <v>37</v>
      </c>
      <c r="O350" t="s">
        <v>37</v>
      </c>
    </row>
    <row r="351" spans="4:15" x14ac:dyDescent="0.25">
      <c r="D351" t="s">
        <v>157</v>
      </c>
      <c r="E351">
        <v>1</v>
      </c>
      <c r="F351">
        <v>2</v>
      </c>
      <c r="G351">
        <v>3</v>
      </c>
      <c r="H351">
        <v>4</v>
      </c>
      <c r="I351">
        <v>5</v>
      </c>
      <c r="J351">
        <v>6</v>
      </c>
      <c r="K351">
        <v>7</v>
      </c>
      <c r="L351">
        <v>8</v>
      </c>
      <c r="M351">
        <v>9</v>
      </c>
      <c r="N351">
        <v>10</v>
      </c>
      <c r="O351">
        <v>11</v>
      </c>
    </row>
    <row r="352" spans="4:15" x14ac:dyDescent="0.25">
      <c r="D352" t="s">
        <v>148</v>
      </c>
      <c r="E352">
        <v>13.6</v>
      </c>
      <c r="F352">
        <v>13.6</v>
      </c>
      <c r="G352">
        <v>13.6</v>
      </c>
      <c r="H352">
        <v>13.6</v>
      </c>
      <c r="I352">
        <v>13.6</v>
      </c>
      <c r="J352">
        <v>13.6</v>
      </c>
      <c r="K352">
        <v>13.6</v>
      </c>
      <c r="L352">
        <v>13.6</v>
      </c>
      <c r="M352">
        <v>13.6</v>
      </c>
      <c r="N352">
        <v>13.6</v>
      </c>
      <c r="O352">
        <v>13.6</v>
      </c>
    </row>
    <row r="353" spans="2:15" x14ac:dyDescent="0.25">
      <c r="D353" t="s">
        <v>158</v>
      </c>
      <c r="E353">
        <v>75</v>
      </c>
      <c r="F353">
        <v>75</v>
      </c>
      <c r="G353">
        <v>75</v>
      </c>
      <c r="H353">
        <v>75</v>
      </c>
      <c r="I353">
        <v>75</v>
      </c>
      <c r="J353">
        <v>75</v>
      </c>
      <c r="K353">
        <v>75</v>
      </c>
      <c r="L353">
        <v>75</v>
      </c>
      <c r="M353">
        <v>75</v>
      </c>
      <c r="N353">
        <v>75</v>
      </c>
      <c r="O353">
        <v>75</v>
      </c>
    </row>
    <row r="354" spans="2:15" x14ac:dyDescent="0.25">
      <c r="D354" t="s">
        <v>159</v>
      </c>
      <c r="E354" t="s">
        <v>21</v>
      </c>
      <c r="F354" t="s">
        <v>21</v>
      </c>
      <c r="G354" t="s">
        <v>21</v>
      </c>
      <c r="H354" t="s">
        <v>21</v>
      </c>
      <c r="I354" t="s">
        <v>21</v>
      </c>
      <c r="J354" t="s">
        <v>21</v>
      </c>
      <c r="K354" t="s">
        <v>21</v>
      </c>
      <c r="L354" t="s">
        <v>21</v>
      </c>
      <c r="M354" t="s">
        <v>21</v>
      </c>
      <c r="N354" t="s">
        <v>21</v>
      </c>
      <c r="O354" t="s">
        <v>21</v>
      </c>
    </row>
    <row r="355" spans="2:15" x14ac:dyDescent="0.25">
      <c r="D355" t="s">
        <v>160</v>
      </c>
    </row>
    <row r="356" spans="2:15" x14ac:dyDescent="0.25">
      <c r="D356" t="s">
        <v>161</v>
      </c>
    </row>
    <row r="357" spans="2:15" x14ac:dyDescent="0.25">
      <c r="D357" t="s">
        <v>162</v>
      </c>
      <c r="E357">
        <v>0</v>
      </c>
    </row>
    <row r="358" spans="2:15" x14ac:dyDescent="0.25">
      <c r="D358" t="s">
        <v>163</v>
      </c>
      <c r="E358" t="s">
        <v>164</v>
      </c>
    </row>
    <row r="359" spans="2:15" x14ac:dyDescent="0.25">
      <c r="D359" t="s">
        <v>203</v>
      </c>
    </row>
    <row r="364" spans="2:15" x14ac:dyDescent="0.25">
      <c r="B364" t="s">
        <v>209</v>
      </c>
    </row>
    <row r="365" spans="2:15" x14ac:dyDescent="0.25">
      <c r="B365" t="s">
        <v>334</v>
      </c>
    </row>
    <row r="367" spans="2:15" x14ac:dyDescent="0.25">
      <c r="C367" t="s">
        <v>338</v>
      </c>
    </row>
    <row r="369" spans="4:13" x14ac:dyDescent="0.25">
      <c r="D369" t="s">
        <v>133</v>
      </c>
      <c r="E369" t="s">
        <v>210</v>
      </c>
    </row>
    <row r="370" spans="4:13" x14ac:dyDescent="0.25">
      <c r="D370" t="s">
        <v>135</v>
      </c>
      <c r="E370" t="s">
        <v>211</v>
      </c>
    </row>
    <row r="371" spans="4:13" x14ac:dyDescent="0.25">
      <c r="D371" t="s">
        <v>212</v>
      </c>
      <c r="E371">
        <v>1</v>
      </c>
    </row>
    <row r="373" spans="4:13" x14ac:dyDescent="0.25">
      <c r="D373" t="s">
        <v>133</v>
      </c>
      <c r="E373" t="s">
        <v>210</v>
      </c>
    </row>
    <row r="374" spans="4:13" x14ac:dyDescent="0.25">
      <c r="D374" t="s">
        <v>135</v>
      </c>
      <c r="E374" t="s">
        <v>168</v>
      </c>
    </row>
    <row r="375" spans="4:13" x14ac:dyDescent="0.25">
      <c r="D375" t="s">
        <v>213</v>
      </c>
      <c r="E375" t="s">
        <v>303</v>
      </c>
      <c r="F375" t="s">
        <v>244</v>
      </c>
      <c r="G375" t="s">
        <v>8</v>
      </c>
      <c r="H375" t="s">
        <v>335</v>
      </c>
      <c r="I375" t="s">
        <v>245</v>
      </c>
      <c r="J375" t="s">
        <v>131</v>
      </c>
      <c r="K375" t="s">
        <v>45</v>
      </c>
      <c r="L375" t="s">
        <v>264</v>
      </c>
      <c r="M375" t="s">
        <v>37</v>
      </c>
    </row>
    <row r="376" spans="4:13" x14ac:dyDescent="0.25">
      <c r="D376" t="s">
        <v>214</v>
      </c>
      <c r="E376" t="s">
        <v>215</v>
      </c>
      <c r="F376" t="s">
        <v>279</v>
      </c>
      <c r="G376" t="s">
        <v>280</v>
      </c>
      <c r="H376" t="s">
        <v>339</v>
      </c>
      <c r="I376" t="s">
        <v>249</v>
      </c>
      <c r="J376" t="s">
        <v>288</v>
      </c>
      <c r="K376" t="s">
        <v>216</v>
      </c>
      <c r="L376" t="s">
        <v>217</v>
      </c>
      <c r="M376" t="s">
        <v>218</v>
      </c>
    </row>
    <row r="377" spans="4:13" x14ac:dyDescent="0.25">
      <c r="D377" t="s">
        <v>219</v>
      </c>
      <c r="E377" t="b">
        <v>0</v>
      </c>
      <c r="F377" t="b">
        <v>0</v>
      </c>
      <c r="G377" t="s">
        <v>281</v>
      </c>
      <c r="H377" t="s">
        <v>340</v>
      </c>
      <c r="I377" t="b">
        <v>0</v>
      </c>
      <c r="J377" t="b">
        <v>0</v>
      </c>
      <c r="K377" t="b">
        <v>1</v>
      </c>
      <c r="L377" t="b">
        <v>1</v>
      </c>
      <c r="M377" t="b">
        <v>1</v>
      </c>
    </row>
    <row r="378" spans="4:13" x14ac:dyDescent="0.25">
      <c r="D378" t="s">
        <v>220</v>
      </c>
      <c r="E378" t="s">
        <v>221</v>
      </c>
      <c r="F378" t="s">
        <v>282</v>
      </c>
      <c r="G378" t="s">
        <v>283</v>
      </c>
      <c r="H378" t="s">
        <v>222</v>
      </c>
      <c r="I378" t="s">
        <v>250</v>
      </c>
      <c r="J378" t="s">
        <v>289</v>
      </c>
      <c r="K378" t="s">
        <v>216</v>
      </c>
      <c r="L378" t="s">
        <v>217</v>
      </c>
      <c r="M378" t="s">
        <v>218</v>
      </c>
    </row>
    <row r="379" spans="4:13" x14ac:dyDescent="0.25">
      <c r="D379" t="s">
        <v>223</v>
      </c>
      <c r="E379">
        <v>1050</v>
      </c>
      <c r="F379">
        <v>150</v>
      </c>
      <c r="G379">
        <v>110</v>
      </c>
      <c r="H379">
        <v>98.6</v>
      </c>
      <c r="I379">
        <v>17000</v>
      </c>
      <c r="J379">
        <v>110</v>
      </c>
      <c r="K379">
        <v>975</v>
      </c>
      <c r="L379">
        <v>1250</v>
      </c>
      <c r="M379">
        <v>299.599999999999</v>
      </c>
    </row>
    <row r="380" spans="4:13" x14ac:dyDescent="0.25">
      <c r="D380" t="s">
        <v>224</v>
      </c>
      <c r="E380" t="s">
        <v>3</v>
      </c>
      <c r="F380" t="s">
        <v>3</v>
      </c>
      <c r="G380" t="s">
        <v>3</v>
      </c>
      <c r="H380" t="s">
        <v>3</v>
      </c>
      <c r="I380" t="s">
        <v>251</v>
      </c>
      <c r="J380" t="s">
        <v>3</v>
      </c>
      <c r="K380" t="s">
        <v>225</v>
      </c>
      <c r="L380" t="s">
        <v>225</v>
      </c>
      <c r="M380" t="s">
        <v>225</v>
      </c>
    </row>
    <row r="381" spans="4:13" x14ac:dyDescent="0.25">
      <c r="D381" t="s">
        <v>226</v>
      </c>
      <c r="E381" t="s">
        <v>30</v>
      </c>
      <c r="F381" t="s">
        <v>30</v>
      </c>
      <c r="G381" t="s">
        <v>30</v>
      </c>
      <c r="H381" t="s">
        <v>30</v>
      </c>
      <c r="I381" t="s">
        <v>39</v>
      </c>
      <c r="J381" t="s">
        <v>30</v>
      </c>
      <c r="K381" t="s">
        <v>39</v>
      </c>
      <c r="L381" t="s">
        <v>39</v>
      </c>
      <c r="M381" t="s">
        <v>39</v>
      </c>
    </row>
    <row r="382" spans="4:13" x14ac:dyDescent="0.25">
      <c r="D382" t="s">
        <v>227</v>
      </c>
      <c r="E382" t="s">
        <v>228</v>
      </c>
      <c r="F382" t="s">
        <v>228</v>
      </c>
      <c r="G382" t="s">
        <v>284</v>
      </c>
      <c r="H382" t="s">
        <v>284</v>
      </c>
      <c r="I382" t="s">
        <v>251</v>
      </c>
      <c r="J382" t="s">
        <v>284</v>
      </c>
      <c r="K382" t="s">
        <v>40</v>
      </c>
      <c r="L382" t="s">
        <v>40</v>
      </c>
      <c r="M382" t="s">
        <v>229</v>
      </c>
    </row>
    <row r="384" spans="4:13" x14ac:dyDescent="0.25">
      <c r="D384" t="s">
        <v>133</v>
      </c>
      <c r="E384" t="s">
        <v>210</v>
      </c>
    </row>
    <row r="385" spans="4:37" x14ac:dyDescent="0.25">
      <c r="D385" t="s">
        <v>135</v>
      </c>
      <c r="E385" t="s">
        <v>146</v>
      </c>
    </row>
    <row r="386" spans="4:37" x14ac:dyDescent="0.25">
      <c r="D386" t="s">
        <v>223</v>
      </c>
      <c r="E386">
        <v>100</v>
      </c>
      <c r="F386">
        <v>100</v>
      </c>
      <c r="G386">
        <v>100</v>
      </c>
      <c r="H386">
        <v>100</v>
      </c>
      <c r="I386">
        <v>100</v>
      </c>
      <c r="J386">
        <v>100</v>
      </c>
      <c r="K386">
        <v>100</v>
      </c>
      <c r="L386">
        <v>100</v>
      </c>
      <c r="M386">
        <v>100</v>
      </c>
      <c r="N386">
        <v>100</v>
      </c>
      <c r="O386">
        <v>100</v>
      </c>
      <c r="P386">
        <v>75</v>
      </c>
      <c r="Q386">
        <v>75</v>
      </c>
      <c r="R386">
        <v>75</v>
      </c>
      <c r="S386">
        <v>75</v>
      </c>
      <c r="T386">
        <v>75</v>
      </c>
      <c r="U386">
        <v>75</v>
      </c>
      <c r="V386">
        <v>75</v>
      </c>
      <c r="W386">
        <v>75</v>
      </c>
      <c r="X386">
        <v>75</v>
      </c>
      <c r="Y386">
        <v>75</v>
      </c>
      <c r="Z386">
        <v>75</v>
      </c>
      <c r="AA386">
        <v>13.6</v>
      </c>
      <c r="AB386">
        <v>13.6</v>
      </c>
      <c r="AC386">
        <v>13.6</v>
      </c>
      <c r="AD386">
        <v>13.6</v>
      </c>
      <c r="AE386">
        <v>13.6</v>
      </c>
      <c r="AF386">
        <v>13.6</v>
      </c>
      <c r="AG386">
        <v>13.6</v>
      </c>
      <c r="AH386">
        <v>13.6</v>
      </c>
      <c r="AI386">
        <v>13.6</v>
      </c>
      <c r="AJ386">
        <v>13.6</v>
      </c>
      <c r="AK386">
        <v>13</v>
      </c>
    </row>
    <row r="388" spans="4:37" x14ac:dyDescent="0.25">
      <c r="D388" t="s">
        <v>133</v>
      </c>
      <c r="E388" t="s">
        <v>210</v>
      </c>
    </row>
    <row r="389" spans="4:37" x14ac:dyDescent="0.25">
      <c r="D389" t="s">
        <v>135</v>
      </c>
      <c r="E389" t="s">
        <v>232</v>
      </c>
    </row>
    <row r="391" spans="4:37" x14ac:dyDescent="0.25">
      <c r="D391" t="s">
        <v>133</v>
      </c>
      <c r="E391" t="s">
        <v>210</v>
      </c>
    </row>
    <row r="392" spans="4:37" x14ac:dyDescent="0.25">
      <c r="D392" t="s">
        <v>135</v>
      </c>
      <c r="E392" t="s">
        <v>233</v>
      </c>
    </row>
    <row r="394" spans="4:37" x14ac:dyDescent="0.25">
      <c r="D394" t="s">
        <v>133</v>
      </c>
      <c r="E394" t="s">
        <v>210</v>
      </c>
    </row>
    <row r="395" spans="4:37" x14ac:dyDescent="0.25">
      <c r="D395" t="s">
        <v>135</v>
      </c>
      <c r="E395" t="s">
        <v>94</v>
      </c>
    </row>
    <row r="396" spans="4:37" x14ac:dyDescent="0.25">
      <c r="D396" t="s">
        <v>253</v>
      </c>
      <c r="E396" t="s">
        <v>307</v>
      </c>
    </row>
    <row r="397" spans="4:37" x14ac:dyDescent="0.25">
      <c r="D397" t="s">
        <v>154</v>
      </c>
      <c r="E397" t="s">
        <v>244</v>
      </c>
    </row>
    <row r="398" spans="4:37" x14ac:dyDescent="0.25">
      <c r="D398" t="s">
        <v>156</v>
      </c>
      <c r="E398" t="s">
        <v>131</v>
      </c>
    </row>
    <row r="399" spans="4:37" x14ac:dyDescent="0.25">
      <c r="D399" t="s">
        <v>254</v>
      </c>
      <c r="E399" t="s">
        <v>303</v>
      </c>
    </row>
    <row r="400" spans="4:37" x14ac:dyDescent="0.25">
      <c r="D400" t="s">
        <v>255</v>
      </c>
      <c r="E400" t="s">
        <v>245</v>
      </c>
    </row>
    <row r="401" spans="4:5" x14ac:dyDescent="0.25">
      <c r="D401" t="s">
        <v>223</v>
      </c>
      <c r="E401">
        <v>100</v>
      </c>
    </row>
    <row r="402" spans="4:5" x14ac:dyDescent="0.25">
      <c r="D402" t="s">
        <v>256</v>
      </c>
      <c r="E402" t="s">
        <v>132</v>
      </c>
    </row>
    <row r="403" spans="4:5" x14ac:dyDescent="0.25">
      <c r="D403" t="s">
        <v>257</v>
      </c>
      <c r="E403" t="s">
        <v>258</v>
      </c>
    </row>
    <row r="405" spans="4:5" x14ac:dyDescent="0.25">
      <c r="D405" t="s">
        <v>133</v>
      </c>
      <c r="E405" t="s">
        <v>210</v>
      </c>
    </row>
    <row r="406" spans="4:5" x14ac:dyDescent="0.25">
      <c r="D406" t="s">
        <v>135</v>
      </c>
      <c r="E406" t="s">
        <v>259</v>
      </c>
    </row>
    <row r="408" spans="4:5" x14ac:dyDescent="0.25">
      <c r="D408" t="s">
        <v>133</v>
      </c>
      <c r="E408" t="s">
        <v>210</v>
      </c>
    </row>
    <row r="409" spans="4:5" x14ac:dyDescent="0.25">
      <c r="D409" t="s">
        <v>135</v>
      </c>
      <c r="E409" t="s">
        <v>260</v>
      </c>
    </row>
    <row r="411" spans="4:5" x14ac:dyDescent="0.25">
      <c r="D411" t="s">
        <v>133</v>
      </c>
      <c r="E411" t="s">
        <v>210</v>
      </c>
    </row>
    <row r="412" spans="4:5" x14ac:dyDescent="0.25">
      <c r="D412" t="s">
        <v>135</v>
      </c>
      <c r="E412" t="s">
        <v>261</v>
      </c>
    </row>
    <row r="414" spans="4:5" x14ac:dyDescent="0.25">
      <c r="D414" t="s">
        <v>133</v>
      </c>
      <c r="E414" t="s">
        <v>210</v>
      </c>
    </row>
    <row r="415" spans="4:5" x14ac:dyDescent="0.25">
      <c r="D415" t="s">
        <v>135</v>
      </c>
      <c r="E415" t="s">
        <v>262</v>
      </c>
    </row>
    <row r="417" spans="4:4" x14ac:dyDescent="0.25">
      <c r="D417" t="s">
        <v>263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81496-28EF-48CD-AE54-64DD19C2B84D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69BCD-AC35-403B-87AB-A559A000D7C0}">
  <dimension ref="B1:M35"/>
  <sheetViews>
    <sheetView workbookViewId="0"/>
  </sheetViews>
  <sheetFormatPr defaultRowHeight="15" x14ac:dyDescent="0.25"/>
  <cols>
    <col min="2" max="2" width="10.85546875" bestFit="1" customWidth="1"/>
    <col min="3" max="3" width="10.7109375" bestFit="1" customWidth="1"/>
  </cols>
  <sheetData>
    <row r="1" spans="2:13" ht="15.75" thickBot="1" x14ac:dyDescent="0.3"/>
    <row r="2" spans="2:13" ht="27" thickBot="1" x14ac:dyDescent="0.45">
      <c r="B2" s="30" t="s">
        <v>290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2"/>
    </row>
    <row r="3" spans="2:13" x14ac:dyDescent="0.25">
      <c r="B3" s="83" t="s">
        <v>291</v>
      </c>
      <c r="C3" s="10" t="s">
        <v>292</v>
      </c>
      <c r="D3" s="10"/>
      <c r="E3" s="10"/>
      <c r="F3" s="10"/>
      <c r="G3" s="10"/>
      <c r="H3" s="10"/>
      <c r="I3" s="10"/>
      <c r="J3" s="10"/>
      <c r="K3" s="10"/>
      <c r="L3" s="10"/>
      <c r="M3" s="11"/>
    </row>
    <row r="4" spans="2:13" x14ac:dyDescent="0.25">
      <c r="B4" s="12" t="s">
        <v>293</v>
      </c>
      <c r="C4" s="13" t="s">
        <v>294</v>
      </c>
      <c r="D4" s="13"/>
      <c r="E4" s="13"/>
      <c r="F4" s="13"/>
      <c r="G4" s="13"/>
      <c r="H4" s="13"/>
      <c r="I4" s="13"/>
      <c r="J4" s="13"/>
      <c r="K4" s="13"/>
      <c r="L4" s="13"/>
      <c r="M4" s="14"/>
    </row>
    <row r="5" spans="2:13" x14ac:dyDescent="0.25">
      <c r="B5" s="12" t="s">
        <v>295</v>
      </c>
      <c r="C5" s="13" t="s">
        <v>296</v>
      </c>
      <c r="D5" s="13"/>
      <c r="E5" s="13"/>
      <c r="F5" s="13"/>
      <c r="G5" s="13"/>
      <c r="H5" s="13"/>
      <c r="I5" s="13"/>
      <c r="J5" s="13"/>
      <c r="K5" s="13"/>
      <c r="L5" s="13"/>
      <c r="M5" s="14"/>
    </row>
    <row r="6" spans="2:13" x14ac:dyDescent="0.25">
      <c r="B6" s="12" t="s">
        <v>297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4"/>
    </row>
    <row r="7" spans="2:13" x14ac:dyDescent="0.25">
      <c r="B7" s="12" t="s">
        <v>298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4"/>
    </row>
    <row r="8" spans="2:13" x14ac:dyDescent="0.25">
      <c r="B8" s="12" t="s">
        <v>299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4"/>
    </row>
    <row r="9" spans="2:13" x14ac:dyDescent="0.25">
      <c r="B9" s="12" t="s">
        <v>300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4"/>
    </row>
    <row r="10" spans="2:13" ht="15.75" thickBot="1" x14ac:dyDescent="0.3">
      <c r="B10" s="15" t="s">
        <v>301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7"/>
    </row>
    <row r="14" spans="2:13" ht="15.75" thickBot="1" x14ac:dyDescent="0.3"/>
    <row r="15" spans="2:13" ht="19.5" thickBot="1" x14ac:dyDescent="0.35">
      <c r="B15" s="33" t="s">
        <v>245</v>
      </c>
      <c r="C15" s="34"/>
      <c r="D15" s="34"/>
      <c r="E15" s="34"/>
      <c r="F15" s="35"/>
      <c r="I15" s="33" t="s">
        <v>45</v>
      </c>
      <c r="J15" s="34"/>
      <c r="K15" s="34"/>
      <c r="L15" s="34"/>
      <c r="M15" s="35"/>
    </row>
    <row r="16" spans="2:13" ht="16.5" thickBot="1" x14ac:dyDescent="0.3">
      <c r="B16" s="36" t="s">
        <v>251</v>
      </c>
      <c r="C16" s="37"/>
      <c r="D16" s="37"/>
      <c r="E16" s="37"/>
      <c r="F16" s="38"/>
      <c r="I16" s="36" t="s">
        <v>40</v>
      </c>
      <c r="J16" s="37"/>
      <c r="K16" s="37"/>
      <c r="L16" s="37"/>
      <c r="M16" s="38"/>
    </row>
    <row r="17" spans="2:13" ht="16.5" thickBot="1" x14ac:dyDescent="0.3">
      <c r="B17" s="36" t="s">
        <v>252</v>
      </c>
      <c r="C17" s="37"/>
      <c r="D17" s="37"/>
      <c r="E17" s="37"/>
      <c r="F17" s="38"/>
      <c r="I17" s="36" t="s">
        <v>230</v>
      </c>
      <c r="J17" s="37"/>
      <c r="K17" s="37"/>
      <c r="L17" s="37"/>
      <c r="M17" s="38"/>
    </row>
    <row r="18" spans="2:13" x14ac:dyDescent="0.25">
      <c r="B18" s="82" t="s">
        <v>39</v>
      </c>
      <c r="C18" s="39"/>
      <c r="D18" s="39"/>
      <c r="E18" s="39"/>
      <c r="F18" s="40"/>
      <c r="I18" s="82" t="s">
        <v>39</v>
      </c>
      <c r="J18" s="39"/>
      <c r="K18" s="39"/>
      <c r="L18" s="39"/>
      <c r="M18" s="40"/>
    </row>
    <row r="19" spans="2:13" x14ac:dyDescent="0.25">
      <c r="B19" s="43" t="s">
        <v>41</v>
      </c>
      <c r="C19" s="28"/>
      <c r="D19" s="28"/>
      <c r="E19" s="28"/>
      <c r="F19" s="29"/>
      <c r="I19" s="43" t="s">
        <v>41</v>
      </c>
      <c r="J19" s="28"/>
      <c r="K19" s="28"/>
      <c r="L19" s="28"/>
      <c r="M19" s="29"/>
    </row>
    <row r="20" spans="2:13" x14ac:dyDescent="0.25">
      <c r="B20" s="43" t="s">
        <v>42</v>
      </c>
      <c r="C20" s="28"/>
      <c r="D20" s="28"/>
      <c r="E20" s="28"/>
      <c r="F20" s="29"/>
      <c r="I20" s="43" t="s">
        <v>42</v>
      </c>
      <c r="J20" s="28"/>
      <c r="K20" s="28"/>
      <c r="L20" s="28"/>
      <c r="M20" s="29"/>
    </row>
    <row r="21" spans="2:13" x14ac:dyDescent="0.25">
      <c r="B21" s="43" t="s">
        <v>31</v>
      </c>
      <c r="C21" s="28"/>
      <c r="D21" s="28"/>
      <c r="E21" s="28"/>
      <c r="F21" s="29"/>
      <c r="I21" s="43" t="s">
        <v>31</v>
      </c>
      <c r="J21" s="28"/>
      <c r="K21" s="28"/>
      <c r="L21" s="28"/>
      <c r="M21" s="29"/>
    </row>
    <row r="22" spans="2:13" x14ac:dyDescent="0.25">
      <c r="B22" s="43" t="s">
        <v>43</v>
      </c>
      <c r="C22" s="28"/>
      <c r="D22" s="28"/>
      <c r="E22" s="28"/>
      <c r="F22" s="29"/>
      <c r="I22" s="43" t="s">
        <v>43</v>
      </c>
      <c r="J22" s="28"/>
      <c r="K22" s="28"/>
      <c r="L22" s="28"/>
      <c r="M22" s="29"/>
    </row>
    <row r="23" spans="2:13" ht="15.75" thickBot="1" x14ac:dyDescent="0.3">
      <c r="B23" s="44" t="s">
        <v>44</v>
      </c>
      <c r="C23" s="41"/>
      <c r="D23" s="41"/>
      <c r="E23" s="41"/>
      <c r="F23" s="42"/>
      <c r="I23" s="44" t="s">
        <v>44</v>
      </c>
      <c r="J23" s="41"/>
      <c r="K23" s="41"/>
      <c r="L23" s="41"/>
      <c r="M23" s="42"/>
    </row>
    <row r="26" spans="2:13" ht="15.75" thickBot="1" x14ac:dyDescent="0.3"/>
    <row r="27" spans="2:13" ht="19.5" thickBot="1" x14ac:dyDescent="0.35">
      <c r="B27" s="33" t="s">
        <v>264</v>
      </c>
      <c r="C27" s="34"/>
      <c r="D27" s="34"/>
      <c r="E27" s="34"/>
      <c r="F27" s="35"/>
      <c r="I27" s="33" t="s">
        <v>37</v>
      </c>
      <c r="J27" s="34"/>
      <c r="K27" s="34"/>
      <c r="L27" s="34"/>
      <c r="M27" s="35"/>
    </row>
    <row r="28" spans="2:13" ht="16.5" thickBot="1" x14ac:dyDescent="0.3">
      <c r="B28" s="36" t="s">
        <v>40</v>
      </c>
      <c r="C28" s="37"/>
      <c r="D28" s="37"/>
      <c r="E28" s="37"/>
      <c r="F28" s="38"/>
      <c r="I28" s="36" t="s">
        <v>40</v>
      </c>
      <c r="J28" s="37"/>
      <c r="K28" s="37"/>
      <c r="L28" s="37"/>
      <c r="M28" s="38"/>
    </row>
    <row r="29" spans="2:13" ht="16.5" thickBot="1" x14ac:dyDescent="0.3">
      <c r="B29" s="36" t="s">
        <v>302</v>
      </c>
      <c r="C29" s="37"/>
      <c r="D29" s="37"/>
      <c r="E29" s="37"/>
      <c r="F29" s="38"/>
      <c r="I29" s="36" t="s">
        <v>231</v>
      </c>
      <c r="J29" s="37"/>
      <c r="K29" s="37"/>
      <c r="L29" s="37"/>
      <c r="M29" s="38"/>
    </row>
    <row r="30" spans="2:13" x14ac:dyDescent="0.25">
      <c r="B30" s="82" t="s">
        <v>39</v>
      </c>
      <c r="C30" s="39"/>
      <c r="D30" s="39"/>
      <c r="E30" s="39"/>
      <c r="F30" s="40"/>
      <c r="I30" s="82" t="s">
        <v>39</v>
      </c>
      <c r="J30" s="39"/>
      <c r="K30" s="39"/>
      <c r="L30" s="39"/>
      <c r="M30" s="40"/>
    </row>
    <row r="31" spans="2:13" x14ac:dyDescent="0.25">
      <c r="B31" s="43" t="s">
        <v>41</v>
      </c>
      <c r="C31" s="28"/>
      <c r="D31" s="28"/>
      <c r="E31" s="28"/>
      <c r="F31" s="29"/>
      <c r="I31" s="43" t="s">
        <v>41</v>
      </c>
      <c r="J31" s="28"/>
      <c r="K31" s="28"/>
      <c r="L31" s="28"/>
      <c r="M31" s="29"/>
    </row>
    <row r="32" spans="2:13" x14ac:dyDescent="0.25">
      <c r="B32" s="43" t="s">
        <v>42</v>
      </c>
      <c r="C32" s="28"/>
      <c r="D32" s="28"/>
      <c r="E32" s="28"/>
      <c r="F32" s="29"/>
      <c r="I32" s="43" t="s">
        <v>42</v>
      </c>
      <c r="J32" s="28"/>
      <c r="K32" s="28"/>
      <c r="L32" s="28"/>
      <c r="M32" s="29"/>
    </row>
    <row r="33" spans="2:13" x14ac:dyDescent="0.25">
      <c r="B33" s="43" t="s">
        <v>31</v>
      </c>
      <c r="C33" s="28"/>
      <c r="D33" s="28"/>
      <c r="E33" s="28"/>
      <c r="F33" s="29"/>
      <c r="I33" s="43" t="s">
        <v>31</v>
      </c>
      <c r="J33" s="28"/>
      <c r="K33" s="28"/>
      <c r="L33" s="28"/>
      <c r="M33" s="29"/>
    </row>
    <row r="34" spans="2:13" x14ac:dyDescent="0.25">
      <c r="B34" s="43" t="s">
        <v>43</v>
      </c>
      <c r="C34" s="28"/>
      <c r="D34" s="28"/>
      <c r="E34" s="28"/>
      <c r="F34" s="29"/>
      <c r="I34" s="43" t="s">
        <v>43</v>
      </c>
      <c r="J34" s="28"/>
      <c r="K34" s="28"/>
      <c r="L34" s="28"/>
      <c r="M34" s="29"/>
    </row>
    <row r="35" spans="2:13" ht="15.75" thickBot="1" x14ac:dyDescent="0.3">
      <c r="B35" s="44" t="s">
        <v>44</v>
      </c>
      <c r="C35" s="41"/>
      <c r="D35" s="41"/>
      <c r="E35" s="41"/>
      <c r="F35" s="42"/>
      <c r="I35" s="44" t="s">
        <v>44</v>
      </c>
      <c r="J35" s="41"/>
      <c r="K35" s="41"/>
      <c r="L35" s="41"/>
      <c r="M35" s="42"/>
    </row>
  </sheetData>
  <mergeCells count="61">
    <mergeCell ref="K35:M35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D1:F76"/>
  <sheetViews>
    <sheetView tabSelected="1" topLeftCell="A10" zoomScale="80" zoomScaleNormal="80" workbookViewId="0">
      <selection activeCell="C36" sqref="C36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18.7109375" bestFit="1" customWidth="1"/>
    <col min="5" max="5" width="37.28515625" bestFit="1" customWidth="1"/>
    <col min="6" max="6" width="11.57031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53" t="s">
        <v>4</v>
      </c>
      <c r="E2" s="47"/>
      <c r="F2" s="54" t="s">
        <v>5</v>
      </c>
    </row>
    <row r="3" spans="4:6" x14ac:dyDescent="0.25">
      <c r="D3" s="51" t="s">
        <v>0</v>
      </c>
      <c r="E3" s="1" t="s">
        <v>8</v>
      </c>
      <c r="F3" s="55"/>
    </row>
    <row r="4" spans="4:6" ht="15.75" thickBot="1" x14ac:dyDescent="0.3">
      <c r="D4" s="52" t="s">
        <v>7</v>
      </c>
      <c r="E4" s="2" t="s">
        <v>3</v>
      </c>
      <c r="F4" s="56"/>
    </row>
    <row r="6" spans="4:6" ht="20.25" x14ac:dyDescent="0.25">
      <c r="E6" s="3" t="s">
        <v>6</v>
      </c>
    </row>
    <row r="7" spans="4:6" ht="15.75" thickBot="1" x14ac:dyDescent="0.3"/>
    <row r="8" spans="4:6" ht="15.75" x14ac:dyDescent="0.25">
      <c r="D8" s="65" t="s">
        <v>22</v>
      </c>
      <c r="E8" s="45"/>
      <c r="F8" s="66" t="s">
        <v>5</v>
      </c>
    </row>
    <row r="9" spans="4:6" x14ac:dyDescent="0.25">
      <c r="D9" s="63" t="s">
        <v>14</v>
      </c>
      <c r="E9" s="4" t="s">
        <v>264</v>
      </c>
      <c r="F9" s="67"/>
    </row>
    <row r="10" spans="4:6" x14ac:dyDescent="0.25">
      <c r="D10" s="63" t="s">
        <v>15</v>
      </c>
      <c r="E10" s="4" t="s">
        <v>16</v>
      </c>
      <c r="F10" s="67"/>
    </row>
    <row r="11" spans="4:6" x14ac:dyDescent="0.25">
      <c r="D11" s="63" t="s">
        <v>17</v>
      </c>
      <c r="E11" s="4" t="s">
        <v>18</v>
      </c>
      <c r="F11" s="67"/>
    </row>
    <row r="12" spans="4:6" x14ac:dyDescent="0.25">
      <c r="D12" s="63" t="s">
        <v>19</v>
      </c>
      <c r="E12" s="4">
        <v>100</v>
      </c>
      <c r="F12" s="67"/>
    </row>
    <row r="13" spans="4:6" ht="15.75" thickBot="1" x14ac:dyDescent="0.3">
      <c r="D13" s="64" t="s">
        <v>20</v>
      </c>
      <c r="E13" s="5" t="s">
        <v>21</v>
      </c>
      <c r="F13" s="68"/>
    </row>
    <row r="15" spans="4:6" ht="20.25" x14ac:dyDescent="0.25">
      <c r="E15" s="3" t="s">
        <v>6</v>
      </c>
    </row>
    <row r="16" spans="4:6" ht="15.75" thickBot="1" x14ac:dyDescent="0.3"/>
    <row r="17" spans="4:6" ht="15.75" x14ac:dyDescent="0.25">
      <c r="D17" s="53" t="s">
        <v>4</v>
      </c>
      <c r="E17" s="47"/>
      <c r="F17" s="54" t="s">
        <v>5</v>
      </c>
    </row>
    <row r="18" spans="4:6" x14ac:dyDescent="0.25">
      <c r="D18" s="51" t="s">
        <v>0</v>
      </c>
      <c r="E18" s="1" t="s">
        <v>131</v>
      </c>
      <c r="F18" s="55"/>
    </row>
    <row r="19" spans="4:6" ht="15.75" thickBot="1" x14ac:dyDescent="0.3">
      <c r="D19" s="52" t="s">
        <v>7</v>
      </c>
      <c r="E19" s="2" t="s">
        <v>3</v>
      </c>
      <c r="F19" s="56"/>
    </row>
    <row r="21" spans="4:6" ht="20.25" x14ac:dyDescent="0.25">
      <c r="E21" s="3" t="s">
        <v>6</v>
      </c>
    </row>
    <row r="22" spans="4:6" ht="15.75" thickBot="1" x14ac:dyDescent="0.3"/>
    <row r="23" spans="4:6" ht="15.75" x14ac:dyDescent="0.25">
      <c r="D23" s="53" t="s">
        <v>4</v>
      </c>
      <c r="E23" s="47"/>
      <c r="F23" s="54" t="s">
        <v>5</v>
      </c>
    </row>
    <row r="24" spans="4:6" x14ac:dyDescent="0.25">
      <c r="D24" s="51" t="s">
        <v>0</v>
      </c>
      <c r="E24" s="1" t="s">
        <v>303</v>
      </c>
      <c r="F24" s="55"/>
    </row>
    <row r="25" spans="4:6" ht="15.75" thickBot="1" x14ac:dyDescent="0.3">
      <c r="D25" s="52" t="s">
        <v>7</v>
      </c>
      <c r="E25" s="2" t="s">
        <v>3</v>
      </c>
      <c r="F25" s="56"/>
    </row>
    <row r="27" spans="4:6" ht="20.25" x14ac:dyDescent="0.25">
      <c r="E27" s="3" t="s">
        <v>6</v>
      </c>
    </row>
    <row r="28" spans="4:6" ht="15.75" thickBot="1" x14ac:dyDescent="0.3"/>
    <row r="29" spans="4:6" ht="15.75" x14ac:dyDescent="0.25">
      <c r="D29" s="53" t="s">
        <v>4</v>
      </c>
      <c r="E29" s="47"/>
      <c r="F29" s="54" t="s">
        <v>5</v>
      </c>
    </row>
    <row r="30" spans="4:6" x14ac:dyDescent="0.25">
      <c r="D30" s="51" t="s">
        <v>0</v>
      </c>
      <c r="E30" s="1" t="s">
        <v>244</v>
      </c>
      <c r="F30" s="55"/>
    </row>
    <row r="31" spans="4:6" ht="15.75" thickBot="1" x14ac:dyDescent="0.3">
      <c r="D31" s="52" t="s">
        <v>7</v>
      </c>
      <c r="E31" s="2" t="s">
        <v>3</v>
      </c>
      <c r="F31" s="56"/>
    </row>
    <row r="33" spans="4:6" ht="20.25" x14ac:dyDescent="0.25">
      <c r="E33" s="3" t="s">
        <v>6</v>
      </c>
    </row>
    <row r="34" spans="4:6" ht="15.75" thickBot="1" x14ac:dyDescent="0.3"/>
    <row r="35" spans="4:6" ht="15.75" x14ac:dyDescent="0.25">
      <c r="D35" s="59" t="s">
        <v>234</v>
      </c>
      <c r="E35" s="48"/>
      <c r="F35" s="60" t="s">
        <v>5</v>
      </c>
    </row>
    <row r="36" spans="4:6" x14ac:dyDescent="0.25">
      <c r="D36" s="57" t="s">
        <v>14</v>
      </c>
      <c r="E36" s="20" t="str">
        <f>Method!$E$18</f>
        <v>Desalting</v>
      </c>
      <c r="F36" s="61"/>
    </row>
    <row r="37" spans="4:6" x14ac:dyDescent="0.25">
      <c r="D37" s="57" t="s">
        <v>96</v>
      </c>
      <c r="E37" s="20" t="str">
        <f>Method!$E$24</f>
        <v>Waste</v>
      </c>
      <c r="F37" s="61"/>
    </row>
    <row r="38" spans="4:6" x14ac:dyDescent="0.25">
      <c r="D38" s="57" t="s">
        <v>97</v>
      </c>
      <c r="E38" s="20" t="s">
        <v>245</v>
      </c>
      <c r="F38" s="61"/>
    </row>
    <row r="39" spans="4:6" x14ac:dyDescent="0.25">
      <c r="D39" s="57" t="s">
        <v>35</v>
      </c>
      <c r="E39" s="20" t="s">
        <v>286</v>
      </c>
      <c r="F39" s="61"/>
    </row>
    <row r="40" spans="4:6" ht="15.75" thickBot="1" x14ac:dyDescent="0.3">
      <c r="D40" s="58" t="s">
        <v>99</v>
      </c>
      <c r="E40" s="21" t="s">
        <v>132</v>
      </c>
      <c r="F40" s="62"/>
    </row>
    <row r="42" spans="4:6" ht="20.25" x14ac:dyDescent="0.25">
      <c r="E42" s="3" t="s">
        <v>6</v>
      </c>
    </row>
    <row r="43" spans="4:6" ht="15.75" thickBot="1" x14ac:dyDescent="0.3"/>
    <row r="44" spans="4:6" ht="15.75" x14ac:dyDescent="0.25">
      <c r="D44" s="53" t="s">
        <v>4</v>
      </c>
      <c r="E44" s="47"/>
      <c r="F44" s="54" t="s">
        <v>5</v>
      </c>
    </row>
    <row r="45" spans="4:6" x14ac:dyDescent="0.25">
      <c r="D45" s="51" t="s">
        <v>0</v>
      </c>
      <c r="E45" s="1" t="s">
        <v>335</v>
      </c>
      <c r="F45" s="55"/>
    </row>
    <row r="46" spans="4:6" ht="15.75" thickBot="1" x14ac:dyDescent="0.3">
      <c r="D46" s="52" t="s">
        <v>7</v>
      </c>
      <c r="E46" s="2" t="s">
        <v>3</v>
      </c>
      <c r="F46" s="56"/>
    </row>
    <row r="48" spans="4:6" ht="20.25" x14ac:dyDescent="0.25">
      <c r="E48" s="3" t="s">
        <v>6</v>
      </c>
    </row>
    <row r="49" spans="4:6" ht="15.75" thickBot="1" x14ac:dyDescent="0.3"/>
    <row r="50" spans="4:6" ht="15.75" x14ac:dyDescent="0.25">
      <c r="D50" s="65" t="s">
        <v>22</v>
      </c>
      <c r="E50" s="45"/>
      <c r="F50" s="66" t="s">
        <v>5</v>
      </c>
    </row>
    <row r="51" spans="4:6" x14ac:dyDescent="0.25">
      <c r="D51" s="63" t="s">
        <v>14</v>
      </c>
      <c r="E51" s="4" t="s">
        <v>45</v>
      </c>
      <c r="F51" s="67"/>
    </row>
    <row r="52" spans="4:6" x14ac:dyDescent="0.25">
      <c r="D52" s="63" t="s">
        <v>15</v>
      </c>
      <c r="E52" s="4" t="s">
        <v>58</v>
      </c>
      <c r="F52" s="67"/>
    </row>
    <row r="53" spans="4:6" x14ac:dyDescent="0.25">
      <c r="D53" s="63" t="s">
        <v>17</v>
      </c>
      <c r="E53" s="4" t="s">
        <v>59</v>
      </c>
      <c r="F53" s="67"/>
    </row>
    <row r="54" spans="4:6" x14ac:dyDescent="0.25">
      <c r="D54" s="63" t="s">
        <v>19</v>
      </c>
      <c r="E54" s="4">
        <v>75</v>
      </c>
      <c r="F54" s="67"/>
    </row>
    <row r="55" spans="4:6" ht="15.75" thickBot="1" x14ac:dyDescent="0.3">
      <c r="D55" s="64" t="s">
        <v>20</v>
      </c>
      <c r="E55" s="5" t="s">
        <v>21</v>
      </c>
      <c r="F55" s="68"/>
    </row>
    <row r="57" spans="4:6" ht="20.25" x14ac:dyDescent="0.25">
      <c r="E57" s="3" t="s">
        <v>6</v>
      </c>
    </row>
    <row r="58" spans="4:6" ht="15.75" thickBot="1" x14ac:dyDescent="0.3"/>
    <row r="59" spans="4:6" ht="15.75" x14ac:dyDescent="0.25">
      <c r="D59" s="71" t="s">
        <v>36</v>
      </c>
      <c r="E59" s="46"/>
      <c r="F59" s="72" t="s">
        <v>5</v>
      </c>
    </row>
    <row r="60" spans="4:6" x14ac:dyDescent="0.25">
      <c r="D60" s="69" t="s">
        <v>32</v>
      </c>
      <c r="E60" s="8">
        <v>37</v>
      </c>
      <c r="F60" s="73"/>
    </row>
    <row r="61" spans="4:6" x14ac:dyDescent="0.25">
      <c r="D61" s="69" t="s">
        <v>33</v>
      </c>
      <c r="E61" s="8">
        <f>5*60</f>
        <v>300</v>
      </c>
      <c r="F61" s="73"/>
    </row>
    <row r="62" spans="4:6" ht="15.75" thickBot="1" x14ac:dyDescent="0.3">
      <c r="D62" s="70" t="s">
        <v>34</v>
      </c>
      <c r="E62" s="9">
        <v>0</v>
      </c>
      <c r="F62" s="74"/>
    </row>
    <row r="64" spans="4:6" ht="20.25" x14ac:dyDescent="0.25">
      <c r="E64" s="3" t="s">
        <v>6</v>
      </c>
    </row>
    <row r="65" spans="4:6" ht="15.75" thickBot="1" x14ac:dyDescent="0.3"/>
    <row r="66" spans="4:6" ht="15.75" x14ac:dyDescent="0.25">
      <c r="D66" s="65" t="s">
        <v>22</v>
      </c>
      <c r="E66" s="45"/>
      <c r="F66" s="66" t="s">
        <v>5</v>
      </c>
    </row>
    <row r="67" spans="4:6" x14ac:dyDescent="0.25">
      <c r="D67" s="63" t="s">
        <v>14</v>
      </c>
      <c r="E67" s="4" t="s">
        <v>37</v>
      </c>
      <c r="F67" s="67"/>
    </row>
    <row r="68" spans="4:6" x14ac:dyDescent="0.25">
      <c r="D68" s="63" t="s">
        <v>15</v>
      </c>
      <c r="E68" s="4" t="s">
        <v>16</v>
      </c>
      <c r="F68" s="67"/>
    </row>
    <row r="69" spans="4:6" x14ac:dyDescent="0.25">
      <c r="D69" s="63" t="s">
        <v>17</v>
      </c>
      <c r="E69" s="4" t="s">
        <v>18</v>
      </c>
      <c r="F69" s="67"/>
    </row>
    <row r="70" spans="4:6" x14ac:dyDescent="0.25">
      <c r="D70" s="63" t="s">
        <v>19</v>
      </c>
      <c r="E70" s="4">
        <v>13.6</v>
      </c>
      <c r="F70" s="67"/>
    </row>
    <row r="71" spans="4:6" ht="15.75" thickBot="1" x14ac:dyDescent="0.3">
      <c r="D71" s="64" t="s">
        <v>20</v>
      </c>
      <c r="E71" s="5" t="s">
        <v>21</v>
      </c>
      <c r="F71" s="68"/>
    </row>
    <row r="73" spans="4:6" ht="20.25" x14ac:dyDescent="0.25">
      <c r="E73" s="3" t="s">
        <v>6</v>
      </c>
    </row>
    <row r="74" spans="4:6" ht="15.75" thickBot="1" x14ac:dyDescent="0.3"/>
    <row r="75" spans="4:6" ht="15.75" x14ac:dyDescent="0.25">
      <c r="D75" s="53" t="s">
        <v>23</v>
      </c>
      <c r="E75" s="47"/>
      <c r="F75" s="54" t="s">
        <v>5</v>
      </c>
    </row>
    <row r="76" spans="4:6" ht="15.75" thickBot="1" x14ac:dyDescent="0.3">
      <c r="D76" s="52"/>
      <c r="E76" s="2"/>
      <c r="F76" s="75"/>
    </row>
  </sheetData>
  <mergeCells count="21">
    <mergeCell ref="D66:E66"/>
    <mergeCell ref="F67:F71"/>
    <mergeCell ref="D75:E75"/>
    <mergeCell ref="D44:E44"/>
    <mergeCell ref="F36:F40"/>
    <mergeCell ref="F45:F46"/>
    <mergeCell ref="D50:E50"/>
    <mergeCell ref="F51:F55"/>
    <mergeCell ref="D59:E59"/>
    <mergeCell ref="F60:F62"/>
    <mergeCell ref="F9:F13"/>
    <mergeCell ref="D17:E17"/>
    <mergeCell ref="F18:F19"/>
    <mergeCell ref="F30:F31"/>
    <mergeCell ref="D35:E35"/>
    <mergeCell ref="D2:E2"/>
    <mergeCell ref="F3:F4"/>
    <mergeCell ref="D8:E8"/>
    <mergeCell ref="D23:E23"/>
    <mergeCell ref="F24:F25"/>
    <mergeCell ref="D29:E29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5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78" t="s">
        <v>38</v>
      </c>
      <c r="C2" s="49"/>
      <c r="D2" s="79" t="s">
        <v>5</v>
      </c>
      <c r="F2" s="78" t="s">
        <v>46</v>
      </c>
      <c r="G2" s="49"/>
      <c r="H2" s="79" t="s">
        <v>5</v>
      </c>
      <c r="J2" s="78" t="s">
        <v>235</v>
      </c>
      <c r="K2" s="49"/>
      <c r="L2" s="79" t="s">
        <v>5</v>
      </c>
    </row>
    <row r="3" spans="2:12" x14ac:dyDescent="0.25">
      <c r="B3" s="76" t="s">
        <v>24</v>
      </c>
      <c r="C3" s="6" t="s">
        <v>16</v>
      </c>
      <c r="D3" s="80"/>
      <c r="F3" s="76" t="s">
        <v>24</v>
      </c>
      <c r="G3" s="6" t="s">
        <v>16</v>
      </c>
      <c r="H3" s="80"/>
      <c r="J3" s="76" t="s">
        <v>24</v>
      </c>
      <c r="K3" s="6" t="s">
        <v>16</v>
      </c>
      <c r="L3" s="80"/>
    </row>
    <row r="4" spans="2:12" x14ac:dyDescent="0.25">
      <c r="B4" s="76" t="s">
        <v>17</v>
      </c>
      <c r="C4" s="6" t="s">
        <v>18</v>
      </c>
      <c r="D4" s="80"/>
      <c r="F4" s="76" t="s">
        <v>17</v>
      </c>
      <c r="G4" s="6" t="s">
        <v>18</v>
      </c>
      <c r="H4" s="80"/>
      <c r="J4" s="76" t="s">
        <v>17</v>
      </c>
      <c r="K4" s="6" t="s">
        <v>18</v>
      </c>
      <c r="L4" s="80"/>
    </row>
    <row r="5" spans="2:12" x14ac:dyDescent="0.25">
      <c r="B5" s="76" t="s">
        <v>25</v>
      </c>
      <c r="C5" s="6" t="s">
        <v>28</v>
      </c>
      <c r="D5" s="80"/>
      <c r="F5" s="76" t="s">
        <v>25</v>
      </c>
      <c r="G5" s="6" t="s">
        <v>28</v>
      </c>
      <c r="H5" s="80"/>
      <c r="J5" s="76" t="s">
        <v>25</v>
      </c>
      <c r="K5" s="6" t="s">
        <v>28</v>
      </c>
      <c r="L5" s="80"/>
    </row>
    <row r="6" spans="2:12" x14ac:dyDescent="0.25">
      <c r="B6" s="76" t="s">
        <v>26</v>
      </c>
      <c r="C6" s="6" t="s">
        <v>28</v>
      </c>
      <c r="D6" s="80"/>
      <c r="F6" s="76" t="s">
        <v>26</v>
      </c>
      <c r="G6" s="6" t="s">
        <v>28</v>
      </c>
      <c r="H6" s="80"/>
      <c r="J6" s="76" t="s">
        <v>26</v>
      </c>
      <c r="K6" s="6" t="s">
        <v>28</v>
      </c>
      <c r="L6" s="80"/>
    </row>
    <row r="7" spans="2:12" ht="15.75" thickBot="1" x14ac:dyDescent="0.3">
      <c r="B7" s="77" t="s">
        <v>27</v>
      </c>
      <c r="C7" s="7" t="s">
        <v>29</v>
      </c>
      <c r="D7" s="81"/>
      <c r="F7" s="77" t="s">
        <v>27</v>
      </c>
      <c r="G7" s="7" t="s">
        <v>29</v>
      </c>
      <c r="H7" s="81"/>
      <c r="J7" s="77" t="s">
        <v>27</v>
      </c>
      <c r="K7" s="7" t="s">
        <v>29</v>
      </c>
      <c r="L7" s="81"/>
    </row>
    <row r="9" spans="2:12" ht="15.75" thickBot="1" x14ac:dyDescent="0.3"/>
    <row r="10" spans="2:12" ht="15.75" x14ac:dyDescent="0.25">
      <c r="B10" s="78" t="s">
        <v>265</v>
      </c>
      <c r="C10" s="49"/>
      <c r="D10" s="79" t="s">
        <v>5</v>
      </c>
      <c r="F10" s="78" t="s">
        <v>246</v>
      </c>
      <c r="G10" s="49"/>
      <c r="H10" s="79" t="s">
        <v>5</v>
      </c>
    </row>
    <row r="11" spans="2:12" x14ac:dyDescent="0.25">
      <c r="B11" s="76" t="s">
        <v>24</v>
      </c>
      <c r="C11" s="6" t="s">
        <v>16</v>
      </c>
      <c r="D11" s="80"/>
      <c r="F11" s="76" t="s">
        <v>24</v>
      </c>
      <c r="G11" s="6" t="s">
        <v>16</v>
      </c>
      <c r="H11" s="80"/>
    </row>
    <row r="12" spans="2:12" x14ac:dyDescent="0.25">
      <c r="B12" s="76" t="s">
        <v>17</v>
      </c>
      <c r="C12" s="6" t="s">
        <v>18</v>
      </c>
      <c r="D12" s="80"/>
      <c r="F12" s="76" t="s">
        <v>17</v>
      </c>
      <c r="G12" s="6" t="s">
        <v>18</v>
      </c>
      <c r="H12" s="80"/>
    </row>
    <row r="13" spans="2:12" x14ac:dyDescent="0.25">
      <c r="B13" s="76" t="s">
        <v>25</v>
      </c>
      <c r="C13" s="6" t="s">
        <v>28</v>
      </c>
      <c r="D13" s="80"/>
      <c r="F13" s="76" t="s">
        <v>25</v>
      </c>
      <c r="G13" s="6" t="s">
        <v>28</v>
      </c>
      <c r="H13" s="80"/>
    </row>
    <row r="14" spans="2:12" x14ac:dyDescent="0.25">
      <c r="B14" s="76" t="s">
        <v>26</v>
      </c>
      <c r="C14" s="6" t="s">
        <v>28</v>
      </c>
      <c r="D14" s="80"/>
      <c r="F14" s="76" t="s">
        <v>26</v>
      </c>
      <c r="G14" s="6" t="s">
        <v>28</v>
      </c>
      <c r="H14" s="80"/>
    </row>
    <row r="15" spans="2:12" ht="15.75" thickBot="1" x14ac:dyDescent="0.3">
      <c r="B15" s="77" t="s">
        <v>27</v>
      </c>
      <c r="C15" s="7" t="s">
        <v>29</v>
      </c>
      <c r="D15" s="81"/>
      <c r="F15" s="77" t="s">
        <v>27</v>
      </c>
      <c r="G15" s="7" t="s">
        <v>29</v>
      </c>
      <c r="H15" s="81"/>
    </row>
  </sheetData>
  <mergeCells count="10">
    <mergeCell ref="B2:C2"/>
    <mergeCell ref="D3:D7"/>
    <mergeCell ref="F2:G2"/>
    <mergeCell ref="H3:H7"/>
    <mergeCell ref="J2:K2"/>
    <mergeCell ref="L3:L7"/>
    <mergeCell ref="B10:C10"/>
    <mergeCell ref="D11:D15"/>
    <mergeCell ref="F10:G10"/>
    <mergeCell ref="H11:H15"/>
  </mergeCells>
  <pageMargins left="0.7" right="0.7" top="0.75" bottom="0.75" header="0.3" footer="0.3"/>
  <pageSetup scale="80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Worklist</vt:lpstr>
      <vt:lpstr>TestLog</vt:lpstr>
      <vt:lpstr>RunLog</vt:lpstr>
      <vt:lpstr>PrepList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2022-04-27T19:25:18Z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