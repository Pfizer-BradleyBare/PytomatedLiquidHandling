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7A76544-1E56-4001-B5A9-ED122BA42FDF}" xr6:coauthVersionLast="47" xr6:coauthVersionMax="47" xr10:uidLastSave="{00000000-0000-0000-0000-000000000000}"/>
  <bookViews>
    <workbookView xWindow="3120" yWindow="3120" windowWidth="18900" windowHeight="11055" firstSheet="1" activeTab="2" xr2:uid="{00000000-000D-0000-FFFF-FFFF00000000}"/>
  </bookViews>
  <sheets>
    <sheet name="BuildingBlocks" sheetId="30" state="hidden" r:id="rId1"/>
    <sheet name="Worklist" sheetId="3" r:id="rId2"/>
    <sheet name="PrepList" sheetId="34" r:id="rId3"/>
    <sheet name="TestLog" sheetId="33" r:id="rId4"/>
    <sheet name="Method" sheetId="14" r:id="rId5"/>
    <sheet name="Solutions" sheetId="17" r:id="rId6"/>
    <sheet name="Method Notes" sheetId="2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14" l="1"/>
  <c r="E28" i="14"/>
  <c r="E12" i="14"/>
  <c r="E9" i="14"/>
  <c r="E43" i="3"/>
  <c r="F43" i="3" s="1"/>
  <c r="A43" i="3"/>
  <c r="B43" i="3" s="1"/>
  <c r="E42" i="3"/>
  <c r="F42" i="3" s="1"/>
  <c r="A42" i="3"/>
  <c r="B42" i="3" s="1"/>
  <c r="E41" i="3"/>
  <c r="F41" i="3" s="1"/>
  <c r="A41" i="3"/>
  <c r="B41" i="3" s="1"/>
  <c r="E40" i="3"/>
  <c r="F40" i="3" s="1"/>
  <c r="A40" i="3"/>
  <c r="B40" i="3" s="1"/>
  <c r="E39" i="3"/>
  <c r="F39" i="3" s="1"/>
  <c r="A39" i="3"/>
  <c r="B39" i="3" s="1"/>
  <c r="E38" i="3"/>
  <c r="F38" i="3" s="1"/>
  <c r="A38" i="3"/>
  <c r="B38" i="3" s="1"/>
  <c r="E37" i="3"/>
  <c r="F37" i="3" s="1"/>
  <c r="A37" i="3"/>
  <c r="B37" i="3" s="1"/>
  <c r="E36" i="3"/>
  <c r="F36" i="3" s="1"/>
  <c r="B36" i="3"/>
  <c r="A36" i="3"/>
  <c r="E35" i="3"/>
  <c r="F35" i="3" s="1"/>
  <c r="A35" i="3"/>
  <c r="B35" i="3" s="1"/>
  <c r="E34" i="3"/>
  <c r="F34" i="3" s="1"/>
  <c r="A34" i="3"/>
  <c r="B34" i="3" s="1"/>
  <c r="E33" i="3"/>
  <c r="F33" i="3" s="1"/>
  <c r="B33" i="3"/>
  <c r="A33" i="3"/>
  <c r="E32" i="3"/>
  <c r="F32" i="3" s="1"/>
  <c r="A32" i="3"/>
  <c r="B32" i="3" s="1"/>
  <c r="E31" i="3"/>
  <c r="F31" i="3" s="1"/>
  <c r="A31" i="3"/>
  <c r="B31" i="3" s="1"/>
  <c r="E30" i="3"/>
  <c r="F30" i="3" s="1"/>
  <c r="B30" i="3"/>
  <c r="A30" i="3"/>
  <c r="E29" i="3"/>
  <c r="F29" i="3" s="1"/>
  <c r="A29" i="3"/>
  <c r="B29" i="3" s="1"/>
  <c r="E28" i="3"/>
  <c r="F28" i="3" s="1"/>
  <c r="A28" i="3"/>
  <c r="B28" i="3" s="1"/>
  <c r="E27" i="3"/>
  <c r="F27" i="3" s="1"/>
  <c r="B27" i="3"/>
  <c r="A27" i="3"/>
  <c r="E26" i="3"/>
  <c r="F26" i="3" s="1"/>
  <c r="A26" i="3"/>
  <c r="B26" i="3" s="1"/>
  <c r="E25" i="3"/>
  <c r="F25" i="3" s="1"/>
  <c r="A25" i="3"/>
  <c r="B25" i="3" s="1"/>
  <c r="E24" i="3"/>
  <c r="F24" i="3" s="1"/>
  <c r="A24" i="3"/>
  <c r="B24" i="3" s="1"/>
  <c r="E23" i="3"/>
  <c r="F23" i="3" s="1"/>
  <c r="A23" i="3"/>
  <c r="B23" i="3" s="1"/>
  <c r="E22" i="3"/>
  <c r="F22" i="3" s="1"/>
  <c r="A22" i="3"/>
  <c r="B22" i="3" s="1"/>
  <c r="E21" i="3"/>
  <c r="F21" i="3" s="1"/>
  <c r="A21" i="3"/>
  <c r="B21" i="3" s="1"/>
  <c r="E20" i="3"/>
  <c r="F20" i="3" s="1"/>
  <c r="A20" i="3"/>
  <c r="B20" i="3" s="1"/>
  <c r="E19" i="3"/>
  <c r="F19" i="3" s="1"/>
  <c r="A19" i="3"/>
  <c r="B19" i="3" s="1"/>
  <c r="E18" i="3"/>
  <c r="F18" i="3" s="1"/>
  <c r="A18" i="3"/>
  <c r="B18" i="3" s="1"/>
  <c r="E17" i="3"/>
  <c r="F17" i="3" s="1"/>
  <c r="A17" i="3"/>
  <c r="B17" i="3" s="1"/>
  <c r="E16" i="3"/>
  <c r="F16" i="3" s="1"/>
  <c r="A16" i="3"/>
  <c r="B16" i="3" s="1"/>
  <c r="E15" i="3"/>
  <c r="F15" i="3" s="1"/>
  <c r="A15" i="3"/>
  <c r="B15" i="3" s="1"/>
  <c r="E14" i="3"/>
  <c r="F14" i="3" s="1"/>
  <c r="A14" i="3"/>
  <c r="B14" i="3" s="1"/>
  <c r="E13" i="3"/>
  <c r="F13" i="3" s="1"/>
  <c r="A13" i="3"/>
  <c r="B13" i="3" s="1"/>
  <c r="E12" i="3"/>
  <c r="F12" i="3" s="1"/>
  <c r="A12" i="3"/>
  <c r="B12" i="3" s="1"/>
  <c r="E9" i="3"/>
  <c r="F9" i="3" s="1"/>
  <c r="E11" i="3"/>
  <c r="F11" i="3" s="1"/>
  <c r="E10" i="3"/>
  <c r="F10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2" i="3"/>
  <c r="F2" i="3" s="1"/>
  <c r="A11" i="3"/>
  <c r="B11" i="3" s="1"/>
  <c r="A2" i="3" l="1"/>
  <c r="B2" i="3" s="1"/>
  <c r="A3" i="3"/>
  <c r="B3" i="3" s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</calcChain>
</file>

<file path=xl/sharedStrings.xml><?xml version="1.0" encoding="utf-8"?>
<sst xmlns="http://schemas.openxmlformats.org/spreadsheetml/2006/main" count="2072" uniqueCount="363">
  <si>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</si>
  <si>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</si>
  <si>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</si>
  <si>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</si>
  <si>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</si>
  <si>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</si>
  <si>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</si>
  <si>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</si>
  <si>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</si>
  <si>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</si>
  <si>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</si>
  <si>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</si>
  <si>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</si>
  <si>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</si>
  <si>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</si>
  <si>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</si>
  <si>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</si>
  <si>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</si>
  <si>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</si>
  <si>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</si>
  <si>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</si>
  <si>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</si>
  <si>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</si>
  <si>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</si>
  <si>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</si>
  <si>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</si>
  <si>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</si>
  <si>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</si>
  <si>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</si>
  <si>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</si>
  <si>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</si>
  <si>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</si>
  <si>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</si>
  <si>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</si>
  <si>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</si>
  <si>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</si>
  <si>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</si>
  <si>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</si>
  <si>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</si>
  <si>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</si>
  <si>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</si>
  <si>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</si>
  <si>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Diluent</t>
  </si>
  <si>
    <t>Temp (C)</t>
  </si>
  <si>
    <t>Time (min)</t>
  </si>
  <si>
    <t>Shake (rpm)</t>
  </si>
  <si>
    <t>Incubate - (Click Here to Update)</t>
  </si>
  <si>
    <t>Starting Concentration (mg/mL)</t>
  </si>
  <si>
    <t>Target Concentration (mg/mL)</t>
  </si>
  <si>
    <t>Target Volume (uL)</t>
  </si>
  <si>
    <t>Max Source Volume (uL)</t>
  </si>
  <si>
    <t>Wait On User</t>
  </si>
  <si>
    <t>Subject</t>
  </si>
  <si>
    <t>Message</t>
  </si>
  <si>
    <t>BCA Std Curve</t>
  </si>
  <si>
    <t>Blank</t>
  </si>
  <si>
    <t>Conentration (mg/mL)</t>
  </si>
  <si>
    <t>A</t>
  </si>
  <si>
    <t>C</t>
  </si>
  <si>
    <t>D</t>
  </si>
  <si>
    <t>E</t>
  </si>
  <si>
    <t>F</t>
  </si>
  <si>
    <t>G</t>
  </si>
  <si>
    <t>B</t>
  </si>
  <si>
    <t>Dilute - (Click Here to Update)</t>
  </si>
  <si>
    <t>1mg/mL BCA</t>
  </si>
  <si>
    <t>0.2% Formic Acid</t>
  </si>
  <si>
    <t>0.2% Formic Acid - (Click Here to Update)</t>
  </si>
  <si>
    <t>1mg/mL BCA - (Click Here to Update)</t>
  </si>
  <si>
    <t>BCA Reagent</t>
  </si>
  <si>
    <t>BCA Reagent - (Click Here to Update)</t>
  </si>
  <si>
    <t>_SampleSequence</t>
  </si>
  <si>
    <t>Sample Volume</t>
  </si>
  <si>
    <t>Formic Volume</t>
  </si>
  <si>
    <t>No</t>
  </si>
  <si>
    <t>Buffer/Diluent</t>
  </si>
  <si>
    <t>Notify - (Click Here to Update)</t>
  </si>
  <si>
    <t>Urgent Message</t>
  </si>
  <si>
    <t>Hurry! The BCA samples are ready to measure!</t>
  </si>
  <si>
    <t>These are the STD curve samples. This should never be changed</t>
  </si>
  <si>
    <t>96 Well UV Plate</t>
  </si>
  <si>
    <t>Plate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</si>
  <si>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</si>
  <si>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</si>
  <si>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</si>
  <si>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</si>
  <si>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</si>
  <si>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</si>
  <si>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</si>
  <si>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</si>
  <si>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Dilute</t>
  </si>
  <si>
    <t>Excel Location (Row,Col): (7,3)</t>
  </si>
  <si>
    <t>Source: 1mg/mL BCA</t>
  </si>
  <si>
    <t>Diluent: 0.2% Formic Acid</t>
  </si>
  <si>
    <t>Starting Concentration (mg/mL): 1.0</t>
  </si>
  <si>
    <t xml:space="preserve">Target Concentration (mg/mL): Conentration (mg/mL) (Worklist Column) </t>
  </si>
  <si>
    <t>Target Volume (uL): 20.0</t>
  </si>
  <si>
    <t>Max Source Volume (uL): 20.0</t>
  </si>
  <si>
    <t>Pipette</t>
  </si>
  <si>
    <t>GetLiquidClassStrings</t>
  </si>
  <si>
    <t>[TransferVolume]</t>
  </si>
  <si>
    <t>[LiquidCategory]</t>
  </si>
  <si>
    <t>Water</t>
  </si>
  <si>
    <t>Wate</t>
  </si>
  <si>
    <t>##2.1##</t>
  </si>
  <si>
    <t>GetTipSequenceStrings</t>
  </si>
  <si>
    <t>##2.2##</t>
  </si>
  <si>
    <t>##2.3##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</si>
  <si>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</si>
  <si>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</si>
  <si>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</si>
  <si>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</si>
  <si>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</si>
  <si>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</si>
  <si>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</si>
  <si>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</si>
  <si>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</si>
  <si>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</si>
  <si>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</si>
  <si>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</si>
  <si>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</si>
  <si>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Liquid Type: General Reagent</t>
  </si>
  <si>
    <t>Storage Condition: Ambient</t>
  </si>
  <si>
    <t xml:space="preserve">Volume (uL): Sample Volume (Worklist Column) </t>
  </si>
  <si>
    <t>Mix?: Yes</t>
  </si>
  <si>
    <t>##3.1##</t>
  </si>
  <si>
    <t>Source: 0.2% Formic Acid</t>
  </si>
  <si>
    <t xml:space="preserve">Volume (uL): Formic Volume (Worklist Column) </t>
  </si>
  <si>
    <t>##4.1##</t>
  </si>
  <si>
    <t>##4.2##</t>
  </si>
  <si>
    <t>##4.3##</t>
  </si>
  <si>
    <t>Source: BCA Reagent</t>
  </si>
  <si>
    <t>Liquid Type: Buffer/Diluent</t>
  </si>
  <si>
    <t>Volume (uL): 180.0</t>
  </si>
  <si>
    <t>Mix?: No</t>
  </si>
  <si>
    <t>##5.1##</t>
  </si>
  <si>
    <t>##5.2##</t>
  </si>
  <si>
    <t>##5.3##</t>
  </si>
  <si>
    <t>Step Title: Incubate</t>
  </si>
  <si>
    <t>Temp (C): 37.0</t>
  </si>
  <si>
    <t>Time (min): 15.0</t>
  </si>
  <si>
    <t>Shake (rpm): 0.0</t>
  </si>
  <si>
    <t>Labware</t>
  </si>
  <si>
    <t>GetSequenceStrings</t>
  </si>
  <si>
    <t>[PlateNames]</t>
  </si>
  <si>
    <t>BCA Std Curv</t>
  </si>
  <si>
    <t>##6.1##</t>
  </si>
  <si>
    <t>GetLabwareTypes</t>
  </si>
  <si>
    <t>##6.2##</t>
  </si>
  <si>
    <t>GetReservationHeaterSequenceString</t>
  </si>
  <si>
    <t>##6.3##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</si>
  <si>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</si>
  <si>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</si>
  <si>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</si>
  <si>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</si>
  <si>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</si>
  <si>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</si>
  <si>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</si>
  <si>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</si>
  <si>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</si>
  <si>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</si>
  <si>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</si>
  <si>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</si>
  <si>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</si>
  <si>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Timer</t>
  </si>
  <si>
    <t>Start</t>
  </si>
  <si>
    <t>[WaitTime]</t>
  </si>
  <si>
    <t>Wai</t>
  </si>
  <si>
    <t>EndReservation</t>
  </si>
  <si>
    <t>Afte</t>
  </si>
  <si>
    <t>ReleaseReservation</t>
  </si>
  <si>
    <t>Step Title: Notify</t>
  </si>
  <si>
    <t>Excel Location (Row,Col): (51,3)</t>
  </si>
  <si>
    <t>Wait On User: Yes</t>
  </si>
  <si>
    <t>Subject: Urgent Message</t>
  </si>
  <si>
    <t>Message: Hurry! The BCA samples are ready to measure!</t>
  </si>
  <si>
    <t>SendMessage</t>
  </si>
  <si>
    <t>[Subject]</t>
  </si>
  <si>
    <t>[Body]</t>
  </si>
  <si>
    <t>[WaitForUser]</t>
  </si>
  <si>
    <t>Ye</t>
  </si>
  <si>
    <t>##7.1##</t>
  </si>
  <si>
    <t>Step Title: Finish</t>
  </si>
  <si>
    <t>Excel Location (Row,Col): (58,3)</t>
  </si>
  <si>
    <t>BCA Std Curve plate deactivated</t>
  </si>
  <si>
    <t>PreRun</t>
  </si>
  <si>
    <t>Samples</t>
  </si>
  <si>
    <t>[SampleNumber]</t>
  </si>
  <si>
    <t>[Name]</t>
  </si>
  <si>
    <t>[LabwareSequence]</t>
  </si>
  <si>
    <t>Carrier38_Pos3_CorningCostar96WellUVPlate360uL</t>
  </si>
  <si>
    <t>F1</t>
  </si>
  <si>
    <t>F2</t>
  </si>
  <si>
    <t>R2</t>
  </si>
  <si>
    <t>[LidSequence]</t>
  </si>
  <si>
    <t>[LoadingLocation]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</si>
  <si>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</si>
  <si>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</si>
  <si>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</si>
  <si>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</si>
  <si>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</si>
  <si>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</si>
  <si>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</si>
  <si>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</si>
  <si>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400uL Corning Costar 96 Well UV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</si>
  <si>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</si>
  <si>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</si>
  <si>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</si>
  <si>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</si>
  <si>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</si>
  <si>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</si>
  <si>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</si>
  <si>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</si>
  <si>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</si>
  <si>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Sample Transfer Complete</t>
  </si>
  <si>
    <t>You may remove the sample now</t>
  </si>
  <si>
    <t>Excel Location (Row,Col): (16,3)</t>
  </si>
  <si>
    <t>Wait On User: No</t>
  </si>
  <si>
    <t>Subject: Sample Transfer Complete</t>
  </si>
  <si>
    <t>Message: You may remove the sample now</t>
  </si>
  <si>
    <t>N</t>
  </si>
  <si>
    <t>Excel Location (Row,Col): (23,3)</t>
  </si>
  <si>
    <t>Excel Location (Row,Col): (32,3)</t>
  </si>
  <si>
    <t>##5.4##</t>
  </si>
  <si>
    <t>##5.5##</t>
  </si>
  <si>
    <t>##5.6##</t>
  </si>
  <si>
    <t>Excel Location (Row,Col): (42,3)</t>
  </si>
  <si>
    <t>##7.2##</t>
  </si>
  <si>
    <t>##7.3##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</si>
  <si>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</si>
  <si>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</si>
  <si>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</si>
  <si>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</si>
  <si>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</si>
  <si>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</si>
  <si>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</si>
  <si>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</si>
  <si>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</si>
  <si>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</si>
  <si>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</si>
  <si>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</si>
  <si>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</si>
  <si>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</si>
  <si>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</si>
  <si>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</si>
  <si>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</si>
  <si>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</si>
  <si>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</si>
  <si>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</si>
  <si>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</si>
  <si>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</si>
  <si>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</si>
  <si>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##8.1##</t>
  </si>
  <si>
    <t>Excel Location (Row,Col): (65,3)</t>
  </si>
  <si>
    <t>F3</t>
  </si>
  <si>
    <t>Reagent Lot</t>
  </si>
  <si>
    <t>Reagent Volume</t>
  </si>
  <si>
    <t>Diluent Lot</t>
  </si>
  <si>
    <t>Diluent Volume</t>
  </si>
  <si>
    <t>Minimum Volume: 229.38uL</t>
  </si>
  <si>
    <t>Minimum Volume: 11500.0uL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</si>
  <si>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</si>
  <si>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</si>
  <si>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</si>
  <si>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</si>
  <si>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</si>
  <si>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</si>
  <si>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</si>
  <si>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</si>
  <si>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</si>
  <si>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</si>
  <si>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</si>
  <si>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</si>
  <si>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</si>
  <si>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</si>
  <si>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</si>
  <si>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</si>
  <si>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</si>
  <si>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Minimum Volume: 1240.62uL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</si>
  <si>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</si>
  <si>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</si>
  <si>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</si>
  <si>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</si>
  <si>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</si>
  <si>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</si>
  <si>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</si>
  <si>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</si>
  <si>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</si>
  <si>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</si>
  <si>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</si>
  <si>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</si>
  <si>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</si>
  <si>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</si>
  <si>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</si>
  <si>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</si>
  <si>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</si>
  <si>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</si>
  <si>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</si>
  <si>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</si>
  <si>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</si>
  <si>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</si>
  <si>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</si>
  <si>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</si>
  <si>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</si>
  <si>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</si>
  <si>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</si>
  <si>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</si>
  <si>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</si>
  <si>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</si>
  <si>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</si>
  <si>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</si>
  <si>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</si>
  <si>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</si>
  <si>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Volume</t>
  </si>
  <si>
    <t>100,100 + 100</t>
  </si>
  <si>
    <t>Elution Method</t>
  </si>
  <si>
    <t>MAM/Low Artifact,HCP/Proteomics</t>
  </si>
  <si>
    <t>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</si>
  <si>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</si>
  <si>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</si>
  <si>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</si>
  <si>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</si>
  <si>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</si>
  <si>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</si>
  <si>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</si>
  <si>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</si>
  <si>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</si>
  <si>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F0CBCB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</si>
  <si>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</si>
  <si>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</si>
  <si>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</si>
  <si>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</si>
  <si>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</si>
  <si>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</si>
  <si>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</si>
  <si>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</si>
  <si>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</si>
  <si>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</si>
  <si>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</si>
  <si>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</si>
  <si>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</si>
  <si>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</si>
  <si>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</si>
  <si>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</si>
  <si>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Description - (Click Here to Update)</t>
  </si>
  <si>
    <t xml:space="preserve">Source: Description (Worklist Column) 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</si>
  <si>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</si>
  <si>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</si>
  <si>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</si>
  <si>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</si>
  <si>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</si>
  <si>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</si>
  <si>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</si>
  <si>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</si>
  <si>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</si>
  <si>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</si>
  <si>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F4</t>
  </si>
  <si>
    <t>F5</t>
  </si>
  <si>
    <t>F6</t>
  </si>
  <si>
    <t>F7</t>
  </si>
  <si>
    <t>F8</t>
  </si>
  <si>
    <t>F9</t>
  </si>
  <si>
    <t>Minimum Volume: 180.0uL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</si>
</sst>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7" fillId="0" borderId="20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9" fillId="0" borderId="18" xfId="0" applyFont="1" applyBorder="1"/>
    <xf numFmtId="0" fontId="9" fillId="0" borderId="1" xfId="0" applyFont="1" applyBorder="1"/>
    <xf numFmtId="49" fontId="0" fillId="0" borderId="13" xfId="0" applyNumberFormat="1" applyBorder="1"/>
    <xf numFmtId="0" fontId="2" fillId="2" borderId="22" xfId="0" applyFont="1" applyFill="1" applyBorder="1" applyAlignment="1">
      <alignment horizontal="left" vertical="center"/>
    </xf>
    <xf numFmtId="0" fontId="2" fillId="2" borderId="23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 vertical="center"/>
    </xf>
    <xf numFmtId="0" fontId="2" fillId="4" borderId="23" xfId="0" applyFont="1" applyFill="1" applyBorder="1" applyAlignment="1">
      <alignment horizontal="left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8" borderId="22" xfId="0" applyFont="1" applyFill="1" applyBorder="1" applyAlignment="1">
      <alignment horizontal="left" vertical="center"/>
    </xf>
    <xf numFmtId="0" fontId="2" fillId="8" borderId="23" xfId="0" applyFont="1" applyFill="1" applyBorder="1" applyAlignment="1">
      <alignment horizontal="left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left" vertical="center"/>
    </xf>
    <xf numFmtId="0" fontId="2" fillId="7" borderId="23" xfId="0" applyFont="1" applyFill="1" applyBorder="1" applyAlignment="1">
      <alignment horizontal="left" vertical="center"/>
    </xf>
    <xf numFmtId="0" fontId="1" fillId="7" borderId="25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/>
    </xf>
    <xf numFmtId="0" fontId="2" fillId="7" borderId="27" xfId="0" applyFont="1" applyFill="1" applyBorder="1" applyAlignment="1">
      <alignment horizontal="center" vertical="center" wrapText="1"/>
    </xf>
    <xf numFmtId="0" fontId="2" fillId="7" borderId="24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left" vertical="center"/>
    </xf>
    <xf numFmtId="0" fontId="2" fillId="6" borderId="23" xfId="0" applyFont="1" applyFill="1" applyBorder="1" applyAlignment="1">
      <alignment horizontal="left" vertical="center"/>
    </xf>
    <xf numFmtId="0" fontId="1" fillId="6" borderId="25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0" fillId="0" borderId="18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80548-F181-4F55-B825-2CE8C8614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A49DFD-2359-4A3D-88E5-71615B66D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0</xdr:row>
          <xdr:rowOff>95250</xdr:rowOff>
        </xdr:from>
        <xdr:to>
          <xdr:col>14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66675</xdr:rowOff>
        </xdr:from>
        <xdr:to>
          <xdr:col>14</xdr:col>
          <xdr:colOff>571500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274BE-F762-4B64-8B2F-FE7DE689529D}">
  <dimension ref="B1:D306"/>
  <sheetViews>
    <sheetView workbookViewId="0">
      <selection activeCell="D11" sqref="D1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71" t="s">
        <v>279</v>
      </c>
      <c r="C2" s="72" t="s">
        <v>81</v>
      </c>
      <c r="D2" s="34"/>
    </row>
    <row r="3" spans="2:4" x14ac:dyDescent="0.25">
      <c r="B3" s="31" t="s">
        <v>280</v>
      </c>
      <c r="C3" t="b">
        <v>0</v>
      </c>
      <c r="D3" s="35"/>
    </row>
    <row r="4" spans="2:4" x14ac:dyDescent="0.25">
      <c r="B4" s="31" t="s">
        <v>281</v>
      </c>
      <c r="C4" t="s">
        <v>282</v>
      </c>
      <c r="D4" s="35"/>
    </row>
    <row r="5" spans="2:4" x14ac:dyDescent="0.25">
      <c r="B5" s="31" t="s">
        <v>283</v>
      </c>
      <c r="C5" t="b">
        <v>1</v>
      </c>
      <c r="D5" s="35"/>
    </row>
    <row r="6" spans="2:4" x14ac:dyDescent="0.25">
      <c r="B6" s="31"/>
      <c r="D6" s="35"/>
    </row>
    <row r="7" spans="2:4" x14ac:dyDescent="0.25">
      <c r="B7" s="31" t="s">
        <v>284</v>
      </c>
      <c r="C7" t="s">
        <v>0</v>
      </c>
      <c r="D7" s="35"/>
    </row>
    <row r="8" spans="2:4" x14ac:dyDescent="0.25">
      <c r="B8" s="31" t="s">
        <v>285</v>
      </c>
      <c r="C8" t="s">
        <v>286</v>
      </c>
      <c r="D8" s="35"/>
    </row>
    <row r="9" spans="2:4" x14ac:dyDescent="0.25">
      <c r="B9" s="31" t="s">
        <v>287</v>
      </c>
      <c r="D9" s="35"/>
    </row>
    <row r="10" spans="2:4" x14ac:dyDescent="0.25">
      <c r="B10" s="31" t="s">
        <v>288</v>
      </c>
      <c r="C10" t="b">
        <v>0</v>
      </c>
      <c r="D10" s="35"/>
    </row>
    <row r="11" spans="2:4" x14ac:dyDescent="0.25">
      <c r="B11" s="31"/>
      <c r="D11" s="35"/>
    </row>
    <row r="12" spans="2:4" x14ac:dyDescent="0.25">
      <c r="B12" s="31" t="s">
        <v>284</v>
      </c>
      <c r="C12" t="s">
        <v>7</v>
      </c>
      <c r="D12" s="35"/>
    </row>
    <row r="13" spans="2:4" x14ac:dyDescent="0.25">
      <c r="B13" s="31" t="s">
        <v>285</v>
      </c>
      <c r="C13" t="s">
        <v>289</v>
      </c>
      <c r="D13" s="35" t="s">
        <v>290</v>
      </c>
    </row>
    <row r="14" spans="2:4" ht="15.75" thickBot="1" x14ac:dyDescent="0.3">
      <c r="B14" s="32" t="s">
        <v>287</v>
      </c>
      <c r="C14" s="33" t="s">
        <v>3</v>
      </c>
      <c r="D14" s="36"/>
    </row>
    <row r="15" spans="2:4" x14ac:dyDescent="0.25">
      <c r="B15" s="31" t="s">
        <v>288</v>
      </c>
      <c r="C15" t="b">
        <v>0</v>
      </c>
      <c r="D15" s="35"/>
    </row>
    <row r="16" spans="2:4" ht="15.75" thickBot="1" x14ac:dyDescent="0.3"/>
    <row r="17" spans="2:4" ht="23.25" x14ac:dyDescent="0.35">
      <c r="B17" s="71" t="s">
        <v>279</v>
      </c>
      <c r="C17" s="72" t="s">
        <v>291</v>
      </c>
      <c r="D17" s="34"/>
    </row>
    <row r="18" spans="2:4" x14ac:dyDescent="0.25">
      <c r="B18" s="31" t="s">
        <v>280</v>
      </c>
      <c r="C18" t="b">
        <v>0</v>
      </c>
      <c r="D18" s="35"/>
    </row>
    <row r="19" spans="2:4" x14ac:dyDescent="0.25">
      <c r="B19" s="31" t="s">
        <v>281</v>
      </c>
      <c r="C19" t="s">
        <v>292</v>
      </c>
      <c r="D19" s="35"/>
    </row>
    <row r="20" spans="2:4" x14ac:dyDescent="0.25">
      <c r="B20" s="31" t="s">
        <v>283</v>
      </c>
      <c r="C20" t="b">
        <v>1</v>
      </c>
      <c r="D20" s="35"/>
    </row>
    <row r="21" spans="2:4" x14ac:dyDescent="0.25">
      <c r="B21" s="31"/>
      <c r="D21" s="35"/>
    </row>
    <row r="22" spans="2:4" x14ac:dyDescent="0.25">
      <c r="B22" s="31" t="s">
        <v>284</v>
      </c>
      <c r="C22" t="s">
        <v>10</v>
      </c>
      <c r="D22" s="35"/>
    </row>
    <row r="23" spans="2:4" x14ac:dyDescent="0.25">
      <c r="B23" s="31" t="s">
        <v>285</v>
      </c>
      <c r="C23" t="s">
        <v>286</v>
      </c>
      <c r="D23" s="35"/>
    </row>
    <row r="24" spans="2:4" x14ac:dyDescent="0.25">
      <c r="B24" s="31" t="s">
        <v>287</v>
      </c>
      <c r="D24" s="35"/>
    </row>
    <row r="25" spans="2:4" x14ac:dyDescent="0.25">
      <c r="B25" s="31" t="s">
        <v>288</v>
      </c>
      <c r="C25" t="b">
        <v>0</v>
      </c>
      <c r="D25" s="35"/>
    </row>
    <row r="26" spans="2:4" x14ac:dyDescent="0.25">
      <c r="B26" s="31"/>
      <c r="D26" s="35"/>
    </row>
    <row r="27" spans="2:4" x14ac:dyDescent="0.25">
      <c r="B27" s="31" t="s">
        <v>284</v>
      </c>
      <c r="C27" t="s">
        <v>11</v>
      </c>
      <c r="D27" s="35"/>
    </row>
    <row r="28" spans="2:4" x14ac:dyDescent="0.25">
      <c r="B28" s="31" t="s">
        <v>285</v>
      </c>
      <c r="C28" t="s">
        <v>286</v>
      </c>
      <c r="D28" s="35"/>
    </row>
    <row r="29" spans="2:4" x14ac:dyDescent="0.25">
      <c r="B29" s="31" t="s">
        <v>287</v>
      </c>
      <c r="C29" t="s">
        <v>12</v>
      </c>
      <c r="D29" s="35"/>
    </row>
    <row r="30" spans="2:4" x14ac:dyDescent="0.25">
      <c r="B30" s="31" t="s">
        <v>288</v>
      </c>
      <c r="C30" t="b">
        <v>0</v>
      </c>
      <c r="D30" s="35"/>
    </row>
    <row r="31" spans="2:4" x14ac:dyDescent="0.25">
      <c r="B31" s="31"/>
      <c r="D31" s="35"/>
    </row>
    <row r="32" spans="2:4" x14ac:dyDescent="0.25">
      <c r="B32" s="31" t="s">
        <v>284</v>
      </c>
      <c r="C32" t="s">
        <v>13</v>
      </c>
      <c r="D32" s="35"/>
    </row>
    <row r="33" spans="2:4" x14ac:dyDescent="0.25">
      <c r="B33" s="31" t="s">
        <v>285</v>
      </c>
      <c r="C33" t="s">
        <v>286</v>
      </c>
      <c r="D33" s="35"/>
    </row>
    <row r="34" spans="2:4" ht="15.75" thickBot="1" x14ac:dyDescent="0.3">
      <c r="B34" s="32" t="s">
        <v>287</v>
      </c>
      <c r="C34" s="33" t="s">
        <v>14</v>
      </c>
      <c r="D34" s="36"/>
    </row>
    <row r="35" spans="2:4" x14ac:dyDescent="0.25">
      <c r="B35" s="31" t="s">
        <v>288</v>
      </c>
      <c r="C35" t="b">
        <v>0</v>
      </c>
      <c r="D35" s="35"/>
    </row>
    <row r="36" spans="2:4" ht="15.75" thickBot="1" x14ac:dyDescent="0.3"/>
    <row r="37" spans="2:4" ht="23.25" x14ac:dyDescent="0.35">
      <c r="B37" s="71" t="s">
        <v>279</v>
      </c>
      <c r="C37" s="72" t="s">
        <v>293</v>
      </c>
      <c r="D37" s="34"/>
    </row>
    <row r="38" spans="2:4" x14ac:dyDescent="0.25">
      <c r="B38" s="31" t="s">
        <v>280</v>
      </c>
      <c r="C38" t="b">
        <v>0</v>
      </c>
      <c r="D38" s="35"/>
    </row>
    <row r="39" spans="2:4" x14ac:dyDescent="0.25">
      <c r="B39" s="31" t="s">
        <v>281</v>
      </c>
      <c r="C39" t="s">
        <v>294</v>
      </c>
      <c r="D39" s="35"/>
    </row>
    <row r="40" spans="2:4" x14ac:dyDescent="0.25">
      <c r="B40" s="31" t="s">
        <v>283</v>
      </c>
      <c r="C40" t="b">
        <v>1</v>
      </c>
      <c r="D40" s="35"/>
    </row>
    <row r="41" spans="2:4" x14ac:dyDescent="0.25">
      <c r="B41" s="31"/>
      <c r="D41" s="35"/>
    </row>
    <row r="42" spans="2:4" x14ac:dyDescent="0.25">
      <c r="B42" s="31" t="s">
        <v>284</v>
      </c>
      <c r="C42" t="s">
        <v>295</v>
      </c>
      <c r="D42" s="35"/>
    </row>
    <row r="43" spans="2:4" x14ac:dyDescent="0.25">
      <c r="B43" s="31" t="s">
        <v>285</v>
      </c>
      <c r="C43" t="s">
        <v>286</v>
      </c>
      <c r="D43" s="35"/>
    </row>
    <row r="44" spans="2:4" x14ac:dyDescent="0.25">
      <c r="B44" s="31" t="s">
        <v>287</v>
      </c>
      <c r="D44" s="35"/>
    </row>
    <row r="45" spans="2:4" x14ac:dyDescent="0.25">
      <c r="B45" s="31" t="s">
        <v>288</v>
      </c>
      <c r="C45" t="b">
        <v>0</v>
      </c>
      <c r="D45" s="35"/>
    </row>
    <row r="46" spans="2:4" x14ac:dyDescent="0.25">
      <c r="B46" s="31"/>
      <c r="D46" s="35"/>
    </row>
    <row r="47" spans="2:4" x14ac:dyDescent="0.25">
      <c r="B47" s="31" t="s">
        <v>284</v>
      </c>
      <c r="C47" t="s">
        <v>296</v>
      </c>
      <c r="D47" s="35"/>
    </row>
    <row r="48" spans="2:4" x14ac:dyDescent="0.25">
      <c r="B48" s="31" t="s">
        <v>285</v>
      </c>
      <c r="C48" t="s">
        <v>289</v>
      </c>
      <c r="D48" s="35" t="s">
        <v>297</v>
      </c>
    </row>
    <row r="49" spans="2:4" ht="15.75" thickBot="1" x14ac:dyDescent="0.3">
      <c r="B49" s="32" t="s">
        <v>287</v>
      </c>
      <c r="C49" s="33" t="s">
        <v>22</v>
      </c>
      <c r="D49" s="36"/>
    </row>
    <row r="50" spans="2:4" x14ac:dyDescent="0.25">
      <c r="B50" s="31" t="s">
        <v>288</v>
      </c>
      <c r="C50" t="b">
        <v>0</v>
      </c>
      <c r="D50" s="35"/>
    </row>
    <row r="51" spans="2:4" ht="15.75" thickBot="1" x14ac:dyDescent="0.3"/>
    <row r="52" spans="2:4" ht="23.25" x14ac:dyDescent="0.35">
      <c r="B52" s="71" t="s">
        <v>279</v>
      </c>
      <c r="C52" s="72" t="s">
        <v>298</v>
      </c>
      <c r="D52" s="34"/>
    </row>
    <row r="53" spans="2:4" x14ac:dyDescent="0.25">
      <c r="B53" s="31" t="s">
        <v>280</v>
      </c>
      <c r="C53" t="b">
        <v>0</v>
      </c>
      <c r="D53" s="35"/>
    </row>
    <row r="54" spans="2:4" x14ac:dyDescent="0.25">
      <c r="B54" s="31" t="s">
        <v>281</v>
      </c>
      <c r="C54" t="s">
        <v>282</v>
      </c>
      <c r="D54" s="35"/>
    </row>
    <row r="55" spans="2:4" x14ac:dyDescent="0.25">
      <c r="B55" s="31" t="s">
        <v>283</v>
      </c>
      <c r="C55" t="b">
        <v>1</v>
      </c>
      <c r="D55" s="35"/>
    </row>
    <row r="56" spans="2:4" ht="15.75" thickBot="1" x14ac:dyDescent="0.3">
      <c r="B56" s="32"/>
      <c r="C56" s="33"/>
      <c r="D56" s="36"/>
    </row>
    <row r="57" spans="2:4" ht="15.75" thickBot="1" x14ac:dyDescent="0.3"/>
    <row r="58" spans="2:4" ht="23.25" x14ac:dyDescent="0.35">
      <c r="B58" s="71" t="s">
        <v>279</v>
      </c>
      <c r="C58" s="72" t="s">
        <v>299</v>
      </c>
      <c r="D58" s="34"/>
    </row>
    <row r="59" spans="2:4" x14ac:dyDescent="0.25">
      <c r="B59" s="31" t="s">
        <v>280</v>
      </c>
      <c r="C59" t="b">
        <v>1</v>
      </c>
      <c r="D59" s="35"/>
    </row>
    <row r="60" spans="2:4" x14ac:dyDescent="0.25">
      <c r="B60" s="31" t="s">
        <v>281</v>
      </c>
      <c r="C60" t="s">
        <v>300</v>
      </c>
      <c r="D60" s="35"/>
    </row>
    <row r="61" spans="2:4" x14ac:dyDescent="0.25">
      <c r="B61" s="31" t="s">
        <v>283</v>
      </c>
      <c r="C61" t="b">
        <v>1</v>
      </c>
      <c r="D61" s="35"/>
    </row>
    <row r="62" spans="2:4" x14ac:dyDescent="0.25">
      <c r="B62" s="31"/>
      <c r="D62" s="35"/>
    </row>
    <row r="63" spans="2:4" x14ac:dyDescent="0.25">
      <c r="B63" s="31" t="s">
        <v>284</v>
      </c>
      <c r="C63" t="s">
        <v>15</v>
      </c>
      <c r="D63" s="35"/>
    </row>
    <row r="64" spans="2:4" x14ac:dyDescent="0.25">
      <c r="B64" s="31" t="s">
        <v>285</v>
      </c>
      <c r="C64" t="s">
        <v>286</v>
      </c>
      <c r="D64" s="35"/>
    </row>
    <row r="65" spans="2:4" x14ac:dyDescent="0.25">
      <c r="B65" s="31" t="s">
        <v>287</v>
      </c>
      <c r="D65" s="35"/>
    </row>
    <row r="66" spans="2:4" x14ac:dyDescent="0.25">
      <c r="B66" s="31" t="s">
        <v>288</v>
      </c>
      <c r="C66" t="b">
        <v>1</v>
      </c>
      <c r="D66" s="35"/>
    </row>
    <row r="67" spans="2:4" x14ac:dyDescent="0.25">
      <c r="B67" s="31"/>
      <c r="D67" s="35"/>
    </row>
    <row r="68" spans="2:4" x14ac:dyDescent="0.25">
      <c r="B68" s="31" t="s">
        <v>284</v>
      </c>
      <c r="C68" t="s">
        <v>16</v>
      </c>
      <c r="D68" s="35"/>
    </row>
    <row r="69" spans="2:4" x14ac:dyDescent="0.25">
      <c r="B69" s="31" t="s">
        <v>285</v>
      </c>
      <c r="C69" t="s">
        <v>289</v>
      </c>
      <c r="D69" s="35" t="s">
        <v>301</v>
      </c>
    </row>
    <row r="70" spans="2:4" x14ac:dyDescent="0.25">
      <c r="B70" s="31" t="s">
        <v>287</v>
      </c>
      <c r="C70" t="s">
        <v>17</v>
      </c>
      <c r="D70" s="35"/>
    </row>
    <row r="71" spans="2:4" x14ac:dyDescent="0.25">
      <c r="B71" s="31" t="s">
        <v>288</v>
      </c>
      <c r="C71" t="b">
        <v>0</v>
      </c>
      <c r="D71" s="35"/>
    </row>
    <row r="72" spans="2:4" x14ac:dyDescent="0.25">
      <c r="B72" s="31"/>
      <c r="D72" s="35"/>
    </row>
    <row r="73" spans="2:4" x14ac:dyDescent="0.25">
      <c r="B73" s="31" t="s">
        <v>284</v>
      </c>
      <c r="C73" t="s">
        <v>18</v>
      </c>
      <c r="D73" s="35"/>
    </row>
    <row r="74" spans="2:4" x14ac:dyDescent="0.25">
      <c r="B74" s="31" t="s">
        <v>285</v>
      </c>
      <c r="C74" t="s">
        <v>289</v>
      </c>
      <c r="D74" s="35" t="s">
        <v>302</v>
      </c>
    </row>
    <row r="75" spans="2:4" x14ac:dyDescent="0.25">
      <c r="B75" s="31" t="s">
        <v>287</v>
      </c>
      <c r="C75" t="s">
        <v>19</v>
      </c>
      <c r="D75" s="35"/>
    </row>
    <row r="76" spans="2:4" x14ac:dyDescent="0.25">
      <c r="B76" s="31" t="s">
        <v>288</v>
      </c>
      <c r="C76" t="b">
        <v>0</v>
      </c>
      <c r="D76" s="35"/>
    </row>
    <row r="77" spans="2:4" x14ac:dyDescent="0.25">
      <c r="B77" s="31"/>
      <c r="D77" s="35"/>
    </row>
    <row r="78" spans="2:4" x14ac:dyDescent="0.25">
      <c r="B78" s="31" t="s">
        <v>284</v>
      </c>
      <c r="C78" t="s">
        <v>20</v>
      </c>
      <c r="D78" s="35"/>
    </row>
    <row r="79" spans="2:4" x14ac:dyDescent="0.25">
      <c r="B79" s="31" t="s">
        <v>285</v>
      </c>
      <c r="C79" t="s">
        <v>286</v>
      </c>
      <c r="D79" s="35"/>
    </row>
    <row r="80" spans="2:4" x14ac:dyDescent="0.25">
      <c r="B80" s="31" t="s">
        <v>287</v>
      </c>
      <c r="D80" s="35"/>
    </row>
    <row r="81" spans="2:4" x14ac:dyDescent="0.25">
      <c r="B81" s="31" t="s">
        <v>288</v>
      </c>
      <c r="C81" t="b">
        <v>0</v>
      </c>
      <c r="D81" s="35"/>
    </row>
    <row r="82" spans="2:4" x14ac:dyDescent="0.25">
      <c r="B82" s="31"/>
      <c r="D82" s="35"/>
    </row>
    <row r="83" spans="2:4" x14ac:dyDescent="0.25">
      <c r="B83" s="31" t="s">
        <v>284</v>
      </c>
      <c r="C83" t="s">
        <v>21</v>
      </c>
      <c r="D83" s="35"/>
    </row>
    <row r="84" spans="2:4" x14ac:dyDescent="0.25">
      <c r="B84" s="31" t="s">
        <v>285</v>
      </c>
      <c r="C84" t="s">
        <v>289</v>
      </c>
      <c r="D84" s="35" t="s">
        <v>297</v>
      </c>
    </row>
    <row r="85" spans="2:4" ht="15.75" thickBot="1" x14ac:dyDescent="0.3">
      <c r="B85" s="32" t="s">
        <v>287</v>
      </c>
      <c r="C85" s="33" t="s">
        <v>22</v>
      </c>
      <c r="D85" s="36"/>
    </row>
    <row r="86" spans="2:4" x14ac:dyDescent="0.25">
      <c r="B86" s="31" t="s">
        <v>288</v>
      </c>
      <c r="C86" t="b">
        <v>0</v>
      </c>
      <c r="D86" s="35"/>
    </row>
    <row r="87" spans="2:4" ht="15.75" thickBot="1" x14ac:dyDescent="0.3"/>
    <row r="88" spans="2:4" ht="23.25" x14ac:dyDescent="0.35">
      <c r="B88" s="71" t="s">
        <v>279</v>
      </c>
      <c r="C88" s="72" t="s">
        <v>303</v>
      </c>
      <c r="D88" s="34"/>
    </row>
    <row r="89" spans="2:4" x14ac:dyDescent="0.25">
      <c r="B89" s="31" t="s">
        <v>280</v>
      </c>
      <c r="C89" t="b">
        <v>1</v>
      </c>
      <c r="D89" s="35"/>
    </row>
    <row r="90" spans="2:4" x14ac:dyDescent="0.25">
      <c r="B90" s="31" t="s">
        <v>281</v>
      </c>
      <c r="C90" t="s">
        <v>304</v>
      </c>
      <c r="D90" s="35"/>
    </row>
    <row r="91" spans="2:4" x14ac:dyDescent="0.25">
      <c r="B91" s="31" t="s">
        <v>283</v>
      </c>
      <c r="C91" t="b">
        <v>1</v>
      </c>
      <c r="D91" s="35"/>
    </row>
    <row r="92" spans="2:4" x14ac:dyDescent="0.25">
      <c r="B92" s="31"/>
      <c r="D92" s="35"/>
    </row>
    <row r="93" spans="2:4" x14ac:dyDescent="0.25">
      <c r="B93" s="31" t="s">
        <v>284</v>
      </c>
      <c r="C93" t="s">
        <v>15</v>
      </c>
      <c r="D93" s="35"/>
    </row>
    <row r="94" spans="2:4" x14ac:dyDescent="0.25">
      <c r="B94" s="31" t="s">
        <v>285</v>
      </c>
      <c r="C94" t="s">
        <v>286</v>
      </c>
      <c r="D94" s="35"/>
    </row>
    <row r="95" spans="2:4" x14ac:dyDescent="0.25">
      <c r="B95" s="31" t="s">
        <v>287</v>
      </c>
      <c r="D95" s="35"/>
    </row>
    <row r="96" spans="2:4" x14ac:dyDescent="0.25">
      <c r="B96" s="31" t="s">
        <v>288</v>
      </c>
      <c r="C96" t="b">
        <v>1</v>
      </c>
      <c r="D96" s="35"/>
    </row>
    <row r="97" spans="2:4" x14ac:dyDescent="0.25">
      <c r="B97" s="31"/>
      <c r="D97" s="35"/>
    </row>
    <row r="98" spans="2:4" x14ac:dyDescent="0.25">
      <c r="B98" s="31" t="s">
        <v>284</v>
      </c>
      <c r="C98" t="s">
        <v>42</v>
      </c>
      <c r="D98" s="35"/>
    </row>
    <row r="99" spans="2:4" x14ac:dyDescent="0.25">
      <c r="B99" s="31" t="s">
        <v>285</v>
      </c>
      <c r="C99" t="s">
        <v>286</v>
      </c>
      <c r="D99" s="35"/>
    </row>
    <row r="100" spans="2:4" x14ac:dyDescent="0.25">
      <c r="B100" s="31" t="s">
        <v>287</v>
      </c>
      <c r="D100" s="35"/>
    </row>
    <row r="101" spans="2:4" x14ac:dyDescent="0.25">
      <c r="B101" s="31" t="s">
        <v>288</v>
      </c>
      <c r="C101" t="b">
        <v>1</v>
      </c>
      <c r="D101" s="35"/>
    </row>
    <row r="102" spans="2:4" x14ac:dyDescent="0.25">
      <c r="B102" s="31"/>
      <c r="D102" s="35"/>
    </row>
    <row r="103" spans="2:4" x14ac:dyDescent="0.25">
      <c r="B103" s="31" t="s">
        <v>284</v>
      </c>
      <c r="C103" t="s">
        <v>47</v>
      </c>
      <c r="D103" s="35"/>
    </row>
    <row r="104" spans="2:4" x14ac:dyDescent="0.25">
      <c r="B104" s="31" t="s">
        <v>285</v>
      </c>
      <c r="C104" t="s">
        <v>286</v>
      </c>
      <c r="D104" s="35"/>
    </row>
    <row r="105" spans="2:4" x14ac:dyDescent="0.25">
      <c r="B105" s="31" t="s">
        <v>287</v>
      </c>
      <c r="D105" s="35"/>
    </row>
    <row r="106" spans="2:4" x14ac:dyDescent="0.25">
      <c r="B106" s="31" t="s">
        <v>288</v>
      </c>
      <c r="C106" t="b">
        <v>0</v>
      </c>
      <c r="D106" s="35"/>
    </row>
    <row r="107" spans="2:4" x14ac:dyDescent="0.25">
      <c r="B107" s="31"/>
      <c r="D107" s="35"/>
    </row>
    <row r="108" spans="2:4" x14ac:dyDescent="0.25">
      <c r="B108" s="31" t="s">
        <v>284</v>
      </c>
      <c r="C108" t="s">
        <v>48</v>
      </c>
      <c r="D108" s="35"/>
    </row>
    <row r="109" spans="2:4" x14ac:dyDescent="0.25">
      <c r="B109" s="31" t="s">
        <v>285</v>
      </c>
      <c r="C109" t="s">
        <v>286</v>
      </c>
      <c r="D109" s="35"/>
    </row>
    <row r="110" spans="2:4" x14ac:dyDescent="0.25">
      <c r="B110" s="31" t="s">
        <v>287</v>
      </c>
      <c r="D110" s="35"/>
    </row>
    <row r="111" spans="2:4" x14ac:dyDescent="0.25">
      <c r="B111" s="31" t="s">
        <v>288</v>
      </c>
      <c r="C111" t="b">
        <v>0</v>
      </c>
      <c r="D111" s="35"/>
    </row>
    <row r="112" spans="2:4" x14ac:dyDescent="0.25">
      <c r="B112" s="31"/>
      <c r="D112" s="35"/>
    </row>
    <row r="113" spans="2:4" x14ac:dyDescent="0.25">
      <c r="B113" s="31" t="s">
        <v>284</v>
      </c>
      <c r="C113" t="s">
        <v>49</v>
      </c>
      <c r="D113" s="35"/>
    </row>
    <row r="114" spans="2:4" x14ac:dyDescent="0.25">
      <c r="B114" s="31" t="s">
        <v>285</v>
      </c>
      <c r="C114" t="s">
        <v>286</v>
      </c>
      <c r="D114" s="35"/>
    </row>
    <row r="115" spans="2:4" x14ac:dyDescent="0.25">
      <c r="B115" s="31" t="s">
        <v>287</v>
      </c>
      <c r="D115" s="35"/>
    </row>
    <row r="116" spans="2:4" x14ac:dyDescent="0.25">
      <c r="B116" s="31" t="s">
        <v>288</v>
      </c>
      <c r="C116" t="b">
        <v>0</v>
      </c>
      <c r="D116" s="35"/>
    </row>
    <row r="117" spans="2:4" x14ac:dyDescent="0.25">
      <c r="B117" s="31"/>
      <c r="D117" s="35"/>
    </row>
    <row r="118" spans="2:4" x14ac:dyDescent="0.25">
      <c r="B118" s="31" t="s">
        <v>284</v>
      </c>
      <c r="C118" t="s">
        <v>50</v>
      </c>
      <c r="D118" s="35"/>
    </row>
    <row r="119" spans="2:4" x14ac:dyDescent="0.25">
      <c r="B119" s="31" t="s">
        <v>285</v>
      </c>
      <c r="C119" t="s">
        <v>286</v>
      </c>
      <c r="D119" s="35"/>
    </row>
    <row r="120" spans="2:4" ht="15.75" thickBot="1" x14ac:dyDescent="0.3">
      <c r="B120" s="32" t="s">
        <v>287</v>
      </c>
      <c r="C120" s="33"/>
      <c r="D120" s="36"/>
    </row>
    <row r="121" spans="2:4" x14ac:dyDescent="0.25">
      <c r="B121" s="31" t="s">
        <v>288</v>
      </c>
      <c r="C121" t="b">
        <v>0</v>
      </c>
      <c r="D121" s="35"/>
    </row>
    <row r="122" spans="2:4" ht="15.75" thickBot="1" x14ac:dyDescent="0.3"/>
    <row r="123" spans="2:4" ht="23.25" x14ac:dyDescent="0.35">
      <c r="B123" s="71" t="s">
        <v>279</v>
      </c>
      <c r="C123" s="72" t="s">
        <v>305</v>
      </c>
      <c r="D123" s="34"/>
    </row>
    <row r="124" spans="2:4" x14ac:dyDescent="0.25">
      <c r="B124" s="31" t="s">
        <v>280</v>
      </c>
      <c r="C124" t="b">
        <v>1</v>
      </c>
      <c r="D124" s="35"/>
    </row>
    <row r="125" spans="2:4" x14ac:dyDescent="0.25">
      <c r="B125" s="31" t="s">
        <v>281</v>
      </c>
      <c r="C125" t="s">
        <v>306</v>
      </c>
      <c r="D125" s="35"/>
    </row>
    <row r="126" spans="2:4" x14ac:dyDescent="0.25">
      <c r="B126" s="31" t="s">
        <v>283</v>
      </c>
      <c r="C126" t="b">
        <v>1</v>
      </c>
      <c r="D126" s="35"/>
    </row>
    <row r="127" spans="2:4" x14ac:dyDescent="0.25">
      <c r="B127" s="31"/>
      <c r="D127" s="35"/>
    </row>
    <row r="128" spans="2:4" x14ac:dyDescent="0.25">
      <c r="B128" s="31" t="s">
        <v>284</v>
      </c>
      <c r="C128" t="s">
        <v>43</v>
      </c>
      <c r="D128" s="35"/>
    </row>
    <row r="129" spans="2:4" x14ac:dyDescent="0.25">
      <c r="B129" s="31" t="s">
        <v>285</v>
      </c>
      <c r="C129" t="s">
        <v>307</v>
      </c>
      <c r="D129" s="35" t="s">
        <v>308</v>
      </c>
    </row>
    <row r="130" spans="2:4" x14ac:dyDescent="0.25">
      <c r="B130" s="31" t="s">
        <v>287</v>
      </c>
      <c r="C130" t="s">
        <v>19</v>
      </c>
      <c r="D130" s="35"/>
    </row>
    <row r="131" spans="2:4" x14ac:dyDescent="0.25">
      <c r="B131" s="31" t="s">
        <v>288</v>
      </c>
      <c r="C131" t="b">
        <v>0</v>
      </c>
      <c r="D131" s="35"/>
    </row>
    <row r="132" spans="2:4" x14ac:dyDescent="0.25">
      <c r="B132" s="31"/>
      <c r="D132" s="35"/>
    </row>
    <row r="133" spans="2:4" x14ac:dyDescent="0.25">
      <c r="B133" s="31" t="s">
        <v>284</v>
      </c>
      <c r="C133" t="s">
        <v>44</v>
      </c>
      <c r="D133" s="35"/>
    </row>
    <row r="134" spans="2:4" x14ac:dyDescent="0.25">
      <c r="B134" s="31" t="s">
        <v>285</v>
      </c>
      <c r="C134" t="s">
        <v>286</v>
      </c>
      <c r="D134" s="35"/>
    </row>
    <row r="135" spans="2:4" x14ac:dyDescent="0.25">
      <c r="B135" s="31" t="s">
        <v>287</v>
      </c>
      <c r="D135" s="35"/>
    </row>
    <row r="136" spans="2:4" x14ac:dyDescent="0.25">
      <c r="B136" s="31" t="s">
        <v>288</v>
      </c>
      <c r="C136" t="b">
        <v>0</v>
      </c>
      <c r="D136" s="35"/>
    </row>
    <row r="137" spans="2:4" x14ac:dyDescent="0.25">
      <c r="B137" s="31"/>
      <c r="D137" s="35"/>
    </row>
    <row r="138" spans="2:4" x14ac:dyDescent="0.25">
      <c r="B138" s="31" t="s">
        <v>284</v>
      </c>
      <c r="C138" t="s">
        <v>45</v>
      </c>
      <c r="D138" s="35"/>
    </row>
    <row r="139" spans="2:4" x14ac:dyDescent="0.25">
      <c r="B139" s="31" t="s">
        <v>285</v>
      </c>
      <c r="C139" t="s">
        <v>286</v>
      </c>
      <c r="D139" s="35"/>
    </row>
    <row r="140" spans="2:4" ht="15.75" thickBot="1" x14ac:dyDescent="0.3">
      <c r="B140" s="32" t="s">
        <v>287</v>
      </c>
      <c r="C140" s="33">
        <v>0</v>
      </c>
      <c r="D140" s="36"/>
    </row>
    <row r="141" spans="2:4" x14ac:dyDescent="0.25">
      <c r="B141" s="31" t="s">
        <v>288</v>
      </c>
      <c r="C141" t="b">
        <v>0</v>
      </c>
      <c r="D141" s="35"/>
    </row>
    <row r="142" spans="2:4" ht="15.75" thickBot="1" x14ac:dyDescent="0.3"/>
    <row r="143" spans="2:4" ht="23.25" x14ac:dyDescent="0.35">
      <c r="B143" s="71" t="s">
        <v>279</v>
      </c>
      <c r="C143" s="72" t="s">
        <v>309</v>
      </c>
      <c r="D143" s="34"/>
    </row>
    <row r="144" spans="2:4" x14ac:dyDescent="0.25">
      <c r="B144" s="31" t="s">
        <v>280</v>
      </c>
      <c r="C144" t="b">
        <v>1</v>
      </c>
      <c r="D144" s="35"/>
    </row>
    <row r="145" spans="2:4" x14ac:dyDescent="0.25">
      <c r="B145" s="31" t="s">
        <v>281</v>
      </c>
      <c r="C145" t="s">
        <v>310</v>
      </c>
      <c r="D145" s="35"/>
    </row>
    <row r="146" spans="2:4" x14ac:dyDescent="0.25">
      <c r="B146" s="31" t="s">
        <v>283</v>
      </c>
      <c r="C146" t="b">
        <v>1</v>
      </c>
      <c r="D146" s="35"/>
    </row>
    <row r="147" spans="2:4" x14ac:dyDescent="0.25">
      <c r="B147" s="31"/>
      <c r="D147" s="35"/>
    </row>
    <row r="148" spans="2:4" x14ac:dyDescent="0.25">
      <c r="B148" s="31" t="s">
        <v>284</v>
      </c>
      <c r="C148" t="s">
        <v>15</v>
      </c>
      <c r="D148" s="35"/>
    </row>
    <row r="149" spans="2:4" x14ac:dyDescent="0.25">
      <c r="B149" s="31" t="s">
        <v>285</v>
      </c>
      <c r="C149" t="s">
        <v>286</v>
      </c>
      <c r="D149" s="35"/>
    </row>
    <row r="150" spans="2:4" x14ac:dyDescent="0.25">
      <c r="B150" s="31" t="s">
        <v>287</v>
      </c>
      <c r="D150" s="35"/>
    </row>
    <row r="151" spans="2:4" x14ac:dyDescent="0.25">
      <c r="B151" s="31" t="s">
        <v>288</v>
      </c>
      <c r="C151" t="b">
        <v>1</v>
      </c>
      <c r="D151" s="35"/>
    </row>
    <row r="152" spans="2:4" x14ac:dyDescent="0.25">
      <c r="B152" s="31"/>
      <c r="D152" s="35"/>
    </row>
    <row r="153" spans="2:4" x14ac:dyDescent="0.25">
      <c r="B153" s="31" t="s">
        <v>284</v>
      </c>
      <c r="C153" t="s">
        <v>311</v>
      </c>
      <c r="D153" s="35"/>
    </row>
    <row r="154" spans="2:4" x14ac:dyDescent="0.25">
      <c r="B154" s="31" t="s">
        <v>285</v>
      </c>
      <c r="C154" t="s">
        <v>286</v>
      </c>
      <c r="D154" s="35"/>
    </row>
    <row r="155" spans="2:4" x14ac:dyDescent="0.25">
      <c r="B155" s="31" t="s">
        <v>287</v>
      </c>
      <c r="D155" s="35"/>
    </row>
    <row r="156" spans="2:4" x14ac:dyDescent="0.25">
      <c r="B156" s="31" t="s">
        <v>288</v>
      </c>
      <c r="C156" t="b">
        <v>0</v>
      </c>
      <c r="D156" s="35"/>
    </row>
    <row r="157" spans="2:4" x14ac:dyDescent="0.25">
      <c r="B157" s="31"/>
      <c r="D157" s="35"/>
    </row>
    <row r="158" spans="2:4" x14ac:dyDescent="0.25">
      <c r="B158" s="31" t="s">
        <v>284</v>
      </c>
      <c r="C158" t="s">
        <v>312</v>
      </c>
      <c r="D158" s="35"/>
    </row>
    <row r="159" spans="2:4" x14ac:dyDescent="0.25">
      <c r="B159" s="31" t="s">
        <v>285</v>
      </c>
      <c r="C159" t="s">
        <v>286</v>
      </c>
      <c r="D159" s="35"/>
    </row>
    <row r="160" spans="2:4" x14ac:dyDescent="0.25">
      <c r="B160" s="31" t="s">
        <v>287</v>
      </c>
      <c r="D160" s="35"/>
    </row>
    <row r="161" spans="2:4" x14ac:dyDescent="0.25">
      <c r="B161" s="31" t="s">
        <v>288</v>
      </c>
      <c r="C161" t="b">
        <v>1</v>
      </c>
      <c r="D161" s="35"/>
    </row>
    <row r="162" spans="2:4" x14ac:dyDescent="0.25">
      <c r="B162" s="31"/>
      <c r="D162" s="35"/>
    </row>
    <row r="163" spans="2:4" x14ac:dyDescent="0.25">
      <c r="B163" s="31" t="s">
        <v>284</v>
      </c>
      <c r="C163" t="s">
        <v>313</v>
      </c>
      <c r="D163" s="35"/>
    </row>
    <row r="164" spans="2:4" x14ac:dyDescent="0.25">
      <c r="B164" s="31" t="s">
        <v>285</v>
      </c>
      <c r="C164" t="s">
        <v>289</v>
      </c>
      <c r="D164" s="73" t="s">
        <v>314</v>
      </c>
    </row>
    <row r="165" spans="2:4" ht="15.75" thickBot="1" x14ac:dyDescent="0.3">
      <c r="B165" s="32" t="s">
        <v>287</v>
      </c>
      <c r="C165" s="33"/>
      <c r="D165" s="36"/>
    </row>
    <row r="166" spans="2:4" x14ac:dyDescent="0.25">
      <c r="B166" s="31" t="s">
        <v>288</v>
      </c>
      <c r="C166" t="b">
        <v>0</v>
      </c>
      <c r="D166" s="35"/>
    </row>
    <row r="168" spans="2:4" x14ac:dyDescent="0.25">
      <c r="B168" s="31" t="s">
        <v>284</v>
      </c>
      <c r="C168" t="s">
        <v>315</v>
      </c>
      <c r="D168" s="35"/>
    </row>
    <row r="169" spans="2:4" x14ac:dyDescent="0.25">
      <c r="B169" s="31" t="s">
        <v>285</v>
      </c>
      <c r="C169" t="s">
        <v>289</v>
      </c>
      <c r="D169" s="73" t="s">
        <v>316</v>
      </c>
    </row>
    <row r="170" spans="2:4" ht="15.75" thickBot="1" x14ac:dyDescent="0.3">
      <c r="B170" s="32" t="s">
        <v>287</v>
      </c>
      <c r="C170" s="33" t="s">
        <v>317</v>
      </c>
      <c r="D170" s="36"/>
    </row>
    <row r="171" spans="2:4" x14ac:dyDescent="0.25">
      <c r="B171" s="31" t="s">
        <v>288</v>
      </c>
      <c r="C171" t="b">
        <v>0</v>
      </c>
      <c r="D171" s="35"/>
    </row>
    <row r="172" spans="2:4" ht="15.75" thickBot="1" x14ac:dyDescent="0.3"/>
    <row r="173" spans="2:4" ht="23.25" x14ac:dyDescent="0.35">
      <c r="B173" s="71" t="s">
        <v>279</v>
      </c>
      <c r="C173" s="72" t="s">
        <v>318</v>
      </c>
      <c r="D173" s="34"/>
    </row>
    <row r="174" spans="2:4" x14ac:dyDescent="0.25">
      <c r="B174" s="31" t="s">
        <v>280</v>
      </c>
      <c r="C174" t="b">
        <v>1</v>
      </c>
      <c r="D174" s="35"/>
    </row>
    <row r="175" spans="2:4" x14ac:dyDescent="0.25">
      <c r="B175" s="31" t="s">
        <v>281</v>
      </c>
      <c r="C175" t="s">
        <v>319</v>
      </c>
      <c r="D175" s="35"/>
    </row>
    <row r="176" spans="2:4" x14ac:dyDescent="0.25">
      <c r="B176" s="31" t="s">
        <v>283</v>
      </c>
      <c r="C176" t="b">
        <v>1</v>
      </c>
      <c r="D176" s="35"/>
    </row>
    <row r="177" spans="2:4" x14ac:dyDescent="0.25">
      <c r="B177" s="31"/>
      <c r="D177" s="35"/>
    </row>
    <row r="178" spans="2:4" x14ac:dyDescent="0.25">
      <c r="B178" s="31" t="s">
        <v>284</v>
      </c>
      <c r="C178" t="s">
        <v>15</v>
      </c>
      <c r="D178" s="35"/>
    </row>
    <row r="179" spans="2:4" x14ac:dyDescent="0.25">
      <c r="B179" s="31" t="s">
        <v>285</v>
      </c>
      <c r="C179" t="s">
        <v>286</v>
      </c>
      <c r="D179" s="35"/>
    </row>
    <row r="180" spans="2:4" x14ac:dyDescent="0.25">
      <c r="B180" s="31" t="s">
        <v>287</v>
      </c>
      <c r="D180" s="35"/>
    </row>
    <row r="181" spans="2:4" x14ac:dyDescent="0.25">
      <c r="B181" s="31" t="s">
        <v>288</v>
      </c>
      <c r="C181" t="b">
        <v>1</v>
      </c>
      <c r="D181" s="35"/>
    </row>
    <row r="182" spans="2:4" x14ac:dyDescent="0.25">
      <c r="B182" s="31"/>
      <c r="D182" s="35"/>
    </row>
    <row r="183" spans="2:4" x14ac:dyDescent="0.25">
      <c r="B183" s="31" t="s">
        <v>284</v>
      </c>
      <c r="C183" t="s">
        <v>20</v>
      </c>
      <c r="D183" s="35"/>
    </row>
    <row r="184" spans="2:4" x14ac:dyDescent="0.25">
      <c r="B184" s="31" t="s">
        <v>285</v>
      </c>
      <c r="C184" t="s">
        <v>286</v>
      </c>
      <c r="D184" s="35"/>
    </row>
    <row r="185" spans="2:4" x14ac:dyDescent="0.25">
      <c r="B185" s="31" t="s">
        <v>287</v>
      </c>
      <c r="D185" s="35"/>
    </row>
    <row r="186" spans="2:4" x14ac:dyDescent="0.25">
      <c r="B186" s="31" t="s">
        <v>288</v>
      </c>
      <c r="C186" t="b">
        <v>0</v>
      </c>
      <c r="D186" s="35"/>
    </row>
    <row r="187" spans="2:4" x14ac:dyDescent="0.25">
      <c r="B187" s="31"/>
      <c r="D187" s="35"/>
    </row>
    <row r="188" spans="2:4" x14ac:dyDescent="0.25">
      <c r="B188" s="31" t="s">
        <v>284</v>
      </c>
      <c r="C188" t="s">
        <v>320</v>
      </c>
      <c r="D188" s="35"/>
    </row>
    <row r="189" spans="2:4" x14ac:dyDescent="0.25">
      <c r="B189" s="31" t="s">
        <v>285</v>
      </c>
      <c r="C189" t="s">
        <v>289</v>
      </c>
      <c r="D189" s="35" t="s">
        <v>321</v>
      </c>
    </row>
    <row r="190" spans="2:4" x14ac:dyDescent="0.25">
      <c r="B190" s="31" t="s">
        <v>287</v>
      </c>
      <c r="D190" s="35"/>
    </row>
    <row r="191" spans="2:4" x14ac:dyDescent="0.25">
      <c r="B191" s="31" t="s">
        <v>288</v>
      </c>
      <c r="C191" t="b">
        <v>0</v>
      </c>
      <c r="D191" s="35"/>
    </row>
    <row r="192" spans="2:4" x14ac:dyDescent="0.25">
      <c r="B192" s="31"/>
      <c r="D192" s="35"/>
    </row>
    <row r="193" spans="2:4" x14ac:dyDescent="0.25">
      <c r="B193" s="31" t="s">
        <v>284</v>
      </c>
      <c r="C193" t="s">
        <v>322</v>
      </c>
      <c r="D193" s="35"/>
    </row>
    <row r="194" spans="2:4" x14ac:dyDescent="0.25">
      <c r="B194" s="31" t="s">
        <v>285</v>
      </c>
      <c r="C194" t="s">
        <v>286</v>
      </c>
      <c r="D194" s="35"/>
    </row>
    <row r="195" spans="2:4" x14ac:dyDescent="0.25">
      <c r="B195" s="31" t="s">
        <v>287</v>
      </c>
      <c r="D195" s="35"/>
    </row>
    <row r="196" spans="2:4" x14ac:dyDescent="0.25">
      <c r="B196" s="31" t="s">
        <v>288</v>
      </c>
      <c r="C196" t="b">
        <v>0</v>
      </c>
      <c r="D196" s="35"/>
    </row>
    <row r="197" spans="2:4" x14ac:dyDescent="0.25">
      <c r="B197" s="31"/>
      <c r="D197" s="35"/>
    </row>
    <row r="198" spans="2:4" x14ac:dyDescent="0.25">
      <c r="B198" s="31" t="s">
        <v>284</v>
      </c>
      <c r="C198" t="s">
        <v>323</v>
      </c>
      <c r="D198" s="35"/>
    </row>
    <row r="199" spans="2:4" x14ac:dyDescent="0.25">
      <c r="B199" s="31" t="s">
        <v>285</v>
      </c>
      <c r="C199" t="s">
        <v>307</v>
      </c>
      <c r="D199" s="35" t="s">
        <v>324</v>
      </c>
    </row>
    <row r="200" spans="2:4" x14ac:dyDescent="0.25">
      <c r="B200" s="31" t="s">
        <v>287</v>
      </c>
      <c r="C200" t="s">
        <v>325</v>
      </c>
      <c r="D200" s="35"/>
    </row>
    <row r="201" spans="2:4" x14ac:dyDescent="0.25">
      <c r="B201" s="31" t="s">
        <v>288</v>
      </c>
      <c r="C201" t="b">
        <v>0</v>
      </c>
      <c r="D201" s="35"/>
    </row>
    <row r="202" spans="2:4" x14ac:dyDescent="0.25">
      <c r="B202" s="31"/>
      <c r="D202" s="35"/>
    </row>
    <row r="203" spans="2:4" x14ac:dyDescent="0.25">
      <c r="B203" s="31" t="s">
        <v>284</v>
      </c>
      <c r="C203" t="s">
        <v>326</v>
      </c>
      <c r="D203" s="35"/>
    </row>
    <row r="204" spans="2:4" x14ac:dyDescent="0.25">
      <c r="B204" s="31" t="s">
        <v>285</v>
      </c>
      <c r="C204" t="s">
        <v>286</v>
      </c>
      <c r="D204" s="35"/>
    </row>
    <row r="205" spans="2:4" ht="15.75" thickBot="1" x14ac:dyDescent="0.3">
      <c r="B205" s="32" t="s">
        <v>287</v>
      </c>
      <c r="C205" s="33"/>
      <c r="D205" s="36"/>
    </row>
    <row r="206" spans="2:4" x14ac:dyDescent="0.25">
      <c r="B206" s="31" t="s">
        <v>288</v>
      </c>
      <c r="C206" t="b">
        <v>0</v>
      </c>
      <c r="D206" s="35"/>
    </row>
    <row r="207" spans="2:4" ht="15.75" thickBot="1" x14ac:dyDescent="0.3"/>
    <row r="208" spans="2:4" ht="23.25" x14ac:dyDescent="0.35">
      <c r="B208" s="71" t="s">
        <v>279</v>
      </c>
      <c r="C208" s="72" t="s">
        <v>82</v>
      </c>
      <c r="D208" s="34"/>
    </row>
    <row r="209" spans="2:4" x14ac:dyDescent="0.25">
      <c r="B209" s="31" t="s">
        <v>280</v>
      </c>
      <c r="C209" t="b">
        <v>1</v>
      </c>
      <c r="D209" s="35"/>
    </row>
    <row r="210" spans="2:4" x14ac:dyDescent="0.25">
      <c r="B210" s="31" t="s">
        <v>281</v>
      </c>
      <c r="C210" t="s">
        <v>327</v>
      </c>
      <c r="D210" s="35"/>
    </row>
    <row r="211" spans="2:4" x14ac:dyDescent="0.25">
      <c r="B211" s="31" t="s">
        <v>283</v>
      </c>
      <c r="C211" t="b">
        <v>1</v>
      </c>
      <c r="D211" s="35"/>
    </row>
    <row r="212" spans="2:4" x14ac:dyDescent="0.25">
      <c r="B212" s="31"/>
      <c r="D212" s="35"/>
    </row>
    <row r="213" spans="2:4" x14ac:dyDescent="0.25">
      <c r="B213" s="31" t="s">
        <v>284</v>
      </c>
      <c r="C213" t="s">
        <v>51</v>
      </c>
      <c r="D213" s="35"/>
    </row>
    <row r="214" spans="2:4" x14ac:dyDescent="0.25">
      <c r="B214" s="31" t="s">
        <v>285</v>
      </c>
      <c r="C214" t="s">
        <v>289</v>
      </c>
      <c r="D214" s="35" t="s">
        <v>297</v>
      </c>
    </row>
    <row r="215" spans="2:4" x14ac:dyDescent="0.25">
      <c r="B215" s="31" t="s">
        <v>287</v>
      </c>
      <c r="C215" t="s">
        <v>22</v>
      </c>
      <c r="D215" s="35"/>
    </row>
    <row r="216" spans="2:4" x14ac:dyDescent="0.25">
      <c r="B216" s="31" t="s">
        <v>288</v>
      </c>
      <c r="C216" t="b">
        <v>0</v>
      </c>
      <c r="D216" s="35"/>
    </row>
    <row r="217" spans="2:4" x14ac:dyDescent="0.25">
      <c r="B217" s="31"/>
      <c r="D217" s="35"/>
    </row>
    <row r="218" spans="2:4" x14ac:dyDescent="0.25">
      <c r="B218" s="31" t="s">
        <v>284</v>
      </c>
      <c r="C218" t="s">
        <v>52</v>
      </c>
      <c r="D218" s="35"/>
    </row>
    <row r="219" spans="2:4" x14ac:dyDescent="0.25">
      <c r="B219" s="31" t="s">
        <v>285</v>
      </c>
      <c r="C219" t="s">
        <v>286</v>
      </c>
      <c r="D219" s="35"/>
    </row>
    <row r="220" spans="2:4" x14ac:dyDescent="0.25">
      <c r="B220" s="31" t="s">
        <v>287</v>
      </c>
      <c r="D220" s="35"/>
    </row>
    <row r="221" spans="2:4" x14ac:dyDescent="0.25">
      <c r="B221" s="31" t="s">
        <v>288</v>
      </c>
      <c r="C221" t="b">
        <v>0</v>
      </c>
      <c r="D221" s="35"/>
    </row>
    <row r="222" spans="2:4" x14ac:dyDescent="0.25">
      <c r="B222" s="31"/>
      <c r="D222" s="35"/>
    </row>
    <row r="223" spans="2:4" x14ac:dyDescent="0.25">
      <c r="B223" s="31" t="s">
        <v>284</v>
      </c>
      <c r="C223" t="s">
        <v>53</v>
      </c>
      <c r="D223" s="35"/>
    </row>
    <row r="224" spans="2:4" x14ac:dyDescent="0.25">
      <c r="B224" s="31" t="s">
        <v>285</v>
      </c>
      <c r="C224" t="s">
        <v>286</v>
      </c>
      <c r="D224" s="35"/>
    </row>
    <row r="225" spans="2:4" ht="15.75" thickBot="1" x14ac:dyDescent="0.3">
      <c r="B225" s="32" t="s">
        <v>287</v>
      </c>
      <c r="C225" s="33"/>
      <c r="D225" s="36"/>
    </row>
    <row r="226" spans="2:4" x14ac:dyDescent="0.25">
      <c r="B226" s="31" t="s">
        <v>288</v>
      </c>
      <c r="C226" t="b">
        <v>0</v>
      </c>
      <c r="D226" s="35"/>
    </row>
    <row r="227" spans="2:4" ht="15.75" thickBot="1" x14ac:dyDescent="0.3"/>
    <row r="228" spans="2:4" ht="23.25" x14ac:dyDescent="0.35">
      <c r="B228" s="71" t="s">
        <v>279</v>
      </c>
      <c r="C228" s="72" t="s">
        <v>328</v>
      </c>
      <c r="D228" s="34"/>
    </row>
    <row r="229" spans="2:4" x14ac:dyDescent="0.25">
      <c r="B229" s="31" t="s">
        <v>280</v>
      </c>
      <c r="C229" t="b">
        <v>1</v>
      </c>
      <c r="D229" s="35"/>
    </row>
    <row r="230" spans="2:4" x14ac:dyDescent="0.25">
      <c r="B230" s="31" t="s">
        <v>281</v>
      </c>
      <c r="C230" t="s">
        <v>329</v>
      </c>
      <c r="D230" s="35"/>
    </row>
    <row r="231" spans="2:4" x14ac:dyDescent="0.25">
      <c r="B231" s="31" t="s">
        <v>283</v>
      </c>
      <c r="C231" t="b">
        <v>1</v>
      </c>
      <c r="D231" s="35"/>
    </row>
    <row r="232" spans="2:4" x14ac:dyDescent="0.25">
      <c r="B232" s="31"/>
      <c r="D232" s="35"/>
    </row>
    <row r="233" spans="2:4" x14ac:dyDescent="0.25">
      <c r="B233" s="31" t="s">
        <v>284</v>
      </c>
      <c r="C233" t="s">
        <v>330</v>
      </c>
      <c r="D233" s="35"/>
    </row>
    <row r="234" spans="2:4" x14ac:dyDescent="0.25">
      <c r="B234" s="31" t="s">
        <v>285</v>
      </c>
      <c r="C234" t="s">
        <v>286</v>
      </c>
      <c r="D234" s="35"/>
    </row>
    <row r="235" spans="2:4" x14ac:dyDescent="0.25">
      <c r="B235" s="31" t="s">
        <v>287</v>
      </c>
      <c r="D235" s="35"/>
    </row>
    <row r="236" spans="2:4" x14ac:dyDescent="0.25">
      <c r="B236" s="31" t="s">
        <v>288</v>
      </c>
      <c r="C236" t="b">
        <v>1</v>
      </c>
      <c r="D236" s="35"/>
    </row>
    <row r="237" spans="2:4" x14ac:dyDescent="0.25">
      <c r="B237" s="31"/>
      <c r="D237" s="35"/>
    </row>
    <row r="238" spans="2:4" x14ac:dyDescent="0.25">
      <c r="B238" s="31" t="s">
        <v>284</v>
      </c>
      <c r="C238" t="s">
        <v>331</v>
      </c>
      <c r="D238" s="35"/>
    </row>
    <row r="239" spans="2:4" x14ac:dyDescent="0.25">
      <c r="B239" s="31" t="s">
        <v>285</v>
      </c>
      <c r="C239" t="s">
        <v>286</v>
      </c>
      <c r="D239" s="35"/>
    </row>
    <row r="240" spans="2:4" x14ac:dyDescent="0.25">
      <c r="B240" s="31" t="s">
        <v>287</v>
      </c>
      <c r="D240" s="35"/>
    </row>
    <row r="241" spans="2:4" x14ac:dyDescent="0.25">
      <c r="B241" s="31" t="s">
        <v>288</v>
      </c>
      <c r="C241" t="b">
        <v>1</v>
      </c>
      <c r="D241" s="35"/>
    </row>
    <row r="242" spans="2:4" x14ac:dyDescent="0.25">
      <c r="B242" s="31"/>
      <c r="D242" s="35"/>
    </row>
    <row r="243" spans="2:4" x14ac:dyDescent="0.25">
      <c r="B243" s="31" t="s">
        <v>284</v>
      </c>
      <c r="C243" t="s">
        <v>332</v>
      </c>
      <c r="D243" s="35"/>
    </row>
    <row r="244" spans="2:4" x14ac:dyDescent="0.25">
      <c r="B244" s="31" t="s">
        <v>285</v>
      </c>
      <c r="C244" t="s">
        <v>286</v>
      </c>
      <c r="D244" s="35"/>
    </row>
    <row r="245" spans="2:4" x14ac:dyDescent="0.25">
      <c r="B245" s="31" t="s">
        <v>287</v>
      </c>
      <c r="D245" s="35"/>
    </row>
    <row r="246" spans="2:4" x14ac:dyDescent="0.25">
      <c r="B246" s="31" t="s">
        <v>288</v>
      </c>
      <c r="C246" t="b">
        <v>0</v>
      </c>
      <c r="D246" s="35"/>
    </row>
    <row r="247" spans="2:4" x14ac:dyDescent="0.25">
      <c r="B247" s="31"/>
      <c r="D247" s="35"/>
    </row>
    <row r="248" spans="2:4" x14ac:dyDescent="0.25">
      <c r="B248" s="31" t="s">
        <v>284</v>
      </c>
      <c r="C248" t="s">
        <v>333</v>
      </c>
      <c r="D248" s="35"/>
    </row>
    <row r="249" spans="2:4" x14ac:dyDescent="0.25">
      <c r="B249" s="31" t="s">
        <v>285</v>
      </c>
      <c r="C249" t="s">
        <v>286</v>
      </c>
      <c r="D249" s="35"/>
    </row>
    <row r="250" spans="2:4" x14ac:dyDescent="0.25">
      <c r="B250" s="31" t="s">
        <v>287</v>
      </c>
      <c r="C250">
        <v>1</v>
      </c>
      <c r="D250" s="35"/>
    </row>
    <row r="251" spans="2:4" x14ac:dyDescent="0.25">
      <c r="B251" s="31" t="s">
        <v>288</v>
      </c>
      <c r="C251" t="b">
        <v>0</v>
      </c>
      <c r="D251" s="35"/>
    </row>
    <row r="252" spans="2:4" x14ac:dyDescent="0.25">
      <c r="B252" s="31"/>
      <c r="D252" s="35"/>
    </row>
    <row r="253" spans="2:4" x14ac:dyDescent="0.25">
      <c r="B253" s="31" t="s">
        <v>284</v>
      </c>
      <c r="C253" t="s">
        <v>334</v>
      </c>
      <c r="D253" s="35"/>
    </row>
    <row r="254" spans="2:4" x14ac:dyDescent="0.25">
      <c r="B254" s="31" t="s">
        <v>285</v>
      </c>
      <c r="C254" t="s">
        <v>286</v>
      </c>
      <c r="D254" s="35"/>
    </row>
    <row r="255" spans="2:4" ht="15.75" thickBot="1" x14ac:dyDescent="0.3">
      <c r="B255" s="32" t="s">
        <v>287</v>
      </c>
      <c r="C255" s="33">
        <v>1</v>
      </c>
      <c r="D255" s="36"/>
    </row>
    <row r="256" spans="2:4" x14ac:dyDescent="0.25">
      <c r="B256" s="31" t="s">
        <v>288</v>
      </c>
      <c r="C256" t="b">
        <v>0</v>
      </c>
      <c r="D256" s="35"/>
    </row>
    <row r="257" spans="2:4" ht="15.75" thickBot="1" x14ac:dyDescent="0.3"/>
    <row r="258" spans="2:4" ht="23.25" x14ac:dyDescent="0.35">
      <c r="B258" s="71" t="s">
        <v>279</v>
      </c>
      <c r="C258" s="72" t="s">
        <v>335</v>
      </c>
      <c r="D258" s="34"/>
    </row>
    <row r="259" spans="2:4" x14ac:dyDescent="0.25">
      <c r="B259" s="31" t="s">
        <v>280</v>
      </c>
      <c r="C259" t="b">
        <v>1</v>
      </c>
      <c r="D259" s="35"/>
    </row>
    <row r="260" spans="2:4" x14ac:dyDescent="0.25">
      <c r="B260" s="31" t="s">
        <v>281</v>
      </c>
      <c r="C260" t="s">
        <v>336</v>
      </c>
      <c r="D260" s="35"/>
    </row>
    <row r="261" spans="2:4" x14ac:dyDescent="0.25">
      <c r="B261" s="31" t="s">
        <v>283</v>
      </c>
      <c r="C261" t="b">
        <v>1</v>
      </c>
      <c r="D261" s="35"/>
    </row>
    <row r="262" spans="2:4" x14ac:dyDescent="0.25">
      <c r="B262" s="31"/>
      <c r="D262" s="35"/>
    </row>
    <row r="263" spans="2:4" x14ac:dyDescent="0.25">
      <c r="B263" s="31" t="s">
        <v>284</v>
      </c>
      <c r="C263" t="s">
        <v>15</v>
      </c>
      <c r="D263" s="35"/>
    </row>
    <row r="264" spans="2:4" x14ac:dyDescent="0.25">
      <c r="B264" s="31" t="s">
        <v>285</v>
      </c>
      <c r="C264" t="s">
        <v>286</v>
      </c>
      <c r="D264" s="35"/>
    </row>
    <row r="265" spans="2:4" x14ac:dyDescent="0.25">
      <c r="B265" s="31" t="s">
        <v>287</v>
      </c>
      <c r="D265" s="35"/>
    </row>
    <row r="266" spans="2:4" x14ac:dyDescent="0.25">
      <c r="B266" s="31" t="s">
        <v>288</v>
      </c>
      <c r="C266" t="b">
        <v>1</v>
      </c>
      <c r="D266" s="35"/>
    </row>
    <row r="267" spans="2:4" x14ac:dyDescent="0.25">
      <c r="B267" s="31"/>
      <c r="D267" s="35"/>
    </row>
    <row r="268" spans="2:4" x14ac:dyDescent="0.25">
      <c r="B268" s="31" t="s">
        <v>284</v>
      </c>
      <c r="C268" t="s">
        <v>337</v>
      </c>
      <c r="D268" s="35"/>
    </row>
    <row r="269" spans="2:4" x14ac:dyDescent="0.25">
      <c r="B269" s="31" t="s">
        <v>285</v>
      </c>
      <c r="C269" t="s">
        <v>286</v>
      </c>
      <c r="D269" s="35"/>
    </row>
    <row r="270" spans="2:4" x14ac:dyDescent="0.25">
      <c r="B270" s="31" t="s">
        <v>287</v>
      </c>
      <c r="D270" s="35"/>
    </row>
    <row r="271" spans="2:4" x14ac:dyDescent="0.25">
      <c r="B271" s="31" t="s">
        <v>288</v>
      </c>
      <c r="C271" t="b">
        <v>0</v>
      </c>
      <c r="D271" s="35"/>
    </row>
    <row r="272" spans="2:4" x14ac:dyDescent="0.25">
      <c r="B272" s="31"/>
      <c r="D272" s="35"/>
    </row>
    <row r="273" spans="2:4" x14ac:dyDescent="0.25">
      <c r="B273" s="31" t="s">
        <v>284</v>
      </c>
      <c r="C273" t="s">
        <v>338</v>
      </c>
      <c r="D273" s="35"/>
    </row>
    <row r="274" spans="2:4" x14ac:dyDescent="0.25">
      <c r="B274" s="31" t="s">
        <v>285</v>
      </c>
      <c r="C274" t="s">
        <v>289</v>
      </c>
      <c r="D274" s="35" t="s">
        <v>339</v>
      </c>
    </row>
    <row r="275" spans="2:4" ht="15.75" thickBot="1" x14ac:dyDescent="0.3">
      <c r="B275" s="32" t="s">
        <v>287</v>
      </c>
      <c r="C275" s="33" t="s">
        <v>340</v>
      </c>
      <c r="D275" s="36"/>
    </row>
    <row r="276" spans="2:4" x14ac:dyDescent="0.25">
      <c r="B276" s="31" t="s">
        <v>288</v>
      </c>
      <c r="C276" t="b">
        <v>0</v>
      </c>
      <c r="D276" s="35"/>
    </row>
    <row r="277" spans="2:4" ht="15.75" thickBot="1" x14ac:dyDescent="0.3"/>
    <row r="278" spans="2:4" ht="23.25" x14ac:dyDescent="0.35">
      <c r="B278" s="71" t="s">
        <v>279</v>
      </c>
      <c r="C278" s="72" t="s">
        <v>341</v>
      </c>
      <c r="D278" s="34"/>
    </row>
    <row r="279" spans="2:4" x14ac:dyDescent="0.25">
      <c r="B279" s="31" t="s">
        <v>280</v>
      </c>
      <c r="C279" t="b">
        <v>1</v>
      </c>
      <c r="D279" s="35"/>
    </row>
    <row r="280" spans="2:4" x14ac:dyDescent="0.25">
      <c r="B280" s="31" t="s">
        <v>281</v>
      </c>
      <c r="C280" t="s">
        <v>336</v>
      </c>
      <c r="D280" s="35"/>
    </row>
    <row r="281" spans="2:4" x14ac:dyDescent="0.25">
      <c r="B281" s="31" t="s">
        <v>283</v>
      </c>
      <c r="C281" t="b">
        <v>1</v>
      </c>
      <c r="D281" s="35"/>
    </row>
    <row r="282" spans="2:4" x14ac:dyDescent="0.25">
      <c r="B282" s="31"/>
      <c r="D282" s="35"/>
    </row>
    <row r="283" spans="2:4" x14ac:dyDescent="0.25">
      <c r="B283" s="31" t="s">
        <v>284</v>
      </c>
      <c r="C283" t="s">
        <v>15</v>
      </c>
      <c r="D283" s="35"/>
    </row>
    <row r="284" spans="2:4" x14ac:dyDescent="0.25">
      <c r="B284" s="31" t="s">
        <v>285</v>
      </c>
      <c r="C284" t="s">
        <v>286</v>
      </c>
      <c r="D284" s="35"/>
    </row>
    <row r="285" spans="2:4" x14ac:dyDescent="0.25">
      <c r="B285" s="31" t="s">
        <v>287</v>
      </c>
      <c r="D285" s="35"/>
    </row>
    <row r="286" spans="2:4" x14ac:dyDescent="0.25">
      <c r="B286" s="31" t="s">
        <v>288</v>
      </c>
      <c r="C286" t="b">
        <v>1</v>
      </c>
      <c r="D286" s="35"/>
    </row>
    <row r="287" spans="2:4" x14ac:dyDescent="0.25">
      <c r="B287" s="31"/>
      <c r="D287" s="35"/>
    </row>
    <row r="288" spans="2:4" x14ac:dyDescent="0.25">
      <c r="B288" s="31" t="s">
        <v>284</v>
      </c>
      <c r="C288" t="s">
        <v>342</v>
      </c>
      <c r="D288" s="35"/>
    </row>
    <row r="289" spans="2:4" x14ac:dyDescent="0.25">
      <c r="B289" s="31" t="s">
        <v>285</v>
      </c>
      <c r="C289" t="s">
        <v>286</v>
      </c>
      <c r="D289" s="35"/>
    </row>
    <row r="290" spans="2:4" x14ac:dyDescent="0.25">
      <c r="B290" s="31" t="s">
        <v>287</v>
      </c>
      <c r="D290" s="35"/>
    </row>
    <row r="291" spans="2:4" x14ac:dyDescent="0.25">
      <c r="B291" s="31" t="s">
        <v>288</v>
      </c>
      <c r="C291" t="b">
        <v>0</v>
      </c>
      <c r="D291" s="35"/>
    </row>
    <row r="292" spans="2:4" x14ac:dyDescent="0.25">
      <c r="B292" s="31"/>
      <c r="D292" s="35"/>
    </row>
    <row r="293" spans="2:4" x14ac:dyDescent="0.25">
      <c r="B293" s="31" t="s">
        <v>284</v>
      </c>
      <c r="C293" t="s">
        <v>338</v>
      </c>
      <c r="D293" s="35"/>
    </row>
    <row r="294" spans="2:4" x14ac:dyDescent="0.25">
      <c r="B294" s="31" t="s">
        <v>285</v>
      </c>
      <c r="C294" t="s">
        <v>289</v>
      </c>
      <c r="D294" s="35" t="s">
        <v>339</v>
      </c>
    </row>
    <row r="295" spans="2:4" ht="15.75" thickBot="1" x14ac:dyDescent="0.3">
      <c r="B295" s="32" t="s">
        <v>287</v>
      </c>
      <c r="C295" s="33" t="s">
        <v>340</v>
      </c>
      <c r="D295" s="36"/>
    </row>
    <row r="296" spans="2:4" x14ac:dyDescent="0.25">
      <c r="B296" s="31" t="s">
        <v>288</v>
      </c>
      <c r="C296" t="b">
        <v>0</v>
      </c>
      <c r="D296" s="35"/>
    </row>
    <row r="297" spans="2:4" ht="15.75" thickBot="1" x14ac:dyDescent="0.3"/>
    <row r="298" spans="2:4" ht="23.25" x14ac:dyDescent="0.35">
      <c r="B298" s="71" t="s">
        <v>279</v>
      </c>
      <c r="C298" s="72" t="s">
        <v>343</v>
      </c>
      <c r="D298" s="34"/>
    </row>
    <row r="299" spans="2:4" x14ac:dyDescent="0.25">
      <c r="B299" s="31" t="s">
        <v>280</v>
      </c>
      <c r="C299" t="b">
        <v>1</v>
      </c>
      <c r="D299" s="35"/>
    </row>
    <row r="300" spans="2:4" x14ac:dyDescent="0.25">
      <c r="B300" s="31" t="s">
        <v>281</v>
      </c>
      <c r="C300" t="s">
        <v>336</v>
      </c>
      <c r="D300" s="35"/>
    </row>
    <row r="301" spans="2:4" x14ac:dyDescent="0.25">
      <c r="B301" s="31" t="s">
        <v>283</v>
      </c>
      <c r="C301" t="b">
        <v>1</v>
      </c>
      <c r="D301" s="35"/>
    </row>
    <row r="302" spans="2:4" x14ac:dyDescent="0.25">
      <c r="B302" s="31"/>
      <c r="D302" s="35"/>
    </row>
    <row r="303" spans="2:4" x14ac:dyDescent="0.25">
      <c r="B303" s="31" t="s">
        <v>284</v>
      </c>
      <c r="C303" t="s">
        <v>313</v>
      </c>
      <c r="D303" s="35"/>
    </row>
    <row r="304" spans="2:4" x14ac:dyDescent="0.25">
      <c r="B304" s="31" t="s">
        <v>285</v>
      </c>
      <c r="C304" t="s">
        <v>286</v>
      </c>
      <c r="D304" s="35"/>
    </row>
    <row r="305" spans="2:4" ht="15.75" thickBot="1" x14ac:dyDescent="0.3">
      <c r="B305" s="32" t="s">
        <v>287</v>
      </c>
      <c r="C305" s="33"/>
      <c r="D305" s="36"/>
    </row>
    <row r="306" spans="2:4" x14ac:dyDescent="0.25">
      <c r="B306" s="31" t="s">
        <v>288</v>
      </c>
      <c r="C306" t="b">
        <v>0</v>
      </c>
      <c r="D306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43"/>
  <sheetViews>
    <sheetView workbookViewId="0">
      <selection activeCell="C20" sqref="C20"/>
    </sheetView>
  </sheetViews>
  <sheetFormatPr defaultRowHeight="15" x14ac:dyDescent="0.25"/>
  <cols>
    <col min="1" max="1" width="9" bestFit="1" customWidth="1"/>
    <col min="2" max="2" width="18.5703125" bestFit="1" customWidth="1"/>
    <col min="3" max="3" width="13.140625" bestFit="1" customWidth="1"/>
    <col min="4" max="4" width="21.85546875" customWidth="1"/>
    <col min="5" max="5" width="15.140625" bestFit="1" customWidth="1"/>
    <col min="6" max="6" width="14.5703125" bestFit="1" customWidth="1"/>
    <col min="7" max="7" width="38.28515625" customWidth="1"/>
  </cols>
  <sheetData>
    <row r="1" spans="1:7" ht="15.75" thickBot="1" x14ac:dyDescent="0.3">
      <c r="A1" t="s">
        <v>2</v>
      </c>
      <c r="B1" t="s">
        <v>71</v>
      </c>
      <c r="C1" t="s">
        <v>1</v>
      </c>
      <c r="D1" t="s">
        <v>56</v>
      </c>
      <c r="E1" t="s">
        <v>72</v>
      </c>
      <c r="F1" t="s">
        <v>73</v>
      </c>
      <c r="G1" t="s">
        <v>5</v>
      </c>
    </row>
    <row r="2" spans="1:7" x14ac:dyDescent="0.25">
      <c r="A2" s="30">
        <f t="shared" ref="A2:A43" si="0">ROW(A1)</f>
        <v>1</v>
      </c>
      <c r="B2" s="25" t="str">
        <f>CONCATENATE(ROW(A2)-2+A2,",",ROW(A2)-1+A2)</f>
        <v>1,2</v>
      </c>
      <c r="C2" s="25" t="s">
        <v>62</v>
      </c>
      <c r="D2" s="25">
        <v>1</v>
      </c>
      <c r="E2" s="25">
        <f t="shared" ref="E2:E8" si="1">IF(D2=0,1,0)</f>
        <v>0</v>
      </c>
      <c r="F2" s="25">
        <f>IF(E2=0,0,20-E2)</f>
        <v>0</v>
      </c>
      <c r="G2" s="37" t="s">
        <v>79</v>
      </c>
    </row>
    <row r="3" spans="1:7" x14ac:dyDescent="0.25">
      <c r="A3" s="21">
        <f t="shared" ref="A3:A9" si="2">ROW(A2)</f>
        <v>2</v>
      </c>
      <c r="B3" s="22" t="str">
        <f t="shared" ref="B3:B9" si="3">CONCATENATE(ROW(A3)-2+A3,",",ROW(A3)-1+A3)</f>
        <v>3,4</v>
      </c>
      <c r="C3" s="22" t="s">
        <v>61</v>
      </c>
      <c r="D3" s="22">
        <v>0.5</v>
      </c>
      <c r="E3" s="22">
        <f t="shared" si="1"/>
        <v>0</v>
      </c>
      <c r="F3" s="22">
        <f t="shared" ref="F3:F11" si="4">IF(E3=0,0,20-E3)</f>
        <v>0</v>
      </c>
      <c r="G3" s="38"/>
    </row>
    <row r="4" spans="1:7" x14ac:dyDescent="0.25">
      <c r="A4" s="21">
        <f t="shared" si="2"/>
        <v>3</v>
      </c>
      <c r="B4" s="22" t="str">
        <f t="shared" si="3"/>
        <v>5,6</v>
      </c>
      <c r="C4" s="22" t="s">
        <v>60</v>
      </c>
      <c r="D4" s="22">
        <v>0.25</v>
      </c>
      <c r="E4" s="22">
        <f t="shared" si="1"/>
        <v>0</v>
      </c>
      <c r="F4" s="22">
        <f t="shared" si="4"/>
        <v>0</v>
      </c>
      <c r="G4" s="38"/>
    </row>
    <row r="5" spans="1:7" x14ac:dyDescent="0.25">
      <c r="A5" s="21">
        <f t="shared" si="2"/>
        <v>4</v>
      </c>
      <c r="B5" s="22" t="str">
        <f t="shared" si="3"/>
        <v>7,8</v>
      </c>
      <c r="C5" s="22" t="s">
        <v>59</v>
      </c>
      <c r="D5" s="22">
        <v>0.125</v>
      </c>
      <c r="E5" s="22">
        <f t="shared" si="1"/>
        <v>0</v>
      </c>
      <c r="F5" s="22">
        <f t="shared" si="4"/>
        <v>0</v>
      </c>
      <c r="G5" s="38"/>
    </row>
    <row r="6" spans="1:7" x14ac:dyDescent="0.25">
      <c r="A6" s="21">
        <f t="shared" si="2"/>
        <v>5</v>
      </c>
      <c r="B6" s="22" t="str">
        <f t="shared" si="3"/>
        <v>9,10</v>
      </c>
      <c r="C6" s="22" t="s">
        <v>58</v>
      </c>
      <c r="D6" s="22">
        <v>6.25E-2</v>
      </c>
      <c r="E6" s="22">
        <f t="shared" si="1"/>
        <v>0</v>
      </c>
      <c r="F6" s="22">
        <f t="shared" si="4"/>
        <v>0</v>
      </c>
      <c r="G6" s="38"/>
    </row>
    <row r="7" spans="1:7" x14ac:dyDescent="0.25">
      <c r="A7" s="21">
        <f t="shared" si="2"/>
        <v>6</v>
      </c>
      <c r="B7" s="22" t="str">
        <f t="shared" si="3"/>
        <v>11,12</v>
      </c>
      <c r="C7" s="22" t="s">
        <v>63</v>
      </c>
      <c r="D7" s="22">
        <v>3.1300000000000001E-2</v>
      </c>
      <c r="E7" s="22">
        <f t="shared" si="1"/>
        <v>0</v>
      </c>
      <c r="F7" s="22">
        <f t="shared" si="4"/>
        <v>0</v>
      </c>
      <c r="G7" s="38"/>
    </row>
    <row r="8" spans="1:7" x14ac:dyDescent="0.25">
      <c r="A8" s="21">
        <f t="shared" si="2"/>
        <v>7</v>
      </c>
      <c r="B8" s="22" t="str">
        <f t="shared" si="3"/>
        <v>13,14</v>
      </c>
      <c r="C8" s="22" t="s">
        <v>57</v>
      </c>
      <c r="D8" s="22">
        <v>1.5599999999999999E-2</v>
      </c>
      <c r="E8" s="22">
        <f t="shared" si="1"/>
        <v>0</v>
      </c>
      <c r="F8" s="22">
        <f t="shared" si="4"/>
        <v>0</v>
      </c>
      <c r="G8" s="38"/>
    </row>
    <row r="9" spans="1:7" ht="15.75" thickBot="1" x14ac:dyDescent="0.3">
      <c r="A9" s="23">
        <f t="shared" si="2"/>
        <v>8</v>
      </c>
      <c r="B9" s="24" t="str">
        <f t="shared" si="3"/>
        <v>15,16</v>
      </c>
      <c r="C9" s="24" t="s">
        <v>55</v>
      </c>
      <c r="D9" s="24">
        <v>0</v>
      </c>
      <c r="E9" s="24">
        <f>IF(D9=0,IF(C9="Blank",0,1),0)</f>
        <v>0</v>
      </c>
      <c r="F9" s="24">
        <f t="shared" si="4"/>
        <v>0</v>
      </c>
      <c r="G9" s="39"/>
    </row>
    <row r="10" spans="1:7" x14ac:dyDescent="0.25">
      <c r="A10">
        <f t="shared" si="0"/>
        <v>9</v>
      </c>
      <c r="B10">
        <f t="shared" ref="B10:B25" si="5">17-9+A10</f>
        <v>17</v>
      </c>
      <c r="C10" t="s">
        <v>261</v>
      </c>
      <c r="D10">
        <v>0</v>
      </c>
      <c r="E10">
        <f t="shared" ref="E10:E25" si="6">IF(D10=0,IF(C10="Blank",0,IF(C10=C9,10,20)),0)</f>
        <v>20</v>
      </c>
      <c r="F10">
        <f t="shared" si="4"/>
        <v>0</v>
      </c>
    </row>
    <row r="11" spans="1:7" x14ac:dyDescent="0.25">
      <c r="A11">
        <f t="shared" si="0"/>
        <v>10</v>
      </c>
      <c r="B11">
        <f t="shared" si="5"/>
        <v>18</v>
      </c>
      <c r="C11" t="s">
        <v>261</v>
      </c>
      <c r="D11">
        <v>0</v>
      </c>
      <c r="E11">
        <f t="shared" si="6"/>
        <v>10</v>
      </c>
      <c r="F11">
        <f t="shared" si="4"/>
        <v>10</v>
      </c>
    </row>
    <row r="12" spans="1:7" x14ac:dyDescent="0.25">
      <c r="A12">
        <f t="shared" si="0"/>
        <v>11</v>
      </c>
      <c r="B12">
        <f t="shared" si="5"/>
        <v>19</v>
      </c>
      <c r="C12" t="s">
        <v>262</v>
      </c>
      <c r="D12">
        <v>0</v>
      </c>
      <c r="E12">
        <f t="shared" si="6"/>
        <v>20</v>
      </c>
      <c r="F12">
        <f t="shared" ref="F12:F27" si="7">IF(E12=0,0,20-E12)</f>
        <v>0</v>
      </c>
    </row>
    <row r="13" spans="1:7" x14ac:dyDescent="0.25">
      <c r="A13">
        <f t="shared" si="0"/>
        <v>12</v>
      </c>
      <c r="B13">
        <f t="shared" si="5"/>
        <v>20</v>
      </c>
      <c r="C13" t="s">
        <v>262</v>
      </c>
      <c r="D13">
        <v>0</v>
      </c>
      <c r="E13">
        <f t="shared" si="6"/>
        <v>10</v>
      </c>
      <c r="F13">
        <f t="shared" si="7"/>
        <v>10</v>
      </c>
    </row>
    <row r="14" spans="1:7" x14ac:dyDescent="0.25">
      <c r="A14">
        <f t="shared" si="0"/>
        <v>13</v>
      </c>
      <c r="B14">
        <f t="shared" si="5"/>
        <v>21</v>
      </c>
      <c r="C14" t="s">
        <v>263</v>
      </c>
      <c r="D14">
        <v>0</v>
      </c>
      <c r="E14">
        <f t="shared" si="6"/>
        <v>20</v>
      </c>
      <c r="F14">
        <f t="shared" si="7"/>
        <v>0</v>
      </c>
    </row>
    <row r="15" spans="1:7" x14ac:dyDescent="0.25">
      <c r="A15">
        <f t="shared" si="0"/>
        <v>14</v>
      </c>
      <c r="B15">
        <f t="shared" si="5"/>
        <v>22</v>
      </c>
      <c r="C15" t="s">
        <v>263</v>
      </c>
      <c r="D15">
        <v>0</v>
      </c>
      <c r="E15">
        <f t="shared" si="6"/>
        <v>10</v>
      </c>
      <c r="F15">
        <f t="shared" si="7"/>
        <v>10</v>
      </c>
    </row>
    <row r="16" spans="1:7" x14ac:dyDescent="0.25">
      <c r="A16">
        <f t="shared" si="0"/>
        <v>15</v>
      </c>
      <c r="B16">
        <f t="shared" si="5"/>
        <v>23</v>
      </c>
      <c r="C16" t="s">
        <v>264</v>
      </c>
      <c r="D16">
        <v>0</v>
      </c>
      <c r="E16">
        <f t="shared" si="6"/>
        <v>20</v>
      </c>
      <c r="F16">
        <f t="shared" si="7"/>
        <v>0</v>
      </c>
    </row>
    <row r="17" spans="1:6" x14ac:dyDescent="0.25">
      <c r="A17">
        <f t="shared" si="0"/>
        <v>16</v>
      </c>
      <c r="B17">
        <f t="shared" si="5"/>
        <v>24</v>
      </c>
      <c r="C17" t="s">
        <v>264</v>
      </c>
      <c r="D17">
        <v>0</v>
      </c>
      <c r="E17">
        <f t="shared" si="6"/>
        <v>10</v>
      </c>
      <c r="F17">
        <f t="shared" si="7"/>
        <v>10</v>
      </c>
    </row>
    <row r="18" spans="1:6" x14ac:dyDescent="0.25">
      <c r="A18">
        <f t="shared" si="0"/>
        <v>17</v>
      </c>
      <c r="B18">
        <f t="shared" si="5"/>
        <v>25</v>
      </c>
      <c r="C18" t="s">
        <v>265</v>
      </c>
      <c r="D18">
        <v>0</v>
      </c>
      <c r="E18">
        <f t="shared" si="6"/>
        <v>20</v>
      </c>
      <c r="F18">
        <f t="shared" si="7"/>
        <v>0</v>
      </c>
    </row>
    <row r="19" spans="1:6" x14ac:dyDescent="0.25">
      <c r="A19">
        <f t="shared" si="0"/>
        <v>18</v>
      </c>
      <c r="B19">
        <f t="shared" si="5"/>
        <v>26</v>
      </c>
      <c r="C19" t="s">
        <v>265</v>
      </c>
      <c r="D19">
        <v>0</v>
      </c>
      <c r="E19">
        <f t="shared" si="6"/>
        <v>10</v>
      </c>
      <c r="F19">
        <f t="shared" si="7"/>
        <v>10</v>
      </c>
    </row>
    <row r="20" spans="1:6" x14ac:dyDescent="0.25">
      <c r="A20">
        <f t="shared" si="0"/>
        <v>19</v>
      </c>
      <c r="B20">
        <f t="shared" si="5"/>
        <v>27</v>
      </c>
      <c r="C20" t="s">
        <v>266</v>
      </c>
      <c r="D20">
        <v>0</v>
      </c>
      <c r="E20">
        <f t="shared" si="6"/>
        <v>20</v>
      </c>
      <c r="F20">
        <f t="shared" si="7"/>
        <v>0</v>
      </c>
    </row>
    <row r="21" spans="1:6" x14ac:dyDescent="0.25">
      <c r="A21">
        <f t="shared" si="0"/>
        <v>20</v>
      </c>
      <c r="B21">
        <f t="shared" si="5"/>
        <v>28</v>
      </c>
      <c r="C21" t="s">
        <v>266</v>
      </c>
      <c r="D21">
        <v>0</v>
      </c>
      <c r="E21">
        <f t="shared" si="6"/>
        <v>10</v>
      </c>
      <c r="F21">
        <f t="shared" si="7"/>
        <v>10</v>
      </c>
    </row>
    <row r="22" spans="1:6" x14ac:dyDescent="0.25">
      <c r="A22">
        <f t="shared" si="0"/>
        <v>21</v>
      </c>
      <c r="B22">
        <f t="shared" si="5"/>
        <v>29</v>
      </c>
      <c r="C22" t="s">
        <v>267</v>
      </c>
      <c r="D22">
        <v>0</v>
      </c>
      <c r="E22">
        <f t="shared" si="6"/>
        <v>20</v>
      </c>
      <c r="F22">
        <f t="shared" si="7"/>
        <v>0</v>
      </c>
    </row>
    <row r="23" spans="1:6" x14ac:dyDescent="0.25">
      <c r="A23">
        <f t="shared" si="0"/>
        <v>22</v>
      </c>
      <c r="B23">
        <f t="shared" si="5"/>
        <v>30</v>
      </c>
      <c r="C23" t="s">
        <v>267</v>
      </c>
      <c r="D23">
        <v>0</v>
      </c>
      <c r="E23">
        <f t="shared" si="6"/>
        <v>10</v>
      </c>
      <c r="F23">
        <f t="shared" si="7"/>
        <v>10</v>
      </c>
    </row>
    <row r="24" spans="1:6" x14ac:dyDescent="0.25">
      <c r="A24">
        <f t="shared" si="0"/>
        <v>23</v>
      </c>
      <c r="B24">
        <f t="shared" si="5"/>
        <v>31</v>
      </c>
      <c r="C24" t="s">
        <v>268</v>
      </c>
      <c r="D24">
        <v>0</v>
      </c>
      <c r="E24">
        <f t="shared" si="6"/>
        <v>20</v>
      </c>
      <c r="F24">
        <f t="shared" si="7"/>
        <v>0</v>
      </c>
    </row>
    <row r="25" spans="1:6" x14ac:dyDescent="0.25">
      <c r="A25">
        <f t="shared" si="0"/>
        <v>24</v>
      </c>
      <c r="B25">
        <f t="shared" si="5"/>
        <v>32</v>
      </c>
      <c r="C25" t="s">
        <v>268</v>
      </c>
      <c r="D25">
        <v>0</v>
      </c>
      <c r="E25">
        <f t="shared" si="6"/>
        <v>10</v>
      </c>
      <c r="F25">
        <f t="shared" si="7"/>
        <v>10</v>
      </c>
    </row>
    <row r="26" spans="1:6" x14ac:dyDescent="0.25">
      <c r="A26">
        <f t="shared" si="0"/>
        <v>25</v>
      </c>
      <c r="B26">
        <f t="shared" ref="B26:B41" si="8">17-9+A26</f>
        <v>33</v>
      </c>
      <c r="C26" t="s">
        <v>269</v>
      </c>
      <c r="D26">
        <v>0</v>
      </c>
      <c r="E26">
        <f t="shared" ref="E26:E41" si="9">IF(D26=0,IF(C26="Blank",0,IF(C26=C25,10,20)),0)</f>
        <v>20</v>
      </c>
      <c r="F26">
        <f t="shared" si="7"/>
        <v>0</v>
      </c>
    </row>
    <row r="27" spans="1:6" x14ac:dyDescent="0.25">
      <c r="A27">
        <f t="shared" si="0"/>
        <v>26</v>
      </c>
      <c r="B27">
        <f t="shared" si="8"/>
        <v>34</v>
      </c>
      <c r="C27" t="s">
        <v>269</v>
      </c>
      <c r="D27">
        <v>0</v>
      </c>
      <c r="E27">
        <f t="shared" si="9"/>
        <v>10</v>
      </c>
      <c r="F27">
        <f t="shared" si="7"/>
        <v>10</v>
      </c>
    </row>
    <row r="28" spans="1:6" x14ac:dyDescent="0.25">
      <c r="A28">
        <f t="shared" si="0"/>
        <v>27</v>
      </c>
      <c r="B28">
        <f t="shared" si="8"/>
        <v>35</v>
      </c>
      <c r="C28" t="s">
        <v>270</v>
      </c>
      <c r="D28">
        <v>0</v>
      </c>
      <c r="E28">
        <f t="shared" si="9"/>
        <v>20</v>
      </c>
      <c r="F28">
        <f t="shared" ref="F28:F41" si="10">IF(E28=0,0,20-E28)</f>
        <v>0</v>
      </c>
    </row>
    <row r="29" spans="1:6" x14ac:dyDescent="0.25">
      <c r="A29">
        <f t="shared" si="0"/>
        <v>28</v>
      </c>
      <c r="B29">
        <f t="shared" si="8"/>
        <v>36</v>
      </c>
      <c r="C29" t="s">
        <v>270</v>
      </c>
      <c r="D29">
        <v>0</v>
      </c>
      <c r="E29">
        <f t="shared" si="9"/>
        <v>10</v>
      </c>
      <c r="F29">
        <f t="shared" si="10"/>
        <v>10</v>
      </c>
    </row>
    <row r="30" spans="1:6" x14ac:dyDescent="0.25">
      <c r="A30">
        <f t="shared" si="0"/>
        <v>29</v>
      </c>
      <c r="B30">
        <f t="shared" si="8"/>
        <v>37</v>
      </c>
      <c r="C30" t="s">
        <v>271</v>
      </c>
      <c r="D30">
        <v>0</v>
      </c>
      <c r="E30">
        <f t="shared" si="9"/>
        <v>20</v>
      </c>
      <c r="F30">
        <f t="shared" si="10"/>
        <v>0</v>
      </c>
    </row>
    <row r="31" spans="1:6" x14ac:dyDescent="0.25">
      <c r="A31">
        <f t="shared" si="0"/>
        <v>30</v>
      </c>
      <c r="B31">
        <f t="shared" si="8"/>
        <v>38</v>
      </c>
      <c r="C31" t="s">
        <v>271</v>
      </c>
      <c r="D31">
        <v>0</v>
      </c>
      <c r="E31">
        <f t="shared" si="9"/>
        <v>10</v>
      </c>
      <c r="F31">
        <f t="shared" si="10"/>
        <v>10</v>
      </c>
    </row>
    <row r="32" spans="1:6" x14ac:dyDescent="0.25">
      <c r="A32">
        <f t="shared" si="0"/>
        <v>31</v>
      </c>
      <c r="B32">
        <f t="shared" si="8"/>
        <v>39</v>
      </c>
      <c r="C32" t="s">
        <v>272</v>
      </c>
      <c r="D32">
        <v>0</v>
      </c>
      <c r="E32">
        <f t="shared" si="9"/>
        <v>20</v>
      </c>
      <c r="F32">
        <f t="shared" si="10"/>
        <v>0</v>
      </c>
    </row>
    <row r="33" spans="1:6" x14ac:dyDescent="0.25">
      <c r="A33">
        <f t="shared" si="0"/>
        <v>32</v>
      </c>
      <c r="B33">
        <f t="shared" si="8"/>
        <v>40</v>
      </c>
      <c r="C33" t="s">
        <v>272</v>
      </c>
      <c r="D33">
        <v>0</v>
      </c>
      <c r="E33">
        <f t="shared" si="9"/>
        <v>10</v>
      </c>
      <c r="F33">
        <f t="shared" si="10"/>
        <v>10</v>
      </c>
    </row>
    <row r="34" spans="1:6" x14ac:dyDescent="0.25">
      <c r="A34">
        <f t="shared" si="0"/>
        <v>33</v>
      </c>
      <c r="B34">
        <f t="shared" si="8"/>
        <v>41</v>
      </c>
      <c r="C34" t="s">
        <v>273</v>
      </c>
      <c r="D34">
        <v>0</v>
      </c>
      <c r="E34">
        <f t="shared" si="9"/>
        <v>20</v>
      </c>
      <c r="F34">
        <f t="shared" si="10"/>
        <v>0</v>
      </c>
    </row>
    <row r="35" spans="1:6" x14ac:dyDescent="0.25">
      <c r="A35">
        <f t="shared" si="0"/>
        <v>34</v>
      </c>
      <c r="B35">
        <f t="shared" si="8"/>
        <v>42</v>
      </c>
      <c r="C35" t="s">
        <v>273</v>
      </c>
      <c r="D35">
        <v>0</v>
      </c>
      <c r="E35">
        <f t="shared" si="9"/>
        <v>10</v>
      </c>
      <c r="F35">
        <f t="shared" si="10"/>
        <v>10</v>
      </c>
    </row>
    <row r="36" spans="1:6" x14ac:dyDescent="0.25">
      <c r="A36">
        <f t="shared" si="0"/>
        <v>35</v>
      </c>
      <c r="B36">
        <f t="shared" si="8"/>
        <v>43</v>
      </c>
      <c r="C36" t="s">
        <v>274</v>
      </c>
      <c r="D36">
        <v>0</v>
      </c>
      <c r="E36">
        <f t="shared" si="9"/>
        <v>20</v>
      </c>
      <c r="F36">
        <f t="shared" si="10"/>
        <v>0</v>
      </c>
    </row>
    <row r="37" spans="1:6" x14ac:dyDescent="0.25">
      <c r="A37">
        <f t="shared" si="0"/>
        <v>36</v>
      </c>
      <c r="B37">
        <f t="shared" si="8"/>
        <v>44</v>
      </c>
      <c r="C37" t="s">
        <v>274</v>
      </c>
      <c r="D37">
        <v>0</v>
      </c>
      <c r="E37">
        <f t="shared" si="9"/>
        <v>10</v>
      </c>
      <c r="F37">
        <f t="shared" si="10"/>
        <v>10</v>
      </c>
    </row>
    <row r="38" spans="1:6" x14ac:dyDescent="0.25">
      <c r="A38">
        <f t="shared" si="0"/>
        <v>37</v>
      </c>
      <c r="B38">
        <f t="shared" si="8"/>
        <v>45</v>
      </c>
      <c r="C38" t="s">
        <v>275</v>
      </c>
      <c r="D38">
        <v>0</v>
      </c>
      <c r="E38">
        <f t="shared" si="9"/>
        <v>20</v>
      </c>
      <c r="F38">
        <f t="shared" si="10"/>
        <v>0</v>
      </c>
    </row>
    <row r="39" spans="1:6" x14ac:dyDescent="0.25">
      <c r="A39">
        <f t="shared" si="0"/>
        <v>38</v>
      </c>
      <c r="B39">
        <f t="shared" si="8"/>
        <v>46</v>
      </c>
      <c r="C39" t="s">
        <v>275</v>
      </c>
      <c r="D39">
        <v>0</v>
      </c>
      <c r="E39">
        <f t="shared" si="9"/>
        <v>10</v>
      </c>
      <c r="F39">
        <f t="shared" si="10"/>
        <v>10</v>
      </c>
    </row>
    <row r="40" spans="1:6" x14ac:dyDescent="0.25">
      <c r="A40">
        <f t="shared" si="0"/>
        <v>39</v>
      </c>
      <c r="B40">
        <f t="shared" si="8"/>
        <v>47</v>
      </c>
      <c r="C40" t="s">
        <v>276</v>
      </c>
      <c r="D40">
        <v>0</v>
      </c>
      <c r="E40">
        <f t="shared" si="9"/>
        <v>20</v>
      </c>
      <c r="F40">
        <f t="shared" si="10"/>
        <v>0</v>
      </c>
    </row>
    <row r="41" spans="1:6" x14ac:dyDescent="0.25">
      <c r="A41">
        <f t="shared" si="0"/>
        <v>40</v>
      </c>
      <c r="B41">
        <f t="shared" si="8"/>
        <v>48</v>
      </c>
      <c r="C41" t="s">
        <v>276</v>
      </c>
      <c r="D41">
        <v>0</v>
      </c>
      <c r="E41">
        <f t="shared" si="9"/>
        <v>10</v>
      </c>
      <c r="F41">
        <f t="shared" si="10"/>
        <v>10</v>
      </c>
    </row>
    <row r="42" spans="1:6" x14ac:dyDescent="0.25">
      <c r="A42">
        <f t="shared" si="0"/>
        <v>41</v>
      </c>
      <c r="B42">
        <f t="shared" ref="B42:B43" si="11">17-9+A42</f>
        <v>49</v>
      </c>
      <c r="C42" t="s">
        <v>277</v>
      </c>
      <c r="D42">
        <v>0</v>
      </c>
      <c r="E42">
        <f t="shared" ref="E42:E43" si="12">IF(D42=0,IF(C42="Blank",0,IF(C42=C41,10,20)),0)</f>
        <v>20</v>
      </c>
      <c r="F42">
        <f t="shared" ref="F42:F43" si="13">IF(E42=0,0,20-E42)</f>
        <v>0</v>
      </c>
    </row>
    <row r="43" spans="1:6" x14ac:dyDescent="0.25">
      <c r="A43">
        <f t="shared" si="0"/>
        <v>42</v>
      </c>
      <c r="B43">
        <f t="shared" si="11"/>
        <v>50</v>
      </c>
      <c r="C43" t="s">
        <v>277</v>
      </c>
      <c r="D43">
        <v>0</v>
      </c>
      <c r="E43">
        <f t="shared" si="12"/>
        <v>10</v>
      </c>
      <c r="F43">
        <f t="shared" si="13"/>
        <v>10</v>
      </c>
    </row>
  </sheetData>
  <mergeCells count="1">
    <mergeCell ref="G2:G9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11</xdr:col>
                    <xdr:colOff>257175</xdr:colOff>
                    <xdr:row>0</xdr:row>
                    <xdr:rowOff>95250</xdr:rowOff>
                  </from>
                  <to>
                    <xdr:col>14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6</xdr:row>
                    <xdr:rowOff>66675</xdr:rowOff>
                  </from>
                  <to>
                    <xdr:col>14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53B4-6F84-43E8-AF6D-B046DF043112}">
  <sheetPr>
    <pageSetUpPr fitToPage="1"/>
  </sheetPr>
  <dimension ref="B3:M120"/>
  <sheetViews>
    <sheetView tabSelected="1" topLeftCell="C119" workbookViewId="0">
      <selection activeCell="I129" sqref="I129"/>
    </sheetView>
  </sheetViews>
  <sheetFormatPr defaultRowHeight="15" x14ac:dyDescent="0.25"/>
  <sheetData>
    <row r="3" spans="2:13" ht="15.75" thickBot="1" x14ac:dyDescent="0.3"/>
    <row r="4" spans="2:13" ht="19.5" thickBot="1" x14ac:dyDescent="0.35">
      <c r="B4" s="48" t="s">
        <v>261</v>
      </c>
      <c r="C4" s="49"/>
      <c r="D4" s="49"/>
      <c r="E4" s="49"/>
      <c r="F4" s="50"/>
      <c r="I4" s="48" t="s">
        <v>270</v>
      </c>
      <c r="J4" s="49"/>
      <c r="K4" s="49"/>
      <c r="L4" s="49"/>
      <c r="M4" s="50"/>
    </row>
    <row r="5" spans="2:13" ht="16.5" thickBot="1" x14ac:dyDescent="0.3">
      <c r="B5" s="51" t="s">
        <v>205</v>
      </c>
      <c r="C5" s="52"/>
      <c r="D5" s="52"/>
      <c r="E5" s="52"/>
      <c r="F5" s="53"/>
      <c r="I5" s="51" t="s">
        <v>205</v>
      </c>
      <c r="J5" s="52"/>
      <c r="K5" s="52"/>
      <c r="L5" s="52"/>
      <c r="M5" s="53"/>
    </row>
    <row r="6" spans="2:13" ht="16.5" thickBot="1" x14ac:dyDescent="0.3">
      <c r="B6" s="51" t="s">
        <v>362</v>
      </c>
      <c r="C6" s="52"/>
      <c r="D6" s="52"/>
      <c r="E6" s="52"/>
      <c r="F6" s="53"/>
      <c r="I6" s="51" t="s">
        <v>362</v>
      </c>
      <c r="J6" s="52"/>
      <c r="K6" s="52"/>
      <c r="L6" s="52"/>
      <c r="M6" s="53"/>
    </row>
    <row r="7" spans="2:13" x14ac:dyDescent="0.25">
      <c r="B7" s="111" t="s">
        <v>202</v>
      </c>
      <c r="C7" s="44"/>
      <c r="D7" s="44"/>
      <c r="E7" s="44"/>
      <c r="F7" s="45"/>
      <c r="I7" s="111" t="s">
        <v>202</v>
      </c>
      <c r="J7" s="44"/>
      <c r="K7" s="44"/>
      <c r="L7" s="44"/>
      <c r="M7" s="45"/>
    </row>
    <row r="8" spans="2:13" x14ac:dyDescent="0.25">
      <c r="B8" s="40" t="s">
        <v>255</v>
      </c>
      <c r="C8" s="41"/>
      <c r="D8" s="41"/>
      <c r="E8" s="41"/>
      <c r="F8" s="46"/>
      <c r="I8" s="40" t="s">
        <v>255</v>
      </c>
      <c r="J8" s="41"/>
      <c r="K8" s="41"/>
      <c r="L8" s="41"/>
      <c r="M8" s="46"/>
    </row>
    <row r="9" spans="2:13" x14ac:dyDescent="0.25">
      <c r="B9" s="40" t="s">
        <v>256</v>
      </c>
      <c r="C9" s="41"/>
      <c r="D9" s="41"/>
      <c r="E9" s="41"/>
      <c r="F9" s="46"/>
      <c r="I9" s="40" t="s">
        <v>256</v>
      </c>
      <c r="J9" s="41"/>
      <c r="K9" s="41"/>
      <c r="L9" s="41"/>
      <c r="M9" s="46"/>
    </row>
    <row r="10" spans="2:13" x14ac:dyDescent="0.25">
      <c r="B10" s="40" t="s">
        <v>42</v>
      </c>
      <c r="C10" s="41"/>
      <c r="D10" s="41"/>
      <c r="E10" s="41"/>
      <c r="F10" s="46"/>
      <c r="I10" s="40" t="s">
        <v>42</v>
      </c>
      <c r="J10" s="41"/>
      <c r="K10" s="41"/>
      <c r="L10" s="41"/>
      <c r="M10" s="46"/>
    </row>
    <row r="11" spans="2:13" x14ac:dyDescent="0.25">
      <c r="B11" s="40" t="s">
        <v>257</v>
      </c>
      <c r="C11" s="41"/>
      <c r="D11" s="41"/>
      <c r="E11" s="41"/>
      <c r="F11" s="46"/>
      <c r="I11" s="40" t="s">
        <v>257</v>
      </c>
      <c r="J11" s="41"/>
      <c r="K11" s="41"/>
      <c r="L11" s="41"/>
      <c r="M11" s="46"/>
    </row>
    <row r="12" spans="2:13" ht="15.75" thickBot="1" x14ac:dyDescent="0.3">
      <c r="B12" s="42" t="s">
        <v>258</v>
      </c>
      <c r="C12" s="43"/>
      <c r="D12" s="43"/>
      <c r="E12" s="43"/>
      <c r="F12" s="47"/>
      <c r="I12" s="42" t="s">
        <v>258</v>
      </c>
      <c r="J12" s="43"/>
      <c r="K12" s="43"/>
      <c r="L12" s="43"/>
      <c r="M12" s="47"/>
    </row>
    <row r="15" spans="2:13" ht="15.75" thickBot="1" x14ac:dyDescent="0.3"/>
    <row r="16" spans="2:13" ht="19.5" thickBot="1" x14ac:dyDescent="0.35">
      <c r="B16" s="48" t="s">
        <v>271</v>
      </c>
      <c r="C16" s="49"/>
      <c r="D16" s="49"/>
      <c r="E16" s="49"/>
      <c r="F16" s="50"/>
      <c r="I16" s="48" t="s">
        <v>272</v>
      </c>
      <c r="J16" s="49"/>
      <c r="K16" s="49"/>
      <c r="L16" s="49"/>
      <c r="M16" s="50"/>
    </row>
    <row r="17" spans="2:13" ht="16.5" thickBot="1" x14ac:dyDescent="0.3">
      <c r="B17" s="51" t="s">
        <v>205</v>
      </c>
      <c r="C17" s="52"/>
      <c r="D17" s="52"/>
      <c r="E17" s="52"/>
      <c r="F17" s="53"/>
      <c r="I17" s="51" t="s">
        <v>205</v>
      </c>
      <c r="J17" s="52"/>
      <c r="K17" s="52"/>
      <c r="L17" s="52"/>
      <c r="M17" s="53"/>
    </row>
    <row r="18" spans="2:13" ht="16.5" thickBot="1" x14ac:dyDescent="0.3">
      <c r="B18" s="51" t="s">
        <v>362</v>
      </c>
      <c r="C18" s="52"/>
      <c r="D18" s="52"/>
      <c r="E18" s="52"/>
      <c r="F18" s="53"/>
      <c r="I18" s="51" t="s">
        <v>362</v>
      </c>
      <c r="J18" s="52"/>
      <c r="K18" s="52"/>
      <c r="L18" s="52"/>
      <c r="M18" s="53"/>
    </row>
    <row r="19" spans="2:13" x14ac:dyDescent="0.25">
      <c r="B19" s="111" t="s">
        <v>202</v>
      </c>
      <c r="C19" s="44"/>
      <c r="D19" s="44"/>
      <c r="E19" s="44"/>
      <c r="F19" s="45"/>
      <c r="I19" s="111" t="s">
        <v>202</v>
      </c>
      <c r="J19" s="44"/>
      <c r="K19" s="44"/>
      <c r="L19" s="44"/>
      <c r="M19" s="45"/>
    </row>
    <row r="20" spans="2:13" x14ac:dyDescent="0.25">
      <c r="B20" s="40" t="s">
        <v>255</v>
      </c>
      <c r="C20" s="41"/>
      <c r="D20" s="41"/>
      <c r="E20" s="41"/>
      <c r="F20" s="46"/>
      <c r="I20" s="40" t="s">
        <v>255</v>
      </c>
      <c r="J20" s="41"/>
      <c r="K20" s="41"/>
      <c r="L20" s="41"/>
      <c r="M20" s="46"/>
    </row>
    <row r="21" spans="2:13" x14ac:dyDescent="0.25">
      <c r="B21" s="40" t="s">
        <v>256</v>
      </c>
      <c r="C21" s="41"/>
      <c r="D21" s="41"/>
      <c r="E21" s="41"/>
      <c r="F21" s="46"/>
      <c r="I21" s="40" t="s">
        <v>256</v>
      </c>
      <c r="J21" s="41"/>
      <c r="K21" s="41"/>
      <c r="L21" s="41"/>
      <c r="M21" s="46"/>
    </row>
    <row r="22" spans="2:13" x14ac:dyDescent="0.25">
      <c r="B22" s="40" t="s">
        <v>42</v>
      </c>
      <c r="C22" s="41"/>
      <c r="D22" s="41"/>
      <c r="E22" s="41"/>
      <c r="F22" s="46"/>
      <c r="I22" s="40" t="s">
        <v>42</v>
      </c>
      <c r="J22" s="41"/>
      <c r="K22" s="41"/>
      <c r="L22" s="41"/>
      <c r="M22" s="46"/>
    </row>
    <row r="23" spans="2:13" x14ac:dyDescent="0.25">
      <c r="B23" s="40" t="s">
        <v>257</v>
      </c>
      <c r="C23" s="41"/>
      <c r="D23" s="41"/>
      <c r="E23" s="41"/>
      <c r="F23" s="46"/>
      <c r="I23" s="40" t="s">
        <v>257</v>
      </c>
      <c r="J23" s="41"/>
      <c r="K23" s="41"/>
      <c r="L23" s="41"/>
      <c r="M23" s="46"/>
    </row>
    <row r="24" spans="2:13" ht="15.75" thickBot="1" x14ac:dyDescent="0.3">
      <c r="B24" s="42" t="s">
        <v>258</v>
      </c>
      <c r="C24" s="43"/>
      <c r="D24" s="43"/>
      <c r="E24" s="43"/>
      <c r="F24" s="47"/>
      <c r="I24" s="42" t="s">
        <v>258</v>
      </c>
      <c r="J24" s="43"/>
      <c r="K24" s="43"/>
      <c r="L24" s="43"/>
      <c r="M24" s="47"/>
    </row>
    <row r="27" spans="2:13" ht="15.75" thickBot="1" x14ac:dyDescent="0.3"/>
    <row r="28" spans="2:13" ht="19.5" thickBot="1" x14ac:dyDescent="0.35">
      <c r="B28" s="48" t="s">
        <v>273</v>
      </c>
      <c r="C28" s="49"/>
      <c r="D28" s="49"/>
      <c r="E28" s="49"/>
      <c r="F28" s="50"/>
      <c r="I28" s="48" t="s">
        <v>274</v>
      </c>
      <c r="J28" s="49"/>
      <c r="K28" s="49"/>
      <c r="L28" s="49"/>
      <c r="M28" s="50"/>
    </row>
    <row r="29" spans="2:13" ht="16.5" thickBot="1" x14ac:dyDescent="0.3">
      <c r="B29" s="51" t="s">
        <v>205</v>
      </c>
      <c r="C29" s="52"/>
      <c r="D29" s="52"/>
      <c r="E29" s="52"/>
      <c r="F29" s="53"/>
      <c r="I29" s="51" t="s">
        <v>205</v>
      </c>
      <c r="J29" s="52"/>
      <c r="K29" s="52"/>
      <c r="L29" s="52"/>
      <c r="M29" s="53"/>
    </row>
    <row r="30" spans="2:13" ht="16.5" thickBot="1" x14ac:dyDescent="0.3">
      <c r="B30" s="51" t="s">
        <v>362</v>
      </c>
      <c r="C30" s="52"/>
      <c r="D30" s="52"/>
      <c r="E30" s="52"/>
      <c r="F30" s="53"/>
      <c r="I30" s="51" t="s">
        <v>362</v>
      </c>
      <c r="J30" s="52"/>
      <c r="K30" s="52"/>
      <c r="L30" s="52"/>
      <c r="M30" s="53"/>
    </row>
    <row r="31" spans="2:13" x14ac:dyDescent="0.25">
      <c r="B31" s="111" t="s">
        <v>202</v>
      </c>
      <c r="C31" s="44"/>
      <c r="D31" s="44"/>
      <c r="E31" s="44"/>
      <c r="F31" s="45"/>
      <c r="I31" s="111" t="s">
        <v>202</v>
      </c>
      <c r="J31" s="44"/>
      <c r="K31" s="44"/>
      <c r="L31" s="44"/>
      <c r="M31" s="45"/>
    </row>
    <row r="32" spans="2:13" x14ac:dyDescent="0.25">
      <c r="B32" s="40" t="s">
        <v>255</v>
      </c>
      <c r="C32" s="41"/>
      <c r="D32" s="41"/>
      <c r="E32" s="41"/>
      <c r="F32" s="46"/>
      <c r="I32" s="40" t="s">
        <v>255</v>
      </c>
      <c r="J32" s="41"/>
      <c r="K32" s="41"/>
      <c r="L32" s="41"/>
      <c r="M32" s="46"/>
    </row>
    <row r="33" spans="2:13" x14ac:dyDescent="0.25">
      <c r="B33" s="40" t="s">
        <v>256</v>
      </c>
      <c r="C33" s="41"/>
      <c r="D33" s="41"/>
      <c r="E33" s="41"/>
      <c r="F33" s="46"/>
      <c r="I33" s="40" t="s">
        <v>256</v>
      </c>
      <c r="J33" s="41"/>
      <c r="K33" s="41"/>
      <c r="L33" s="41"/>
      <c r="M33" s="46"/>
    </row>
    <row r="34" spans="2:13" x14ac:dyDescent="0.25">
      <c r="B34" s="40" t="s">
        <v>42</v>
      </c>
      <c r="C34" s="41"/>
      <c r="D34" s="41"/>
      <c r="E34" s="41"/>
      <c r="F34" s="46"/>
      <c r="I34" s="40" t="s">
        <v>42</v>
      </c>
      <c r="J34" s="41"/>
      <c r="K34" s="41"/>
      <c r="L34" s="41"/>
      <c r="M34" s="46"/>
    </row>
    <row r="35" spans="2:13" x14ac:dyDescent="0.25">
      <c r="B35" s="40" t="s">
        <v>257</v>
      </c>
      <c r="C35" s="41"/>
      <c r="D35" s="41"/>
      <c r="E35" s="41"/>
      <c r="F35" s="46"/>
      <c r="I35" s="40" t="s">
        <v>257</v>
      </c>
      <c r="J35" s="41"/>
      <c r="K35" s="41"/>
      <c r="L35" s="41"/>
      <c r="M35" s="46"/>
    </row>
    <row r="36" spans="2:13" ht="15.75" thickBot="1" x14ac:dyDescent="0.3">
      <c r="B36" s="42" t="s">
        <v>258</v>
      </c>
      <c r="C36" s="43"/>
      <c r="D36" s="43"/>
      <c r="E36" s="43"/>
      <c r="F36" s="47"/>
      <c r="I36" s="42" t="s">
        <v>258</v>
      </c>
      <c r="J36" s="43"/>
      <c r="K36" s="43"/>
      <c r="L36" s="43"/>
      <c r="M36" s="47"/>
    </row>
    <row r="39" spans="2:13" ht="15.75" thickBot="1" x14ac:dyDescent="0.3"/>
    <row r="40" spans="2:13" ht="19.5" thickBot="1" x14ac:dyDescent="0.35">
      <c r="B40" s="48" t="s">
        <v>275</v>
      </c>
      <c r="C40" s="49"/>
      <c r="D40" s="49"/>
      <c r="E40" s="49"/>
      <c r="F40" s="50"/>
      <c r="I40" s="48" t="s">
        <v>276</v>
      </c>
      <c r="J40" s="49"/>
      <c r="K40" s="49"/>
      <c r="L40" s="49"/>
      <c r="M40" s="50"/>
    </row>
    <row r="41" spans="2:13" ht="16.5" thickBot="1" x14ac:dyDescent="0.3">
      <c r="B41" s="51" t="s">
        <v>205</v>
      </c>
      <c r="C41" s="52"/>
      <c r="D41" s="52"/>
      <c r="E41" s="52"/>
      <c r="F41" s="53"/>
      <c r="I41" s="51" t="s">
        <v>205</v>
      </c>
      <c r="J41" s="52"/>
      <c r="K41" s="52"/>
      <c r="L41" s="52"/>
      <c r="M41" s="53"/>
    </row>
    <row r="42" spans="2:13" ht="16.5" thickBot="1" x14ac:dyDescent="0.3">
      <c r="B42" s="51" t="s">
        <v>362</v>
      </c>
      <c r="C42" s="52"/>
      <c r="D42" s="52"/>
      <c r="E42" s="52"/>
      <c r="F42" s="53"/>
      <c r="I42" s="51" t="s">
        <v>362</v>
      </c>
      <c r="J42" s="52"/>
      <c r="K42" s="52"/>
      <c r="L42" s="52"/>
      <c r="M42" s="53"/>
    </row>
    <row r="43" spans="2:13" x14ac:dyDescent="0.25">
      <c r="B43" s="111" t="s">
        <v>202</v>
      </c>
      <c r="C43" s="44"/>
      <c r="D43" s="44"/>
      <c r="E43" s="44"/>
      <c r="F43" s="45"/>
      <c r="I43" s="111" t="s">
        <v>202</v>
      </c>
      <c r="J43" s="44"/>
      <c r="K43" s="44"/>
      <c r="L43" s="44"/>
      <c r="M43" s="45"/>
    </row>
    <row r="44" spans="2:13" x14ac:dyDescent="0.25">
      <c r="B44" s="40" t="s">
        <v>255</v>
      </c>
      <c r="C44" s="41"/>
      <c r="D44" s="41"/>
      <c r="E44" s="41"/>
      <c r="F44" s="46"/>
      <c r="I44" s="40" t="s">
        <v>255</v>
      </c>
      <c r="J44" s="41"/>
      <c r="K44" s="41"/>
      <c r="L44" s="41"/>
      <c r="M44" s="46"/>
    </row>
    <row r="45" spans="2:13" x14ac:dyDescent="0.25">
      <c r="B45" s="40" t="s">
        <v>256</v>
      </c>
      <c r="C45" s="41"/>
      <c r="D45" s="41"/>
      <c r="E45" s="41"/>
      <c r="F45" s="46"/>
      <c r="I45" s="40" t="s">
        <v>256</v>
      </c>
      <c r="J45" s="41"/>
      <c r="K45" s="41"/>
      <c r="L45" s="41"/>
      <c r="M45" s="46"/>
    </row>
    <row r="46" spans="2:13" x14ac:dyDescent="0.25">
      <c r="B46" s="40" t="s">
        <v>42</v>
      </c>
      <c r="C46" s="41"/>
      <c r="D46" s="41"/>
      <c r="E46" s="41"/>
      <c r="F46" s="46"/>
      <c r="I46" s="40" t="s">
        <v>42</v>
      </c>
      <c r="J46" s="41"/>
      <c r="K46" s="41"/>
      <c r="L46" s="41"/>
      <c r="M46" s="46"/>
    </row>
    <row r="47" spans="2:13" x14ac:dyDescent="0.25">
      <c r="B47" s="40" t="s">
        <v>257</v>
      </c>
      <c r="C47" s="41"/>
      <c r="D47" s="41"/>
      <c r="E47" s="41"/>
      <c r="F47" s="46"/>
      <c r="I47" s="40" t="s">
        <v>257</v>
      </c>
      <c r="J47" s="41"/>
      <c r="K47" s="41"/>
      <c r="L47" s="41"/>
      <c r="M47" s="46"/>
    </row>
    <row r="48" spans="2:13" ht="15.75" thickBot="1" x14ac:dyDescent="0.3">
      <c r="B48" s="42" t="s">
        <v>258</v>
      </c>
      <c r="C48" s="43"/>
      <c r="D48" s="43"/>
      <c r="E48" s="43"/>
      <c r="F48" s="47"/>
      <c r="I48" s="42" t="s">
        <v>258</v>
      </c>
      <c r="J48" s="43"/>
      <c r="K48" s="43"/>
      <c r="L48" s="43"/>
      <c r="M48" s="47"/>
    </row>
    <row r="51" spans="2:13" ht="15.75" thickBot="1" x14ac:dyDescent="0.3"/>
    <row r="52" spans="2:13" ht="19.5" thickBot="1" x14ac:dyDescent="0.35">
      <c r="B52" s="48" t="s">
        <v>277</v>
      </c>
      <c r="C52" s="49"/>
      <c r="D52" s="49"/>
      <c r="E52" s="49"/>
      <c r="F52" s="50"/>
      <c r="I52" s="48" t="s">
        <v>66</v>
      </c>
      <c r="J52" s="49"/>
      <c r="K52" s="49"/>
      <c r="L52" s="49"/>
      <c r="M52" s="50"/>
    </row>
    <row r="53" spans="2:13" ht="16.5" thickBot="1" x14ac:dyDescent="0.3">
      <c r="B53" s="51" t="s">
        <v>205</v>
      </c>
      <c r="C53" s="52"/>
      <c r="D53" s="52"/>
      <c r="E53" s="52"/>
      <c r="F53" s="53"/>
      <c r="I53" s="51" t="s">
        <v>205</v>
      </c>
      <c r="J53" s="52"/>
      <c r="K53" s="52"/>
      <c r="L53" s="52"/>
      <c r="M53" s="53"/>
    </row>
    <row r="54" spans="2:13" ht="16.5" thickBot="1" x14ac:dyDescent="0.3">
      <c r="B54" s="51" t="s">
        <v>362</v>
      </c>
      <c r="C54" s="52"/>
      <c r="D54" s="52"/>
      <c r="E54" s="52"/>
      <c r="F54" s="53"/>
      <c r="I54" s="51" t="s">
        <v>278</v>
      </c>
      <c r="J54" s="52"/>
      <c r="K54" s="52"/>
      <c r="L54" s="52"/>
      <c r="M54" s="53"/>
    </row>
    <row r="55" spans="2:13" x14ac:dyDescent="0.25">
      <c r="B55" s="111" t="s">
        <v>202</v>
      </c>
      <c r="C55" s="44"/>
      <c r="D55" s="44"/>
      <c r="E55" s="44"/>
      <c r="F55" s="45"/>
      <c r="I55" s="111" t="s">
        <v>202</v>
      </c>
      <c r="J55" s="44"/>
      <c r="K55" s="44"/>
      <c r="L55" s="44"/>
      <c r="M55" s="45"/>
    </row>
    <row r="56" spans="2:13" x14ac:dyDescent="0.25">
      <c r="B56" s="40" t="s">
        <v>255</v>
      </c>
      <c r="C56" s="41"/>
      <c r="D56" s="41"/>
      <c r="E56" s="41"/>
      <c r="F56" s="46"/>
      <c r="I56" s="40" t="s">
        <v>255</v>
      </c>
      <c r="J56" s="41"/>
      <c r="K56" s="41"/>
      <c r="L56" s="41"/>
      <c r="M56" s="46"/>
    </row>
    <row r="57" spans="2:13" x14ac:dyDescent="0.25">
      <c r="B57" s="40" t="s">
        <v>256</v>
      </c>
      <c r="C57" s="41"/>
      <c r="D57" s="41"/>
      <c r="E57" s="41"/>
      <c r="F57" s="46"/>
      <c r="I57" s="40" t="s">
        <v>256</v>
      </c>
      <c r="J57" s="41"/>
      <c r="K57" s="41"/>
      <c r="L57" s="41"/>
      <c r="M57" s="46"/>
    </row>
    <row r="58" spans="2:13" x14ac:dyDescent="0.25">
      <c r="B58" s="40" t="s">
        <v>42</v>
      </c>
      <c r="C58" s="41"/>
      <c r="D58" s="41"/>
      <c r="E58" s="41"/>
      <c r="F58" s="46"/>
      <c r="I58" s="40" t="s">
        <v>42</v>
      </c>
      <c r="J58" s="41"/>
      <c r="K58" s="41"/>
      <c r="L58" s="41"/>
      <c r="M58" s="46"/>
    </row>
    <row r="59" spans="2:13" x14ac:dyDescent="0.25">
      <c r="B59" s="40" t="s">
        <v>257</v>
      </c>
      <c r="C59" s="41"/>
      <c r="D59" s="41"/>
      <c r="E59" s="41"/>
      <c r="F59" s="46"/>
      <c r="I59" s="40" t="s">
        <v>257</v>
      </c>
      <c r="J59" s="41"/>
      <c r="K59" s="41"/>
      <c r="L59" s="41"/>
      <c r="M59" s="46"/>
    </row>
    <row r="60" spans="2:13" ht="15.75" thickBot="1" x14ac:dyDescent="0.3">
      <c r="B60" s="42" t="s">
        <v>258</v>
      </c>
      <c r="C60" s="43"/>
      <c r="D60" s="43"/>
      <c r="E60" s="43"/>
      <c r="F60" s="47"/>
      <c r="I60" s="42" t="s">
        <v>258</v>
      </c>
      <c r="J60" s="43"/>
      <c r="K60" s="43"/>
      <c r="L60" s="43"/>
      <c r="M60" s="47"/>
    </row>
    <row r="63" spans="2:13" ht="15.75" thickBot="1" x14ac:dyDescent="0.3"/>
    <row r="64" spans="2:13" ht="19.5" thickBot="1" x14ac:dyDescent="0.35">
      <c r="B64" s="48" t="s">
        <v>65</v>
      </c>
      <c r="C64" s="49"/>
      <c r="D64" s="49"/>
      <c r="E64" s="49"/>
      <c r="F64" s="50"/>
      <c r="I64" s="48" t="s">
        <v>262</v>
      </c>
      <c r="J64" s="49"/>
      <c r="K64" s="49"/>
      <c r="L64" s="49"/>
      <c r="M64" s="50"/>
    </row>
    <row r="65" spans="2:13" ht="16.5" thickBot="1" x14ac:dyDescent="0.3">
      <c r="B65" s="51" t="s">
        <v>205</v>
      </c>
      <c r="C65" s="52"/>
      <c r="D65" s="52"/>
      <c r="E65" s="52"/>
      <c r="F65" s="53"/>
      <c r="I65" s="51" t="s">
        <v>205</v>
      </c>
      <c r="J65" s="52"/>
      <c r="K65" s="52"/>
      <c r="L65" s="52"/>
      <c r="M65" s="53"/>
    </row>
    <row r="66" spans="2:13" ht="16.5" thickBot="1" x14ac:dyDescent="0.3">
      <c r="B66" s="51" t="s">
        <v>259</v>
      </c>
      <c r="C66" s="52"/>
      <c r="D66" s="52"/>
      <c r="E66" s="52"/>
      <c r="F66" s="53"/>
      <c r="I66" s="51" t="s">
        <v>362</v>
      </c>
      <c r="J66" s="52"/>
      <c r="K66" s="52"/>
      <c r="L66" s="52"/>
      <c r="M66" s="53"/>
    </row>
    <row r="67" spans="2:13" x14ac:dyDescent="0.25">
      <c r="B67" s="111" t="s">
        <v>202</v>
      </c>
      <c r="C67" s="44"/>
      <c r="D67" s="44"/>
      <c r="E67" s="44"/>
      <c r="F67" s="45"/>
      <c r="I67" s="111" t="s">
        <v>202</v>
      </c>
      <c r="J67" s="44"/>
      <c r="K67" s="44"/>
      <c r="L67" s="44"/>
      <c r="M67" s="45"/>
    </row>
    <row r="68" spans="2:13" x14ac:dyDescent="0.25">
      <c r="B68" s="40" t="s">
        <v>255</v>
      </c>
      <c r="C68" s="41"/>
      <c r="D68" s="41"/>
      <c r="E68" s="41"/>
      <c r="F68" s="46"/>
      <c r="I68" s="40" t="s">
        <v>255</v>
      </c>
      <c r="J68" s="41"/>
      <c r="K68" s="41"/>
      <c r="L68" s="41"/>
      <c r="M68" s="46"/>
    </row>
    <row r="69" spans="2:13" x14ac:dyDescent="0.25">
      <c r="B69" s="40" t="s">
        <v>256</v>
      </c>
      <c r="C69" s="41"/>
      <c r="D69" s="41"/>
      <c r="E69" s="41"/>
      <c r="F69" s="46"/>
      <c r="I69" s="40" t="s">
        <v>256</v>
      </c>
      <c r="J69" s="41"/>
      <c r="K69" s="41"/>
      <c r="L69" s="41"/>
      <c r="M69" s="46"/>
    </row>
    <row r="70" spans="2:13" x14ac:dyDescent="0.25">
      <c r="B70" s="40" t="s">
        <v>42</v>
      </c>
      <c r="C70" s="41"/>
      <c r="D70" s="41"/>
      <c r="E70" s="41"/>
      <c r="F70" s="46"/>
      <c r="I70" s="40" t="s">
        <v>42</v>
      </c>
      <c r="J70" s="41"/>
      <c r="K70" s="41"/>
      <c r="L70" s="41"/>
      <c r="M70" s="46"/>
    </row>
    <row r="71" spans="2:13" x14ac:dyDescent="0.25">
      <c r="B71" s="40" t="s">
        <v>257</v>
      </c>
      <c r="C71" s="41"/>
      <c r="D71" s="41"/>
      <c r="E71" s="41"/>
      <c r="F71" s="46"/>
      <c r="I71" s="40" t="s">
        <v>257</v>
      </c>
      <c r="J71" s="41"/>
      <c r="K71" s="41"/>
      <c r="L71" s="41"/>
      <c r="M71" s="46"/>
    </row>
    <row r="72" spans="2:13" ht="15.75" thickBot="1" x14ac:dyDescent="0.3">
      <c r="B72" s="42" t="s">
        <v>258</v>
      </c>
      <c r="C72" s="43"/>
      <c r="D72" s="43"/>
      <c r="E72" s="43"/>
      <c r="F72" s="47"/>
      <c r="I72" s="42" t="s">
        <v>258</v>
      </c>
      <c r="J72" s="43"/>
      <c r="K72" s="43"/>
      <c r="L72" s="43"/>
      <c r="M72" s="47"/>
    </row>
    <row r="75" spans="2:13" ht="15.75" thickBot="1" x14ac:dyDescent="0.3"/>
    <row r="76" spans="2:13" ht="19.5" thickBot="1" x14ac:dyDescent="0.35">
      <c r="B76" s="48" t="s">
        <v>263</v>
      </c>
      <c r="C76" s="49"/>
      <c r="D76" s="49"/>
      <c r="E76" s="49"/>
      <c r="F76" s="50"/>
      <c r="I76" s="48" t="s">
        <v>264</v>
      </c>
      <c r="J76" s="49"/>
      <c r="K76" s="49"/>
      <c r="L76" s="49"/>
      <c r="M76" s="50"/>
    </row>
    <row r="77" spans="2:13" ht="16.5" thickBot="1" x14ac:dyDescent="0.3">
      <c r="B77" s="51" t="s">
        <v>205</v>
      </c>
      <c r="C77" s="52"/>
      <c r="D77" s="52"/>
      <c r="E77" s="52"/>
      <c r="F77" s="53"/>
      <c r="I77" s="51" t="s">
        <v>205</v>
      </c>
      <c r="J77" s="52"/>
      <c r="K77" s="52"/>
      <c r="L77" s="52"/>
      <c r="M77" s="53"/>
    </row>
    <row r="78" spans="2:13" ht="16.5" thickBot="1" x14ac:dyDescent="0.3">
      <c r="B78" s="51" t="s">
        <v>362</v>
      </c>
      <c r="C78" s="52"/>
      <c r="D78" s="52"/>
      <c r="E78" s="52"/>
      <c r="F78" s="53"/>
      <c r="I78" s="51" t="s">
        <v>362</v>
      </c>
      <c r="J78" s="52"/>
      <c r="K78" s="52"/>
      <c r="L78" s="52"/>
      <c r="M78" s="53"/>
    </row>
    <row r="79" spans="2:13" x14ac:dyDescent="0.25">
      <c r="B79" s="111" t="s">
        <v>202</v>
      </c>
      <c r="C79" s="44"/>
      <c r="D79" s="44"/>
      <c r="E79" s="44"/>
      <c r="F79" s="45"/>
      <c r="I79" s="111" t="s">
        <v>202</v>
      </c>
      <c r="J79" s="44"/>
      <c r="K79" s="44"/>
      <c r="L79" s="44"/>
      <c r="M79" s="45"/>
    </row>
    <row r="80" spans="2:13" x14ac:dyDescent="0.25">
      <c r="B80" s="40" t="s">
        <v>255</v>
      </c>
      <c r="C80" s="41"/>
      <c r="D80" s="41"/>
      <c r="E80" s="41"/>
      <c r="F80" s="46"/>
      <c r="I80" s="40" t="s">
        <v>255</v>
      </c>
      <c r="J80" s="41"/>
      <c r="K80" s="41"/>
      <c r="L80" s="41"/>
      <c r="M80" s="46"/>
    </row>
    <row r="81" spans="2:13" x14ac:dyDescent="0.25">
      <c r="B81" s="40" t="s">
        <v>256</v>
      </c>
      <c r="C81" s="41"/>
      <c r="D81" s="41"/>
      <c r="E81" s="41"/>
      <c r="F81" s="46"/>
      <c r="I81" s="40" t="s">
        <v>256</v>
      </c>
      <c r="J81" s="41"/>
      <c r="K81" s="41"/>
      <c r="L81" s="41"/>
      <c r="M81" s="46"/>
    </row>
    <row r="82" spans="2:13" x14ac:dyDescent="0.25">
      <c r="B82" s="40" t="s">
        <v>42</v>
      </c>
      <c r="C82" s="41"/>
      <c r="D82" s="41"/>
      <c r="E82" s="41"/>
      <c r="F82" s="46"/>
      <c r="I82" s="40" t="s">
        <v>42</v>
      </c>
      <c r="J82" s="41"/>
      <c r="K82" s="41"/>
      <c r="L82" s="41"/>
      <c r="M82" s="46"/>
    </row>
    <row r="83" spans="2:13" x14ac:dyDescent="0.25">
      <c r="B83" s="40" t="s">
        <v>257</v>
      </c>
      <c r="C83" s="41"/>
      <c r="D83" s="41"/>
      <c r="E83" s="41"/>
      <c r="F83" s="46"/>
      <c r="I83" s="40" t="s">
        <v>257</v>
      </c>
      <c r="J83" s="41"/>
      <c r="K83" s="41"/>
      <c r="L83" s="41"/>
      <c r="M83" s="46"/>
    </row>
    <row r="84" spans="2:13" ht="15.75" thickBot="1" x14ac:dyDescent="0.3">
      <c r="B84" s="42" t="s">
        <v>258</v>
      </c>
      <c r="C84" s="43"/>
      <c r="D84" s="43"/>
      <c r="E84" s="43"/>
      <c r="F84" s="47"/>
      <c r="I84" s="42" t="s">
        <v>258</v>
      </c>
      <c r="J84" s="43"/>
      <c r="K84" s="43"/>
      <c r="L84" s="43"/>
      <c r="M84" s="47"/>
    </row>
    <row r="87" spans="2:13" ht="15.75" thickBot="1" x14ac:dyDescent="0.3"/>
    <row r="88" spans="2:13" ht="19.5" thickBot="1" x14ac:dyDescent="0.35">
      <c r="B88" s="48" t="s">
        <v>265</v>
      </c>
      <c r="C88" s="49"/>
      <c r="D88" s="49"/>
      <c r="E88" s="49"/>
      <c r="F88" s="50"/>
      <c r="I88" s="48" t="s">
        <v>266</v>
      </c>
      <c r="J88" s="49"/>
      <c r="K88" s="49"/>
      <c r="L88" s="49"/>
      <c r="M88" s="50"/>
    </row>
    <row r="89" spans="2:13" ht="16.5" thickBot="1" x14ac:dyDescent="0.3">
      <c r="B89" s="51" t="s">
        <v>205</v>
      </c>
      <c r="C89" s="52"/>
      <c r="D89" s="52"/>
      <c r="E89" s="52"/>
      <c r="F89" s="53"/>
      <c r="I89" s="51" t="s">
        <v>205</v>
      </c>
      <c r="J89" s="52"/>
      <c r="K89" s="52"/>
      <c r="L89" s="52"/>
      <c r="M89" s="53"/>
    </row>
    <row r="90" spans="2:13" ht="16.5" thickBot="1" x14ac:dyDescent="0.3">
      <c r="B90" s="51" t="s">
        <v>362</v>
      </c>
      <c r="C90" s="52"/>
      <c r="D90" s="52"/>
      <c r="E90" s="52"/>
      <c r="F90" s="53"/>
      <c r="I90" s="51" t="s">
        <v>362</v>
      </c>
      <c r="J90" s="52"/>
      <c r="K90" s="52"/>
      <c r="L90" s="52"/>
      <c r="M90" s="53"/>
    </row>
    <row r="91" spans="2:13" x14ac:dyDescent="0.25">
      <c r="B91" s="111" t="s">
        <v>202</v>
      </c>
      <c r="C91" s="44"/>
      <c r="D91" s="44"/>
      <c r="E91" s="44"/>
      <c r="F91" s="45"/>
      <c r="I91" s="111" t="s">
        <v>202</v>
      </c>
      <c r="J91" s="44"/>
      <c r="K91" s="44"/>
      <c r="L91" s="44"/>
      <c r="M91" s="45"/>
    </row>
    <row r="92" spans="2:13" x14ac:dyDescent="0.25">
      <c r="B92" s="40" t="s">
        <v>255</v>
      </c>
      <c r="C92" s="41"/>
      <c r="D92" s="41"/>
      <c r="E92" s="41"/>
      <c r="F92" s="46"/>
      <c r="I92" s="40" t="s">
        <v>255</v>
      </c>
      <c r="J92" s="41"/>
      <c r="K92" s="41"/>
      <c r="L92" s="41"/>
      <c r="M92" s="46"/>
    </row>
    <row r="93" spans="2:13" x14ac:dyDescent="0.25">
      <c r="B93" s="40" t="s">
        <v>256</v>
      </c>
      <c r="C93" s="41"/>
      <c r="D93" s="41"/>
      <c r="E93" s="41"/>
      <c r="F93" s="46"/>
      <c r="I93" s="40" t="s">
        <v>256</v>
      </c>
      <c r="J93" s="41"/>
      <c r="K93" s="41"/>
      <c r="L93" s="41"/>
      <c r="M93" s="46"/>
    </row>
    <row r="94" spans="2:13" x14ac:dyDescent="0.25">
      <c r="B94" s="40" t="s">
        <v>42</v>
      </c>
      <c r="C94" s="41"/>
      <c r="D94" s="41"/>
      <c r="E94" s="41"/>
      <c r="F94" s="46"/>
      <c r="I94" s="40" t="s">
        <v>42</v>
      </c>
      <c r="J94" s="41"/>
      <c r="K94" s="41"/>
      <c r="L94" s="41"/>
      <c r="M94" s="46"/>
    </row>
    <row r="95" spans="2:13" x14ac:dyDescent="0.25">
      <c r="B95" s="40" t="s">
        <v>257</v>
      </c>
      <c r="C95" s="41"/>
      <c r="D95" s="41"/>
      <c r="E95" s="41"/>
      <c r="F95" s="46"/>
      <c r="I95" s="40" t="s">
        <v>257</v>
      </c>
      <c r="J95" s="41"/>
      <c r="K95" s="41"/>
      <c r="L95" s="41"/>
      <c r="M95" s="46"/>
    </row>
    <row r="96" spans="2:13" ht="15.75" thickBot="1" x14ac:dyDescent="0.3">
      <c r="B96" s="42" t="s">
        <v>258</v>
      </c>
      <c r="C96" s="43"/>
      <c r="D96" s="43"/>
      <c r="E96" s="43"/>
      <c r="F96" s="47"/>
      <c r="I96" s="42" t="s">
        <v>258</v>
      </c>
      <c r="J96" s="43"/>
      <c r="K96" s="43"/>
      <c r="L96" s="43"/>
      <c r="M96" s="47"/>
    </row>
    <row r="99" spans="2:13" ht="15.75" thickBot="1" x14ac:dyDescent="0.3"/>
    <row r="100" spans="2:13" ht="19.5" thickBot="1" x14ac:dyDescent="0.35">
      <c r="B100" s="48" t="s">
        <v>267</v>
      </c>
      <c r="C100" s="49"/>
      <c r="D100" s="49"/>
      <c r="E100" s="49"/>
      <c r="F100" s="50"/>
      <c r="I100" s="48" t="s">
        <v>268</v>
      </c>
      <c r="J100" s="49"/>
      <c r="K100" s="49"/>
      <c r="L100" s="49"/>
      <c r="M100" s="50"/>
    </row>
    <row r="101" spans="2:13" ht="16.5" thickBot="1" x14ac:dyDescent="0.3">
      <c r="B101" s="51" t="s">
        <v>205</v>
      </c>
      <c r="C101" s="52"/>
      <c r="D101" s="52"/>
      <c r="E101" s="52"/>
      <c r="F101" s="53"/>
      <c r="I101" s="51" t="s">
        <v>205</v>
      </c>
      <c r="J101" s="52"/>
      <c r="K101" s="52"/>
      <c r="L101" s="52"/>
      <c r="M101" s="53"/>
    </row>
    <row r="102" spans="2:13" ht="16.5" thickBot="1" x14ac:dyDescent="0.3">
      <c r="B102" s="51" t="s">
        <v>362</v>
      </c>
      <c r="C102" s="52"/>
      <c r="D102" s="52"/>
      <c r="E102" s="52"/>
      <c r="F102" s="53"/>
      <c r="I102" s="51" t="s">
        <v>362</v>
      </c>
      <c r="J102" s="52"/>
      <c r="K102" s="52"/>
      <c r="L102" s="52"/>
      <c r="M102" s="53"/>
    </row>
    <row r="103" spans="2:13" x14ac:dyDescent="0.25">
      <c r="B103" s="111" t="s">
        <v>202</v>
      </c>
      <c r="C103" s="44"/>
      <c r="D103" s="44"/>
      <c r="E103" s="44"/>
      <c r="F103" s="45"/>
      <c r="I103" s="111" t="s">
        <v>202</v>
      </c>
      <c r="J103" s="44"/>
      <c r="K103" s="44"/>
      <c r="L103" s="44"/>
      <c r="M103" s="45"/>
    </row>
    <row r="104" spans="2:13" x14ac:dyDescent="0.25">
      <c r="B104" s="40" t="s">
        <v>255</v>
      </c>
      <c r="C104" s="41"/>
      <c r="D104" s="41"/>
      <c r="E104" s="41"/>
      <c r="F104" s="46"/>
      <c r="I104" s="40" t="s">
        <v>255</v>
      </c>
      <c r="J104" s="41"/>
      <c r="K104" s="41"/>
      <c r="L104" s="41"/>
      <c r="M104" s="46"/>
    </row>
    <row r="105" spans="2:13" x14ac:dyDescent="0.25">
      <c r="B105" s="40" t="s">
        <v>256</v>
      </c>
      <c r="C105" s="41"/>
      <c r="D105" s="41"/>
      <c r="E105" s="41"/>
      <c r="F105" s="46"/>
      <c r="I105" s="40" t="s">
        <v>256</v>
      </c>
      <c r="J105" s="41"/>
      <c r="K105" s="41"/>
      <c r="L105" s="41"/>
      <c r="M105" s="46"/>
    </row>
    <row r="106" spans="2:13" x14ac:dyDescent="0.25">
      <c r="B106" s="40" t="s">
        <v>42</v>
      </c>
      <c r="C106" s="41"/>
      <c r="D106" s="41"/>
      <c r="E106" s="41"/>
      <c r="F106" s="46"/>
      <c r="I106" s="40" t="s">
        <v>42</v>
      </c>
      <c r="J106" s="41"/>
      <c r="K106" s="41"/>
      <c r="L106" s="41"/>
      <c r="M106" s="46"/>
    </row>
    <row r="107" spans="2:13" x14ac:dyDescent="0.25">
      <c r="B107" s="40" t="s">
        <v>257</v>
      </c>
      <c r="C107" s="41"/>
      <c r="D107" s="41"/>
      <c r="E107" s="41"/>
      <c r="F107" s="46"/>
      <c r="I107" s="40" t="s">
        <v>257</v>
      </c>
      <c r="J107" s="41"/>
      <c r="K107" s="41"/>
      <c r="L107" s="41"/>
      <c r="M107" s="46"/>
    </row>
    <row r="108" spans="2:13" ht="15.75" thickBot="1" x14ac:dyDescent="0.3">
      <c r="B108" s="42" t="s">
        <v>258</v>
      </c>
      <c r="C108" s="43"/>
      <c r="D108" s="43"/>
      <c r="E108" s="43"/>
      <c r="F108" s="47"/>
      <c r="I108" s="42" t="s">
        <v>258</v>
      </c>
      <c r="J108" s="43"/>
      <c r="K108" s="43"/>
      <c r="L108" s="43"/>
      <c r="M108" s="47"/>
    </row>
    <row r="111" spans="2:13" ht="15.75" thickBot="1" x14ac:dyDescent="0.3"/>
    <row r="112" spans="2:13" ht="19.5" thickBot="1" x14ac:dyDescent="0.35">
      <c r="B112" s="48" t="s">
        <v>269</v>
      </c>
      <c r="C112" s="49"/>
      <c r="D112" s="49"/>
      <c r="E112" s="49"/>
      <c r="F112" s="50"/>
      <c r="I112" s="48" t="s">
        <v>69</v>
      </c>
      <c r="J112" s="49"/>
      <c r="K112" s="49"/>
      <c r="L112" s="49"/>
      <c r="M112" s="50"/>
    </row>
    <row r="113" spans="2:13" ht="16.5" thickBot="1" x14ac:dyDescent="0.3">
      <c r="B113" s="51" t="s">
        <v>205</v>
      </c>
      <c r="C113" s="52"/>
      <c r="D113" s="52"/>
      <c r="E113" s="52"/>
      <c r="F113" s="53"/>
      <c r="I113" s="51" t="s">
        <v>200</v>
      </c>
      <c r="J113" s="52"/>
      <c r="K113" s="52"/>
      <c r="L113" s="52"/>
      <c r="M113" s="53"/>
    </row>
    <row r="114" spans="2:13" ht="16.5" thickBot="1" x14ac:dyDescent="0.3">
      <c r="B114" s="51" t="s">
        <v>362</v>
      </c>
      <c r="C114" s="52"/>
      <c r="D114" s="52"/>
      <c r="E114" s="52"/>
      <c r="F114" s="53"/>
      <c r="I114" s="51" t="s">
        <v>260</v>
      </c>
      <c r="J114" s="52"/>
      <c r="K114" s="52"/>
      <c r="L114" s="52"/>
      <c r="M114" s="53"/>
    </row>
    <row r="115" spans="2:13" x14ac:dyDescent="0.25">
      <c r="B115" s="111" t="s">
        <v>202</v>
      </c>
      <c r="C115" s="44"/>
      <c r="D115" s="44"/>
      <c r="E115" s="44"/>
      <c r="F115" s="45"/>
      <c r="I115" s="111" t="s">
        <v>202</v>
      </c>
      <c r="J115" s="44"/>
      <c r="K115" s="44"/>
      <c r="L115" s="44"/>
      <c r="M115" s="45"/>
    </row>
    <row r="116" spans="2:13" x14ac:dyDescent="0.25">
      <c r="B116" s="40" t="s">
        <v>255</v>
      </c>
      <c r="C116" s="41"/>
      <c r="D116" s="41"/>
      <c r="E116" s="41"/>
      <c r="F116" s="46"/>
      <c r="I116" s="40" t="s">
        <v>255</v>
      </c>
      <c r="J116" s="41"/>
      <c r="K116" s="41"/>
      <c r="L116" s="41"/>
      <c r="M116" s="46"/>
    </row>
    <row r="117" spans="2:13" x14ac:dyDescent="0.25">
      <c r="B117" s="40" t="s">
        <v>256</v>
      </c>
      <c r="C117" s="41"/>
      <c r="D117" s="41"/>
      <c r="E117" s="41"/>
      <c r="F117" s="46"/>
      <c r="I117" s="40" t="s">
        <v>256</v>
      </c>
      <c r="J117" s="41"/>
      <c r="K117" s="41"/>
      <c r="L117" s="41"/>
      <c r="M117" s="46"/>
    </row>
    <row r="118" spans="2:13" x14ac:dyDescent="0.25">
      <c r="B118" s="40" t="s">
        <v>42</v>
      </c>
      <c r="C118" s="41"/>
      <c r="D118" s="41"/>
      <c r="E118" s="41"/>
      <c r="F118" s="46"/>
      <c r="I118" s="40" t="s">
        <v>42</v>
      </c>
      <c r="J118" s="41"/>
      <c r="K118" s="41"/>
      <c r="L118" s="41"/>
      <c r="M118" s="46"/>
    </row>
    <row r="119" spans="2:13" x14ac:dyDescent="0.25">
      <c r="B119" s="40" t="s">
        <v>257</v>
      </c>
      <c r="C119" s="41"/>
      <c r="D119" s="41"/>
      <c r="E119" s="41"/>
      <c r="F119" s="46"/>
      <c r="I119" s="40" t="s">
        <v>257</v>
      </c>
      <c r="J119" s="41"/>
      <c r="K119" s="41"/>
      <c r="L119" s="41"/>
      <c r="M119" s="46"/>
    </row>
    <row r="120" spans="2:13" ht="15.75" thickBot="1" x14ac:dyDescent="0.3">
      <c r="B120" s="42" t="s">
        <v>258</v>
      </c>
      <c r="C120" s="43"/>
      <c r="D120" s="43"/>
      <c r="E120" s="43"/>
      <c r="F120" s="47"/>
      <c r="I120" s="42" t="s">
        <v>258</v>
      </c>
      <c r="J120" s="43"/>
      <c r="K120" s="43"/>
      <c r="L120" s="43"/>
      <c r="M120" s="47"/>
    </row>
  </sheetData>
  <mergeCells count="300">
    <mergeCell ref="I118:J118"/>
    <mergeCell ref="I119:J119"/>
    <mergeCell ref="I120:J120"/>
    <mergeCell ref="K115:M115"/>
    <mergeCell ref="K116:M116"/>
    <mergeCell ref="K117:M117"/>
    <mergeCell ref="K118:M118"/>
    <mergeCell ref="K119:M119"/>
    <mergeCell ref="K120:M120"/>
    <mergeCell ref="I112:M112"/>
    <mergeCell ref="I113:M113"/>
    <mergeCell ref="I114:M114"/>
    <mergeCell ref="I115:J115"/>
    <mergeCell ref="I116:J116"/>
    <mergeCell ref="I117:J117"/>
    <mergeCell ref="B118:C118"/>
    <mergeCell ref="B119:C119"/>
    <mergeCell ref="B120:C120"/>
    <mergeCell ref="D115:F115"/>
    <mergeCell ref="D116:F116"/>
    <mergeCell ref="D117:F117"/>
    <mergeCell ref="D118:F118"/>
    <mergeCell ref="D119:F119"/>
    <mergeCell ref="D120:F120"/>
    <mergeCell ref="B112:F112"/>
    <mergeCell ref="B113:F113"/>
    <mergeCell ref="B114:F114"/>
    <mergeCell ref="B115:C115"/>
    <mergeCell ref="B116:C116"/>
    <mergeCell ref="B117:C117"/>
    <mergeCell ref="I106:J106"/>
    <mergeCell ref="I107:J107"/>
    <mergeCell ref="I108:J108"/>
    <mergeCell ref="K103:M103"/>
    <mergeCell ref="K104:M104"/>
    <mergeCell ref="K105:M105"/>
    <mergeCell ref="K106:M106"/>
    <mergeCell ref="K107:M107"/>
    <mergeCell ref="K108:M108"/>
    <mergeCell ref="I100:M100"/>
    <mergeCell ref="I101:M101"/>
    <mergeCell ref="I102:M102"/>
    <mergeCell ref="I103:J103"/>
    <mergeCell ref="I104:J104"/>
    <mergeCell ref="I105:J105"/>
    <mergeCell ref="B106:C106"/>
    <mergeCell ref="B107:C107"/>
    <mergeCell ref="B108:C108"/>
    <mergeCell ref="D103:F103"/>
    <mergeCell ref="D104:F104"/>
    <mergeCell ref="D105:F105"/>
    <mergeCell ref="D106:F106"/>
    <mergeCell ref="D107:F107"/>
    <mergeCell ref="D108:F108"/>
    <mergeCell ref="B100:F100"/>
    <mergeCell ref="B101:F101"/>
    <mergeCell ref="B102:F102"/>
    <mergeCell ref="B103:C103"/>
    <mergeCell ref="B104:C104"/>
    <mergeCell ref="B105:C105"/>
    <mergeCell ref="I94:J94"/>
    <mergeCell ref="I95:J95"/>
    <mergeCell ref="I96:J96"/>
    <mergeCell ref="K91:M91"/>
    <mergeCell ref="K92:M92"/>
    <mergeCell ref="K93:M93"/>
    <mergeCell ref="K94:M94"/>
    <mergeCell ref="K95:M95"/>
    <mergeCell ref="K96:M96"/>
    <mergeCell ref="I88:M88"/>
    <mergeCell ref="I89:M89"/>
    <mergeCell ref="I90:M90"/>
    <mergeCell ref="I91:J91"/>
    <mergeCell ref="I92:J92"/>
    <mergeCell ref="I93:J93"/>
    <mergeCell ref="B94:C94"/>
    <mergeCell ref="B95:C95"/>
    <mergeCell ref="B96:C96"/>
    <mergeCell ref="D91:F91"/>
    <mergeCell ref="D92:F92"/>
    <mergeCell ref="D93:F93"/>
    <mergeCell ref="D94:F94"/>
    <mergeCell ref="D95:F95"/>
    <mergeCell ref="D96:F96"/>
    <mergeCell ref="B88:F88"/>
    <mergeCell ref="B89:F89"/>
    <mergeCell ref="B90:F90"/>
    <mergeCell ref="B91:C91"/>
    <mergeCell ref="B92:C92"/>
    <mergeCell ref="B93:C93"/>
    <mergeCell ref="I82:J82"/>
    <mergeCell ref="I83:J83"/>
    <mergeCell ref="I84:J84"/>
    <mergeCell ref="K79:M79"/>
    <mergeCell ref="K80:M80"/>
    <mergeCell ref="K81:M81"/>
    <mergeCell ref="K82:M82"/>
    <mergeCell ref="K83:M83"/>
    <mergeCell ref="K84:M84"/>
    <mergeCell ref="I76:M76"/>
    <mergeCell ref="I77:M77"/>
    <mergeCell ref="I78:M78"/>
    <mergeCell ref="I79:J79"/>
    <mergeCell ref="I80:J80"/>
    <mergeCell ref="I81:J81"/>
    <mergeCell ref="B82:C82"/>
    <mergeCell ref="B83:C83"/>
    <mergeCell ref="B84:C84"/>
    <mergeCell ref="D79:F79"/>
    <mergeCell ref="D80:F80"/>
    <mergeCell ref="D81:F81"/>
    <mergeCell ref="D82:F82"/>
    <mergeCell ref="D83:F83"/>
    <mergeCell ref="D84:F84"/>
    <mergeCell ref="B76:F76"/>
    <mergeCell ref="B77:F77"/>
    <mergeCell ref="B78:F78"/>
    <mergeCell ref="B79:C79"/>
    <mergeCell ref="B80:C80"/>
    <mergeCell ref="B81:C81"/>
    <mergeCell ref="I70:J70"/>
    <mergeCell ref="I71:J71"/>
    <mergeCell ref="I72:J72"/>
    <mergeCell ref="K67:M67"/>
    <mergeCell ref="K68:M68"/>
    <mergeCell ref="K69:M69"/>
    <mergeCell ref="K70:M70"/>
    <mergeCell ref="K71:M71"/>
    <mergeCell ref="K72:M72"/>
    <mergeCell ref="I64:M64"/>
    <mergeCell ref="I65:M65"/>
    <mergeCell ref="I66:M66"/>
    <mergeCell ref="I67:J67"/>
    <mergeCell ref="I68:J68"/>
    <mergeCell ref="I69:J69"/>
    <mergeCell ref="B70:C70"/>
    <mergeCell ref="B71:C71"/>
    <mergeCell ref="B72:C72"/>
    <mergeCell ref="D67:F67"/>
    <mergeCell ref="D68:F68"/>
    <mergeCell ref="D69:F69"/>
    <mergeCell ref="D70:F70"/>
    <mergeCell ref="D71:F71"/>
    <mergeCell ref="D72:F72"/>
    <mergeCell ref="B64:F64"/>
    <mergeCell ref="B65:F65"/>
    <mergeCell ref="B66:F66"/>
    <mergeCell ref="B67:C67"/>
    <mergeCell ref="B68:C68"/>
    <mergeCell ref="B69:C69"/>
    <mergeCell ref="I58:J58"/>
    <mergeCell ref="I59:J59"/>
    <mergeCell ref="I60:J60"/>
    <mergeCell ref="K55:M55"/>
    <mergeCell ref="K56:M56"/>
    <mergeCell ref="K57:M57"/>
    <mergeCell ref="K58:M58"/>
    <mergeCell ref="K59:M59"/>
    <mergeCell ref="K60:M60"/>
    <mergeCell ref="I52:M52"/>
    <mergeCell ref="I53:M53"/>
    <mergeCell ref="I54:M54"/>
    <mergeCell ref="I55:J55"/>
    <mergeCell ref="I56:J56"/>
    <mergeCell ref="I57:J57"/>
    <mergeCell ref="B58:C58"/>
    <mergeCell ref="B59:C59"/>
    <mergeCell ref="B60:C60"/>
    <mergeCell ref="D55:F55"/>
    <mergeCell ref="D56:F56"/>
    <mergeCell ref="D57:F57"/>
    <mergeCell ref="D58:F58"/>
    <mergeCell ref="D59:F59"/>
    <mergeCell ref="D60:F60"/>
    <mergeCell ref="B52:F52"/>
    <mergeCell ref="B53:F53"/>
    <mergeCell ref="B54:F54"/>
    <mergeCell ref="B55:C55"/>
    <mergeCell ref="B56:C56"/>
    <mergeCell ref="B57:C57"/>
    <mergeCell ref="I46:J46"/>
    <mergeCell ref="I47:J47"/>
    <mergeCell ref="I48:J48"/>
    <mergeCell ref="K43:M43"/>
    <mergeCell ref="K44:M44"/>
    <mergeCell ref="K45:M45"/>
    <mergeCell ref="K46:M46"/>
    <mergeCell ref="K47:M47"/>
    <mergeCell ref="K48:M48"/>
    <mergeCell ref="I40:M40"/>
    <mergeCell ref="I41:M41"/>
    <mergeCell ref="I42:M42"/>
    <mergeCell ref="I43:J43"/>
    <mergeCell ref="I44:J44"/>
    <mergeCell ref="I45:J45"/>
    <mergeCell ref="B46:C46"/>
    <mergeCell ref="B47:C47"/>
    <mergeCell ref="B48:C48"/>
    <mergeCell ref="D43:F43"/>
    <mergeCell ref="D44:F44"/>
    <mergeCell ref="D45:F45"/>
    <mergeCell ref="D46:F46"/>
    <mergeCell ref="D47:F47"/>
    <mergeCell ref="D48:F48"/>
    <mergeCell ref="B40:F40"/>
    <mergeCell ref="B41:F41"/>
    <mergeCell ref="B42:F42"/>
    <mergeCell ref="B43:C43"/>
    <mergeCell ref="B44:C44"/>
    <mergeCell ref="B45:C45"/>
    <mergeCell ref="I34:J34"/>
    <mergeCell ref="I35:J35"/>
    <mergeCell ref="I36:J36"/>
    <mergeCell ref="K31:M31"/>
    <mergeCell ref="K32:M32"/>
    <mergeCell ref="K33:M33"/>
    <mergeCell ref="K34:M34"/>
    <mergeCell ref="K35:M35"/>
    <mergeCell ref="K36:M36"/>
    <mergeCell ref="I28:M28"/>
    <mergeCell ref="I29:M29"/>
    <mergeCell ref="I30:M30"/>
    <mergeCell ref="I31:J31"/>
    <mergeCell ref="I32:J32"/>
    <mergeCell ref="I33:J33"/>
    <mergeCell ref="B34:C34"/>
    <mergeCell ref="B35:C35"/>
    <mergeCell ref="B36:C36"/>
    <mergeCell ref="D31:F31"/>
    <mergeCell ref="D32:F32"/>
    <mergeCell ref="D33:F33"/>
    <mergeCell ref="D34:F34"/>
    <mergeCell ref="D35:F35"/>
    <mergeCell ref="D36:F36"/>
    <mergeCell ref="B28:F28"/>
    <mergeCell ref="B29:F29"/>
    <mergeCell ref="B30:F30"/>
    <mergeCell ref="B31:C31"/>
    <mergeCell ref="B32:C32"/>
    <mergeCell ref="B33:C33"/>
    <mergeCell ref="I22:J22"/>
    <mergeCell ref="I23:J23"/>
    <mergeCell ref="I24:J24"/>
    <mergeCell ref="K19:M19"/>
    <mergeCell ref="K20:M20"/>
    <mergeCell ref="K21:M21"/>
    <mergeCell ref="K22:M22"/>
    <mergeCell ref="K23:M23"/>
    <mergeCell ref="K24:M24"/>
    <mergeCell ref="I16:M16"/>
    <mergeCell ref="I17:M17"/>
    <mergeCell ref="I18:M18"/>
    <mergeCell ref="I19:J19"/>
    <mergeCell ref="I20:J20"/>
    <mergeCell ref="I21:J21"/>
    <mergeCell ref="B22:C22"/>
    <mergeCell ref="B23:C23"/>
    <mergeCell ref="B24:C24"/>
    <mergeCell ref="D19:F19"/>
    <mergeCell ref="D20:F20"/>
    <mergeCell ref="D21:F21"/>
    <mergeCell ref="D22:F22"/>
    <mergeCell ref="D23:F23"/>
    <mergeCell ref="D24:F24"/>
    <mergeCell ref="B16:F16"/>
    <mergeCell ref="B17:F17"/>
    <mergeCell ref="B18:F18"/>
    <mergeCell ref="B19:C19"/>
    <mergeCell ref="B20:C20"/>
    <mergeCell ref="B21:C21"/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  <pageSetup scale="3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30F2-D5C0-4433-ADEE-25766430CEBF}">
  <dimension ref="B3:FK439"/>
  <sheetViews>
    <sheetView workbookViewId="0"/>
  </sheetViews>
  <sheetFormatPr defaultRowHeight="15" x14ac:dyDescent="0.25"/>
  <sheetData>
    <row r="3" spans="2:5" x14ac:dyDescent="0.25">
      <c r="D3" t="s">
        <v>83</v>
      </c>
      <c r="E3" t="s">
        <v>84</v>
      </c>
    </row>
    <row r="4" spans="2:5" x14ac:dyDescent="0.25">
      <c r="D4" t="s">
        <v>85</v>
      </c>
      <c r="E4" t="s">
        <v>86</v>
      </c>
    </row>
    <row r="5" spans="2:5" x14ac:dyDescent="0.25">
      <c r="D5" t="s">
        <v>87</v>
      </c>
      <c r="E5" t="s">
        <v>54</v>
      </c>
    </row>
    <row r="6" spans="2:5" x14ac:dyDescent="0.25">
      <c r="D6" t="s">
        <v>88</v>
      </c>
      <c r="E6">
        <v>37</v>
      </c>
    </row>
    <row r="7" spans="2:5" x14ac:dyDescent="0.25">
      <c r="D7" t="s">
        <v>89</v>
      </c>
      <c r="E7">
        <v>0</v>
      </c>
    </row>
    <row r="12" spans="2:5" x14ac:dyDescent="0.25">
      <c r="B12" t="s">
        <v>120</v>
      </c>
    </row>
    <row r="13" spans="2:5" x14ac:dyDescent="0.25">
      <c r="B13" t="s">
        <v>91</v>
      </c>
    </row>
    <row r="14" spans="2:5" x14ac:dyDescent="0.25">
      <c r="B14" t="s">
        <v>345</v>
      </c>
    </row>
    <row r="15" spans="2:5" x14ac:dyDescent="0.25">
      <c r="B15" t="s">
        <v>121</v>
      </c>
    </row>
    <row r="16" spans="2:5" x14ac:dyDescent="0.25">
      <c r="B16" t="s">
        <v>122</v>
      </c>
    </row>
    <row r="17" spans="2:38" x14ac:dyDescent="0.25">
      <c r="B17" t="s">
        <v>123</v>
      </c>
    </row>
    <row r="18" spans="2:38" x14ac:dyDescent="0.25">
      <c r="B18" t="s">
        <v>124</v>
      </c>
    </row>
    <row r="20" spans="2:38" x14ac:dyDescent="0.25">
      <c r="C20" t="s">
        <v>24</v>
      </c>
    </row>
    <row r="22" spans="2:38" x14ac:dyDescent="0.25">
      <c r="D22" t="s">
        <v>83</v>
      </c>
      <c r="E22" t="s">
        <v>98</v>
      </c>
    </row>
    <row r="23" spans="2:38" x14ac:dyDescent="0.25">
      <c r="D23" t="s">
        <v>85</v>
      </c>
      <c r="E23" t="s">
        <v>99</v>
      </c>
    </row>
    <row r="24" spans="2:38" x14ac:dyDescent="0.25">
      <c r="D24" t="s">
        <v>100</v>
      </c>
      <c r="E24">
        <v>20</v>
      </c>
      <c r="F24">
        <v>10</v>
      </c>
      <c r="G24">
        <v>20</v>
      </c>
      <c r="H24">
        <v>10</v>
      </c>
      <c r="I24">
        <v>20</v>
      </c>
      <c r="J24">
        <v>10</v>
      </c>
      <c r="K24">
        <v>20</v>
      </c>
      <c r="L24">
        <v>10</v>
      </c>
      <c r="M24">
        <v>20</v>
      </c>
      <c r="N24">
        <v>10</v>
      </c>
      <c r="O24">
        <v>20</v>
      </c>
      <c r="P24">
        <v>10</v>
      </c>
      <c r="Q24">
        <v>20</v>
      </c>
      <c r="R24">
        <v>10</v>
      </c>
      <c r="S24">
        <v>20</v>
      </c>
      <c r="T24">
        <v>10</v>
      </c>
      <c r="U24">
        <v>20</v>
      </c>
      <c r="V24">
        <v>10</v>
      </c>
      <c r="W24">
        <v>20</v>
      </c>
      <c r="X24">
        <v>10</v>
      </c>
      <c r="Y24">
        <v>20</v>
      </c>
      <c r="Z24">
        <v>10</v>
      </c>
      <c r="AA24">
        <v>20</v>
      </c>
      <c r="AB24">
        <v>10</v>
      </c>
      <c r="AC24">
        <v>20</v>
      </c>
      <c r="AD24">
        <v>10</v>
      </c>
      <c r="AE24">
        <v>20</v>
      </c>
      <c r="AF24">
        <v>10</v>
      </c>
      <c r="AG24">
        <v>20</v>
      </c>
      <c r="AH24">
        <v>10</v>
      </c>
      <c r="AI24">
        <v>20</v>
      </c>
      <c r="AJ24">
        <v>10</v>
      </c>
      <c r="AK24">
        <v>20</v>
      </c>
      <c r="AL24">
        <v>10</v>
      </c>
    </row>
    <row r="25" spans="2:38" x14ac:dyDescent="0.25">
      <c r="D25" t="s">
        <v>101</v>
      </c>
      <c r="E25" t="s">
        <v>102</v>
      </c>
      <c r="F25" t="s">
        <v>102</v>
      </c>
      <c r="G25" t="s">
        <v>102</v>
      </c>
      <c r="H25" t="s">
        <v>102</v>
      </c>
      <c r="I25" t="s">
        <v>102</v>
      </c>
      <c r="J25" t="s">
        <v>102</v>
      </c>
      <c r="K25" t="s">
        <v>102</v>
      </c>
      <c r="L25" t="s">
        <v>102</v>
      </c>
      <c r="M25" t="s">
        <v>102</v>
      </c>
      <c r="N25" t="s">
        <v>102</v>
      </c>
      <c r="O25" t="s">
        <v>102</v>
      </c>
      <c r="P25" t="s">
        <v>102</v>
      </c>
      <c r="Q25" t="s">
        <v>102</v>
      </c>
      <c r="R25" t="s">
        <v>102</v>
      </c>
      <c r="S25" t="s">
        <v>102</v>
      </c>
      <c r="T25" t="s">
        <v>102</v>
      </c>
      <c r="U25" t="s">
        <v>102</v>
      </c>
      <c r="V25" t="s">
        <v>102</v>
      </c>
      <c r="W25" t="s">
        <v>102</v>
      </c>
      <c r="X25" t="s">
        <v>102</v>
      </c>
      <c r="Y25" t="s">
        <v>102</v>
      </c>
      <c r="Z25" t="s">
        <v>102</v>
      </c>
      <c r="AA25" t="s">
        <v>102</v>
      </c>
      <c r="AB25" t="s">
        <v>102</v>
      </c>
      <c r="AC25" t="s">
        <v>102</v>
      </c>
      <c r="AD25" t="s">
        <v>102</v>
      </c>
      <c r="AE25" t="s">
        <v>102</v>
      </c>
      <c r="AF25" t="s">
        <v>102</v>
      </c>
      <c r="AG25" t="s">
        <v>102</v>
      </c>
      <c r="AH25" t="s">
        <v>102</v>
      </c>
      <c r="AI25" t="s">
        <v>102</v>
      </c>
      <c r="AJ25" t="s">
        <v>102</v>
      </c>
      <c r="AK25" t="s">
        <v>102</v>
      </c>
      <c r="AL25" t="s">
        <v>103</v>
      </c>
    </row>
    <row r="26" spans="2:38" x14ac:dyDescent="0.25">
      <c r="D26" t="s">
        <v>104</v>
      </c>
    </row>
    <row r="28" spans="2:38" x14ac:dyDescent="0.25">
      <c r="D28" t="s">
        <v>83</v>
      </c>
      <c r="E28" t="s">
        <v>98</v>
      </c>
    </row>
    <row r="29" spans="2:38" x14ac:dyDescent="0.25">
      <c r="D29" t="s">
        <v>85</v>
      </c>
      <c r="E29" t="s">
        <v>105</v>
      </c>
    </row>
    <row r="30" spans="2:38" x14ac:dyDescent="0.25">
      <c r="D30" t="s">
        <v>100</v>
      </c>
      <c r="E30">
        <v>20</v>
      </c>
      <c r="F30">
        <v>10</v>
      </c>
      <c r="G30">
        <v>20</v>
      </c>
      <c r="H30">
        <v>10</v>
      </c>
      <c r="I30">
        <v>20</v>
      </c>
      <c r="J30">
        <v>10</v>
      </c>
      <c r="K30">
        <v>20</v>
      </c>
      <c r="L30">
        <v>10</v>
      </c>
      <c r="M30">
        <v>20</v>
      </c>
      <c r="N30">
        <v>10</v>
      </c>
      <c r="O30">
        <v>20</v>
      </c>
      <c r="P30">
        <v>10</v>
      </c>
      <c r="Q30">
        <v>20</v>
      </c>
      <c r="R30">
        <v>10</v>
      </c>
      <c r="S30">
        <v>20</v>
      </c>
      <c r="T30">
        <v>10</v>
      </c>
      <c r="U30">
        <v>20</v>
      </c>
      <c r="V30">
        <v>10</v>
      </c>
      <c r="W30">
        <v>20</v>
      </c>
      <c r="X30">
        <v>10</v>
      </c>
      <c r="Y30">
        <v>20</v>
      </c>
      <c r="Z30">
        <v>10</v>
      </c>
      <c r="AA30">
        <v>20</v>
      </c>
      <c r="AB30">
        <v>10</v>
      </c>
      <c r="AC30">
        <v>20</v>
      </c>
      <c r="AD30">
        <v>10</v>
      </c>
      <c r="AE30">
        <v>20</v>
      </c>
      <c r="AF30">
        <v>10</v>
      </c>
      <c r="AG30">
        <v>20</v>
      </c>
      <c r="AH30">
        <v>10</v>
      </c>
      <c r="AI30">
        <v>20</v>
      </c>
      <c r="AJ30">
        <v>10</v>
      </c>
      <c r="AK30">
        <v>20</v>
      </c>
      <c r="AL30">
        <v>10</v>
      </c>
    </row>
    <row r="31" spans="2:38" x14ac:dyDescent="0.25">
      <c r="D31" t="s">
        <v>106</v>
      </c>
    </row>
    <row r="33" spans="4:38" x14ac:dyDescent="0.25">
      <c r="D33" t="s">
        <v>83</v>
      </c>
      <c r="E33" t="s">
        <v>98</v>
      </c>
    </row>
    <row r="34" spans="4:38" x14ac:dyDescent="0.25">
      <c r="D34" t="s">
        <v>85</v>
      </c>
      <c r="E34" t="s">
        <v>108</v>
      </c>
    </row>
    <row r="35" spans="4:38" x14ac:dyDescent="0.25">
      <c r="D35" t="s">
        <v>109</v>
      </c>
      <c r="E35" t="s">
        <v>54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 t="s">
        <v>54</v>
      </c>
      <c r="O35" t="s">
        <v>54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t="s">
        <v>54</v>
      </c>
      <c r="Y35" t="s">
        <v>54</v>
      </c>
      <c r="Z35" t="s">
        <v>54</v>
      </c>
      <c r="AA35" t="s">
        <v>54</v>
      </c>
      <c r="AB35" t="s">
        <v>54</v>
      </c>
      <c r="AC35" t="s">
        <v>54</v>
      </c>
      <c r="AD35" t="s">
        <v>54</v>
      </c>
      <c r="AE35" t="s">
        <v>54</v>
      </c>
      <c r="AF35" t="s">
        <v>54</v>
      </c>
      <c r="AG35" t="s">
        <v>54</v>
      </c>
      <c r="AH35" t="s">
        <v>54</v>
      </c>
      <c r="AI35" t="s">
        <v>54</v>
      </c>
      <c r="AJ35" t="s">
        <v>54</v>
      </c>
      <c r="AK35" t="s">
        <v>54</v>
      </c>
      <c r="AL35" t="s">
        <v>54</v>
      </c>
    </row>
    <row r="36" spans="4:38" x14ac:dyDescent="0.25">
      <c r="D36" t="s">
        <v>110</v>
      </c>
      <c r="E36">
        <v>17</v>
      </c>
      <c r="F36">
        <v>18</v>
      </c>
      <c r="G36">
        <v>19</v>
      </c>
      <c r="H36">
        <v>20</v>
      </c>
      <c r="I36">
        <v>21</v>
      </c>
      <c r="J36">
        <v>22</v>
      </c>
      <c r="K36">
        <v>23</v>
      </c>
      <c r="L36">
        <v>24</v>
      </c>
      <c r="M36">
        <v>25</v>
      </c>
      <c r="N36">
        <v>26</v>
      </c>
      <c r="O36">
        <v>27</v>
      </c>
      <c r="P36">
        <v>28</v>
      </c>
      <c r="Q36">
        <v>29</v>
      </c>
      <c r="R36">
        <v>30</v>
      </c>
      <c r="S36">
        <v>31</v>
      </c>
      <c r="T36">
        <v>32</v>
      </c>
      <c r="U36">
        <v>33</v>
      </c>
      <c r="V36">
        <v>34</v>
      </c>
      <c r="W36">
        <v>35</v>
      </c>
      <c r="X36">
        <v>36</v>
      </c>
      <c r="Y36">
        <v>37</v>
      </c>
      <c r="Z36">
        <v>38</v>
      </c>
      <c r="AA36">
        <v>39</v>
      </c>
      <c r="AB36">
        <v>40</v>
      </c>
      <c r="AC36">
        <v>41</v>
      </c>
      <c r="AD36">
        <v>42</v>
      </c>
      <c r="AE36">
        <v>43</v>
      </c>
      <c r="AF36">
        <v>44</v>
      </c>
      <c r="AG36">
        <v>45</v>
      </c>
      <c r="AH36">
        <v>46</v>
      </c>
      <c r="AI36">
        <v>47</v>
      </c>
      <c r="AJ36">
        <v>48</v>
      </c>
      <c r="AK36">
        <v>49</v>
      </c>
      <c r="AL36">
        <v>50</v>
      </c>
    </row>
    <row r="37" spans="4:38" x14ac:dyDescent="0.25">
      <c r="D37" t="s">
        <v>111</v>
      </c>
      <c r="E37" t="s">
        <v>261</v>
      </c>
      <c r="F37" t="s">
        <v>261</v>
      </c>
      <c r="G37" t="s">
        <v>262</v>
      </c>
      <c r="H37" t="s">
        <v>262</v>
      </c>
      <c r="I37" t="s">
        <v>263</v>
      </c>
      <c r="J37" t="s">
        <v>263</v>
      </c>
      <c r="K37" t="s">
        <v>264</v>
      </c>
      <c r="L37" t="s">
        <v>264</v>
      </c>
      <c r="M37" t="s">
        <v>265</v>
      </c>
      <c r="N37" t="s">
        <v>265</v>
      </c>
      <c r="O37" t="s">
        <v>266</v>
      </c>
      <c r="P37" t="s">
        <v>266</v>
      </c>
      <c r="Q37" t="s">
        <v>267</v>
      </c>
      <c r="R37" t="s">
        <v>267</v>
      </c>
      <c r="S37" t="s">
        <v>268</v>
      </c>
      <c r="T37" t="s">
        <v>268</v>
      </c>
      <c r="U37" t="s">
        <v>269</v>
      </c>
      <c r="V37" t="s">
        <v>269</v>
      </c>
      <c r="W37" t="s">
        <v>270</v>
      </c>
      <c r="X37" t="s">
        <v>270</v>
      </c>
      <c r="Y37" t="s">
        <v>271</v>
      </c>
      <c r="Z37" t="s">
        <v>271</v>
      </c>
      <c r="AA37" t="s">
        <v>272</v>
      </c>
      <c r="AB37" t="s">
        <v>272</v>
      </c>
      <c r="AC37" t="s">
        <v>273</v>
      </c>
      <c r="AD37" t="s">
        <v>273</v>
      </c>
      <c r="AE37" t="s">
        <v>274</v>
      </c>
      <c r="AF37" t="s">
        <v>274</v>
      </c>
      <c r="AG37" t="s">
        <v>275</v>
      </c>
      <c r="AH37" t="s">
        <v>275</v>
      </c>
      <c r="AI37" t="s">
        <v>276</v>
      </c>
      <c r="AJ37" t="s">
        <v>276</v>
      </c>
      <c r="AK37" t="s">
        <v>277</v>
      </c>
      <c r="AL37" t="s">
        <v>277</v>
      </c>
    </row>
    <row r="38" spans="4:38" x14ac:dyDescent="0.25">
      <c r="D38" t="s">
        <v>112</v>
      </c>
      <c r="E38">
        <v>17</v>
      </c>
      <c r="F38">
        <v>18</v>
      </c>
      <c r="G38">
        <v>19</v>
      </c>
      <c r="H38">
        <v>20</v>
      </c>
      <c r="I38">
        <v>21</v>
      </c>
      <c r="J38">
        <v>22</v>
      </c>
      <c r="K38">
        <v>23</v>
      </c>
      <c r="L38">
        <v>24</v>
      </c>
      <c r="M38">
        <v>25</v>
      </c>
      <c r="N38">
        <v>26</v>
      </c>
      <c r="O38">
        <v>27</v>
      </c>
      <c r="P38">
        <v>28</v>
      </c>
      <c r="Q38">
        <v>29</v>
      </c>
      <c r="R38">
        <v>30</v>
      </c>
      <c r="S38">
        <v>31</v>
      </c>
      <c r="T38">
        <v>32</v>
      </c>
      <c r="U38">
        <v>33</v>
      </c>
      <c r="V38">
        <v>34</v>
      </c>
      <c r="W38">
        <v>35</v>
      </c>
      <c r="X38">
        <v>36</v>
      </c>
      <c r="Y38">
        <v>37</v>
      </c>
      <c r="Z38">
        <v>38</v>
      </c>
      <c r="AA38">
        <v>39</v>
      </c>
      <c r="AB38">
        <v>40</v>
      </c>
      <c r="AC38">
        <v>41</v>
      </c>
      <c r="AD38">
        <v>42</v>
      </c>
      <c r="AE38">
        <v>43</v>
      </c>
      <c r="AF38">
        <v>44</v>
      </c>
      <c r="AG38">
        <v>45</v>
      </c>
      <c r="AH38">
        <v>46</v>
      </c>
      <c r="AI38">
        <v>47</v>
      </c>
      <c r="AJ38">
        <v>48</v>
      </c>
      <c r="AK38">
        <v>49</v>
      </c>
      <c r="AL38">
        <v>50</v>
      </c>
    </row>
    <row r="39" spans="4:38" x14ac:dyDescent="0.25">
      <c r="D39" t="s">
        <v>100</v>
      </c>
      <c r="E39">
        <v>20</v>
      </c>
      <c r="F39">
        <v>10</v>
      </c>
      <c r="G39">
        <v>20</v>
      </c>
      <c r="H39">
        <v>10</v>
      </c>
      <c r="I39">
        <v>20</v>
      </c>
      <c r="J39">
        <v>10</v>
      </c>
      <c r="K39">
        <v>20</v>
      </c>
      <c r="L39">
        <v>10</v>
      </c>
      <c r="M39">
        <v>20</v>
      </c>
      <c r="N39">
        <v>10</v>
      </c>
      <c r="O39">
        <v>20</v>
      </c>
      <c r="P39">
        <v>10</v>
      </c>
      <c r="Q39">
        <v>20</v>
      </c>
      <c r="R39">
        <v>10</v>
      </c>
      <c r="S39">
        <v>20</v>
      </c>
      <c r="T39">
        <v>10</v>
      </c>
      <c r="U39">
        <v>20</v>
      </c>
      <c r="V39">
        <v>10</v>
      </c>
      <c r="W39">
        <v>20</v>
      </c>
      <c r="X39">
        <v>10</v>
      </c>
      <c r="Y39">
        <v>20</v>
      </c>
      <c r="Z39">
        <v>10</v>
      </c>
      <c r="AA39">
        <v>20</v>
      </c>
      <c r="AB39">
        <v>10</v>
      </c>
      <c r="AC39">
        <v>20</v>
      </c>
      <c r="AD39">
        <v>10</v>
      </c>
      <c r="AE39">
        <v>20</v>
      </c>
      <c r="AF39">
        <v>10</v>
      </c>
      <c r="AG39">
        <v>20</v>
      </c>
      <c r="AH39">
        <v>10</v>
      </c>
      <c r="AI39">
        <v>20</v>
      </c>
      <c r="AJ39">
        <v>10</v>
      </c>
      <c r="AK39">
        <v>20</v>
      </c>
      <c r="AL39">
        <v>10</v>
      </c>
    </row>
    <row r="40" spans="4:38" x14ac:dyDescent="0.25">
      <c r="D40" t="s">
        <v>113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4:38" x14ac:dyDescent="0.25">
      <c r="D41" t="s">
        <v>114</v>
      </c>
      <c r="E41" t="s">
        <v>22</v>
      </c>
      <c r="F41" t="s">
        <v>22</v>
      </c>
      <c r="G41" t="s">
        <v>22</v>
      </c>
      <c r="H41" t="s">
        <v>22</v>
      </c>
      <c r="I41" t="s">
        <v>22</v>
      </c>
      <c r="J41" t="s">
        <v>22</v>
      </c>
      <c r="K41" t="s">
        <v>22</v>
      </c>
      <c r="L41" t="s">
        <v>22</v>
      </c>
      <c r="M41" t="s">
        <v>22</v>
      </c>
      <c r="N41" t="s">
        <v>22</v>
      </c>
      <c r="O41" t="s">
        <v>22</v>
      </c>
      <c r="P41" t="s">
        <v>22</v>
      </c>
      <c r="Q41" t="s">
        <v>22</v>
      </c>
      <c r="R41" t="s">
        <v>22</v>
      </c>
      <c r="S41" t="s">
        <v>22</v>
      </c>
      <c r="T41" t="s">
        <v>22</v>
      </c>
      <c r="U41" t="s">
        <v>22</v>
      </c>
      <c r="V41" t="s">
        <v>22</v>
      </c>
      <c r="W41" t="s">
        <v>22</v>
      </c>
      <c r="X41" t="s">
        <v>22</v>
      </c>
      <c r="Y41" t="s">
        <v>22</v>
      </c>
      <c r="Z41" t="s">
        <v>22</v>
      </c>
      <c r="AA41" t="s">
        <v>22</v>
      </c>
      <c r="AB41" t="s">
        <v>22</v>
      </c>
      <c r="AC41" t="s">
        <v>22</v>
      </c>
      <c r="AD41" t="s">
        <v>22</v>
      </c>
      <c r="AE41" t="s">
        <v>22</v>
      </c>
      <c r="AF41" t="s">
        <v>22</v>
      </c>
      <c r="AG41" t="s">
        <v>22</v>
      </c>
      <c r="AH41" t="s">
        <v>22</v>
      </c>
      <c r="AI41" t="s">
        <v>22</v>
      </c>
      <c r="AJ41" t="s">
        <v>22</v>
      </c>
      <c r="AK41" t="s">
        <v>22</v>
      </c>
      <c r="AL41" t="s">
        <v>22</v>
      </c>
    </row>
    <row r="42" spans="4:38" x14ac:dyDescent="0.25">
      <c r="D42" t="s">
        <v>115</v>
      </c>
    </row>
    <row r="43" spans="4:38" x14ac:dyDescent="0.25">
      <c r="D43" t="s">
        <v>116</v>
      </c>
    </row>
    <row r="44" spans="4:38" x14ac:dyDescent="0.25">
      <c r="D44" t="s">
        <v>117</v>
      </c>
      <c r="E44">
        <v>0</v>
      </c>
    </row>
    <row r="45" spans="4:38" x14ac:dyDescent="0.25">
      <c r="D45" t="s">
        <v>118</v>
      </c>
      <c r="E45" t="s">
        <v>119</v>
      </c>
    </row>
    <row r="46" spans="4:38" x14ac:dyDescent="0.25">
      <c r="D46" t="s">
        <v>107</v>
      </c>
    </row>
    <row r="51" spans="2:5" x14ac:dyDescent="0.25">
      <c r="B51" t="s">
        <v>171</v>
      </c>
    </row>
    <row r="52" spans="2:5" x14ac:dyDescent="0.25">
      <c r="B52" t="s">
        <v>216</v>
      </c>
    </row>
    <row r="53" spans="2:5" x14ac:dyDescent="0.25">
      <c r="B53" t="s">
        <v>217</v>
      </c>
    </row>
    <row r="54" spans="2:5" x14ac:dyDescent="0.25">
      <c r="B54" t="s">
        <v>218</v>
      </c>
    </row>
    <row r="55" spans="2:5" x14ac:dyDescent="0.25">
      <c r="B55" t="s">
        <v>219</v>
      </c>
    </row>
    <row r="57" spans="2:5" x14ac:dyDescent="0.25">
      <c r="C57" t="s">
        <v>24</v>
      </c>
    </row>
    <row r="59" spans="2:5" x14ac:dyDescent="0.25">
      <c r="D59" t="s">
        <v>83</v>
      </c>
      <c r="E59" t="s">
        <v>82</v>
      </c>
    </row>
    <row r="60" spans="2:5" x14ac:dyDescent="0.25">
      <c r="D60" t="s">
        <v>85</v>
      </c>
      <c r="E60" t="s">
        <v>176</v>
      </c>
    </row>
    <row r="61" spans="2:5" x14ac:dyDescent="0.25">
      <c r="D61" t="s">
        <v>177</v>
      </c>
      <c r="E61" t="s">
        <v>214</v>
      </c>
    </row>
    <row r="62" spans="2:5" x14ac:dyDescent="0.25">
      <c r="D62" t="s">
        <v>178</v>
      </c>
      <c r="E62" t="s">
        <v>215</v>
      </c>
    </row>
    <row r="63" spans="2:5" x14ac:dyDescent="0.25">
      <c r="D63" t="s">
        <v>179</v>
      </c>
      <c r="E63" t="s">
        <v>220</v>
      </c>
    </row>
    <row r="64" spans="2:5" x14ac:dyDescent="0.25">
      <c r="D64" t="s">
        <v>125</v>
      </c>
    </row>
    <row r="69" spans="2:5" x14ac:dyDescent="0.25">
      <c r="B69" t="s">
        <v>120</v>
      </c>
    </row>
    <row r="70" spans="2:5" x14ac:dyDescent="0.25">
      <c r="B70" t="s">
        <v>221</v>
      </c>
    </row>
    <row r="71" spans="2:5" x14ac:dyDescent="0.25">
      <c r="B71" t="s">
        <v>126</v>
      </c>
    </row>
    <row r="72" spans="2:5" x14ac:dyDescent="0.25">
      <c r="B72" t="s">
        <v>121</v>
      </c>
    </row>
    <row r="73" spans="2:5" x14ac:dyDescent="0.25">
      <c r="B73" t="s">
        <v>122</v>
      </c>
    </row>
    <row r="74" spans="2:5" x14ac:dyDescent="0.25">
      <c r="B74" t="s">
        <v>127</v>
      </c>
    </row>
    <row r="75" spans="2:5" x14ac:dyDescent="0.25">
      <c r="B75" t="s">
        <v>124</v>
      </c>
    </row>
    <row r="77" spans="2:5" x14ac:dyDescent="0.25">
      <c r="C77" t="s">
        <v>24</v>
      </c>
    </row>
    <row r="79" spans="2:5" x14ac:dyDescent="0.25">
      <c r="D79" t="s">
        <v>83</v>
      </c>
      <c r="E79" t="s">
        <v>98</v>
      </c>
    </row>
    <row r="80" spans="2:5" x14ac:dyDescent="0.25">
      <c r="D80" t="s">
        <v>85</v>
      </c>
      <c r="E80" t="s">
        <v>99</v>
      </c>
    </row>
    <row r="81" spans="4:21" x14ac:dyDescent="0.25">
      <c r="D81" t="s">
        <v>100</v>
      </c>
      <c r="E81">
        <v>10</v>
      </c>
      <c r="F81">
        <v>10</v>
      </c>
      <c r="G81">
        <v>10</v>
      </c>
      <c r="H81">
        <v>10</v>
      </c>
      <c r="I81">
        <v>10</v>
      </c>
      <c r="J81">
        <v>10</v>
      </c>
      <c r="K81">
        <v>10</v>
      </c>
      <c r="L81">
        <v>10</v>
      </c>
      <c r="M81">
        <v>10</v>
      </c>
      <c r="N81">
        <v>10</v>
      </c>
      <c r="O81">
        <v>10</v>
      </c>
      <c r="P81">
        <v>10</v>
      </c>
      <c r="Q81">
        <v>10</v>
      </c>
      <c r="R81">
        <v>10</v>
      </c>
      <c r="S81">
        <v>10</v>
      </c>
      <c r="T81">
        <v>10</v>
      </c>
      <c r="U81">
        <v>10</v>
      </c>
    </row>
    <row r="82" spans="4:21" x14ac:dyDescent="0.25">
      <c r="D82" t="s">
        <v>101</v>
      </c>
      <c r="E82" t="s">
        <v>102</v>
      </c>
      <c r="F82" t="s">
        <v>102</v>
      </c>
      <c r="G82" t="s">
        <v>102</v>
      </c>
      <c r="H82" t="s">
        <v>102</v>
      </c>
      <c r="I82" t="s">
        <v>102</v>
      </c>
      <c r="J82" t="s">
        <v>102</v>
      </c>
      <c r="K82" t="s">
        <v>102</v>
      </c>
      <c r="L82" t="s">
        <v>102</v>
      </c>
      <c r="M82" t="s">
        <v>102</v>
      </c>
      <c r="N82" t="s">
        <v>102</v>
      </c>
      <c r="O82" t="s">
        <v>102</v>
      </c>
      <c r="P82" t="s">
        <v>102</v>
      </c>
      <c r="Q82" t="s">
        <v>102</v>
      </c>
      <c r="R82" t="s">
        <v>102</v>
      </c>
      <c r="S82" t="s">
        <v>102</v>
      </c>
      <c r="T82" t="s">
        <v>102</v>
      </c>
      <c r="U82" t="s">
        <v>103</v>
      </c>
    </row>
    <row r="83" spans="4:21" x14ac:dyDescent="0.25">
      <c r="D83" t="s">
        <v>128</v>
      </c>
    </row>
    <row r="85" spans="4:21" x14ac:dyDescent="0.25">
      <c r="D85" t="s">
        <v>83</v>
      </c>
      <c r="E85" t="s">
        <v>98</v>
      </c>
    </row>
    <row r="86" spans="4:21" x14ac:dyDescent="0.25">
      <c r="D86" t="s">
        <v>85</v>
      </c>
      <c r="E86" t="s">
        <v>105</v>
      </c>
    </row>
    <row r="87" spans="4:21" x14ac:dyDescent="0.25">
      <c r="D87" t="s">
        <v>100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  <c r="R87">
        <v>10</v>
      </c>
      <c r="S87">
        <v>10</v>
      </c>
      <c r="T87">
        <v>10</v>
      </c>
      <c r="U87">
        <v>10</v>
      </c>
    </row>
    <row r="88" spans="4:21" x14ac:dyDescent="0.25">
      <c r="D88" t="s">
        <v>129</v>
      </c>
    </row>
    <row r="90" spans="4:21" x14ac:dyDescent="0.25">
      <c r="D90" t="s">
        <v>83</v>
      </c>
      <c r="E90" t="s">
        <v>98</v>
      </c>
    </row>
    <row r="91" spans="4:21" x14ac:dyDescent="0.25">
      <c r="D91" t="s">
        <v>85</v>
      </c>
      <c r="E91" t="s">
        <v>108</v>
      </c>
    </row>
    <row r="92" spans="4:21" x14ac:dyDescent="0.25">
      <c r="D92" t="s">
        <v>109</v>
      </c>
      <c r="E92" t="s">
        <v>54</v>
      </c>
      <c r="F92" t="s">
        <v>54</v>
      </c>
      <c r="G92" t="s">
        <v>54</v>
      </c>
      <c r="H92" t="s">
        <v>54</v>
      </c>
      <c r="I92" t="s">
        <v>54</v>
      </c>
      <c r="J92" t="s">
        <v>54</v>
      </c>
      <c r="K92" t="s">
        <v>54</v>
      </c>
      <c r="L92" t="s">
        <v>54</v>
      </c>
      <c r="M92" t="s">
        <v>54</v>
      </c>
      <c r="N92" t="s">
        <v>54</v>
      </c>
      <c r="O92" t="s">
        <v>54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</row>
    <row r="93" spans="4:21" x14ac:dyDescent="0.25">
      <c r="D93" t="s">
        <v>110</v>
      </c>
      <c r="E93">
        <v>18</v>
      </c>
      <c r="F93">
        <v>20</v>
      </c>
      <c r="G93">
        <v>22</v>
      </c>
      <c r="H93">
        <v>24</v>
      </c>
      <c r="I93">
        <v>26</v>
      </c>
      <c r="J93">
        <v>28</v>
      </c>
      <c r="K93">
        <v>30</v>
      </c>
      <c r="L93">
        <v>32</v>
      </c>
      <c r="M93">
        <v>34</v>
      </c>
      <c r="N93">
        <v>36</v>
      </c>
      <c r="O93">
        <v>38</v>
      </c>
      <c r="P93">
        <v>40</v>
      </c>
      <c r="Q93">
        <v>42</v>
      </c>
      <c r="R93">
        <v>44</v>
      </c>
      <c r="S93">
        <v>46</v>
      </c>
      <c r="T93">
        <v>48</v>
      </c>
      <c r="U93">
        <v>50</v>
      </c>
    </row>
    <row r="94" spans="4:21" x14ac:dyDescent="0.25">
      <c r="D94" t="s">
        <v>111</v>
      </c>
      <c r="E94" t="s">
        <v>66</v>
      </c>
      <c r="F94" t="s">
        <v>66</v>
      </c>
      <c r="G94" t="s">
        <v>66</v>
      </c>
      <c r="H94" t="s">
        <v>66</v>
      </c>
      <c r="I94" t="s">
        <v>66</v>
      </c>
      <c r="J94" t="s">
        <v>66</v>
      </c>
      <c r="K94" t="s">
        <v>66</v>
      </c>
      <c r="L94" t="s">
        <v>66</v>
      </c>
      <c r="M94" t="s">
        <v>66</v>
      </c>
      <c r="N94" t="s">
        <v>66</v>
      </c>
      <c r="O94" t="s">
        <v>66</v>
      </c>
      <c r="P94" t="s">
        <v>66</v>
      </c>
      <c r="Q94" t="s">
        <v>66</v>
      </c>
      <c r="R94" t="s">
        <v>66</v>
      </c>
      <c r="S94" t="s">
        <v>66</v>
      </c>
      <c r="T94" t="s">
        <v>66</v>
      </c>
      <c r="U94" t="s">
        <v>66</v>
      </c>
    </row>
    <row r="95" spans="4:21" x14ac:dyDescent="0.25">
      <c r="D95" t="s">
        <v>112</v>
      </c>
      <c r="E95">
        <v>18</v>
      </c>
      <c r="F95">
        <v>20</v>
      </c>
      <c r="G95">
        <v>22</v>
      </c>
      <c r="H95">
        <v>24</v>
      </c>
      <c r="I95">
        <v>26</v>
      </c>
      <c r="J95">
        <v>28</v>
      </c>
      <c r="K95">
        <v>30</v>
      </c>
      <c r="L95">
        <v>32</v>
      </c>
      <c r="M95">
        <v>34</v>
      </c>
      <c r="N95">
        <v>36</v>
      </c>
      <c r="O95">
        <v>38</v>
      </c>
      <c r="P95">
        <v>40</v>
      </c>
      <c r="Q95">
        <v>42</v>
      </c>
      <c r="R95">
        <v>44</v>
      </c>
      <c r="S95">
        <v>46</v>
      </c>
      <c r="T95">
        <v>48</v>
      </c>
      <c r="U95">
        <v>50</v>
      </c>
    </row>
    <row r="96" spans="4:21" x14ac:dyDescent="0.25">
      <c r="D96" t="s">
        <v>100</v>
      </c>
      <c r="E96">
        <v>10</v>
      </c>
      <c r="F96">
        <v>10</v>
      </c>
      <c r="G96">
        <v>10</v>
      </c>
      <c r="H96">
        <v>10</v>
      </c>
      <c r="I96">
        <v>10</v>
      </c>
      <c r="J96">
        <v>10</v>
      </c>
      <c r="K96">
        <v>10</v>
      </c>
      <c r="L96">
        <v>10</v>
      </c>
      <c r="M96">
        <v>10</v>
      </c>
      <c r="N96">
        <v>10</v>
      </c>
      <c r="O96">
        <v>10</v>
      </c>
      <c r="P96">
        <v>10</v>
      </c>
      <c r="Q96">
        <v>10</v>
      </c>
      <c r="R96">
        <v>10</v>
      </c>
      <c r="S96">
        <v>10</v>
      </c>
      <c r="T96">
        <v>10</v>
      </c>
      <c r="U96">
        <v>10</v>
      </c>
    </row>
    <row r="97" spans="2:21" x14ac:dyDescent="0.25">
      <c r="D97" t="s">
        <v>113</v>
      </c>
      <c r="E97">
        <v>10</v>
      </c>
      <c r="F97">
        <v>10</v>
      </c>
      <c r="G97">
        <v>10</v>
      </c>
      <c r="H97">
        <v>10</v>
      </c>
      <c r="I97">
        <v>10</v>
      </c>
      <c r="J97">
        <v>10</v>
      </c>
      <c r="K97">
        <v>10</v>
      </c>
      <c r="L97">
        <v>10</v>
      </c>
      <c r="M97">
        <v>10</v>
      </c>
      <c r="N97">
        <v>10</v>
      </c>
      <c r="O97">
        <v>10</v>
      </c>
      <c r="P97">
        <v>10</v>
      </c>
      <c r="Q97">
        <v>10</v>
      </c>
      <c r="R97">
        <v>10</v>
      </c>
      <c r="S97">
        <v>10</v>
      </c>
      <c r="T97">
        <v>10</v>
      </c>
      <c r="U97">
        <v>10</v>
      </c>
    </row>
    <row r="98" spans="2:21" x14ac:dyDescent="0.25">
      <c r="D98" t="s">
        <v>114</v>
      </c>
      <c r="E98" t="s">
        <v>22</v>
      </c>
      <c r="F98" t="s">
        <v>22</v>
      </c>
      <c r="G98" t="s">
        <v>22</v>
      </c>
      <c r="H98" t="s">
        <v>22</v>
      </c>
      <c r="I98" t="s">
        <v>22</v>
      </c>
      <c r="J98" t="s">
        <v>22</v>
      </c>
      <c r="K98" t="s">
        <v>22</v>
      </c>
      <c r="L98" t="s">
        <v>22</v>
      </c>
      <c r="M98" t="s">
        <v>22</v>
      </c>
      <c r="N98" t="s">
        <v>22</v>
      </c>
      <c r="O98" t="s">
        <v>22</v>
      </c>
      <c r="P98" t="s">
        <v>22</v>
      </c>
      <c r="Q98" t="s">
        <v>22</v>
      </c>
      <c r="R98" t="s">
        <v>22</v>
      </c>
      <c r="S98" t="s">
        <v>22</v>
      </c>
      <c r="T98" t="s">
        <v>22</v>
      </c>
      <c r="U98" t="s">
        <v>22</v>
      </c>
    </row>
    <row r="99" spans="2:21" x14ac:dyDescent="0.25">
      <c r="D99" t="s">
        <v>115</v>
      </c>
    </row>
    <row r="100" spans="2:21" x14ac:dyDescent="0.25">
      <c r="D100" t="s">
        <v>116</v>
      </c>
    </row>
    <row r="101" spans="2:21" x14ac:dyDescent="0.25">
      <c r="D101" t="s">
        <v>117</v>
      </c>
      <c r="E101">
        <v>0</v>
      </c>
    </row>
    <row r="102" spans="2:21" x14ac:dyDescent="0.25">
      <c r="D102" t="s">
        <v>118</v>
      </c>
      <c r="E102" t="s">
        <v>119</v>
      </c>
    </row>
    <row r="103" spans="2:21" x14ac:dyDescent="0.25">
      <c r="D103" t="s">
        <v>130</v>
      </c>
    </row>
    <row r="108" spans="2:21" x14ac:dyDescent="0.25">
      <c r="B108" t="s">
        <v>90</v>
      </c>
    </row>
    <row r="109" spans="2:21" x14ac:dyDescent="0.25">
      <c r="B109" t="s">
        <v>222</v>
      </c>
    </row>
    <row r="110" spans="2:21" x14ac:dyDescent="0.25">
      <c r="B110" t="s">
        <v>92</v>
      </c>
    </row>
    <row r="111" spans="2:21" x14ac:dyDescent="0.25">
      <c r="B111" t="s">
        <v>93</v>
      </c>
    </row>
    <row r="112" spans="2:21" x14ac:dyDescent="0.25">
      <c r="B112" t="s">
        <v>94</v>
      </c>
    </row>
    <row r="113" spans="2:54" x14ac:dyDescent="0.25">
      <c r="B113" t="s">
        <v>95</v>
      </c>
    </row>
    <row r="114" spans="2:54" x14ac:dyDescent="0.25">
      <c r="B114" t="s">
        <v>96</v>
      </c>
    </row>
    <row r="115" spans="2:54" x14ac:dyDescent="0.25">
      <c r="B115" t="s">
        <v>97</v>
      </c>
    </row>
    <row r="117" spans="2:54" x14ac:dyDescent="0.25">
      <c r="C117" t="s">
        <v>24</v>
      </c>
    </row>
    <row r="119" spans="2:54" x14ac:dyDescent="0.25">
      <c r="D119" t="s">
        <v>83</v>
      </c>
      <c r="E119" t="s">
        <v>98</v>
      </c>
    </row>
    <row r="120" spans="2:54" x14ac:dyDescent="0.25">
      <c r="D120" t="s">
        <v>85</v>
      </c>
      <c r="E120" t="s">
        <v>99</v>
      </c>
    </row>
    <row r="121" spans="2:54" x14ac:dyDescent="0.25">
      <c r="D121" t="s">
        <v>100</v>
      </c>
      <c r="E121">
        <v>20</v>
      </c>
      <c r="F121">
        <v>20</v>
      </c>
      <c r="G121">
        <v>10</v>
      </c>
      <c r="H121">
        <v>10</v>
      </c>
      <c r="I121">
        <v>15</v>
      </c>
      <c r="J121">
        <v>15</v>
      </c>
      <c r="K121">
        <v>17.5</v>
      </c>
      <c r="L121">
        <v>17.5</v>
      </c>
      <c r="M121">
        <v>18.75</v>
      </c>
      <c r="N121">
        <v>18.75</v>
      </c>
      <c r="O121">
        <v>19.373999999999999</v>
      </c>
      <c r="P121">
        <v>19.373999999999999</v>
      </c>
      <c r="Q121">
        <v>19.687999999999999</v>
      </c>
      <c r="R121">
        <v>19.687999999999999</v>
      </c>
      <c r="S121">
        <v>20</v>
      </c>
      <c r="T121">
        <v>20</v>
      </c>
      <c r="U121">
        <v>20</v>
      </c>
      <c r="V121">
        <v>20</v>
      </c>
      <c r="W121">
        <v>20</v>
      </c>
      <c r="X121">
        <v>20</v>
      </c>
      <c r="Y121">
        <v>20</v>
      </c>
      <c r="Z121">
        <v>20</v>
      </c>
      <c r="AA121">
        <v>20</v>
      </c>
      <c r="AB121">
        <v>20</v>
      </c>
      <c r="AC121">
        <v>20</v>
      </c>
      <c r="AD121">
        <v>20</v>
      </c>
      <c r="AE121">
        <v>20</v>
      </c>
      <c r="AF121">
        <v>20</v>
      </c>
      <c r="AG121">
        <v>20</v>
      </c>
      <c r="AH121">
        <v>20</v>
      </c>
      <c r="AI121">
        <v>20</v>
      </c>
      <c r="AJ121">
        <v>20</v>
      </c>
      <c r="AK121">
        <v>20</v>
      </c>
      <c r="AL121">
        <v>20</v>
      </c>
      <c r="AM121">
        <v>20</v>
      </c>
      <c r="AN121">
        <v>20</v>
      </c>
      <c r="AO121">
        <v>20</v>
      </c>
      <c r="AP121">
        <v>20</v>
      </c>
      <c r="AQ121">
        <v>20</v>
      </c>
      <c r="AR121">
        <v>20</v>
      </c>
      <c r="AS121">
        <v>20</v>
      </c>
      <c r="AT121">
        <v>20</v>
      </c>
      <c r="AU121">
        <v>20</v>
      </c>
      <c r="AV121">
        <v>20</v>
      </c>
      <c r="AW121">
        <v>20</v>
      </c>
      <c r="AX121">
        <v>20</v>
      </c>
      <c r="AY121">
        <v>20</v>
      </c>
      <c r="AZ121">
        <v>20</v>
      </c>
      <c r="BA121">
        <v>20</v>
      </c>
      <c r="BB121">
        <v>20</v>
      </c>
    </row>
    <row r="122" spans="2:54" x14ac:dyDescent="0.25">
      <c r="D122" t="s">
        <v>101</v>
      </c>
      <c r="E122" t="s">
        <v>102</v>
      </c>
      <c r="F122" t="s">
        <v>102</v>
      </c>
      <c r="G122" t="s">
        <v>102</v>
      </c>
      <c r="H122" t="s">
        <v>102</v>
      </c>
      <c r="I122" t="s">
        <v>102</v>
      </c>
      <c r="J122" t="s">
        <v>102</v>
      </c>
      <c r="K122" t="s">
        <v>102</v>
      </c>
      <c r="L122" t="s">
        <v>102</v>
      </c>
      <c r="M122" t="s">
        <v>102</v>
      </c>
      <c r="N122" t="s">
        <v>102</v>
      </c>
      <c r="O122" t="s">
        <v>102</v>
      </c>
      <c r="P122" t="s">
        <v>102</v>
      </c>
      <c r="Q122" t="s">
        <v>102</v>
      </c>
      <c r="R122" t="s">
        <v>102</v>
      </c>
      <c r="S122" t="s">
        <v>102</v>
      </c>
      <c r="T122" t="s">
        <v>102</v>
      </c>
      <c r="U122" t="s">
        <v>102</v>
      </c>
      <c r="V122" t="s">
        <v>102</v>
      </c>
      <c r="W122" t="s">
        <v>102</v>
      </c>
      <c r="X122" t="s">
        <v>102</v>
      </c>
      <c r="Y122" t="s">
        <v>102</v>
      </c>
      <c r="Z122" t="s">
        <v>102</v>
      </c>
      <c r="AA122" t="s">
        <v>102</v>
      </c>
      <c r="AB122" t="s">
        <v>102</v>
      </c>
      <c r="AC122" t="s">
        <v>102</v>
      </c>
      <c r="AD122" t="s">
        <v>102</v>
      </c>
      <c r="AE122" t="s">
        <v>102</v>
      </c>
      <c r="AF122" t="s">
        <v>102</v>
      </c>
      <c r="AG122" t="s">
        <v>102</v>
      </c>
      <c r="AH122" t="s">
        <v>102</v>
      </c>
      <c r="AI122" t="s">
        <v>102</v>
      </c>
      <c r="AJ122" t="s">
        <v>102</v>
      </c>
      <c r="AK122" t="s">
        <v>102</v>
      </c>
      <c r="AL122" t="s">
        <v>102</v>
      </c>
      <c r="AM122" t="s">
        <v>102</v>
      </c>
      <c r="AN122" t="s">
        <v>102</v>
      </c>
      <c r="AO122" t="s">
        <v>102</v>
      </c>
      <c r="AP122" t="s">
        <v>102</v>
      </c>
      <c r="AQ122" t="s">
        <v>102</v>
      </c>
      <c r="AR122" t="s">
        <v>102</v>
      </c>
      <c r="AS122" t="s">
        <v>102</v>
      </c>
      <c r="AT122" t="s">
        <v>102</v>
      </c>
      <c r="AU122" t="s">
        <v>102</v>
      </c>
      <c r="AV122" t="s">
        <v>102</v>
      </c>
      <c r="AW122" t="s">
        <v>102</v>
      </c>
      <c r="AX122" t="s">
        <v>102</v>
      </c>
      <c r="AY122" t="s">
        <v>102</v>
      </c>
      <c r="AZ122" t="s">
        <v>102</v>
      </c>
      <c r="BA122" t="s">
        <v>102</v>
      </c>
      <c r="BB122" t="s">
        <v>103</v>
      </c>
    </row>
    <row r="123" spans="2:54" x14ac:dyDescent="0.25">
      <c r="D123" t="s">
        <v>135</v>
      </c>
    </row>
    <row r="125" spans="2:54" x14ac:dyDescent="0.25">
      <c r="D125" t="s">
        <v>83</v>
      </c>
      <c r="E125" t="s">
        <v>98</v>
      </c>
    </row>
    <row r="126" spans="2:54" x14ac:dyDescent="0.25">
      <c r="D126" t="s">
        <v>85</v>
      </c>
      <c r="E126" t="s">
        <v>105</v>
      </c>
    </row>
    <row r="127" spans="2:54" x14ac:dyDescent="0.25">
      <c r="D127" t="s">
        <v>100</v>
      </c>
      <c r="E127">
        <v>20</v>
      </c>
      <c r="F127">
        <v>20</v>
      </c>
      <c r="G127">
        <v>10</v>
      </c>
      <c r="H127">
        <v>10</v>
      </c>
      <c r="I127">
        <v>15</v>
      </c>
      <c r="J127">
        <v>15</v>
      </c>
      <c r="K127">
        <v>17.5</v>
      </c>
      <c r="L127">
        <v>17.5</v>
      </c>
      <c r="M127">
        <v>18.75</v>
      </c>
      <c r="N127">
        <v>18.75</v>
      </c>
      <c r="O127">
        <v>19.373999999999999</v>
      </c>
      <c r="P127">
        <v>19.373999999999999</v>
      </c>
      <c r="Q127">
        <v>19.687999999999999</v>
      </c>
      <c r="R127">
        <v>19.687999999999999</v>
      </c>
      <c r="S127">
        <v>20</v>
      </c>
      <c r="T127">
        <v>20</v>
      </c>
      <c r="U127">
        <v>20</v>
      </c>
      <c r="V127">
        <v>20</v>
      </c>
      <c r="W127">
        <v>20</v>
      </c>
      <c r="X127">
        <v>20</v>
      </c>
      <c r="Y127">
        <v>20</v>
      </c>
      <c r="Z127">
        <v>20</v>
      </c>
      <c r="AA127">
        <v>20</v>
      </c>
      <c r="AB127">
        <v>20</v>
      </c>
      <c r="AC127">
        <v>20</v>
      </c>
      <c r="AD127">
        <v>20</v>
      </c>
      <c r="AE127">
        <v>20</v>
      </c>
      <c r="AF127">
        <v>20</v>
      </c>
      <c r="AG127">
        <v>20</v>
      </c>
      <c r="AH127">
        <v>20</v>
      </c>
      <c r="AI127">
        <v>20</v>
      </c>
      <c r="AJ127">
        <v>20</v>
      </c>
      <c r="AK127">
        <v>20</v>
      </c>
      <c r="AL127">
        <v>20</v>
      </c>
      <c r="AM127">
        <v>20</v>
      </c>
      <c r="AN127">
        <v>20</v>
      </c>
      <c r="AO127">
        <v>20</v>
      </c>
      <c r="AP127">
        <v>20</v>
      </c>
      <c r="AQ127">
        <v>20</v>
      </c>
      <c r="AR127">
        <v>20</v>
      </c>
      <c r="AS127">
        <v>20</v>
      </c>
      <c r="AT127">
        <v>20</v>
      </c>
      <c r="AU127">
        <v>20</v>
      </c>
      <c r="AV127">
        <v>20</v>
      </c>
      <c r="AW127">
        <v>20</v>
      </c>
      <c r="AX127">
        <v>20</v>
      </c>
      <c r="AY127">
        <v>20</v>
      </c>
      <c r="AZ127">
        <v>20</v>
      </c>
      <c r="BA127">
        <v>20</v>
      </c>
      <c r="BB127">
        <v>20</v>
      </c>
    </row>
    <row r="128" spans="2:54" x14ac:dyDescent="0.25">
      <c r="D128" t="s">
        <v>136</v>
      </c>
    </row>
    <row r="130" spans="4:54" x14ac:dyDescent="0.25">
      <c r="D130" t="s">
        <v>83</v>
      </c>
      <c r="E130" t="s">
        <v>98</v>
      </c>
    </row>
    <row r="131" spans="4:54" x14ac:dyDescent="0.25">
      <c r="D131" t="s">
        <v>85</v>
      </c>
      <c r="E131" t="s">
        <v>99</v>
      </c>
    </row>
    <row r="132" spans="4:54" x14ac:dyDescent="0.25">
      <c r="D132" t="s">
        <v>100</v>
      </c>
      <c r="E132">
        <v>10</v>
      </c>
      <c r="F132">
        <v>10</v>
      </c>
      <c r="G132">
        <v>5</v>
      </c>
      <c r="H132">
        <v>5</v>
      </c>
      <c r="I132">
        <v>2.5</v>
      </c>
      <c r="J132">
        <v>2.5</v>
      </c>
      <c r="K132">
        <v>1.25</v>
      </c>
      <c r="L132">
        <v>1.25</v>
      </c>
      <c r="M132">
        <v>0.626</v>
      </c>
      <c r="N132">
        <v>0.626</v>
      </c>
      <c r="O132">
        <v>0.312</v>
      </c>
      <c r="P132">
        <v>0.312</v>
      </c>
    </row>
    <row r="133" spans="4:54" x14ac:dyDescent="0.25">
      <c r="D133" t="s">
        <v>101</v>
      </c>
      <c r="E133" t="s">
        <v>102</v>
      </c>
      <c r="F133" t="s">
        <v>102</v>
      </c>
      <c r="G133" t="s">
        <v>102</v>
      </c>
      <c r="H133" t="s">
        <v>102</v>
      </c>
      <c r="I133" t="s">
        <v>102</v>
      </c>
      <c r="J133" t="s">
        <v>102</v>
      </c>
      <c r="K133" t="s">
        <v>102</v>
      </c>
      <c r="L133" t="s">
        <v>102</v>
      </c>
      <c r="M133" t="s">
        <v>102</v>
      </c>
      <c r="N133" t="s">
        <v>102</v>
      </c>
      <c r="O133" t="s">
        <v>102</v>
      </c>
      <c r="P133" t="s">
        <v>103</v>
      </c>
    </row>
    <row r="134" spans="4:54" x14ac:dyDescent="0.25">
      <c r="D134" t="s">
        <v>137</v>
      </c>
    </row>
    <row r="136" spans="4:54" x14ac:dyDescent="0.25">
      <c r="D136" t="s">
        <v>83</v>
      </c>
      <c r="E136" t="s">
        <v>98</v>
      </c>
    </row>
    <row r="137" spans="4:54" x14ac:dyDescent="0.25">
      <c r="D137" t="s">
        <v>85</v>
      </c>
      <c r="E137" t="s">
        <v>105</v>
      </c>
    </row>
    <row r="138" spans="4:54" x14ac:dyDescent="0.25">
      <c r="D138" t="s">
        <v>100</v>
      </c>
      <c r="E138">
        <v>10</v>
      </c>
      <c r="F138">
        <v>10</v>
      </c>
      <c r="G138">
        <v>5</v>
      </c>
      <c r="H138">
        <v>5</v>
      </c>
      <c r="I138">
        <v>2.5</v>
      </c>
      <c r="J138">
        <v>2.5</v>
      </c>
      <c r="K138">
        <v>1.25</v>
      </c>
      <c r="L138">
        <v>1.25</v>
      </c>
      <c r="M138">
        <v>0.626</v>
      </c>
      <c r="N138">
        <v>0.626</v>
      </c>
      <c r="O138">
        <v>0.312</v>
      </c>
      <c r="P138">
        <v>0.31</v>
      </c>
    </row>
    <row r="139" spans="4:54" x14ac:dyDescent="0.25">
      <c r="D139" t="s">
        <v>223</v>
      </c>
    </row>
    <row r="141" spans="4:54" x14ac:dyDescent="0.25">
      <c r="D141" t="s">
        <v>83</v>
      </c>
      <c r="E141" t="s">
        <v>98</v>
      </c>
    </row>
    <row r="142" spans="4:54" x14ac:dyDescent="0.25">
      <c r="D142" t="s">
        <v>85</v>
      </c>
      <c r="E142" t="s">
        <v>108</v>
      </c>
    </row>
    <row r="143" spans="4:54" x14ac:dyDescent="0.25">
      <c r="D143" t="s">
        <v>109</v>
      </c>
      <c r="E143" t="s">
        <v>54</v>
      </c>
      <c r="F143" t="s">
        <v>54</v>
      </c>
      <c r="G143" t="s">
        <v>54</v>
      </c>
      <c r="H143" t="s">
        <v>54</v>
      </c>
      <c r="I143" t="s">
        <v>54</v>
      </c>
      <c r="J143" t="s">
        <v>54</v>
      </c>
      <c r="K143" t="s">
        <v>54</v>
      </c>
      <c r="L143" t="s">
        <v>54</v>
      </c>
      <c r="M143" t="s">
        <v>54</v>
      </c>
      <c r="N143" t="s">
        <v>54</v>
      </c>
      <c r="O143" t="s">
        <v>54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t="s">
        <v>54</v>
      </c>
      <c r="Y143" t="s">
        <v>54</v>
      </c>
      <c r="Z143" t="s">
        <v>54</v>
      </c>
      <c r="AA143" t="s">
        <v>54</v>
      </c>
      <c r="AB143" t="s">
        <v>54</v>
      </c>
      <c r="AC143" t="s">
        <v>54</v>
      </c>
      <c r="AD143" t="s">
        <v>54</v>
      </c>
      <c r="AE143" t="s">
        <v>54</v>
      </c>
      <c r="AF143" t="s">
        <v>54</v>
      </c>
      <c r="AG143" t="s">
        <v>54</v>
      </c>
      <c r="AH143" t="s">
        <v>54</v>
      </c>
      <c r="AI143" t="s">
        <v>54</v>
      </c>
      <c r="AJ143" t="s">
        <v>54</v>
      </c>
      <c r="AK143" t="s">
        <v>54</v>
      </c>
      <c r="AL143" t="s">
        <v>54</v>
      </c>
      <c r="AM143" t="s">
        <v>54</v>
      </c>
      <c r="AN143" t="s">
        <v>54</v>
      </c>
      <c r="AO143" t="s">
        <v>54</v>
      </c>
      <c r="AP143" t="s">
        <v>54</v>
      </c>
      <c r="AQ143" t="s">
        <v>54</v>
      </c>
      <c r="AR143" t="s">
        <v>54</v>
      </c>
      <c r="AS143" t="s">
        <v>54</v>
      </c>
      <c r="AT143" t="s">
        <v>54</v>
      </c>
      <c r="AU143" t="s">
        <v>54</v>
      </c>
      <c r="AV143" t="s">
        <v>54</v>
      </c>
      <c r="AW143" t="s">
        <v>54</v>
      </c>
      <c r="AX143" t="s">
        <v>54</v>
      </c>
      <c r="AY143" t="s">
        <v>54</v>
      </c>
      <c r="AZ143" t="s">
        <v>54</v>
      </c>
      <c r="BA143" t="s">
        <v>54</v>
      </c>
      <c r="BB143" t="s">
        <v>54</v>
      </c>
    </row>
    <row r="144" spans="4:54" x14ac:dyDescent="0.25">
      <c r="D144" t="s">
        <v>110</v>
      </c>
      <c r="E144">
        <v>1</v>
      </c>
      <c r="F144">
        <v>2</v>
      </c>
      <c r="G144">
        <v>3</v>
      </c>
      <c r="H144">
        <v>4</v>
      </c>
      <c r="I144">
        <v>5</v>
      </c>
      <c r="J144">
        <v>6</v>
      </c>
      <c r="K144">
        <v>7</v>
      </c>
      <c r="L144">
        <v>8</v>
      </c>
      <c r="M144">
        <v>9</v>
      </c>
      <c r="N144">
        <v>10</v>
      </c>
      <c r="O144">
        <v>11</v>
      </c>
      <c r="P144">
        <v>12</v>
      </c>
      <c r="Q144">
        <v>13</v>
      </c>
      <c r="R144">
        <v>14</v>
      </c>
      <c r="S144">
        <v>15</v>
      </c>
      <c r="T144">
        <v>16</v>
      </c>
      <c r="U144">
        <v>17</v>
      </c>
      <c r="V144">
        <v>18</v>
      </c>
      <c r="W144">
        <v>19</v>
      </c>
      <c r="X144">
        <v>20</v>
      </c>
      <c r="Y144">
        <v>21</v>
      </c>
      <c r="Z144">
        <v>22</v>
      </c>
      <c r="AA144">
        <v>23</v>
      </c>
      <c r="AB144">
        <v>24</v>
      </c>
      <c r="AC144">
        <v>25</v>
      </c>
      <c r="AD144">
        <v>26</v>
      </c>
      <c r="AE144">
        <v>27</v>
      </c>
      <c r="AF144">
        <v>28</v>
      </c>
      <c r="AG144">
        <v>29</v>
      </c>
      <c r="AH144">
        <v>30</v>
      </c>
      <c r="AI144">
        <v>31</v>
      </c>
      <c r="AJ144">
        <v>32</v>
      </c>
      <c r="AK144">
        <v>33</v>
      </c>
      <c r="AL144">
        <v>34</v>
      </c>
      <c r="AM144">
        <v>35</v>
      </c>
      <c r="AN144">
        <v>36</v>
      </c>
      <c r="AO144">
        <v>37</v>
      </c>
      <c r="AP144">
        <v>38</v>
      </c>
      <c r="AQ144">
        <v>39</v>
      </c>
      <c r="AR144">
        <v>40</v>
      </c>
      <c r="AS144">
        <v>41</v>
      </c>
      <c r="AT144">
        <v>42</v>
      </c>
      <c r="AU144">
        <v>43</v>
      </c>
      <c r="AV144">
        <v>44</v>
      </c>
      <c r="AW144">
        <v>45</v>
      </c>
      <c r="AX144">
        <v>46</v>
      </c>
      <c r="AY144">
        <v>47</v>
      </c>
      <c r="AZ144">
        <v>48</v>
      </c>
      <c r="BA144">
        <v>49</v>
      </c>
      <c r="BB144">
        <v>50</v>
      </c>
    </row>
    <row r="145" spans="4:54" x14ac:dyDescent="0.25">
      <c r="D145" t="s">
        <v>111</v>
      </c>
      <c r="E145" t="s">
        <v>65</v>
      </c>
      <c r="F145" t="s">
        <v>65</v>
      </c>
      <c r="G145" t="s">
        <v>66</v>
      </c>
      <c r="H145" t="s">
        <v>66</v>
      </c>
      <c r="I145" t="s">
        <v>66</v>
      </c>
      <c r="J145" t="s">
        <v>66</v>
      </c>
      <c r="K145" t="s">
        <v>66</v>
      </c>
      <c r="L145" t="s">
        <v>66</v>
      </c>
      <c r="M145" t="s">
        <v>66</v>
      </c>
      <c r="N145" t="s">
        <v>66</v>
      </c>
      <c r="O145" t="s">
        <v>66</v>
      </c>
      <c r="P145" t="s">
        <v>66</v>
      </c>
      <c r="Q145" t="s">
        <v>66</v>
      </c>
      <c r="R145" t="s">
        <v>66</v>
      </c>
      <c r="S145" t="s">
        <v>66</v>
      </c>
      <c r="T145" t="s">
        <v>66</v>
      </c>
      <c r="U145" t="s">
        <v>66</v>
      </c>
      <c r="V145" t="s">
        <v>66</v>
      </c>
      <c r="W145" t="s">
        <v>66</v>
      </c>
      <c r="X145" t="s">
        <v>66</v>
      </c>
      <c r="Y145" t="s">
        <v>66</v>
      </c>
      <c r="Z145" t="s">
        <v>66</v>
      </c>
      <c r="AA145" t="s">
        <v>66</v>
      </c>
      <c r="AB145" t="s">
        <v>66</v>
      </c>
      <c r="AC145" t="s">
        <v>66</v>
      </c>
      <c r="AD145" t="s">
        <v>66</v>
      </c>
      <c r="AE145" t="s">
        <v>66</v>
      </c>
      <c r="AF145" t="s">
        <v>66</v>
      </c>
      <c r="AG145" t="s">
        <v>66</v>
      </c>
      <c r="AH145" t="s">
        <v>66</v>
      </c>
      <c r="AI145" t="s">
        <v>66</v>
      </c>
      <c r="AJ145" t="s">
        <v>66</v>
      </c>
      <c r="AK145" t="s">
        <v>66</v>
      </c>
      <c r="AL145" t="s">
        <v>66</v>
      </c>
      <c r="AM145" t="s">
        <v>66</v>
      </c>
      <c r="AN145" t="s">
        <v>66</v>
      </c>
      <c r="AO145" t="s">
        <v>66</v>
      </c>
      <c r="AP145" t="s">
        <v>66</v>
      </c>
      <c r="AQ145" t="s">
        <v>66</v>
      </c>
      <c r="AR145" t="s">
        <v>66</v>
      </c>
      <c r="AS145" t="s">
        <v>66</v>
      </c>
      <c r="AT145" t="s">
        <v>66</v>
      </c>
      <c r="AU145" t="s">
        <v>66</v>
      </c>
      <c r="AV145" t="s">
        <v>66</v>
      </c>
      <c r="AW145" t="s">
        <v>66</v>
      </c>
      <c r="AX145" t="s">
        <v>66</v>
      </c>
      <c r="AY145" t="s">
        <v>66</v>
      </c>
      <c r="AZ145" t="s">
        <v>66</v>
      </c>
      <c r="BA145" t="s">
        <v>66</v>
      </c>
      <c r="BB145" t="s">
        <v>66</v>
      </c>
    </row>
    <row r="146" spans="4:54" x14ac:dyDescent="0.25">
      <c r="D146" t="s">
        <v>112</v>
      </c>
      <c r="E146">
        <v>1</v>
      </c>
      <c r="F146">
        <v>2</v>
      </c>
      <c r="G146">
        <v>3</v>
      </c>
      <c r="H146">
        <v>4</v>
      </c>
      <c r="I146">
        <v>5</v>
      </c>
      <c r="J146">
        <v>6</v>
      </c>
      <c r="K146">
        <v>7</v>
      </c>
      <c r="L146">
        <v>8</v>
      </c>
      <c r="M146">
        <v>9</v>
      </c>
      <c r="N146">
        <v>10</v>
      </c>
      <c r="O146">
        <v>11</v>
      </c>
      <c r="P146">
        <v>12</v>
      </c>
      <c r="Q146">
        <v>13</v>
      </c>
      <c r="R146">
        <v>14</v>
      </c>
      <c r="S146">
        <v>15</v>
      </c>
      <c r="T146">
        <v>16</v>
      </c>
      <c r="U146">
        <v>17</v>
      </c>
      <c r="V146">
        <v>18</v>
      </c>
      <c r="W146">
        <v>19</v>
      </c>
      <c r="X146">
        <v>20</v>
      </c>
      <c r="Y146">
        <v>21</v>
      </c>
      <c r="Z146">
        <v>22</v>
      </c>
      <c r="AA146">
        <v>23</v>
      </c>
      <c r="AB146">
        <v>24</v>
      </c>
      <c r="AC146">
        <v>25</v>
      </c>
      <c r="AD146">
        <v>26</v>
      </c>
      <c r="AE146">
        <v>27</v>
      </c>
      <c r="AF146">
        <v>28</v>
      </c>
      <c r="AG146">
        <v>29</v>
      </c>
      <c r="AH146">
        <v>30</v>
      </c>
      <c r="AI146">
        <v>31</v>
      </c>
      <c r="AJ146">
        <v>32</v>
      </c>
      <c r="AK146">
        <v>33</v>
      </c>
      <c r="AL146">
        <v>34</v>
      </c>
      <c r="AM146">
        <v>35</v>
      </c>
      <c r="AN146">
        <v>36</v>
      </c>
      <c r="AO146">
        <v>37</v>
      </c>
      <c r="AP146">
        <v>38</v>
      </c>
      <c r="AQ146">
        <v>39</v>
      </c>
      <c r="AR146">
        <v>40</v>
      </c>
      <c r="AS146">
        <v>41</v>
      </c>
      <c r="AT146">
        <v>42</v>
      </c>
      <c r="AU146">
        <v>43</v>
      </c>
      <c r="AV146">
        <v>44</v>
      </c>
      <c r="AW146">
        <v>45</v>
      </c>
      <c r="AX146">
        <v>46</v>
      </c>
      <c r="AY146">
        <v>47</v>
      </c>
      <c r="AZ146">
        <v>48</v>
      </c>
      <c r="BA146">
        <v>49</v>
      </c>
      <c r="BB146">
        <v>50</v>
      </c>
    </row>
    <row r="147" spans="4:54" x14ac:dyDescent="0.25">
      <c r="D147" t="s">
        <v>100</v>
      </c>
      <c r="E147">
        <v>20</v>
      </c>
      <c r="F147">
        <v>20</v>
      </c>
      <c r="G147">
        <v>10</v>
      </c>
      <c r="H147">
        <v>10</v>
      </c>
      <c r="I147">
        <v>15</v>
      </c>
      <c r="J147">
        <v>15</v>
      </c>
      <c r="K147">
        <v>17.5</v>
      </c>
      <c r="L147">
        <v>17.5</v>
      </c>
      <c r="M147">
        <v>18.75</v>
      </c>
      <c r="N147">
        <v>18.75</v>
      </c>
      <c r="O147">
        <v>19.373999999999999</v>
      </c>
      <c r="P147">
        <v>19.373999999999999</v>
      </c>
      <c r="Q147">
        <v>19.687999999999999</v>
      </c>
      <c r="R147">
        <v>19.687999999999999</v>
      </c>
      <c r="S147">
        <v>20</v>
      </c>
      <c r="T147">
        <v>20</v>
      </c>
      <c r="U147">
        <v>20</v>
      </c>
      <c r="V147">
        <v>20</v>
      </c>
      <c r="W147">
        <v>20</v>
      </c>
      <c r="X147">
        <v>20</v>
      </c>
      <c r="Y147">
        <v>20</v>
      </c>
      <c r="Z147">
        <v>20</v>
      </c>
      <c r="AA147">
        <v>20</v>
      </c>
      <c r="AB147">
        <v>20</v>
      </c>
      <c r="AC147">
        <v>20</v>
      </c>
      <c r="AD147">
        <v>20</v>
      </c>
      <c r="AE147">
        <v>20</v>
      </c>
      <c r="AF147">
        <v>20</v>
      </c>
      <c r="AG147">
        <v>20</v>
      </c>
      <c r="AH147">
        <v>20</v>
      </c>
      <c r="AI147">
        <v>20</v>
      </c>
      <c r="AJ147">
        <v>20</v>
      </c>
      <c r="AK147">
        <v>20</v>
      </c>
      <c r="AL147">
        <v>20</v>
      </c>
      <c r="AM147">
        <v>20</v>
      </c>
      <c r="AN147">
        <v>20</v>
      </c>
      <c r="AO147">
        <v>20</v>
      </c>
      <c r="AP147">
        <v>20</v>
      </c>
      <c r="AQ147">
        <v>20</v>
      </c>
      <c r="AR147">
        <v>20</v>
      </c>
      <c r="AS147">
        <v>20</v>
      </c>
      <c r="AT147">
        <v>20</v>
      </c>
      <c r="AU147">
        <v>20</v>
      </c>
      <c r="AV147">
        <v>20</v>
      </c>
      <c r="AW147">
        <v>20</v>
      </c>
      <c r="AX147">
        <v>20</v>
      </c>
      <c r="AY147">
        <v>20</v>
      </c>
      <c r="AZ147">
        <v>20</v>
      </c>
      <c r="BA147">
        <v>20</v>
      </c>
      <c r="BB147">
        <v>20</v>
      </c>
    </row>
    <row r="148" spans="4:54" x14ac:dyDescent="0.25">
      <c r="D148" t="s">
        <v>113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20</v>
      </c>
      <c r="V148">
        <v>20</v>
      </c>
      <c r="W148">
        <v>20</v>
      </c>
      <c r="X148">
        <v>20</v>
      </c>
      <c r="Y148">
        <v>20</v>
      </c>
      <c r="Z148">
        <v>20</v>
      </c>
      <c r="AA148">
        <v>20</v>
      </c>
      <c r="AB148">
        <v>20</v>
      </c>
      <c r="AC148">
        <v>20</v>
      </c>
      <c r="AD148">
        <v>20</v>
      </c>
      <c r="AE148">
        <v>20</v>
      </c>
      <c r="AF148">
        <v>20</v>
      </c>
      <c r="AG148">
        <v>20</v>
      </c>
      <c r="AH148">
        <v>20</v>
      </c>
      <c r="AI148">
        <v>20</v>
      </c>
      <c r="AJ148">
        <v>20</v>
      </c>
      <c r="AK148">
        <v>20</v>
      </c>
      <c r="AL148">
        <v>20</v>
      </c>
      <c r="AM148">
        <v>20</v>
      </c>
      <c r="AN148">
        <v>20</v>
      </c>
      <c r="AO148">
        <v>20</v>
      </c>
      <c r="AP148">
        <v>20</v>
      </c>
      <c r="AQ148">
        <v>20</v>
      </c>
      <c r="AR148">
        <v>20</v>
      </c>
      <c r="AS148">
        <v>20</v>
      </c>
      <c r="AT148">
        <v>20</v>
      </c>
      <c r="AU148">
        <v>20</v>
      </c>
      <c r="AV148">
        <v>20</v>
      </c>
      <c r="AW148">
        <v>20</v>
      </c>
      <c r="AX148">
        <v>20</v>
      </c>
      <c r="AY148">
        <v>20</v>
      </c>
      <c r="AZ148">
        <v>20</v>
      </c>
      <c r="BA148">
        <v>20</v>
      </c>
      <c r="BB148">
        <v>20</v>
      </c>
    </row>
    <row r="149" spans="4:54" x14ac:dyDescent="0.25">
      <c r="D149" t="s">
        <v>114</v>
      </c>
      <c r="E149" t="s">
        <v>22</v>
      </c>
      <c r="F149" t="s">
        <v>22</v>
      </c>
      <c r="G149" t="s">
        <v>22</v>
      </c>
      <c r="H149" t="s">
        <v>22</v>
      </c>
      <c r="I149" t="s">
        <v>22</v>
      </c>
      <c r="J149" t="s">
        <v>22</v>
      </c>
      <c r="K149" t="s">
        <v>22</v>
      </c>
      <c r="L149" t="s">
        <v>22</v>
      </c>
      <c r="M149" t="s">
        <v>22</v>
      </c>
      <c r="N149" t="s">
        <v>22</v>
      </c>
      <c r="O149" t="s">
        <v>22</v>
      </c>
      <c r="P149" t="s">
        <v>22</v>
      </c>
      <c r="Q149" t="s">
        <v>22</v>
      </c>
      <c r="R149" t="s">
        <v>22</v>
      </c>
      <c r="S149" t="s">
        <v>22</v>
      </c>
      <c r="T149" t="s">
        <v>22</v>
      </c>
      <c r="U149" t="s">
        <v>22</v>
      </c>
      <c r="V149" t="s">
        <v>22</v>
      </c>
      <c r="W149" t="s">
        <v>22</v>
      </c>
      <c r="X149" t="s">
        <v>22</v>
      </c>
      <c r="Y149" t="s">
        <v>22</v>
      </c>
      <c r="Z149" t="s">
        <v>22</v>
      </c>
      <c r="AA149" t="s">
        <v>22</v>
      </c>
      <c r="AB149" t="s">
        <v>22</v>
      </c>
      <c r="AC149" t="s">
        <v>22</v>
      </c>
      <c r="AD149" t="s">
        <v>22</v>
      </c>
      <c r="AE149" t="s">
        <v>22</v>
      </c>
      <c r="AF149" t="s">
        <v>22</v>
      </c>
      <c r="AG149" t="s">
        <v>22</v>
      </c>
      <c r="AH149" t="s">
        <v>22</v>
      </c>
      <c r="AI149" t="s">
        <v>22</v>
      </c>
      <c r="AJ149" t="s">
        <v>22</v>
      </c>
      <c r="AK149" t="s">
        <v>22</v>
      </c>
      <c r="AL149" t="s">
        <v>22</v>
      </c>
      <c r="AM149" t="s">
        <v>22</v>
      </c>
      <c r="AN149" t="s">
        <v>22</v>
      </c>
      <c r="AO149" t="s">
        <v>22</v>
      </c>
      <c r="AP149" t="s">
        <v>22</v>
      </c>
      <c r="AQ149" t="s">
        <v>22</v>
      </c>
      <c r="AR149" t="s">
        <v>22</v>
      </c>
      <c r="AS149" t="s">
        <v>22</v>
      </c>
      <c r="AT149" t="s">
        <v>22</v>
      </c>
      <c r="AU149" t="s">
        <v>22</v>
      </c>
      <c r="AV149" t="s">
        <v>22</v>
      </c>
      <c r="AW149" t="s">
        <v>22</v>
      </c>
      <c r="AX149" t="s">
        <v>22</v>
      </c>
      <c r="AY149" t="s">
        <v>22</v>
      </c>
      <c r="AZ149" t="s">
        <v>22</v>
      </c>
      <c r="BA149" t="s">
        <v>22</v>
      </c>
      <c r="BB149" t="s">
        <v>22</v>
      </c>
    </row>
    <row r="150" spans="4:54" x14ac:dyDescent="0.25">
      <c r="D150" t="s">
        <v>115</v>
      </c>
    </row>
    <row r="151" spans="4:54" x14ac:dyDescent="0.25">
      <c r="D151" t="s">
        <v>116</v>
      </c>
    </row>
    <row r="152" spans="4:54" x14ac:dyDescent="0.25">
      <c r="D152" t="s">
        <v>117</v>
      </c>
      <c r="E152">
        <v>0</v>
      </c>
    </row>
    <row r="153" spans="4:54" x14ac:dyDescent="0.25">
      <c r="D153" t="s">
        <v>118</v>
      </c>
      <c r="E153" t="s">
        <v>119</v>
      </c>
    </row>
    <row r="154" spans="4:54" x14ac:dyDescent="0.25">
      <c r="D154" t="s">
        <v>224</v>
      </c>
    </row>
    <row r="156" spans="4:54" x14ac:dyDescent="0.25">
      <c r="D156" t="s">
        <v>83</v>
      </c>
      <c r="E156" t="s">
        <v>98</v>
      </c>
    </row>
    <row r="157" spans="4:54" x14ac:dyDescent="0.25">
      <c r="D157" t="s">
        <v>85</v>
      </c>
      <c r="E157" t="s">
        <v>108</v>
      </c>
    </row>
    <row r="158" spans="4:54" x14ac:dyDescent="0.25">
      <c r="D158" t="s">
        <v>109</v>
      </c>
      <c r="E158" t="s">
        <v>54</v>
      </c>
      <c r="F158" t="s">
        <v>54</v>
      </c>
      <c r="G158" t="s">
        <v>54</v>
      </c>
      <c r="H158" t="s">
        <v>54</v>
      </c>
      <c r="I158" t="s">
        <v>54</v>
      </c>
      <c r="J158" t="s">
        <v>54</v>
      </c>
      <c r="K158" t="s">
        <v>54</v>
      </c>
      <c r="L158" t="s">
        <v>54</v>
      </c>
      <c r="M158" t="s">
        <v>54</v>
      </c>
      <c r="N158" t="s">
        <v>54</v>
      </c>
      <c r="O158" t="s">
        <v>54</v>
      </c>
      <c r="P158" t="s">
        <v>54</v>
      </c>
    </row>
    <row r="159" spans="4:54" x14ac:dyDescent="0.25">
      <c r="D159" t="s">
        <v>110</v>
      </c>
      <c r="E159">
        <v>3</v>
      </c>
      <c r="F159">
        <v>4</v>
      </c>
      <c r="G159">
        <v>5</v>
      </c>
      <c r="H159">
        <v>6</v>
      </c>
      <c r="I159">
        <v>7</v>
      </c>
      <c r="J159">
        <v>8</v>
      </c>
      <c r="K159">
        <v>9</v>
      </c>
      <c r="L159">
        <v>10</v>
      </c>
      <c r="M159">
        <v>11</v>
      </c>
      <c r="N159">
        <v>12</v>
      </c>
      <c r="O159">
        <v>13</v>
      </c>
      <c r="P159">
        <v>14</v>
      </c>
    </row>
    <row r="160" spans="4:54" x14ac:dyDescent="0.25">
      <c r="D160" t="s">
        <v>111</v>
      </c>
      <c r="E160" t="s">
        <v>65</v>
      </c>
      <c r="F160" t="s">
        <v>65</v>
      </c>
      <c r="G160" t="s">
        <v>65</v>
      </c>
      <c r="H160" t="s">
        <v>65</v>
      </c>
      <c r="I160" t="s">
        <v>65</v>
      </c>
      <c r="J160" t="s">
        <v>65</v>
      </c>
      <c r="K160" t="s">
        <v>65</v>
      </c>
      <c r="L160" t="s">
        <v>65</v>
      </c>
      <c r="M160" t="s">
        <v>65</v>
      </c>
      <c r="N160" t="s">
        <v>65</v>
      </c>
      <c r="O160" t="s">
        <v>65</v>
      </c>
      <c r="P160" t="s">
        <v>65</v>
      </c>
    </row>
    <row r="161" spans="2:16" x14ac:dyDescent="0.25">
      <c r="D161" t="s">
        <v>112</v>
      </c>
      <c r="E161">
        <v>3</v>
      </c>
      <c r="F161">
        <v>4</v>
      </c>
      <c r="G161">
        <v>5</v>
      </c>
      <c r="H161">
        <v>6</v>
      </c>
      <c r="I161">
        <v>7</v>
      </c>
      <c r="J161">
        <v>8</v>
      </c>
      <c r="K161">
        <v>9</v>
      </c>
      <c r="L161">
        <v>10</v>
      </c>
      <c r="M161">
        <v>11</v>
      </c>
      <c r="N161">
        <v>12</v>
      </c>
      <c r="O161">
        <v>13</v>
      </c>
      <c r="P161">
        <v>14</v>
      </c>
    </row>
    <row r="162" spans="2:16" x14ac:dyDescent="0.25">
      <c r="D162" t="s">
        <v>100</v>
      </c>
      <c r="E162">
        <v>10</v>
      </c>
      <c r="F162">
        <v>10</v>
      </c>
      <c r="G162">
        <v>5</v>
      </c>
      <c r="H162">
        <v>5</v>
      </c>
      <c r="I162">
        <v>2.5</v>
      </c>
      <c r="J162">
        <v>2.5</v>
      </c>
      <c r="K162">
        <v>1.25</v>
      </c>
      <c r="L162">
        <v>1.25</v>
      </c>
      <c r="M162">
        <v>0.626</v>
      </c>
      <c r="N162">
        <v>0.626</v>
      </c>
      <c r="O162">
        <v>0.312</v>
      </c>
      <c r="P162">
        <v>0.312</v>
      </c>
    </row>
    <row r="163" spans="2:16" x14ac:dyDescent="0.25">
      <c r="D163" t="s">
        <v>113</v>
      </c>
      <c r="E163">
        <v>10</v>
      </c>
      <c r="F163">
        <v>10</v>
      </c>
      <c r="G163">
        <v>15</v>
      </c>
      <c r="H163">
        <v>15</v>
      </c>
      <c r="I163">
        <v>17.5</v>
      </c>
      <c r="J163">
        <v>17.5</v>
      </c>
      <c r="K163">
        <v>18.75</v>
      </c>
      <c r="L163">
        <v>18.75</v>
      </c>
      <c r="M163">
        <v>19.373999999999999</v>
      </c>
      <c r="N163">
        <v>19.373999999999999</v>
      </c>
      <c r="O163">
        <v>19.687999999999999</v>
      </c>
      <c r="P163">
        <v>19.687999999999999</v>
      </c>
    </row>
    <row r="164" spans="2:16" x14ac:dyDescent="0.25">
      <c r="D164" t="s">
        <v>114</v>
      </c>
      <c r="E164" t="s">
        <v>22</v>
      </c>
      <c r="F164" t="s">
        <v>22</v>
      </c>
      <c r="G164" t="s">
        <v>22</v>
      </c>
      <c r="H164" t="s">
        <v>22</v>
      </c>
      <c r="I164" t="s">
        <v>22</v>
      </c>
      <c r="J164" t="s">
        <v>22</v>
      </c>
      <c r="K164" t="s">
        <v>22</v>
      </c>
      <c r="L164" t="s">
        <v>22</v>
      </c>
      <c r="M164" t="s">
        <v>22</v>
      </c>
      <c r="N164" t="s">
        <v>22</v>
      </c>
      <c r="O164" t="s">
        <v>22</v>
      </c>
      <c r="P164" t="s">
        <v>22</v>
      </c>
    </row>
    <row r="165" spans="2:16" x14ac:dyDescent="0.25">
      <c r="D165" t="s">
        <v>115</v>
      </c>
    </row>
    <row r="166" spans="2:16" x14ac:dyDescent="0.25">
      <c r="D166" t="s">
        <v>116</v>
      </c>
    </row>
    <row r="167" spans="2:16" x14ac:dyDescent="0.25">
      <c r="D167" t="s">
        <v>117</v>
      </c>
      <c r="E167">
        <v>0</v>
      </c>
    </row>
    <row r="168" spans="2:16" x14ac:dyDescent="0.25">
      <c r="D168" t="s">
        <v>118</v>
      </c>
      <c r="E168" t="s">
        <v>119</v>
      </c>
    </row>
    <row r="169" spans="2:16" x14ac:dyDescent="0.25">
      <c r="D169" t="s">
        <v>225</v>
      </c>
    </row>
    <row r="174" spans="2:16" x14ac:dyDescent="0.25">
      <c r="B174" t="s">
        <v>120</v>
      </c>
    </row>
    <row r="175" spans="2:16" x14ac:dyDescent="0.25">
      <c r="B175" t="s">
        <v>226</v>
      </c>
    </row>
    <row r="176" spans="2:16" x14ac:dyDescent="0.25">
      <c r="B176" t="s">
        <v>131</v>
      </c>
    </row>
    <row r="177" spans="2:54" x14ac:dyDescent="0.25">
      <c r="B177" t="s">
        <v>132</v>
      </c>
    </row>
    <row r="178" spans="2:54" x14ac:dyDescent="0.25">
      <c r="B178" t="s">
        <v>122</v>
      </c>
    </row>
    <row r="179" spans="2:54" x14ac:dyDescent="0.25">
      <c r="B179" t="s">
        <v>133</v>
      </c>
    </row>
    <row r="180" spans="2:54" x14ac:dyDescent="0.25">
      <c r="B180" t="s">
        <v>134</v>
      </c>
    </row>
    <row r="182" spans="2:54" x14ac:dyDescent="0.25">
      <c r="C182" t="s">
        <v>24</v>
      </c>
    </row>
    <row r="184" spans="2:54" x14ac:dyDescent="0.25">
      <c r="D184" t="s">
        <v>83</v>
      </c>
      <c r="E184" t="s">
        <v>98</v>
      </c>
    </row>
    <row r="185" spans="2:54" x14ac:dyDescent="0.25">
      <c r="D185" t="s">
        <v>85</v>
      </c>
      <c r="E185" t="s">
        <v>99</v>
      </c>
    </row>
    <row r="186" spans="2:54" x14ac:dyDescent="0.25">
      <c r="D186" t="s">
        <v>100</v>
      </c>
      <c r="E186">
        <v>180</v>
      </c>
      <c r="F186">
        <v>180</v>
      </c>
      <c r="G186">
        <v>180</v>
      </c>
      <c r="H186">
        <v>180</v>
      </c>
      <c r="I186">
        <v>180</v>
      </c>
      <c r="J186">
        <v>180</v>
      </c>
      <c r="K186">
        <v>180</v>
      </c>
      <c r="L186">
        <v>180</v>
      </c>
      <c r="M186">
        <v>180</v>
      </c>
      <c r="N186">
        <v>180</v>
      </c>
      <c r="O186">
        <v>180</v>
      </c>
      <c r="P186">
        <v>180</v>
      </c>
      <c r="Q186">
        <v>180</v>
      </c>
      <c r="R186">
        <v>180</v>
      </c>
      <c r="S186">
        <v>180</v>
      </c>
      <c r="T186">
        <v>180</v>
      </c>
      <c r="U186">
        <v>180</v>
      </c>
      <c r="V186">
        <v>180</v>
      </c>
      <c r="W186">
        <v>180</v>
      </c>
      <c r="X186">
        <v>180</v>
      </c>
      <c r="Y186">
        <v>180</v>
      </c>
      <c r="Z186">
        <v>180</v>
      </c>
      <c r="AA186">
        <v>180</v>
      </c>
      <c r="AB186">
        <v>180</v>
      </c>
      <c r="AC186">
        <v>180</v>
      </c>
      <c r="AD186">
        <v>180</v>
      </c>
      <c r="AE186">
        <v>180</v>
      </c>
      <c r="AF186">
        <v>180</v>
      </c>
      <c r="AG186">
        <v>180</v>
      </c>
      <c r="AH186">
        <v>180</v>
      </c>
      <c r="AI186">
        <v>180</v>
      </c>
      <c r="AJ186">
        <v>180</v>
      </c>
      <c r="AK186">
        <v>180</v>
      </c>
      <c r="AL186">
        <v>180</v>
      </c>
      <c r="AM186">
        <v>180</v>
      </c>
      <c r="AN186">
        <v>180</v>
      </c>
      <c r="AO186">
        <v>180</v>
      </c>
      <c r="AP186">
        <v>180</v>
      </c>
      <c r="AQ186">
        <v>180</v>
      </c>
      <c r="AR186">
        <v>180</v>
      </c>
      <c r="AS186">
        <v>180</v>
      </c>
      <c r="AT186">
        <v>180</v>
      </c>
      <c r="AU186">
        <v>180</v>
      </c>
      <c r="AV186">
        <v>180</v>
      </c>
      <c r="AW186">
        <v>180</v>
      </c>
      <c r="AX186">
        <v>180</v>
      </c>
      <c r="AY186">
        <v>180</v>
      </c>
      <c r="AZ186">
        <v>180</v>
      </c>
      <c r="BA186">
        <v>180</v>
      </c>
      <c r="BB186">
        <v>180</v>
      </c>
    </row>
    <row r="187" spans="2:54" x14ac:dyDescent="0.25">
      <c r="D187" t="s">
        <v>101</v>
      </c>
      <c r="E187" t="s">
        <v>102</v>
      </c>
      <c r="F187" t="s">
        <v>102</v>
      </c>
      <c r="G187" t="s">
        <v>102</v>
      </c>
      <c r="H187" t="s">
        <v>102</v>
      </c>
      <c r="I187" t="s">
        <v>102</v>
      </c>
      <c r="J187" t="s">
        <v>102</v>
      </c>
      <c r="K187" t="s">
        <v>102</v>
      </c>
      <c r="L187" t="s">
        <v>102</v>
      </c>
      <c r="M187" t="s">
        <v>102</v>
      </c>
      <c r="N187" t="s">
        <v>102</v>
      </c>
      <c r="O187" t="s">
        <v>102</v>
      </c>
      <c r="P187" t="s">
        <v>102</v>
      </c>
      <c r="Q187" t="s">
        <v>102</v>
      </c>
      <c r="R187" t="s">
        <v>102</v>
      </c>
      <c r="S187" t="s">
        <v>102</v>
      </c>
      <c r="T187" t="s">
        <v>102</v>
      </c>
      <c r="U187" t="s">
        <v>102</v>
      </c>
      <c r="V187" t="s">
        <v>102</v>
      </c>
      <c r="W187" t="s">
        <v>102</v>
      </c>
      <c r="X187" t="s">
        <v>102</v>
      </c>
      <c r="Y187" t="s">
        <v>102</v>
      </c>
      <c r="Z187" t="s">
        <v>102</v>
      </c>
      <c r="AA187" t="s">
        <v>102</v>
      </c>
      <c r="AB187" t="s">
        <v>102</v>
      </c>
      <c r="AC187" t="s">
        <v>102</v>
      </c>
      <c r="AD187" t="s">
        <v>102</v>
      </c>
      <c r="AE187" t="s">
        <v>102</v>
      </c>
      <c r="AF187" t="s">
        <v>102</v>
      </c>
      <c r="AG187" t="s">
        <v>102</v>
      </c>
      <c r="AH187" t="s">
        <v>102</v>
      </c>
      <c r="AI187" t="s">
        <v>102</v>
      </c>
      <c r="AJ187" t="s">
        <v>102</v>
      </c>
      <c r="AK187" t="s">
        <v>102</v>
      </c>
      <c r="AL187" t="s">
        <v>102</v>
      </c>
      <c r="AM187" t="s">
        <v>102</v>
      </c>
      <c r="AN187" t="s">
        <v>102</v>
      </c>
      <c r="AO187" t="s">
        <v>102</v>
      </c>
      <c r="AP187" t="s">
        <v>102</v>
      </c>
      <c r="AQ187" t="s">
        <v>102</v>
      </c>
      <c r="AR187" t="s">
        <v>102</v>
      </c>
      <c r="AS187" t="s">
        <v>102</v>
      </c>
      <c r="AT187" t="s">
        <v>102</v>
      </c>
      <c r="AU187" t="s">
        <v>102</v>
      </c>
      <c r="AV187" t="s">
        <v>102</v>
      </c>
      <c r="AW187" t="s">
        <v>102</v>
      </c>
      <c r="AX187" t="s">
        <v>102</v>
      </c>
      <c r="AY187" t="s">
        <v>102</v>
      </c>
      <c r="AZ187" t="s">
        <v>102</v>
      </c>
      <c r="BA187" t="s">
        <v>102</v>
      </c>
      <c r="BB187" t="s">
        <v>103</v>
      </c>
    </row>
    <row r="188" spans="2:54" x14ac:dyDescent="0.25">
      <c r="D188" t="s">
        <v>146</v>
      </c>
    </row>
    <row r="190" spans="2:54" x14ac:dyDescent="0.25">
      <c r="D190" t="s">
        <v>83</v>
      </c>
      <c r="E190" t="s">
        <v>98</v>
      </c>
    </row>
    <row r="191" spans="2:54" x14ac:dyDescent="0.25">
      <c r="D191" t="s">
        <v>85</v>
      </c>
      <c r="E191" t="s">
        <v>105</v>
      </c>
    </row>
    <row r="192" spans="2:54" x14ac:dyDescent="0.25">
      <c r="D192" t="s">
        <v>100</v>
      </c>
      <c r="E192">
        <v>180</v>
      </c>
      <c r="F192">
        <v>180</v>
      </c>
      <c r="G192">
        <v>180</v>
      </c>
      <c r="H192">
        <v>180</v>
      </c>
      <c r="I192">
        <v>180</v>
      </c>
      <c r="J192">
        <v>180</v>
      </c>
      <c r="K192">
        <v>180</v>
      </c>
      <c r="L192">
        <v>180</v>
      </c>
      <c r="M192">
        <v>180</v>
      </c>
      <c r="N192">
        <v>180</v>
      </c>
      <c r="O192">
        <v>180</v>
      </c>
      <c r="P192">
        <v>180</v>
      </c>
      <c r="Q192">
        <v>180</v>
      </c>
      <c r="R192">
        <v>180</v>
      </c>
      <c r="S192">
        <v>180</v>
      </c>
      <c r="T192">
        <v>180</v>
      </c>
      <c r="U192">
        <v>180</v>
      </c>
      <c r="V192">
        <v>180</v>
      </c>
      <c r="W192">
        <v>180</v>
      </c>
      <c r="X192">
        <v>180</v>
      </c>
      <c r="Y192">
        <v>180</v>
      </c>
      <c r="Z192">
        <v>180</v>
      </c>
      <c r="AA192">
        <v>180</v>
      </c>
      <c r="AB192">
        <v>180</v>
      </c>
      <c r="AC192">
        <v>180</v>
      </c>
      <c r="AD192">
        <v>180</v>
      </c>
      <c r="AE192">
        <v>180</v>
      </c>
      <c r="AF192">
        <v>180</v>
      </c>
      <c r="AG192">
        <v>180</v>
      </c>
      <c r="AH192">
        <v>180</v>
      </c>
      <c r="AI192">
        <v>180</v>
      </c>
      <c r="AJ192">
        <v>180</v>
      </c>
      <c r="AK192">
        <v>180</v>
      </c>
      <c r="AL192">
        <v>180</v>
      </c>
      <c r="AM192">
        <v>180</v>
      </c>
      <c r="AN192">
        <v>180</v>
      </c>
      <c r="AO192">
        <v>180</v>
      </c>
      <c r="AP192">
        <v>180</v>
      </c>
      <c r="AQ192">
        <v>180</v>
      </c>
      <c r="AR192">
        <v>180</v>
      </c>
      <c r="AS192">
        <v>180</v>
      </c>
      <c r="AT192">
        <v>180</v>
      </c>
      <c r="AU192">
        <v>180</v>
      </c>
      <c r="AV192">
        <v>180</v>
      </c>
      <c r="AW192">
        <v>180</v>
      </c>
      <c r="AX192">
        <v>180</v>
      </c>
      <c r="AY192">
        <v>180</v>
      </c>
      <c r="AZ192">
        <v>180</v>
      </c>
      <c r="BA192">
        <v>180</v>
      </c>
      <c r="BB192">
        <v>180</v>
      </c>
    </row>
    <row r="193" spans="4:54" x14ac:dyDescent="0.25">
      <c r="D193" t="s">
        <v>148</v>
      </c>
    </row>
    <row r="195" spans="4:54" x14ac:dyDescent="0.25">
      <c r="D195" t="s">
        <v>83</v>
      </c>
      <c r="E195" t="s">
        <v>98</v>
      </c>
    </row>
    <row r="196" spans="4:54" x14ac:dyDescent="0.25">
      <c r="D196" t="s">
        <v>85</v>
      </c>
      <c r="E196" t="s">
        <v>108</v>
      </c>
    </row>
    <row r="197" spans="4:54" x14ac:dyDescent="0.25">
      <c r="D197" t="s">
        <v>109</v>
      </c>
      <c r="E197" t="s">
        <v>54</v>
      </c>
      <c r="F197" t="s">
        <v>54</v>
      </c>
      <c r="G197" t="s">
        <v>54</v>
      </c>
      <c r="H197" t="s">
        <v>54</v>
      </c>
      <c r="I197" t="s">
        <v>54</v>
      </c>
      <c r="J197" t="s">
        <v>54</v>
      </c>
      <c r="K197" t="s">
        <v>54</v>
      </c>
      <c r="L197" t="s">
        <v>54</v>
      </c>
      <c r="M197" t="s">
        <v>54</v>
      </c>
      <c r="N197" t="s">
        <v>54</v>
      </c>
      <c r="O197" t="s">
        <v>54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t="s">
        <v>54</v>
      </c>
      <c r="Y197" t="s">
        <v>54</v>
      </c>
      <c r="Z197" t="s">
        <v>54</v>
      </c>
      <c r="AA197" t="s">
        <v>54</v>
      </c>
      <c r="AB197" t="s">
        <v>54</v>
      </c>
      <c r="AC197" t="s">
        <v>54</v>
      </c>
      <c r="AD197" t="s">
        <v>54</v>
      </c>
      <c r="AE197" t="s">
        <v>54</v>
      </c>
      <c r="AF197" t="s">
        <v>54</v>
      </c>
      <c r="AG197" t="s">
        <v>54</v>
      </c>
      <c r="AH197" t="s">
        <v>54</v>
      </c>
      <c r="AI197" t="s">
        <v>54</v>
      </c>
      <c r="AJ197" t="s">
        <v>54</v>
      </c>
      <c r="AK197" t="s">
        <v>54</v>
      </c>
      <c r="AL197" t="s">
        <v>54</v>
      </c>
      <c r="AM197" t="s">
        <v>54</v>
      </c>
      <c r="AN197" t="s">
        <v>54</v>
      </c>
      <c r="AO197" t="s">
        <v>54</v>
      </c>
      <c r="AP197" t="s">
        <v>54</v>
      </c>
      <c r="AQ197" t="s">
        <v>54</v>
      </c>
      <c r="AR197" t="s">
        <v>54</v>
      </c>
      <c r="AS197" t="s">
        <v>54</v>
      </c>
      <c r="AT197" t="s">
        <v>54</v>
      </c>
      <c r="AU197" t="s">
        <v>54</v>
      </c>
      <c r="AV197" t="s">
        <v>54</v>
      </c>
      <c r="AW197" t="s">
        <v>54</v>
      </c>
      <c r="AX197" t="s">
        <v>54</v>
      </c>
      <c r="AY197" t="s">
        <v>54</v>
      </c>
      <c r="AZ197" t="s">
        <v>54</v>
      </c>
      <c r="BA197" t="s">
        <v>54</v>
      </c>
      <c r="BB197" t="s">
        <v>54</v>
      </c>
    </row>
    <row r="198" spans="4:54" x14ac:dyDescent="0.25">
      <c r="D198" t="s">
        <v>110</v>
      </c>
      <c r="E198">
        <v>1</v>
      </c>
      <c r="F198">
        <v>2</v>
      </c>
      <c r="G198">
        <v>3</v>
      </c>
      <c r="H198">
        <v>4</v>
      </c>
      <c r="I198">
        <v>5</v>
      </c>
      <c r="J198">
        <v>6</v>
      </c>
      <c r="K198">
        <v>7</v>
      </c>
      <c r="L198">
        <v>8</v>
      </c>
      <c r="M198">
        <v>9</v>
      </c>
      <c r="N198">
        <v>10</v>
      </c>
      <c r="O198">
        <v>11</v>
      </c>
      <c r="P198">
        <v>12</v>
      </c>
      <c r="Q198">
        <v>13</v>
      </c>
      <c r="R198">
        <v>14</v>
      </c>
      <c r="S198">
        <v>15</v>
      </c>
      <c r="T198">
        <v>16</v>
      </c>
      <c r="U198">
        <v>17</v>
      </c>
      <c r="V198">
        <v>18</v>
      </c>
      <c r="W198">
        <v>19</v>
      </c>
      <c r="X198">
        <v>20</v>
      </c>
      <c r="Y198">
        <v>21</v>
      </c>
      <c r="Z198">
        <v>22</v>
      </c>
      <c r="AA198">
        <v>23</v>
      </c>
      <c r="AB198">
        <v>24</v>
      </c>
      <c r="AC198">
        <v>25</v>
      </c>
      <c r="AD198">
        <v>26</v>
      </c>
      <c r="AE198">
        <v>27</v>
      </c>
      <c r="AF198">
        <v>28</v>
      </c>
      <c r="AG198">
        <v>29</v>
      </c>
      <c r="AH198">
        <v>30</v>
      </c>
      <c r="AI198">
        <v>31</v>
      </c>
      <c r="AJ198">
        <v>32</v>
      </c>
      <c r="AK198">
        <v>33</v>
      </c>
      <c r="AL198">
        <v>34</v>
      </c>
      <c r="AM198">
        <v>35</v>
      </c>
      <c r="AN198">
        <v>36</v>
      </c>
      <c r="AO198">
        <v>37</v>
      </c>
      <c r="AP198">
        <v>38</v>
      </c>
      <c r="AQ198">
        <v>39</v>
      </c>
      <c r="AR198">
        <v>40</v>
      </c>
      <c r="AS198">
        <v>41</v>
      </c>
      <c r="AT198">
        <v>42</v>
      </c>
      <c r="AU198">
        <v>43</v>
      </c>
      <c r="AV198">
        <v>44</v>
      </c>
      <c r="AW198">
        <v>45</v>
      </c>
      <c r="AX198">
        <v>46</v>
      </c>
      <c r="AY198">
        <v>47</v>
      </c>
      <c r="AZ198">
        <v>48</v>
      </c>
      <c r="BA198">
        <v>49</v>
      </c>
      <c r="BB198">
        <v>50</v>
      </c>
    </row>
    <row r="199" spans="4:54" x14ac:dyDescent="0.25">
      <c r="D199" t="s">
        <v>111</v>
      </c>
      <c r="E199" t="s">
        <v>69</v>
      </c>
      <c r="F199" t="s">
        <v>69</v>
      </c>
      <c r="G199" t="s">
        <v>69</v>
      </c>
      <c r="H199" t="s">
        <v>69</v>
      </c>
      <c r="I199" t="s">
        <v>69</v>
      </c>
      <c r="J199" t="s">
        <v>69</v>
      </c>
      <c r="K199" t="s">
        <v>69</v>
      </c>
      <c r="L199" t="s">
        <v>69</v>
      </c>
      <c r="M199" t="s">
        <v>69</v>
      </c>
      <c r="N199" t="s">
        <v>69</v>
      </c>
      <c r="O199" t="s">
        <v>69</v>
      </c>
      <c r="P199" t="s">
        <v>69</v>
      </c>
      <c r="Q199" t="s">
        <v>69</v>
      </c>
      <c r="R199" t="s">
        <v>69</v>
      </c>
      <c r="S199" t="s">
        <v>69</v>
      </c>
      <c r="T199" t="s">
        <v>69</v>
      </c>
      <c r="U199" t="s">
        <v>69</v>
      </c>
      <c r="V199" t="s">
        <v>69</v>
      </c>
      <c r="W199" t="s">
        <v>69</v>
      </c>
      <c r="X199" t="s">
        <v>69</v>
      </c>
      <c r="Y199" t="s">
        <v>69</v>
      </c>
      <c r="Z199" t="s">
        <v>69</v>
      </c>
      <c r="AA199" t="s">
        <v>69</v>
      </c>
      <c r="AB199" t="s">
        <v>69</v>
      </c>
      <c r="AC199" t="s">
        <v>69</v>
      </c>
      <c r="AD199" t="s">
        <v>69</v>
      </c>
      <c r="AE199" t="s">
        <v>69</v>
      </c>
      <c r="AF199" t="s">
        <v>69</v>
      </c>
      <c r="AG199" t="s">
        <v>69</v>
      </c>
      <c r="AH199" t="s">
        <v>69</v>
      </c>
      <c r="AI199" t="s">
        <v>69</v>
      </c>
      <c r="AJ199" t="s">
        <v>69</v>
      </c>
      <c r="AK199" t="s">
        <v>69</v>
      </c>
      <c r="AL199" t="s">
        <v>69</v>
      </c>
      <c r="AM199" t="s">
        <v>69</v>
      </c>
      <c r="AN199" t="s">
        <v>69</v>
      </c>
      <c r="AO199" t="s">
        <v>69</v>
      </c>
      <c r="AP199" t="s">
        <v>69</v>
      </c>
      <c r="AQ199" t="s">
        <v>69</v>
      </c>
      <c r="AR199" t="s">
        <v>69</v>
      </c>
      <c r="AS199" t="s">
        <v>69</v>
      </c>
      <c r="AT199" t="s">
        <v>69</v>
      </c>
      <c r="AU199" t="s">
        <v>69</v>
      </c>
      <c r="AV199" t="s">
        <v>69</v>
      </c>
      <c r="AW199" t="s">
        <v>69</v>
      </c>
      <c r="AX199" t="s">
        <v>69</v>
      </c>
      <c r="AY199" t="s">
        <v>69</v>
      </c>
      <c r="AZ199" t="s">
        <v>69</v>
      </c>
      <c r="BA199" t="s">
        <v>69</v>
      </c>
      <c r="BB199" t="s">
        <v>69</v>
      </c>
    </row>
    <row r="200" spans="4:54" x14ac:dyDescent="0.25">
      <c r="D200" t="s">
        <v>112</v>
      </c>
      <c r="E200">
        <v>1</v>
      </c>
      <c r="F200">
        <v>2</v>
      </c>
      <c r="G200">
        <v>3</v>
      </c>
      <c r="H200">
        <v>4</v>
      </c>
      <c r="I200">
        <v>5</v>
      </c>
      <c r="J200">
        <v>6</v>
      </c>
      <c r="K200">
        <v>7</v>
      </c>
      <c r="L200">
        <v>8</v>
      </c>
      <c r="M200">
        <v>9</v>
      </c>
      <c r="N200">
        <v>10</v>
      </c>
      <c r="O200">
        <v>11</v>
      </c>
      <c r="P200">
        <v>12</v>
      </c>
      <c r="Q200">
        <v>13</v>
      </c>
      <c r="R200">
        <v>14</v>
      </c>
      <c r="S200">
        <v>15</v>
      </c>
      <c r="T200">
        <v>16</v>
      </c>
      <c r="U200">
        <v>17</v>
      </c>
      <c r="V200">
        <v>18</v>
      </c>
      <c r="W200">
        <v>19</v>
      </c>
      <c r="X200">
        <v>20</v>
      </c>
      <c r="Y200">
        <v>21</v>
      </c>
      <c r="Z200">
        <v>22</v>
      </c>
      <c r="AA200">
        <v>23</v>
      </c>
      <c r="AB200">
        <v>24</v>
      </c>
      <c r="AC200">
        <v>25</v>
      </c>
      <c r="AD200">
        <v>26</v>
      </c>
      <c r="AE200">
        <v>27</v>
      </c>
      <c r="AF200">
        <v>28</v>
      </c>
      <c r="AG200">
        <v>29</v>
      </c>
      <c r="AH200">
        <v>30</v>
      </c>
      <c r="AI200">
        <v>31</v>
      </c>
      <c r="AJ200">
        <v>32</v>
      </c>
      <c r="AK200">
        <v>33</v>
      </c>
      <c r="AL200">
        <v>34</v>
      </c>
      <c r="AM200">
        <v>35</v>
      </c>
      <c r="AN200">
        <v>36</v>
      </c>
      <c r="AO200">
        <v>37</v>
      </c>
      <c r="AP200">
        <v>38</v>
      </c>
      <c r="AQ200">
        <v>39</v>
      </c>
      <c r="AR200">
        <v>40</v>
      </c>
      <c r="AS200">
        <v>41</v>
      </c>
      <c r="AT200">
        <v>42</v>
      </c>
      <c r="AU200">
        <v>43</v>
      </c>
      <c r="AV200">
        <v>44</v>
      </c>
      <c r="AW200">
        <v>45</v>
      </c>
      <c r="AX200">
        <v>46</v>
      </c>
      <c r="AY200">
        <v>47</v>
      </c>
      <c r="AZ200">
        <v>48</v>
      </c>
      <c r="BA200">
        <v>49</v>
      </c>
      <c r="BB200">
        <v>50</v>
      </c>
    </row>
    <row r="201" spans="4:54" x14ac:dyDescent="0.25">
      <c r="D201" t="s">
        <v>100</v>
      </c>
      <c r="E201">
        <v>180</v>
      </c>
      <c r="F201">
        <v>180</v>
      </c>
      <c r="G201">
        <v>180</v>
      </c>
      <c r="H201">
        <v>180</v>
      </c>
      <c r="I201">
        <v>180</v>
      </c>
      <c r="J201">
        <v>180</v>
      </c>
      <c r="K201">
        <v>180</v>
      </c>
      <c r="L201">
        <v>180</v>
      </c>
      <c r="M201">
        <v>180</v>
      </c>
      <c r="N201">
        <v>180</v>
      </c>
      <c r="O201">
        <v>180</v>
      </c>
      <c r="P201">
        <v>180</v>
      </c>
      <c r="Q201">
        <v>180</v>
      </c>
      <c r="R201">
        <v>180</v>
      </c>
      <c r="S201">
        <v>180</v>
      </c>
      <c r="T201">
        <v>180</v>
      </c>
      <c r="U201">
        <v>180</v>
      </c>
      <c r="V201">
        <v>180</v>
      </c>
      <c r="W201">
        <v>180</v>
      </c>
      <c r="X201">
        <v>180</v>
      </c>
      <c r="Y201">
        <v>180</v>
      </c>
      <c r="Z201">
        <v>180</v>
      </c>
      <c r="AA201">
        <v>180</v>
      </c>
      <c r="AB201">
        <v>180</v>
      </c>
      <c r="AC201">
        <v>180</v>
      </c>
      <c r="AD201">
        <v>180</v>
      </c>
      <c r="AE201">
        <v>180</v>
      </c>
      <c r="AF201">
        <v>180</v>
      </c>
      <c r="AG201">
        <v>180</v>
      </c>
      <c r="AH201">
        <v>180</v>
      </c>
      <c r="AI201">
        <v>180</v>
      </c>
      <c r="AJ201">
        <v>180</v>
      </c>
      <c r="AK201">
        <v>180</v>
      </c>
      <c r="AL201">
        <v>180</v>
      </c>
      <c r="AM201">
        <v>180</v>
      </c>
      <c r="AN201">
        <v>180</v>
      </c>
      <c r="AO201">
        <v>180</v>
      </c>
      <c r="AP201">
        <v>180</v>
      </c>
      <c r="AQ201">
        <v>180</v>
      </c>
      <c r="AR201">
        <v>180</v>
      </c>
      <c r="AS201">
        <v>180</v>
      </c>
      <c r="AT201">
        <v>180</v>
      </c>
      <c r="AU201">
        <v>180</v>
      </c>
      <c r="AV201">
        <v>180</v>
      </c>
      <c r="AW201">
        <v>180</v>
      </c>
      <c r="AX201">
        <v>180</v>
      </c>
      <c r="AY201">
        <v>180</v>
      </c>
      <c r="AZ201">
        <v>180</v>
      </c>
      <c r="BA201">
        <v>180</v>
      </c>
      <c r="BB201">
        <v>180</v>
      </c>
    </row>
    <row r="202" spans="4:54" x14ac:dyDescent="0.25">
      <c r="D202" t="s">
        <v>113</v>
      </c>
      <c r="E202">
        <v>20</v>
      </c>
      <c r="F202">
        <v>20</v>
      </c>
      <c r="G202">
        <v>20</v>
      </c>
      <c r="H202">
        <v>20</v>
      </c>
      <c r="I202">
        <v>20</v>
      </c>
      <c r="J202">
        <v>20</v>
      </c>
      <c r="K202">
        <v>20</v>
      </c>
      <c r="L202">
        <v>20</v>
      </c>
      <c r="M202">
        <v>20</v>
      </c>
      <c r="N202">
        <v>20</v>
      </c>
      <c r="O202">
        <v>20</v>
      </c>
      <c r="P202">
        <v>20</v>
      </c>
      <c r="Q202">
        <v>20</v>
      </c>
      <c r="R202">
        <v>20</v>
      </c>
      <c r="S202">
        <v>20</v>
      </c>
      <c r="T202">
        <v>20</v>
      </c>
      <c r="U202">
        <v>40</v>
      </c>
      <c r="V202">
        <v>40</v>
      </c>
      <c r="W202">
        <v>40</v>
      </c>
      <c r="X202">
        <v>40</v>
      </c>
      <c r="Y202">
        <v>40</v>
      </c>
      <c r="Z202">
        <v>40</v>
      </c>
      <c r="AA202">
        <v>40</v>
      </c>
      <c r="AB202">
        <v>40</v>
      </c>
      <c r="AC202">
        <v>40</v>
      </c>
      <c r="AD202">
        <v>40</v>
      </c>
      <c r="AE202">
        <v>40</v>
      </c>
      <c r="AF202">
        <v>40</v>
      </c>
      <c r="AG202">
        <v>40</v>
      </c>
      <c r="AH202">
        <v>40</v>
      </c>
      <c r="AI202">
        <v>40</v>
      </c>
      <c r="AJ202">
        <v>40</v>
      </c>
      <c r="AK202">
        <v>40</v>
      </c>
      <c r="AL202">
        <v>40</v>
      </c>
      <c r="AM202">
        <v>40</v>
      </c>
      <c r="AN202">
        <v>40</v>
      </c>
      <c r="AO202">
        <v>40</v>
      </c>
      <c r="AP202">
        <v>40</v>
      </c>
      <c r="AQ202">
        <v>40</v>
      </c>
      <c r="AR202">
        <v>40</v>
      </c>
      <c r="AS202">
        <v>40</v>
      </c>
      <c r="AT202">
        <v>40</v>
      </c>
      <c r="AU202">
        <v>40</v>
      </c>
      <c r="AV202">
        <v>40</v>
      </c>
      <c r="AW202">
        <v>40</v>
      </c>
      <c r="AX202">
        <v>40</v>
      </c>
      <c r="AY202">
        <v>40</v>
      </c>
      <c r="AZ202">
        <v>40</v>
      </c>
      <c r="BA202">
        <v>40</v>
      </c>
      <c r="BB202">
        <v>40</v>
      </c>
    </row>
    <row r="203" spans="4:54" x14ac:dyDescent="0.25">
      <c r="D203" t="s">
        <v>114</v>
      </c>
      <c r="E203" t="s">
        <v>74</v>
      </c>
      <c r="F203" t="s">
        <v>74</v>
      </c>
      <c r="G203" t="s">
        <v>74</v>
      </c>
      <c r="H203" t="s">
        <v>74</v>
      </c>
      <c r="I203" t="s">
        <v>74</v>
      </c>
      <c r="J203" t="s">
        <v>74</v>
      </c>
      <c r="K203" t="s">
        <v>74</v>
      </c>
      <c r="L203" t="s">
        <v>74</v>
      </c>
      <c r="M203" t="s">
        <v>74</v>
      </c>
      <c r="N203" t="s">
        <v>74</v>
      </c>
      <c r="O203" t="s">
        <v>74</v>
      </c>
      <c r="P203" t="s">
        <v>74</v>
      </c>
      <c r="Q203" t="s">
        <v>74</v>
      </c>
      <c r="R203" t="s">
        <v>74</v>
      </c>
      <c r="S203" t="s">
        <v>74</v>
      </c>
      <c r="T203" t="s">
        <v>74</v>
      </c>
      <c r="U203" t="s">
        <v>74</v>
      </c>
      <c r="V203" t="s">
        <v>74</v>
      </c>
      <c r="W203" t="s">
        <v>74</v>
      </c>
      <c r="X203" t="s">
        <v>74</v>
      </c>
      <c r="Y203" t="s">
        <v>74</v>
      </c>
      <c r="Z203" t="s">
        <v>74</v>
      </c>
      <c r="AA203" t="s">
        <v>74</v>
      </c>
      <c r="AB203" t="s">
        <v>74</v>
      </c>
      <c r="AC203" t="s">
        <v>74</v>
      </c>
      <c r="AD203" t="s">
        <v>74</v>
      </c>
      <c r="AE203" t="s">
        <v>74</v>
      </c>
      <c r="AF203" t="s">
        <v>74</v>
      </c>
      <c r="AG203" t="s">
        <v>74</v>
      </c>
      <c r="AH203" t="s">
        <v>74</v>
      </c>
      <c r="AI203" t="s">
        <v>74</v>
      </c>
      <c r="AJ203" t="s">
        <v>74</v>
      </c>
      <c r="AK203" t="s">
        <v>74</v>
      </c>
      <c r="AL203" t="s">
        <v>74</v>
      </c>
      <c r="AM203" t="s">
        <v>74</v>
      </c>
      <c r="AN203" t="s">
        <v>74</v>
      </c>
      <c r="AO203" t="s">
        <v>74</v>
      </c>
      <c r="AP203" t="s">
        <v>74</v>
      </c>
      <c r="AQ203" t="s">
        <v>74</v>
      </c>
      <c r="AR203" t="s">
        <v>74</v>
      </c>
      <c r="AS203" t="s">
        <v>74</v>
      </c>
      <c r="AT203" t="s">
        <v>74</v>
      </c>
      <c r="AU203" t="s">
        <v>74</v>
      </c>
      <c r="AV203" t="s">
        <v>74</v>
      </c>
      <c r="AW203" t="s">
        <v>74</v>
      </c>
      <c r="AX203" t="s">
        <v>74</v>
      </c>
      <c r="AY203" t="s">
        <v>74</v>
      </c>
      <c r="AZ203" t="s">
        <v>74</v>
      </c>
      <c r="BA203" t="s">
        <v>74</v>
      </c>
      <c r="BB203" t="s">
        <v>74</v>
      </c>
    </row>
    <row r="204" spans="4:54" x14ac:dyDescent="0.25">
      <c r="D204" t="s">
        <v>115</v>
      </c>
    </row>
    <row r="205" spans="4:54" x14ac:dyDescent="0.25">
      <c r="D205" t="s">
        <v>116</v>
      </c>
    </row>
    <row r="206" spans="4:54" x14ac:dyDescent="0.25">
      <c r="D206" t="s">
        <v>117</v>
      </c>
      <c r="E206">
        <v>0</v>
      </c>
    </row>
    <row r="207" spans="4:54" x14ac:dyDescent="0.25">
      <c r="D207" t="s">
        <v>118</v>
      </c>
      <c r="E207" t="s">
        <v>119</v>
      </c>
    </row>
    <row r="208" spans="4:54" x14ac:dyDescent="0.25">
      <c r="D208" t="s">
        <v>150</v>
      </c>
    </row>
    <row r="213" spans="2:5" x14ac:dyDescent="0.25">
      <c r="B213" t="s">
        <v>138</v>
      </c>
    </row>
    <row r="214" spans="2:5" x14ac:dyDescent="0.25">
      <c r="B214" t="s">
        <v>172</v>
      </c>
    </row>
    <row r="215" spans="2:5" x14ac:dyDescent="0.25">
      <c r="B215" t="s">
        <v>139</v>
      </c>
    </row>
    <row r="216" spans="2:5" x14ac:dyDescent="0.25">
      <c r="B216" t="s">
        <v>140</v>
      </c>
    </row>
    <row r="217" spans="2:5" x14ac:dyDescent="0.25">
      <c r="B217" t="s">
        <v>141</v>
      </c>
    </row>
    <row r="219" spans="2:5" x14ac:dyDescent="0.25">
      <c r="C219" t="s">
        <v>24</v>
      </c>
    </row>
    <row r="221" spans="2:5" x14ac:dyDescent="0.25">
      <c r="D221" t="s">
        <v>83</v>
      </c>
      <c r="E221" t="s">
        <v>142</v>
      </c>
    </row>
    <row r="222" spans="2:5" x14ac:dyDescent="0.25">
      <c r="D222" t="s">
        <v>85</v>
      </c>
      <c r="E222" t="s">
        <v>143</v>
      </c>
    </row>
    <row r="223" spans="2:5" x14ac:dyDescent="0.25">
      <c r="D223" t="s">
        <v>144</v>
      </c>
      <c r="E223" t="s">
        <v>145</v>
      </c>
    </row>
    <row r="224" spans="2:5" x14ac:dyDescent="0.25">
      <c r="D224" t="s">
        <v>181</v>
      </c>
    </row>
    <row r="226" spans="4:5" x14ac:dyDescent="0.25">
      <c r="D226" t="s">
        <v>83</v>
      </c>
      <c r="E226" t="s">
        <v>142</v>
      </c>
    </row>
    <row r="227" spans="4:5" x14ac:dyDescent="0.25">
      <c r="D227" t="s">
        <v>85</v>
      </c>
      <c r="E227" t="s">
        <v>147</v>
      </c>
    </row>
    <row r="228" spans="4:5" x14ac:dyDescent="0.25">
      <c r="D228" t="s">
        <v>144</v>
      </c>
      <c r="E228" t="s">
        <v>145</v>
      </c>
    </row>
    <row r="229" spans="4:5" x14ac:dyDescent="0.25">
      <c r="D229" t="s">
        <v>227</v>
      </c>
    </row>
    <row r="231" spans="4:5" x14ac:dyDescent="0.25">
      <c r="D231" t="s">
        <v>83</v>
      </c>
      <c r="E231" t="s">
        <v>84</v>
      </c>
    </row>
    <row r="232" spans="4:5" x14ac:dyDescent="0.25">
      <c r="D232" t="s">
        <v>85</v>
      </c>
      <c r="E232" t="s">
        <v>149</v>
      </c>
    </row>
    <row r="233" spans="4:5" x14ac:dyDescent="0.25">
      <c r="D233" t="s">
        <v>87</v>
      </c>
      <c r="E233" t="s">
        <v>145</v>
      </c>
    </row>
    <row r="234" spans="4:5" x14ac:dyDescent="0.25">
      <c r="D234" t="s">
        <v>228</v>
      </c>
    </row>
    <row r="236" spans="4:5" x14ac:dyDescent="0.25">
      <c r="D236" t="s">
        <v>83</v>
      </c>
      <c r="E236" t="s">
        <v>84</v>
      </c>
    </row>
    <row r="237" spans="4:5" x14ac:dyDescent="0.25">
      <c r="D237" t="s">
        <v>85</v>
      </c>
      <c r="E237" t="s">
        <v>151</v>
      </c>
    </row>
    <row r="238" spans="4:5" x14ac:dyDescent="0.25">
      <c r="D238" t="s">
        <v>87</v>
      </c>
      <c r="E238" t="s">
        <v>145</v>
      </c>
    </row>
    <row r="239" spans="4:5" x14ac:dyDescent="0.25">
      <c r="D239" t="s">
        <v>229</v>
      </c>
    </row>
    <row r="241" spans="4:5" x14ac:dyDescent="0.25">
      <c r="D241" t="s">
        <v>83</v>
      </c>
      <c r="E241" t="s">
        <v>152</v>
      </c>
    </row>
    <row r="242" spans="4:5" x14ac:dyDescent="0.25">
      <c r="D242" t="s">
        <v>85</v>
      </c>
      <c r="E242" t="s">
        <v>86</v>
      </c>
    </row>
    <row r="243" spans="4:5" x14ac:dyDescent="0.25">
      <c r="D243" t="s">
        <v>87</v>
      </c>
      <c r="E243" t="s">
        <v>145</v>
      </c>
    </row>
    <row r="244" spans="4:5" x14ac:dyDescent="0.25">
      <c r="D244" t="s">
        <v>230</v>
      </c>
    </row>
    <row r="246" spans="4:5" x14ac:dyDescent="0.25">
      <c r="D246" t="s">
        <v>83</v>
      </c>
      <c r="E246" t="s">
        <v>152</v>
      </c>
    </row>
    <row r="247" spans="4:5" x14ac:dyDescent="0.25">
      <c r="D247" t="s">
        <v>85</v>
      </c>
      <c r="E247" t="s">
        <v>153</v>
      </c>
    </row>
    <row r="248" spans="4:5" x14ac:dyDescent="0.25">
      <c r="D248" t="s">
        <v>87</v>
      </c>
      <c r="E248" t="s">
        <v>145</v>
      </c>
    </row>
    <row r="249" spans="4:5" x14ac:dyDescent="0.25">
      <c r="D249" t="s">
        <v>231</v>
      </c>
    </row>
    <row r="251" spans="4:5" x14ac:dyDescent="0.25">
      <c r="D251" t="s">
        <v>83</v>
      </c>
      <c r="E251" t="s">
        <v>152</v>
      </c>
    </row>
    <row r="252" spans="4:5" x14ac:dyDescent="0.25">
      <c r="D252" t="s">
        <v>85</v>
      </c>
      <c r="E252" t="s">
        <v>154</v>
      </c>
    </row>
    <row r="253" spans="4:5" x14ac:dyDescent="0.25">
      <c r="D253" t="s">
        <v>87</v>
      </c>
      <c r="E253" t="s">
        <v>145</v>
      </c>
    </row>
    <row r="254" spans="4:5" x14ac:dyDescent="0.25">
      <c r="D254" t="s">
        <v>232</v>
      </c>
    </row>
    <row r="256" spans="4:5" x14ac:dyDescent="0.25">
      <c r="D256" t="s">
        <v>83</v>
      </c>
      <c r="E256" t="s">
        <v>84</v>
      </c>
    </row>
    <row r="257" spans="4:5" x14ac:dyDescent="0.25">
      <c r="D257" t="s">
        <v>85</v>
      </c>
      <c r="E257" t="s">
        <v>153</v>
      </c>
    </row>
    <row r="258" spans="4:5" x14ac:dyDescent="0.25">
      <c r="D258" t="s">
        <v>87</v>
      </c>
      <c r="E258" t="s">
        <v>145</v>
      </c>
    </row>
    <row r="259" spans="4:5" x14ac:dyDescent="0.25">
      <c r="D259" t="s">
        <v>233</v>
      </c>
    </row>
    <row r="261" spans="4:5" x14ac:dyDescent="0.25">
      <c r="D261" t="s">
        <v>83</v>
      </c>
      <c r="E261" t="s">
        <v>84</v>
      </c>
    </row>
    <row r="262" spans="4:5" x14ac:dyDescent="0.25">
      <c r="D262" t="s">
        <v>85</v>
      </c>
      <c r="E262" t="s">
        <v>154</v>
      </c>
    </row>
    <row r="263" spans="4:5" x14ac:dyDescent="0.25">
      <c r="D263" t="s">
        <v>87</v>
      </c>
      <c r="E263" t="s">
        <v>145</v>
      </c>
    </row>
    <row r="264" spans="4:5" x14ac:dyDescent="0.25">
      <c r="D264" t="s">
        <v>234</v>
      </c>
    </row>
    <row r="266" spans="4:5" x14ac:dyDescent="0.25">
      <c r="D266" t="s">
        <v>83</v>
      </c>
      <c r="E266" t="s">
        <v>155</v>
      </c>
    </row>
    <row r="267" spans="4:5" x14ac:dyDescent="0.25">
      <c r="D267" t="s">
        <v>85</v>
      </c>
      <c r="E267" t="s">
        <v>156</v>
      </c>
    </row>
    <row r="268" spans="4:5" x14ac:dyDescent="0.25">
      <c r="D268" t="s">
        <v>157</v>
      </c>
    </row>
    <row r="269" spans="4:5" x14ac:dyDescent="0.25">
      <c r="D269" t="s">
        <v>158</v>
      </c>
    </row>
    <row r="270" spans="4:5" x14ac:dyDescent="0.25">
      <c r="D270" t="s">
        <v>159</v>
      </c>
    </row>
    <row r="271" spans="4:5" x14ac:dyDescent="0.25">
      <c r="D271" t="s">
        <v>160</v>
      </c>
    </row>
    <row r="272" spans="4:5" x14ac:dyDescent="0.25">
      <c r="D272" t="s">
        <v>161</v>
      </c>
      <c r="E272" t="b">
        <v>0</v>
      </c>
    </row>
    <row r="273" spans="4:5" x14ac:dyDescent="0.25">
      <c r="D273" t="s">
        <v>162</v>
      </c>
      <c r="E273" t="s">
        <v>119</v>
      </c>
    </row>
    <row r="274" spans="4:5" x14ac:dyDescent="0.25">
      <c r="D274" t="s">
        <v>235</v>
      </c>
    </row>
    <row r="276" spans="4:5" x14ac:dyDescent="0.25">
      <c r="D276" t="s">
        <v>83</v>
      </c>
      <c r="E276" t="s">
        <v>155</v>
      </c>
    </row>
    <row r="277" spans="4:5" x14ac:dyDescent="0.25">
      <c r="D277" t="s">
        <v>85</v>
      </c>
      <c r="E277" t="s">
        <v>156</v>
      </c>
    </row>
    <row r="278" spans="4:5" x14ac:dyDescent="0.25">
      <c r="D278" t="s">
        <v>157</v>
      </c>
    </row>
    <row r="279" spans="4:5" x14ac:dyDescent="0.25">
      <c r="D279" t="s">
        <v>158</v>
      </c>
    </row>
    <row r="280" spans="4:5" x14ac:dyDescent="0.25">
      <c r="D280" t="s">
        <v>159</v>
      </c>
    </row>
    <row r="281" spans="4:5" x14ac:dyDescent="0.25">
      <c r="D281" t="s">
        <v>160</v>
      </c>
    </row>
    <row r="282" spans="4:5" x14ac:dyDescent="0.25">
      <c r="D282" t="s">
        <v>161</v>
      </c>
      <c r="E282" t="b">
        <v>1</v>
      </c>
    </row>
    <row r="283" spans="4:5" x14ac:dyDescent="0.25">
      <c r="D283" t="s">
        <v>162</v>
      </c>
      <c r="E283" t="s">
        <v>119</v>
      </c>
    </row>
    <row r="284" spans="4:5" x14ac:dyDescent="0.25">
      <c r="D284" t="s">
        <v>236</v>
      </c>
    </row>
    <row r="286" spans="4:5" x14ac:dyDescent="0.25">
      <c r="D286" t="s">
        <v>83</v>
      </c>
      <c r="E286" t="s">
        <v>84</v>
      </c>
    </row>
    <row r="287" spans="4:5" x14ac:dyDescent="0.25">
      <c r="D287" t="s">
        <v>85</v>
      </c>
      <c r="E287" t="s">
        <v>163</v>
      </c>
    </row>
    <row r="288" spans="4:5" x14ac:dyDescent="0.25">
      <c r="D288" t="s">
        <v>87</v>
      </c>
      <c r="E288" t="s">
        <v>54</v>
      </c>
    </row>
    <row r="289" spans="4:5" x14ac:dyDescent="0.25">
      <c r="D289" t="s">
        <v>88</v>
      </c>
      <c r="E289">
        <v>37</v>
      </c>
    </row>
    <row r="290" spans="4:5" x14ac:dyDescent="0.25">
      <c r="D290" t="s">
        <v>89</v>
      </c>
      <c r="E290">
        <v>0</v>
      </c>
    </row>
    <row r="291" spans="4:5" x14ac:dyDescent="0.25">
      <c r="D291" t="s">
        <v>237</v>
      </c>
    </row>
    <row r="293" spans="4:5" x14ac:dyDescent="0.25">
      <c r="D293" t="s">
        <v>83</v>
      </c>
      <c r="E293" t="s">
        <v>164</v>
      </c>
    </row>
    <row r="294" spans="4:5" x14ac:dyDescent="0.25">
      <c r="D294" t="s">
        <v>85</v>
      </c>
      <c r="E294" t="s">
        <v>165</v>
      </c>
    </row>
    <row r="295" spans="4:5" x14ac:dyDescent="0.25">
      <c r="D295" t="s">
        <v>166</v>
      </c>
      <c r="E295">
        <v>900</v>
      </c>
    </row>
    <row r="296" spans="4:5" x14ac:dyDescent="0.25">
      <c r="D296" t="s">
        <v>238</v>
      </c>
    </row>
    <row r="298" spans="4:5" x14ac:dyDescent="0.25">
      <c r="D298" t="s">
        <v>83</v>
      </c>
      <c r="E298" t="s">
        <v>164</v>
      </c>
    </row>
    <row r="299" spans="4:5" x14ac:dyDescent="0.25">
      <c r="D299" t="s">
        <v>85</v>
      </c>
      <c r="E299" t="s">
        <v>167</v>
      </c>
    </row>
    <row r="300" spans="4:5" x14ac:dyDescent="0.25">
      <c r="D300" t="s">
        <v>239</v>
      </c>
    </row>
    <row r="302" spans="4:5" x14ac:dyDescent="0.25">
      <c r="D302" t="s">
        <v>83</v>
      </c>
      <c r="E302" t="s">
        <v>84</v>
      </c>
    </row>
    <row r="303" spans="4:5" x14ac:dyDescent="0.25">
      <c r="D303" t="s">
        <v>85</v>
      </c>
      <c r="E303" t="s">
        <v>168</v>
      </c>
    </row>
    <row r="304" spans="4:5" x14ac:dyDescent="0.25">
      <c r="D304" t="s">
        <v>87</v>
      </c>
      <c r="E304" t="s">
        <v>145</v>
      </c>
    </row>
    <row r="305" spans="4:5" x14ac:dyDescent="0.25">
      <c r="D305" t="s">
        <v>240</v>
      </c>
    </row>
    <row r="307" spans="4:5" x14ac:dyDescent="0.25">
      <c r="D307" t="s">
        <v>83</v>
      </c>
      <c r="E307" t="s">
        <v>152</v>
      </c>
    </row>
    <row r="308" spans="4:5" x14ac:dyDescent="0.25">
      <c r="D308" t="s">
        <v>85</v>
      </c>
      <c r="E308" t="s">
        <v>153</v>
      </c>
    </row>
    <row r="309" spans="4:5" x14ac:dyDescent="0.25">
      <c r="D309" t="s">
        <v>87</v>
      </c>
      <c r="E309" t="s">
        <v>145</v>
      </c>
    </row>
    <row r="310" spans="4:5" x14ac:dyDescent="0.25">
      <c r="D310" t="s">
        <v>241</v>
      </c>
    </row>
    <row r="312" spans="4:5" x14ac:dyDescent="0.25">
      <c r="D312" t="s">
        <v>83</v>
      </c>
      <c r="E312" t="s">
        <v>152</v>
      </c>
    </row>
    <row r="313" spans="4:5" x14ac:dyDescent="0.25">
      <c r="D313" t="s">
        <v>85</v>
      </c>
      <c r="E313" t="s">
        <v>154</v>
      </c>
    </row>
    <row r="314" spans="4:5" x14ac:dyDescent="0.25">
      <c r="D314" t="s">
        <v>87</v>
      </c>
      <c r="E314" t="s">
        <v>145</v>
      </c>
    </row>
    <row r="315" spans="4:5" x14ac:dyDescent="0.25">
      <c r="D315" t="s">
        <v>242</v>
      </c>
    </row>
    <row r="317" spans="4:5" x14ac:dyDescent="0.25">
      <c r="D317" t="s">
        <v>83</v>
      </c>
      <c r="E317" t="s">
        <v>84</v>
      </c>
    </row>
    <row r="318" spans="4:5" x14ac:dyDescent="0.25">
      <c r="D318" t="s">
        <v>85</v>
      </c>
      <c r="E318" t="s">
        <v>153</v>
      </c>
    </row>
    <row r="319" spans="4:5" x14ac:dyDescent="0.25">
      <c r="D319" t="s">
        <v>87</v>
      </c>
      <c r="E319" t="s">
        <v>145</v>
      </c>
    </row>
    <row r="320" spans="4:5" x14ac:dyDescent="0.25">
      <c r="D320" t="s">
        <v>243</v>
      </c>
    </row>
    <row r="322" spans="4:5" x14ac:dyDescent="0.25">
      <c r="D322" t="s">
        <v>83</v>
      </c>
      <c r="E322" t="s">
        <v>84</v>
      </c>
    </row>
    <row r="323" spans="4:5" x14ac:dyDescent="0.25">
      <c r="D323" t="s">
        <v>85</v>
      </c>
      <c r="E323" t="s">
        <v>154</v>
      </c>
    </row>
    <row r="324" spans="4:5" x14ac:dyDescent="0.25">
      <c r="D324" t="s">
        <v>87</v>
      </c>
      <c r="E324" t="s">
        <v>145</v>
      </c>
    </row>
    <row r="325" spans="4:5" x14ac:dyDescent="0.25">
      <c r="D325" t="s">
        <v>244</v>
      </c>
    </row>
    <row r="327" spans="4:5" x14ac:dyDescent="0.25">
      <c r="D327" t="s">
        <v>83</v>
      </c>
      <c r="E327" t="s">
        <v>142</v>
      </c>
    </row>
    <row r="328" spans="4:5" x14ac:dyDescent="0.25">
      <c r="D328" t="s">
        <v>85</v>
      </c>
      <c r="E328" t="s">
        <v>143</v>
      </c>
    </row>
    <row r="329" spans="4:5" x14ac:dyDescent="0.25">
      <c r="D329" t="s">
        <v>144</v>
      </c>
      <c r="E329" t="s">
        <v>145</v>
      </c>
    </row>
    <row r="330" spans="4:5" x14ac:dyDescent="0.25">
      <c r="D330" t="s">
        <v>245</v>
      </c>
    </row>
    <row r="332" spans="4:5" x14ac:dyDescent="0.25">
      <c r="D332" t="s">
        <v>83</v>
      </c>
      <c r="E332" t="s">
        <v>142</v>
      </c>
    </row>
    <row r="333" spans="4:5" x14ac:dyDescent="0.25">
      <c r="D333" t="s">
        <v>85</v>
      </c>
      <c r="E333" t="s">
        <v>147</v>
      </c>
    </row>
    <row r="334" spans="4:5" x14ac:dyDescent="0.25">
      <c r="D334" t="s">
        <v>144</v>
      </c>
      <c r="E334" t="s">
        <v>145</v>
      </c>
    </row>
    <row r="335" spans="4:5" x14ac:dyDescent="0.25">
      <c r="D335" t="s">
        <v>246</v>
      </c>
    </row>
    <row r="337" spans="4:5" x14ac:dyDescent="0.25">
      <c r="D337" t="s">
        <v>83</v>
      </c>
      <c r="E337" t="s">
        <v>84</v>
      </c>
    </row>
    <row r="338" spans="4:5" x14ac:dyDescent="0.25">
      <c r="D338" t="s">
        <v>85</v>
      </c>
      <c r="E338" t="s">
        <v>149</v>
      </c>
    </row>
    <row r="339" spans="4:5" x14ac:dyDescent="0.25">
      <c r="D339" t="s">
        <v>87</v>
      </c>
      <c r="E339" t="s">
        <v>145</v>
      </c>
    </row>
    <row r="340" spans="4:5" x14ac:dyDescent="0.25">
      <c r="D340" t="s">
        <v>247</v>
      </c>
    </row>
    <row r="342" spans="4:5" x14ac:dyDescent="0.25">
      <c r="D342" t="s">
        <v>83</v>
      </c>
      <c r="E342" t="s">
        <v>84</v>
      </c>
    </row>
    <row r="343" spans="4:5" x14ac:dyDescent="0.25">
      <c r="D343" t="s">
        <v>85</v>
      </c>
      <c r="E343" t="s">
        <v>151</v>
      </c>
    </row>
    <row r="344" spans="4:5" x14ac:dyDescent="0.25">
      <c r="D344" t="s">
        <v>87</v>
      </c>
      <c r="E344" t="s">
        <v>145</v>
      </c>
    </row>
    <row r="345" spans="4:5" x14ac:dyDescent="0.25">
      <c r="D345" t="s">
        <v>248</v>
      </c>
    </row>
    <row r="347" spans="4:5" x14ac:dyDescent="0.25">
      <c r="D347" t="s">
        <v>83</v>
      </c>
      <c r="E347" t="s">
        <v>155</v>
      </c>
    </row>
    <row r="348" spans="4:5" x14ac:dyDescent="0.25">
      <c r="D348" t="s">
        <v>85</v>
      </c>
      <c r="E348" t="s">
        <v>156</v>
      </c>
    </row>
    <row r="349" spans="4:5" x14ac:dyDescent="0.25">
      <c r="D349" t="s">
        <v>157</v>
      </c>
    </row>
    <row r="350" spans="4:5" x14ac:dyDescent="0.25">
      <c r="D350" t="s">
        <v>158</v>
      </c>
    </row>
    <row r="351" spans="4:5" x14ac:dyDescent="0.25">
      <c r="D351" t="s">
        <v>159</v>
      </c>
    </row>
    <row r="352" spans="4:5" x14ac:dyDescent="0.25">
      <c r="D352" t="s">
        <v>160</v>
      </c>
    </row>
    <row r="353" spans="4:5" x14ac:dyDescent="0.25">
      <c r="D353" t="s">
        <v>161</v>
      </c>
      <c r="E353" t="b">
        <v>0</v>
      </c>
    </row>
    <row r="354" spans="4:5" x14ac:dyDescent="0.25">
      <c r="D354" t="s">
        <v>162</v>
      </c>
      <c r="E354" t="s">
        <v>169</v>
      </c>
    </row>
    <row r="355" spans="4:5" x14ac:dyDescent="0.25">
      <c r="D355" t="s">
        <v>249</v>
      </c>
    </row>
    <row r="357" spans="4:5" x14ac:dyDescent="0.25">
      <c r="D357" t="s">
        <v>83</v>
      </c>
      <c r="E357" t="s">
        <v>155</v>
      </c>
    </row>
    <row r="358" spans="4:5" x14ac:dyDescent="0.25">
      <c r="D358" t="s">
        <v>85</v>
      </c>
      <c r="E358" t="s">
        <v>156</v>
      </c>
    </row>
    <row r="359" spans="4:5" x14ac:dyDescent="0.25">
      <c r="D359" t="s">
        <v>157</v>
      </c>
    </row>
    <row r="360" spans="4:5" x14ac:dyDescent="0.25">
      <c r="D360" t="s">
        <v>158</v>
      </c>
    </row>
    <row r="361" spans="4:5" x14ac:dyDescent="0.25">
      <c r="D361" t="s">
        <v>159</v>
      </c>
    </row>
    <row r="362" spans="4:5" x14ac:dyDescent="0.25">
      <c r="D362" t="s">
        <v>160</v>
      </c>
    </row>
    <row r="363" spans="4:5" x14ac:dyDescent="0.25">
      <c r="D363" t="s">
        <v>161</v>
      </c>
      <c r="E363" t="b">
        <v>1</v>
      </c>
    </row>
    <row r="364" spans="4:5" x14ac:dyDescent="0.25">
      <c r="D364" t="s">
        <v>162</v>
      </c>
      <c r="E364" t="s">
        <v>169</v>
      </c>
    </row>
    <row r="365" spans="4:5" x14ac:dyDescent="0.25">
      <c r="D365" t="s">
        <v>250</v>
      </c>
    </row>
    <row r="367" spans="4:5" x14ac:dyDescent="0.25">
      <c r="D367" t="s">
        <v>83</v>
      </c>
      <c r="E367" t="s">
        <v>84</v>
      </c>
    </row>
    <row r="368" spans="4:5" x14ac:dyDescent="0.25">
      <c r="D368" t="s">
        <v>85</v>
      </c>
      <c r="E368" t="s">
        <v>170</v>
      </c>
    </row>
    <row r="369" spans="2:5" x14ac:dyDescent="0.25">
      <c r="D369" t="s">
        <v>87</v>
      </c>
      <c r="E369" t="s">
        <v>145</v>
      </c>
    </row>
    <row r="371" spans="2:5" x14ac:dyDescent="0.25">
      <c r="D371" t="s">
        <v>83</v>
      </c>
      <c r="E371" t="s">
        <v>152</v>
      </c>
    </row>
    <row r="372" spans="2:5" x14ac:dyDescent="0.25">
      <c r="D372" t="s">
        <v>85</v>
      </c>
      <c r="E372" t="s">
        <v>170</v>
      </c>
    </row>
    <row r="373" spans="2:5" x14ac:dyDescent="0.25">
      <c r="D373" t="s">
        <v>87</v>
      </c>
      <c r="E373" t="s">
        <v>145</v>
      </c>
    </row>
    <row r="374" spans="2:5" x14ac:dyDescent="0.25">
      <c r="D374" t="s">
        <v>251</v>
      </c>
    </row>
    <row r="379" spans="2:5" x14ac:dyDescent="0.25">
      <c r="B379" t="s">
        <v>171</v>
      </c>
    </row>
    <row r="380" spans="2:5" x14ac:dyDescent="0.25">
      <c r="B380" t="s">
        <v>183</v>
      </c>
    </row>
    <row r="381" spans="2:5" x14ac:dyDescent="0.25">
      <c r="B381" t="s">
        <v>173</v>
      </c>
    </row>
    <row r="382" spans="2:5" x14ac:dyDescent="0.25">
      <c r="B382" t="s">
        <v>174</v>
      </c>
    </row>
    <row r="383" spans="2:5" x14ac:dyDescent="0.25">
      <c r="B383" t="s">
        <v>175</v>
      </c>
    </row>
    <row r="385" spans="2:5" x14ac:dyDescent="0.25">
      <c r="C385" t="s">
        <v>24</v>
      </c>
    </row>
    <row r="387" spans="2:5" x14ac:dyDescent="0.25">
      <c r="D387" t="s">
        <v>83</v>
      </c>
      <c r="E387" t="s">
        <v>82</v>
      </c>
    </row>
    <row r="388" spans="2:5" x14ac:dyDescent="0.25">
      <c r="D388" t="s">
        <v>85</v>
      </c>
      <c r="E388" t="s">
        <v>176</v>
      </c>
    </row>
    <row r="389" spans="2:5" x14ac:dyDescent="0.25">
      <c r="D389" t="s">
        <v>177</v>
      </c>
      <c r="E389" t="s">
        <v>77</v>
      </c>
    </row>
    <row r="390" spans="2:5" x14ac:dyDescent="0.25">
      <c r="D390" t="s">
        <v>178</v>
      </c>
      <c r="E390" t="s">
        <v>78</v>
      </c>
    </row>
    <row r="391" spans="2:5" x14ac:dyDescent="0.25">
      <c r="D391" t="s">
        <v>179</v>
      </c>
      <c r="E391" t="s">
        <v>180</v>
      </c>
    </row>
    <row r="392" spans="2:5" x14ac:dyDescent="0.25">
      <c r="D392" t="s">
        <v>252</v>
      </c>
    </row>
    <row r="397" spans="2:5" x14ac:dyDescent="0.25">
      <c r="B397" t="s">
        <v>182</v>
      </c>
    </row>
    <row r="398" spans="2:5" x14ac:dyDescent="0.25">
      <c r="B398" t="s">
        <v>253</v>
      </c>
    </row>
    <row r="400" spans="2:5" x14ac:dyDescent="0.25">
      <c r="C400" t="s">
        <v>184</v>
      </c>
    </row>
    <row r="402" spans="4:25" x14ac:dyDescent="0.25">
      <c r="D402" t="s">
        <v>83</v>
      </c>
      <c r="E402" t="s">
        <v>185</v>
      </c>
    </row>
    <row r="403" spans="4:25" x14ac:dyDescent="0.25">
      <c r="D403" t="s">
        <v>85</v>
      </c>
      <c r="E403" t="s">
        <v>186</v>
      </c>
    </row>
    <row r="404" spans="4:25" x14ac:dyDescent="0.25">
      <c r="D404" t="s">
        <v>187</v>
      </c>
      <c r="E404">
        <v>5</v>
      </c>
    </row>
    <row r="406" spans="4:25" x14ac:dyDescent="0.25">
      <c r="D406" t="s">
        <v>83</v>
      </c>
      <c r="E406" t="s">
        <v>185</v>
      </c>
    </row>
    <row r="407" spans="4:25" x14ac:dyDescent="0.25">
      <c r="D407" t="s">
        <v>85</v>
      </c>
      <c r="E407" t="s">
        <v>142</v>
      </c>
    </row>
    <row r="408" spans="4:25" x14ac:dyDescent="0.25">
      <c r="D408" t="s">
        <v>188</v>
      </c>
      <c r="E408" t="s">
        <v>54</v>
      </c>
      <c r="F408" t="s">
        <v>261</v>
      </c>
      <c r="G408" t="s">
        <v>270</v>
      </c>
      <c r="H408" t="s">
        <v>271</v>
      </c>
      <c r="I408" t="s">
        <v>272</v>
      </c>
      <c r="J408" t="s">
        <v>273</v>
      </c>
      <c r="K408" t="s">
        <v>274</v>
      </c>
      <c r="L408" t="s">
        <v>275</v>
      </c>
      <c r="M408" t="s">
        <v>276</v>
      </c>
      <c r="N408" t="s">
        <v>277</v>
      </c>
      <c r="O408" t="s">
        <v>66</v>
      </c>
      <c r="P408" t="s">
        <v>65</v>
      </c>
      <c r="Q408" t="s">
        <v>262</v>
      </c>
      <c r="R408" t="s">
        <v>263</v>
      </c>
      <c r="S408" t="s">
        <v>264</v>
      </c>
      <c r="T408" t="s">
        <v>265</v>
      </c>
      <c r="U408" t="s">
        <v>266</v>
      </c>
      <c r="V408" t="s">
        <v>267</v>
      </c>
      <c r="W408" t="s">
        <v>268</v>
      </c>
      <c r="X408" t="s">
        <v>269</v>
      </c>
      <c r="Y408" t="s">
        <v>69</v>
      </c>
    </row>
    <row r="409" spans="4:25" x14ac:dyDescent="0.25">
      <c r="D409" t="s">
        <v>189</v>
      </c>
      <c r="E409" t="s">
        <v>190</v>
      </c>
      <c r="F409" t="s">
        <v>191</v>
      </c>
      <c r="G409" t="s">
        <v>346</v>
      </c>
      <c r="H409" t="s">
        <v>347</v>
      </c>
      <c r="I409" t="s">
        <v>348</v>
      </c>
      <c r="J409" t="s">
        <v>349</v>
      </c>
      <c r="K409" t="s">
        <v>350</v>
      </c>
      <c r="L409" t="s">
        <v>351</v>
      </c>
      <c r="M409" t="s">
        <v>352</v>
      </c>
      <c r="N409" t="s">
        <v>353</v>
      </c>
      <c r="O409" t="s">
        <v>354</v>
      </c>
      <c r="P409" t="s">
        <v>355</v>
      </c>
      <c r="Q409" t="s">
        <v>192</v>
      </c>
      <c r="R409" t="s">
        <v>254</v>
      </c>
      <c r="S409" t="s">
        <v>356</v>
      </c>
      <c r="T409" t="s">
        <v>357</v>
      </c>
      <c r="U409" t="s">
        <v>358</v>
      </c>
      <c r="V409" t="s">
        <v>359</v>
      </c>
      <c r="W409" t="s">
        <v>360</v>
      </c>
      <c r="X409" t="s">
        <v>361</v>
      </c>
      <c r="Y409" t="s">
        <v>193</v>
      </c>
    </row>
    <row r="410" spans="4:25" x14ac:dyDescent="0.25">
      <c r="D410" t="s">
        <v>194</v>
      </c>
      <c r="E410" t="b">
        <v>0</v>
      </c>
      <c r="F410" t="b">
        <v>1</v>
      </c>
      <c r="G410" t="b">
        <v>1</v>
      </c>
      <c r="H410" t="b">
        <v>1</v>
      </c>
      <c r="I410" t="b">
        <v>1</v>
      </c>
      <c r="J410" t="b">
        <v>1</v>
      </c>
      <c r="K410" t="b">
        <v>1</v>
      </c>
      <c r="L410" t="b">
        <v>1</v>
      </c>
      <c r="M410" t="b">
        <v>1</v>
      </c>
      <c r="N410" t="b">
        <v>1</v>
      </c>
      <c r="O410" t="b">
        <v>1</v>
      </c>
      <c r="P410" t="b">
        <v>1</v>
      </c>
      <c r="Q410" t="b">
        <v>1</v>
      </c>
      <c r="R410" t="b">
        <v>1</v>
      </c>
      <c r="S410" t="b">
        <v>1</v>
      </c>
      <c r="T410" t="b">
        <v>1</v>
      </c>
      <c r="U410" t="b">
        <v>1</v>
      </c>
      <c r="V410" t="b">
        <v>1</v>
      </c>
      <c r="W410" t="b">
        <v>1</v>
      </c>
      <c r="X410" t="b">
        <v>1</v>
      </c>
      <c r="Y410" t="b">
        <v>0</v>
      </c>
    </row>
    <row r="411" spans="4:25" x14ac:dyDescent="0.25">
      <c r="D411" t="s">
        <v>195</v>
      </c>
      <c r="E411" t="s">
        <v>196</v>
      </c>
      <c r="F411" t="s">
        <v>191</v>
      </c>
      <c r="G411" t="s">
        <v>346</v>
      </c>
      <c r="H411" t="s">
        <v>347</v>
      </c>
      <c r="I411" t="s">
        <v>348</v>
      </c>
      <c r="J411" t="s">
        <v>349</v>
      </c>
      <c r="K411" t="s">
        <v>350</v>
      </c>
      <c r="L411" t="s">
        <v>351</v>
      </c>
      <c r="M411" t="s">
        <v>352</v>
      </c>
      <c r="N411" t="s">
        <v>353</v>
      </c>
      <c r="O411" t="s">
        <v>354</v>
      </c>
      <c r="P411" t="s">
        <v>355</v>
      </c>
      <c r="Q411" t="s">
        <v>192</v>
      </c>
      <c r="R411" t="s">
        <v>254</v>
      </c>
      <c r="S411" t="s">
        <v>356</v>
      </c>
      <c r="T411" t="s">
        <v>357</v>
      </c>
      <c r="U411" t="s">
        <v>358</v>
      </c>
      <c r="V411" t="s">
        <v>359</v>
      </c>
      <c r="W411" t="s">
        <v>360</v>
      </c>
      <c r="X411" t="s">
        <v>361</v>
      </c>
      <c r="Y411" t="s">
        <v>193</v>
      </c>
    </row>
    <row r="412" spans="4:25" x14ac:dyDescent="0.25">
      <c r="D412" t="s">
        <v>197</v>
      </c>
      <c r="E412">
        <v>230</v>
      </c>
      <c r="F412">
        <v>180</v>
      </c>
      <c r="G412">
        <v>180</v>
      </c>
      <c r="H412">
        <v>180</v>
      </c>
      <c r="I412">
        <v>180</v>
      </c>
      <c r="J412">
        <v>180</v>
      </c>
      <c r="K412">
        <v>180</v>
      </c>
      <c r="L412">
        <v>180</v>
      </c>
      <c r="M412">
        <v>180</v>
      </c>
      <c r="N412">
        <v>180</v>
      </c>
      <c r="O412">
        <v>1240.624</v>
      </c>
      <c r="P412">
        <v>229.376</v>
      </c>
      <c r="Q412">
        <v>180</v>
      </c>
      <c r="R412">
        <v>180</v>
      </c>
      <c r="S412">
        <v>180</v>
      </c>
      <c r="T412">
        <v>180</v>
      </c>
      <c r="U412">
        <v>180</v>
      </c>
      <c r="V412">
        <v>180</v>
      </c>
      <c r="W412">
        <v>180</v>
      </c>
      <c r="X412">
        <v>180</v>
      </c>
      <c r="Y412">
        <v>11500</v>
      </c>
    </row>
    <row r="413" spans="4:25" x14ac:dyDescent="0.25">
      <c r="D413" t="s">
        <v>198</v>
      </c>
      <c r="E413" t="s">
        <v>80</v>
      </c>
      <c r="F413" t="s">
        <v>199</v>
      </c>
      <c r="G413" t="s">
        <v>199</v>
      </c>
      <c r="H413" t="s">
        <v>199</v>
      </c>
      <c r="I413" t="s">
        <v>199</v>
      </c>
      <c r="J413" t="s">
        <v>199</v>
      </c>
      <c r="K413" t="s">
        <v>199</v>
      </c>
      <c r="L413" t="s">
        <v>199</v>
      </c>
      <c r="M413" t="s">
        <v>199</v>
      </c>
      <c r="N413" t="s">
        <v>199</v>
      </c>
      <c r="O413" t="s">
        <v>199</v>
      </c>
      <c r="P413" t="s">
        <v>199</v>
      </c>
      <c r="Q413" t="s">
        <v>199</v>
      </c>
      <c r="R413" t="s">
        <v>199</v>
      </c>
      <c r="S413" t="s">
        <v>199</v>
      </c>
      <c r="T413" t="s">
        <v>199</v>
      </c>
      <c r="U413" t="s">
        <v>199</v>
      </c>
      <c r="V413" t="s">
        <v>199</v>
      </c>
      <c r="W413" t="s">
        <v>199</v>
      </c>
      <c r="X413" t="s">
        <v>199</v>
      </c>
      <c r="Y413" t="s">
        <v>200</v>
      </c>
    </row>
    <row r="414" spans="4:25" x14ac:dyDescent="0.25">
      <c r="D414" t="s">
        <v>201</v>
      </c>
      <c r="E414" t="s">
        <v>81</v>
      </c>
      <c r="F414" t="s">
        <v>202</v>
      </c>
      <c r="G414" t="s">
        <v>202</v>
      </c>
      <c r="H414" t="s">
        <v>202</v>
      </c>
      <c r="I414" t="s">
        <v>202</v>
      </c>
      <c r="J414" t="s">
        <v>202</v>
      </c>
      <c r="K414" t="s">
        <v>202</v>
      </c>
      <c r="L414" t="s">
        <v>202</v>
      </c>
      <c r="M414" t="s">
        <v>202</v>
      </c>
      <c r="N414" t="s">
        <v>202</v>
      </c>
      <c r="O414" t="s">
        <v>202</v>
      </c>
      <c r="P414" t="s">
        <v>202</v>
      </c>
      <c r="Q414" t="s">
        <v>202</v>
      </c>
      <c r="R414" t="s">
        <v>202</v>
      </c>
      <c r="S414" t="s">
        <v>202</v>
      </c>
      <c r="T414" t="s">
        <v>202</v>
      </c>
      <c r="U414" t="s">
        <v>202</v>
      </c>
      <c r="V414" t="s">
        <v>202</v>
      </c>
      <c r="W414" t="s">
        <v>202</v>
      </c>
      <c r="X414" t="s">
        <v>202</v>
      </c>
      <c r="Y414" t="s">
        <v>202</v>
      </c>
    </row>
    <row r="415" spans="4:25" x14ac:dyDescent="0.25">
      <c r="D415" t="s">
        <v>203</v>
      </c>
      <c r="E415" t="s">
        <v>204</v>
      </c>
      <c r="F415" t="s">
        <v>205</v>
      </c>
      <c r="G415" t="s">
        <v>205</v>
      </c>
      <c r="H415" t="s">
        <v>205</v>
      </c>
      <c r="I415" t="s">
        <v>205</v>
      </c>
      <c r="J415" t="s">
        <v>205</v>
      </c>
      <c r="K415" t="s">
        <v>205</v>
      </c>
      <c r="L415" t="s">
        <v>205</v>
      </c>
      <c r="M415" t="s">
        <v>205</v>
      </c>
      <c r="N415" t="s">
        <v>205</v>
      </c>
      <c r="O415" t="s">
        <v>205</v>
      </c>
      <c r="P415" t="s">
        <v>205</v>
      </c>
      <c r="Q415" t="s">
        <v>205</v>
      </c>
      <c r="R415" t="s">
        <v>205</v>
      </c>
      <c r="S415" t="s">
        <v>205</v>
      </c>
      <c r="T415" t="s">
        <v>205</v>
      </c>
      <c r="U415" t="s">
        <v>205</v>
      </c>
      <c r="V415" t="s">
        <v>205</v>
      </c>
      <c r="W415" t="s">
        <v>205</v>
      </c>
      <c r="X415" t="s">
        <v>205</v>
      </c>
      <c r="Y415" t="s">
        <v>206</v>
      </c>
    </row>
    <row r="417" spans="4:167" x14ac:dyDescent="0.25">
      <c r="D417" t="s">
        <v>83</v>
      </c>
      <c r="E417" t="s">
        <v>185</v>
      </c>
    </row>
    <row r="418" spans="4:167" x14ac:dyDescent="0.25">
      <c r="D418" t="s">
        <v>85</v>
      </c>
      <c r="E418" t="s">
        <v>98</v>
      </c>
    </row>
    <row r="419" spans="4:167" x14ac:dyDescent="0.25">
      <c r="D419" t="s">
        <v>197</v>
      </c>
      <c r="E419">
        <v>20</v>
      </c>
      <c r="F419">
        <v>10</v>
      </c>
      <c r="G419">
        <v>20</v>
      </c>
      <c r="H419">
        <v>10</v>
      </c>
      <c r="I419">
        <v>20</v>
      </c>
      <c r="J419">
        <v>10</v>
      </c>
      <c r="K419">
        <v>20</v>
      </c>
      <c r="L419">
        <v>10</v>
      </c>
      <c r="M419">
        <v>20</v>
      </c>
      <c r="N419">
        <v>10</v>
      </c>
      <c r="O419">
        <v>20</v>
      </c>
      <c r="P419">
        <v>10</v>
      </c>
      <c r="Q419">
        <v>20</v>
      </c>
      <c r="R419">
        <v>10</v>
      </c>
      <c r="S419">
        <v>20</v>
      </c>
      <c r="T419">
        <v>10</v>
      </c>
      <c r="U419">
        <v>20</v>
      </c>
      <c r="V419">
        <v>10</v>
      </c>
      <c r="W419">
        <v>20</v>
      </c>
      <c r="X419">
        <v>10</v>
      </c>
      <c r="Y419">
        <v>20</v>
      </c>
      <c r="Z419">
        <v>10</v>
      </c>
      <c r="AA419">
        <v>20</v>
      </c>
      <c r="AB419">
        <v>10</v>
      </c>
      <c r="AC419">
        <v>20</v>
      </c>
      <c r="AD419">
        <v>10</v>
      </c>
      <c r="AE419">
        <v>20</v>
      </c>
      <c r="AF419">
        <v>10</v>
      </c>
      <c r="AG419">
        <v>20</v>
      </c>
      <c r="AH419">
        <v>10</v>
      </c>
      <c r="AI419">
        <v>20</v>
      </c>
      <c r="AJ419">
        <v>10</v>
      </c>
      <c r="AK419">
        <v>20</v>
      </c>
      <c r="AL419">
        <v>10</v>
      </c>
      <c r="AM419">
        <v>10</v>
      </c>
      <c r="AN419">
        <v>10</v>
      </c>
      <c r="AO419">
        <v>10</v>
      </c>
      <c r="AP419">
        <v>10</v>
      </c>
      <c r="AQ419">
        <v>10</v>
      </c>
      <c r="AR419">
        <v>10</v>
      </c>
      <c r="AS419">
        <v>10</v>
      </c>
      <c r="AT419">
        <v>10</v>
      </c>
      <c r="AU419">
        <v>10</v>
      </c>
      <c r="AV419">
        <v>10</v>
      </c>
      <c r="AW419">
        <v>10</v>
      </c>
      <c r="AX419">
        <v>10</v>
      </c>
      <c r="AY419">
        <v>10</v>
      </c>
      <c r="AZ419">
        <v>10</v>
      </c>
      <c r="BA419">
        <v>10</v>
      </c>
      <c r="BB419">
        <v>10</v>
      </c>
      <c r="BC419">
        <v>10</v>
      </c>
      <c r="BD419">
        <v>20</v>
      </c>
      <c r="BE419">
        <v>20</v>
      </c>
      <c r="BF419">
        <v>10</v>
      </c>
      <c r="BG419">
        <v>10</v>
      </c>
      <c r="BH419">
        <v>15</v>
      </c>
      <c r="BI419">
        <v>15</v>
      </c>
      <c r="BJ419">
        <v>17.5</v>
      </c>
      <c r="BK419">
        <v>17.5</v>
      </c>
      <c r="BL419">
        <v>18.75</v>
      </c>
      <c r="BM419">
        <v>18.75</v>
      </c>
      <c r="BN419">
        <v>19.373999999999999</v>
      </c>
      <c r="BO419">
        <v>19.373999999999999</v>
      </c>
      <c r="BP419">
        <v>19.687999999999999</v>
      </c>
      <c r="BQ419">
        <v>19.687999999999999</v>
      </c>
      <c r="BR419">
        <v>20</v>
      </c>
      <c r="BS419">
        <v>20</v>
      </c>
      <c r="BT419">
        <v>20</v>
      </c>
      <c r="BU419">
        <v>20</v>
      </c>
      <c r="BV419">
        <v>20</v>
      </c>
      <c r="BW419">
        <v>20</v>
      </c>
      <c r="BX419">
        <v>20</v>
      </c>
      <c r="BY419">
        <v>20</v>
      </c>
      <c r="BZ419">
        <v>20</v>
      </c>
      <c r="CA419">
        <v>20</v>
      </c>
      <c r="CB419">
        <v>20</v>
      </c>
      <c r="CC419">
        <v>20</v>
      </c>
      <c r="CD419">
        <v>20</v>
      </c>
      <c r="CE419">
        <v>20</v>
      </c>
      <c r="CF419">
        <v>20</v>
      </c>
      <c r="CG419">
        <v>20</v>
      </c>
      <c r="CH419">
        <v>20</v>
      </c>
      <c r="CI419">
        <v>20</v>
      </c>
      <c r="CJ419">
        <v>20</v>
      </c>
      <c r="CK419">
        <v>20</v>
      </c>
      <c r="CL419">
        <v>20</v>
      </c>
      <c r="CM419">
        <v>20</v>
      </c>
      <c r="CN419">
        <v>20</v>
      </c>
      <c r="CO419">
        <v>20</v>
      </c>
      <c r="CP419">
        <v>20</v>
      </c>
      <c r="CQ419">
        <v>20</v>
      </c>
      <c r="CR419">
        <v>20</v>
      </c>
      <c r="CS419">
        <v>20</v>
      </c>
      <c r="CT419">
        <v>20</v>
      </c>
      <c r="CU419">
        <v>20</v>
      </c>
      <c r="CV419">
        <v>20</v>
      </c>
      <c r="CW419">
        <v>20</v>
      </c>
      <c r="CX419">
        <v>20</v>
      </c>
      <c r="CY419">
        <v>20</v>
      </c>
      <c r="CZ419">
        <v>20</v>
      </c>
      <c r="DA419">
        <v>20</v>
      </c>
      <c r="DB419">
        <v>10</v>
      </c>
      <c r="DC419">
        <v>10</v>
      </c>
      <c r="DD419">
        <v>5</v>
      </c>
      <c r="DE419">
        <v>5</v>
      </c>
      <c r="DF419">
        <v>2.5</v>
      </c>
      <c r="DG419">
        <v>2.5</v>
      </c>
      <c r="DH419">
        <v>1.25</v>
      </c>
      <c r="DI419">
        <v>1.25</v>
      </c>
      <c r="DJ419">
        <v>0.626</v>
      </c>
      <c r="DK419">
        <v>0.626</v>
      </c>
      <c r="DL419">
        <v>0.312</v>
      </c>
      <c r="DM419">
        <v>0.312</v>
      </c>
      <c r="DN419">
        <v>180</v>
      </c>
      <c r="DO419">
        <v>180</v>
      </c>
      <c r="DP419">
        <v>180</v>
      </c>
      <c r="DQ419">
        <v>180</v>
      </c>
      <c r="DR419">
        <v>180</v>
      </c>
      <c r="DS419">
        <v>180</v>
      </c>
      <c r="DT419">
        <v>180</v>
      </c>
      <c r="DU419">
        <v>180</v>
      </c>
      <c r="DV419">
        <v>180</v>
      </c>
      <c r="DW419">
        <v>180</v>
      </c>
      <c r="DX419">
        <v>180</v>
      </c>
      <c r="DY419">
        <v>180</v>
      </c>
      <c r="DZ419">
        <v>180</v>
      </c>
      <c r="EA419">
        <v>180</v>
      </c>
      <c r="EB419">
        <v>180</v>
      </c>
      <c r="EC419">
        <v>180</v>
      </c>
      <c r="ED419">
        <v>180</v>
      </c>
      <c r="EE419">
        <v>180</v>
      </c>
      <c r="EF419">
        <v>180</v>
      </c>
      <c r="EG419">
        <v>180</v>
      </c>
      <c r="EH419">
        <v>180</v>
      </c>
      <c r="EI419">
        <v>180</v>
      </c>
      <c r="EJ419">
        <v>180</v>
      </c>
      <c r="EK419">
        <v>180</v>
      </c>
      <c r="EL419">
        <v>180</v>
      </c>
      <c r="EM419">
        <v>180</v>
      </c>
      <c r="EN419">
        <v>180</v>
      </c>
      <c r="EO419">
        <v>180</v>
      </c>
      <c r="EP419">
        <v>180</v>
      </c>
      <c r="EQ419">
        <v>180</v>
      </c>
      <c r="ER419">
        <v>180</v>
      </c>
      <c r="ES419">
        <v>180</v>
      </c>
      <c r="ET419">
        <v>180</v>
      </c>
      <c r="EU419">
        <v>180</v>
      </c>
      <c r="EV419">
        <v>180</v>
      </c>
      <c r="EW419">
        <v>180</v>
      </c>
      <c r="EX419">
        <v>180</v>
      </c>
      <c r="EY419">
        <v>180</v>
      </c>
      <c r="EZ419">
        <v>180</v>
      </c>
      <c r="FA419">
        <v>180</v>
      </c>
      <c r="FB419">
        <v>180</v>
      </c>
      <c r="FC419">
        <v>180</v>
      </c>
      <c r="FD419">
        <v>180</v>
      </c>
      <c r="FE419">
        <v>180</v>
      </c>
      <c r="FF419">
        <v>180</v>
      </c>
      <c r="FG419">
        <v>180</v>
      </c>
      <c r="FH419">
        <v>180</v>
      </c>
      <c r="FI419">
        <v>180</v>
      </c>
      <c r="FJ419">
        <v>180</v>
      </c>
      <c r="FK419">
        <v>180</v>
      </c>
    </row>
    <row r="421" spans="4:167" x14ac:dyDescent="0.25">
      <c r="D421" t="s">
        <v>83</v>
      </c>
      <c r="E421" t="s">
        <v>185</v>
      </c>
    </row>
    <row r="422" spans="4:167" x14ac:dyDescent="0.25">
      <c r="D422" t="s">
        <v>85</v>
      </c>
      <c r="E422" t="s">
        <v>207</v>
      </c>
    </row>
    <row r="424" spans="4:167" x14ac:dyDescent="0.25">
      <c r="D424" t="s">
        <v>83</v>
      </c>
      <c r="E424" t="s">
        <v>185</v>
      </c>
    </row>
    <row r="425" spans="4:167" x14ac:dyDescent="0.25">
      <c r="D425" t="s">
        <v>85</v>
      </c>
      <c r="E425" t="s">
        <v>208</v>
      </c>
    </row>
    <row r="427" spans="4:167" x14ac:dyDescent="0.25">
      <c r="D427" t="s">
        <v>83</v>
      </c>
      <c r="E427" t="s">
        <v>185</v>
      </c>
    </row>
    <row r="428" spans="4:167" x14ac:dyDescent="0.25">
      <c r="D428" t="s">
        <v>85</v>
      </c>
      <c r="E428" t="s">
        <v>209</v>
      </c>
    </row>
    <row r="430" spans="4:167" x14ac:dyDescent="0.25">
      <c r="D430" t="s">
        <v>83</v>
      </c>
      <c r="E430" t="s">
        <v>185</v>
      </c>
    </row>
    <row r="431" spans="4:167" x14ac:dyDescent="0.25">
      <c r="D431" t="s">
        <v>85</v>
      </c>
      <c r="E431" t="s">
        <v>210</v>
      </c>
    </row>
    <row r="433" spans="4:5" x14ac:dyDescent="0.25">
      <c r="D433" t="s">
        <v>83</v>
      </c>
      <c r="E433" t="s">
        <v>185</v>
      </c>
    </row>
    <row r="434" spans="4:5" x14ac:dyDescent="0.25">
      <c r="D434" t="s">
        <v>85</v>
      </c>
      <c r="E434" t="s">
        <v>211</v>
      </c>
    </row>
    <row r="436" spans="4:5" x14ac:dyDescent="0.25">
      <c r="D436" t="s">
        <v>83</v>
      </c>
      <c r="E436" t="s">
        <v>185</v>
      </c>
    </row>
    <row r="437" spans="4:5" x14ac:dyDescent="0.25">
      <c r="D437" t="s">
        <v>85</v>
      </c>
      <c r="E437" t="s">
        <v>212</v>
      </c>
    </row>
    <row r="439" spans="4:5" x14ac:dyDescent="0.25">
      <c r="D439" t="s">
        <v>213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D1:F67"/>
  <sheetViews>
    <sheetView topLeftCell="A37" zoomScale="80" zoomScaleNormal="80" workbookViewId="0">
      <selection activeCell="D8" sqref="D8:E8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29.140625" bestFit="1" customWidth="1"/>
    <col min="5" max="5" width="43.85546875" bestFit="1" customWidth="1"/>
    <col min="6" max="6" width="11.5703125" bestFit="1" customWidth="1"/>
    <col min="7" max="7" width="60.140625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76" t="s">
        <v>4</v>
      </c>
      <c r="E2" s="54"/>
      <c r="F2" s="77" t="s">
        <v>5</v>
      </c>
    </row>
    <row r="3" spans="4:6" x14ac:dyDescent="0.25">
      <c r="D3" s="74" t="s">
        <v>0</v>
      </c>
      <c r="E3" s="1" t="s">
        <v>54</v>
      </c>
      <c r="F3" s="78"/>
    </row>
    <row r="4" spans="4:6" ht="15.75" thickBot="1" x14ac:dyDescent="0.3">
      <c r="D4" s="75" t="s">
        <v>7</v>
      </c>
      <c r="E4" s="2" t="s">
        <v>80</v>
      </c>
      <c r="F4" s="79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82" t="s">
        <v>23</v>
      </c>
      <c r="E8" s="55"/>
      <c r="F8" s="83" t="s">
        <v>5</v>
      </c>
    </row>
    <row r="9" spans="4:6" x14ac:dyDescent="0.25">
      <c r="D9" s="80" t="s">
        <v>15</v>
      </c>
      <c r="E9" s="7" t="str">
        <f>Worklist!$C$1</f>
        <v>Description</v>
      </c>
      <c r="F9" s="84"/>
    </row>
    <row r="10" spans="4:6" x14ac:dyDescent="0.25">
      <c r="D10" s="80" t="s">
        <v>16</v>
      </c>
      <c r="E10" s="7" t="s">
        <v>17</v>
      </c>
      <c r="F10" s="84"/>
    </row>
    <row r="11" spans="4:6" x14ac:dyDescent="0.25">
      <c r="D11" s="80" t="s">
        <v>18</v>
      </c>
      <c r="E11" s="7" t="s">
        <v>19</v>
      </c>
      <c r="F11" s="84"/>
    </row>
    <row r="12" spans="4:6" x14ac:dyDescent="0.25">
      <c r="D12" s="80" t="s">
        <v>20</v>
      </c>
      <c r="E12" s="7" t="str">
        <f>Worklist!$E$1</f>
        <v>Sample Volume</v>
      </c>
      <c r="F12" s="84"/>
    </row>
    <row r="13" spans="4:6" ht="15.75" thickBot="1" x14ac:dyDescent="0.3">
      <c r="D13" s="81" t="s">
        <v>21</v>
      </c>
      <c r="E13" s="10" t="s">
        <v>22</v>
      </c>
      <c r="F13" s="85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88" t="s">
        <v>76</v>
      </c>
      <c r="E17" s="57"/>
      <c r="F17" s="89" t="s">
        <v>5</v>
      </c>
    </row>
    <row r="18" spans="4:6" x14ac:dyDescent="0.25">
      <c r="D18" s="86" t="s">
        <v>51</v>
      </c>
      <c r="E18" s="28" t="s">
        <v>74</v>
      </c>
      <c r="F18" s="90"/>
    </row>
    <row r="19" spans="4:6" x14ac:dyDescent="0.25">
      <c r="D19" s="86" t="s">
        <v>52</v>
      </c>
      <c r="E19" s="28" t="s">
        <v>214</v>
      </c>
      <c r="F19" s="90"/>
    </row>
    <row r="20" spans="4:6" ht="15.75" thickBot="1" x14ac:dyDescent="0.3">
      <c r="D20" s="87" t="s">
        <v>53</v>
      </c>
      <c r="E20" s="29" t="s">
        <v>215</v>
      </c>
      <c r="F20" s="91"/>
    </row>
    <row r="22" spans="4:6" ht="20.25" x14ac:dyDescent="0.25">
      <c r="E22" s="3" t="s">
        <v>6</v>
      </c>
    </row>
    <row r="23" spans="4:6" ht="15.75" thickBot="1" x14ac:dyDescent="0.3"/>
    <row r="24" spans="4:6" ht="15.75" x14ac:dyDescent="0.25">
      <c r="D24" s="82" t="s">
        <v>23</v>
      </c>
      <c r="E24" s="55"/>
      <c r="F24" s="83" t="s">
        <v>5</v>
      </c>
    </row>
    <row r="25" spans="4:6" x14ac:dyDescent="0.25">
      <c r="D25" s="80" t="s">
        <v>15</v>
      </c>
      <c r="E25" s="7" t="s">
        <v>66</v>
      </c>
      <c r="F25" s="84"/>
    </row>
    <row r="26" spans="4:6" x14ac:dyDescent="0.25">
      <c r="D26" s="80" t="s">
        <v>16</v>
      </c>
      <c r="E26" s="7" t="s">
        <v>17</v>
      </c>
      <c r="F26" s="84"/>
    </row>
    <row r="27" spans="4:6" x14ac:dyDescent="0.25">
      <c r="D27" s="80" t="s">
        <v>18</v>
      </c>
      <c r="E27" s="7" t="s">
        <v>19</v>
      </c>
      <c r="F27" s="84"/>
    </row>
    <row r="28" spans="4:6" x14ac:dyDescent="0.25">
      <c r="D28" s="80" t="s">
        <v>20</v>
      </c>
      <c r="E28" s="7" t="str">
        <f>Worklist!$F$1</f>
        <v>Formic Volume</v>
      </c>
      <c r="F28" s="84"/>
    </row>
    <row r="29" spans="4:6" ht="15.75" thickBot="1" x14ac:dyDescent="0.3">
      <c r="D29" s="81" t="s">
        <v>21</v>
      </c>
      <c r="E29" s="10" t="s">
        <v>22</v>
      </c>
      <c r="F29" s="85"/>
    </row>
    <row r="31" spans="4:6" ht="20.25" x14ac:dyDescent="0.25">
      <c r="E31" s="3" t="s">
        <v>6</v>
      </c>
    </row>
    <row r="32" spans="4:6" ht="15.75" thickBot="1" x14ac:dyDescent="0.3"/>
    <row r="33" spans="4:6" ht="15.75" x14ac:dyDescent="0.25">
      <c r="D33" s="94" t="s">
        <v>64</v>
      </c>
      <c r="E33" s="58"/>
      <c r="F33" s="95" t="s">
        <v>5</v>
      </c>
    </row>
    <row r="34" spans="4:6" x14ac:dyDescent="0.25">
      <c r="D34" s="92" t="s">
        <v>15</v>
      </c>
      <c r="E34" s="26" t="s">
        <v>65</v>
      </c>
      <c r="F34" s="96"/>
    </row>
    <row r="35" spans="4:6" x14ac:dyDescent="0.25">
      <c r="D35" s="92" t="s">
        <v>42</v>
      </c>
      <c r="E35" s="26" t="s">
        <v>66</v>
      </c>
      <c r="F35" s="96"/>
    </row>
    <row r="36" spans="4:6" x14ac:dyDescent="0.25">
      <c r="D36" s="92" t="s">
        <v>47</v>
      </c>
      <c r="E36" s="26">
        <v>1</v>
      </c>
      <c r="F36" s="96"/>
    </row>
    <row r="37" spans="4:6" x14ac:dyDescent="0.25">
      <c r="D37" s="92" t="s">
        <v>48</v>
      </c>
      <c r="E37" s="26" t="str">
        <f>Worklist!$D$1</f>
        <v>Conentration (mg/mL)</v>
      </c>
      <c r="F37" s="96"/>
    </row>
    <row r="38" spans="4:6" x14ac:dyDescent="0.25">
      <c r="D38" s="92" t="s">
        <v>49</v>
      </c>
      <c r="E38" s="26">
        <v>20</v>
      </c>
      <c r="F38" s="96"/>
    </row>
    <row r="39" spans="4:6" ht="15.75" thickBot="1" x14ac:dyDescent="0.3">
      <c r="D39" s="93" t="s">
        <v>50</v>
      </c>
      <c r="E39" s="27">
        <v>20</v>
      </c>
      <c r="F39" s="97"/>
    </row>
    <row r="41" spans="4:6" ht="20.25" x14ac:dyDescent="0.25">
      <c r="E41" s="3" t="s">
        <v>6</v>
      </c>
    </row>
    <row r="42" spans="4:6" ht="15.75" thickBot="1" x14ac:dyDescent="0.3"/>
    <row r="43" spans="4:6" ht="15.75" x14ac:dyDescent="0.25">
      <c r="D43" s="82" t="s">
        <v>23</v>
      </c>
      <c r="E43" s="55"/>
      <c r="F43" s="83" t="s">
        <v>5</v>
      </c>
    </row>
    <row r="44" spans="4:6" x14ac:dyDescent="0.25">
      <c r="D44" s="80" t="s">
        <v>15</v>
      </c>
      <c r="E44" s="7" t="s">
        <v>69</v>
      </c>
      <c r="F44" s="84"/>
    </row>
    <row r="45" spans="4:6" x14ac:dyDescent="0.25">
      <c r="D45" s="80" t="s">
        <v>16</v>
      </c>
      <c r="E45" s="7" t="s">
        <v>75</v>
      </c>
      <c r="F45" s="84"/>
    </row>
    <row r="46" spans="4:6" x14ac:dyDescent="0.25">
      <c r="D46" s="80" t="s">
        <v>18</v>
      </c>
      <c r="E46" s="7" t="s">
        <v>19</v>
      </c>
      <c r="F46" s="84"/>
    </row>
    <row r="47" spans="4:6" x14ac:dyDescent="0.25">
      <c r="D47" s="80" t="s">
        <v>20</v>
      </c>
      <c r="E47" s="7">
        <v>180</v>
      </c>
      <c r="F47" s="84"/>
    </row>
    <row r="48" spans="4:6" ht="15.75" thickBot="1" x14ac:dyDescent="0.3">
      <c r="D48" s="81" t="s">
        <v>21</v>
      </c>
      <c r="E48" s="10" t="s">
        <v>74</v>
      </c>
      <c r="F48" s="85"/>
    </row>
    <row r="50" spans="4:6" ht="20.25" x14ac:dyDescent="0.25">
      <c r="E50" s="3" t="s">
        <v>6</v>
      </c>
    </row>
    <row r="51" spans="4:6" ht="15.75" thickBot="1" x14ac:dyDescent="0.3"/>
    <row r="52" spans="4:6" ht="15.75" x14ac:dyDescent="0.25">
      <c r="D52" s="100" t="s">
        <v>46</v>
      </c>
      <c r="E52" s="56"/>
      <c r="F52" s="101" t="s">
        <v>5</v>
      </c>
    </row>
    <row r="53" spans="4:6" x14ac:dyDescent="0.25">
      <c r="D53" s="98" t="s">
        <v>43</v>
      </c>
      <c r="E53" s="19">
        <v>37</v>
      </c>
      <c r="F53" s="102"/>
    </row>
    <row r="54" spans="4:6" x14ac:dyDescent="0.25">
      <c r="D54" s="98" t="s">
        <v>44</v>
      </c>
      <c r="E54" s="19">
        <v>15</v>
      </c>
      <c r="F54" s="102"/>
    </row>
    <row r="55" spans="4:6" ht="15.75" thickBot="1" x14ac:dyDescent="0.3">
      <c r="D55" s="99" t="s">
        <v>45</v>
      </c>
      <c r="E55" s="20">
        <v>0</v>
      </c>
      <c r="F55" s="103"/>
    </row>
    <row r="57" spans="4:6" ht="20.25" x14ac:dyDescent="0.25">
      <c r="E57" s="3" t="s">
        <v>6</v>
      </c>
    </row>
    <row r="58" spans="4:6" ht="15.75" thickBot="1" x14ac:dyDescent="0.3"/>
    <row r="59" spans="4:6" ht="15.75" x14ac:dyDescent="0.25">
      <c r="D59" s="88" t="s">
        <v>76</v>
      </c>
      <c r="E59" s="57"/>
      <c r="F59" s="89" t="s">
        <v>5</v>
      </c>
    </row>
    <row r="60" spans="4:6" x14ac:dyDescent="0.25">
      <c r="D60" s="86" t="s">
        <v>51</v>
      </c>
      <c r="E60" s="28" t="s">
        <v>22</v>
      </c>
      <c r="F60" s="90"/>
    </row>
    <row r="61" spans="4:6" x14ac:dyDescent="0.25">
      <c r="D61" s="86" t="s">
        <v>52</v>
      </c>
      <c r="E61" s="28" t="s">
        <v>77</v>
      </c>
      <c r="F61" s="90"/>
    </row>
    <row r="62" spans="4:6" ht="15.75" thickBot="1" x14ac:dyDescent="0.3">
      <c r="D62" s="87" t="s">
        <v>53</v>
      </c>
      <c r="E62" s="29" t="s">
        <v>78</v>
      </c>
      <c r="F62" s="91"/>
    </row>
    <row r="64" spans="4:6" ht="20.25" x14ac:dyDescent="0.25">
      <c r="E64" s="3" t="s">
        <v>6</v>
      </c>
    </row>
    <row r="65" spans="4:6" ht="15.75" thickBot="1" x14ac:dyDescent="0.3"/>
    <row r="66" spans="4:6" ht="15.75" x14ac:dyDescent="0.25">
      <c r="D66" s="76" t="s">
        <v>35</v>
      </c>
      <c r="E66" s="54"/>
      <c r="F66" s="77" t="s">
        <v>5</v>
      </c>
    </row>
    <row r="67" spans="4:6" ht="15.75" thickBot="1" x14ac:dyDescent="0.3">
      <c r="D67" s="75"/>
      <c r="E67" s="2"/>
      <c r="F67" s="104"/>
    </row>
  </sheetData>
  <mergeCells count="17">
    <mergeCell ref="D66:E66"/>
    <mergeCell ref="F9:F13"/>
    <mergeCell ref="D17:E17"/>
    <mergeCell ref="F18:F20"/>
    <mergeCell ref="D24:E24"/>
    <mergeCell ref="F25:F29"/>
    <mergeCell ref="D33:E33"/>
    <mergeCell ref="F34:F39"/>
    <mergeCell ref="D43:E43"/>
    <mergeCell ref="F44:F48"/>
    <mergeCell ref="F60:F62"/>
    <mergeCell ref="D59:E59"/>
    <mergeCell ref="D2:E2"/>
    <mergeCell ref="F3:F4"/>
    <mergeCell ref="D8:E8"/>
    <mergeCell ref="D52:E52"/>
    <mergeCell ref="F53:F55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107" t="s">
        <v>67</v>
      </c>
      <c r="C2" s="59"/>
      <c r="D2" s="108" t="s">
        <v>5</v>
      </c>
      <c r="F2" s="107" t="s">
        <v>68</v>
      </c>
      <c r="G2" s="59"/>
      <c r="H2" s="108" t="s">
        <v>5</v>
      </c>
      <c r="J2" s="107" t="s">
        <v>70</v>
      </c>
      <c r="K2" s="59"/>
      <c r="L2" s="108" t="s">
        <v>5</v>
      </c>
    </row>
    <row r="3" spans="2:12" x14ac:dyDescent="0.25">
      <c r="B3" s="105" t="s">
        <v>36</v>
      </c>
      <c r="C3" s="17" t="s">
        <v>17</v>
      </c>
      <c r="D3" s="109"/>
      <c r="F3" s="105" t="s">
        <v>36</v>
      </c>
      <c r="G3" s="17" t="s">
        <v>17</v>
      </c>
      <c r="H3" s="109"/>
      <c r="J3" s="105" t="s">
        <v>36</v>
      </c>
      <c r="K3" s="17" t="s">
        <v>17</v>
      </c>
      <c r="L3" s="109"/>
    </row>
    <row r="4" spans="2:12" x14ac:dyDescent="0.25">
      <c r="B4" s="105" t="s">
        <v>18</v>
      </c>
      <c r="C4" s="17" t="s">
        <v>19</v>
      </c>
      <c r="D4" s="109"/>
      <c r="F4" s="105" t="s">
        <v>18</v>
      </c>
      <c r="G4" s="17" t="s">
        <v>19</v>
      </c>
      <c r="H4" s="109"/>
      <c r="J4" s="105" t="s">
        <v>18</v>
      </c>
      <c r="K4" s="17" t="s">
        <v>19</v>
      </c>
      <c r="L4" s="109"/>
    </row>
    <row r="5" spans="2:12" x14ac:dyDescent="0.25">
      <c r="B5" s="105" t="s">
        <v>37</v>
      </c>
      <c r="C5" s="17" t="s">
        <v>40</v>
      </c>
      <c r="D5" s="109"/>
      <c r="F5" s="105" t="s">
        <v>37</v>
      </c>
      <c r="G5" s="17" t="s">
        <v>40</v>
      </c>
      <c r="H5" s="109"/>
      <c r="J5" s="105" t="s">
        <v>37</v>
      </c>
      <c r="K5" s="17" t="s">
        <v>40</v>
      </c>
      <c r="L5" s="109"/>
    </row>
    <row r="6" spans="2:12" x14ac:dyDescent="0.25">
      <c r="B6" s="105" t="s">
        <v>38</v>
      </c>
      <c r="C6" s="17" t="s">
        <v>40</v>
      </c>
      <c r="D6" s="109"/>
      <c r="F6" s="105" t="s">
        <v>38</v>
      </c>
      <c r="G6" s="17" t="s">
        <v>40</v>
      </c>
      <c r="H6" s="109"/>
      <c r="J6" s="105" t="s">
        <v>38</v>
      </c>
      <c r="K6" s="17" t="s">
        <v>40</v>
      </c>
      <c r="L6" s="109"/>
    </row>
    <row r="7" spans="2:12" ht="15.75" thickBot="1" x14ac:dyDescent="0.3">
      <c r="B7" s="106" t="s">
        <v>39</v>
      </c>
      <c r="C7" s="18" t="s">
        <v>41</v>
      </c>
      <c r="D7" s="110"/>
      <c r="F7" s="106" t="s">
        <v>39</v>
      </c>
      <c r="G7" s="18" t="s">
        <v>41</v>
      </c>
      <c r="H7" s="110"/>
      <c r="J7" s="106" t="s">
        <v>39</v>
      </c>
      <c r="K7" s="18" t="s">
        <v>41</v>
      </c>
      <c r="L7" s="110"/>
    </row>
    <row r="9" spans="2:12" ht="15.75" thickBot="1" x14ac:dyDescent="0.3"/>
    <row r="10" spans="2:12" ht="15.75" x14ac:dyDescent="0.25">
      <c r="B10" s="107" t="s">
        <v>344</v>
      </c>
      <c r="C10" s="59"/>
      <c r="D10" s="108" t="s">
        <v>5</v>
      </c>
    </row>
    <row r="11" spans="2:12" x14ac:dyDescent="0.25">
      <c r="B11" s="105" t="s">
        <v>36</v>
      </c>
      <c r="C11" s="17" t="s">
        <v>17</v>
      </c>
      <c r="D11" s="109"/>
    </row>
    <row r="12" spans="2:12" x14ac:dyDescent="0.25">
      <c r="B12" s="105" t="s">
        <v>18</v>
      </c>
      <c r="C12" s="17" t="s">
        <v>19</v>
      </c>
      <c r="D12" s="109"/>
    </row>
    <row r="13" spans="2:12" x14ac:dyDescent="0.25">
      <c r="B13" s="105" t="s">
        <v>37</v>
      </c>
      <c r="C13" s="17" t="s">
        <v>40</v>
      </c>
      <c r="D13" s="109"/>
    </row>
    <row r="14" spans="2:12" x14ac:dyDescent="0.25">
      <c r="B14" s="105" t="s">
        <v>38</v>
      </c>
      <c r="C14" s="17" t="s">
        <v>40</v>
      </c>
      <c r="D14" s="109"/>
    </row>
    <row r="15" spans="2:12" ht="15.75" thickBot="1" x14ac:dyDescent="0.3">
      <c r="B15" s="106" t="s">
        <v>39</v>
      </c>
      <c r="C15" s="18" t="s">
        <v>41</v>
      </c>
      <c r="D15" s="110"/>
    </row>
  </sheetData>
  <mergeCells count="8">
    <mergeCell ref="L3:L7"/>
    <mergeCell ref="B10:C10"/>
    <mergeCell ref="D11:D15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66" t="s">
        <v>4</v>
      </c>
      <c r="E2" s="54"/>
      <c r="F2" s="6" t="s">
        <v>5</v>
      </c>
    </row>
    <row r="3" spans="4:6" x14ac:dyDescent="0.25">
      <c r="D3" s="4" t="s">
        <v>0</v>
      </c>
      <c r="E3" s="1" t="s">
        <v>8</v>
      </c>
      <c r="F3" s="60"/>
    </row>
    <row r="4" spans="4:6" ht="15.75" thickBot="1" x14ac:dyDescent="0.3">
      <c r="D4" s="5" t="s">
        <v>7</v>
      </c>
      <c r="E4" s="2" t="s">
        <v>3</v>
      </c>
      <c r="F4" s="61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6" t="s">
        <v>4</v>
      </c>
      <c r="E8" s="54"/>
      <c r="F8" s="6" t="s">
        <v>5</v>
      </c>
    </row>
    <row r="9" spans="4:6" x14ac:dyDescent="0.25">
      <c r="D9" s="4" t="s">
        <v>0</v>
      </c>
      <c r="E9" s="1" t="s">
        <v>9</v>
      </c>
      <c r="F9" s="60"/>
    </row>
    <row r="10" spans="4:6" ht="15.75" thickBot="1" x14ac:dyDescent="0.3">
      <c r="D10" s="5" t="s">
        <v>7</v>
      </c>
      <c r="E10" s="2" t="s">
        <v>3</v>
      </c>
      <c r="F10" s="61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70" t="s">
        <v>23</v>
      </c>
      <c r="E14" s="55"/>
      <c r="F14" s="11" t="s">
        <v>5</v>
      </c>
    </row>
    <row r="15" spans="4:6" x14ac:dyDescent="0.25">
      <c r="D15" s="8" t="s">
        <v>15</v>
      </c>
      <c r="E15" s="7" t="s">
        <v>24</v>
      </c>
      <c r="F15" s="68"/>
    </row>
    <row r="16" spans="4:6" x14ac:dyDescent="0.25">
      <c r="D16" s="8" t="s">
        <v>16</v>
      </c>
      <c r="E16" s="7" t="s">
        <v>17</v>
      </c>
      <c r="F16" s="68"/>
    </row>
    <row r="17" spans="2:11" x14ac:dyDescent="0.25">
      <c r="D17" s="8" t="s">
        <v>18</v>
      </c>
      <c r="E17" s="7" t="s">
        <v>19</v>
      </c>
      <c r="F17" s="68"/>
      <c r="J17" t="s">
        <v>27</v>
      </c>
    </row>
    <row r="18" spans="2:11" x14ac:dyDescent="0.25">
      <c r="D18" s="8" t="s">
        <v>20</v>
      </c>
      <c r="E18" s="7">
        <v>1</v>
      </c>
      <c r="F18" s="68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69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62" t="s">
        <v>25</v>
      </c>
      <c r="E23" s="63"/>
      <c r="F23" s="16" t="s">
        <v>5</v>
      </c>
    </row>
    <row r="24" spans="2:11" x14ac:dyDescent="0.25">
      <c r="D24" s="13" t="s">
        <v>10</v>
      </c>
      <c r="E24" s="12">
        <v>1</v>
      </c>
      <c r="F24" s="64"/>
      <c r="J24" t="s">
        <v>32</v>
      </c>
    </row>
    <row r="25" spans="2:11" x14ac:dyDescent="0.25">
      <c r="D25" s="13" t="s">
        <v>11</v>
      </c>
      <c r="E25" s="12" t="s">
        <v>12</v>
      </c>
      <c r="F25" s="64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65"/>
      <c r="J26" t="s">
        <v>34</v>
      </c>
    </row>
    <row r="27" spans="2:11" ht="15.75" thickBot="1" x14ac:dyDescent="0.3"/>
    <row r="28" spans="2:11" ht="15.75" x14ac:dyDescent="0.25">
      <c r="B28" s="66" t="s">
        <v>4</v>
      </c>
      <c r="C28" s="54"/>
      <c r="D28" s="6" t="s">
        <v>5</v>
      </c>
      <c r="F28" s="66" t="s">
        <v>4</v>
      </c>
      <c r="G28" s="54"/>
      <c r="H28" s="6" t="s">
        <v>5</v>
      </c>
    </row>
    <row r="29" spans="2:11" x14ac:dyDescent="0.25">
      <c r="B29" s="4" t="s">
        <v>0</v>
      </c>
      <c r="C29" s="1" t="s">
        <v>12</v>
      </c>
      <c r="D29" s="60"/>
      <c r="E29" s="67" t="s">
        <v>26</v>
      </c>
      <c r="F29" s="4" t="s">
        <v>0</v>
      </c>
      <c r="G29" s="1" t="s">
        <v>14</v>
      </c>
      <c r="H29" s="60"/>
    </row>
    <row r="30" spans="2:11" ht="15.75" thickBot="1" x14ac:dyDescent="0.3">
      <c r="B30" s="5" t="s">
        <v>7</v>
      </c>
      <c r="C30" s="2" t="s">
        <v>3</v>
      </c>
      <c r="D30" s="61"/>
      <c r="E30" s="67"/>
      <c r="F30" s="5" t="s">
        <v>7</v>
      </c>
      <c r="G30" s="2" t="s">
        <v>3</v>
      </c>
      <c r="H30" s="61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PrepList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2022-04-15T15:21:57Z</cp:lastPrinted>
  <dcterms:created xsi:type="dcterms:W3CDTF">2021-02-05T21:39:59Z</dcterms:created>
  <dcterms:modified xsi:type="dcterms:W3CDTF">2022-04-15T15:21:59Z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