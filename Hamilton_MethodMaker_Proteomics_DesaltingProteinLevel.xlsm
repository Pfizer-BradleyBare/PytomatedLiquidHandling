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Hamilton\_Methods_VisualMethodEditor\Proteomics Cell Digestion\"/>
    </mc:Choice>
  </mc:AlternateContent>
  <xr:revisionPtr revIDLastSave="0" documentId="8_{55AB8C4A-CEEE-41D1-A979-8532D1A1077A}" xr6:coauthVersionLast="47" xr6:coauthVersionMax="47" xr10:uidLastSave="{00000000-0000-0000-0000-000000000000}"/>
  <bookViews>
    <workbookView xWindow="28560" yWindow="-240" windowWidth="29280" windowHeight="16080" firstSheet="1" activeTab="3" xr2:uid="{00000000-000D-0000-FFFF-FFFF00000000}"/>
  </bookViews>
  <sheets>
    <sheet name="BuildingBlocks" sheetId="1303" state="hidden" r:id="rId1"/>
    <sheet name="Worklist" sheetId="3" r:id="rId2"/>
    <sheet name="Method" sheetId="14" r:id="rId3"/>
    <sheet name="Solutions" sheetId="1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4" i="14" l="1"/>
  <c r="H129" i="14"/>
  <c r="H118" i="14"/>
  <c r="L106" i="14"/>
  <c r="H106" i="14"/>
  <c r="L100" i="14"/>
  <c r="H100" i="14"/>
  <c r="P94" i="14"/>
  <c r="L94" i="14"/>
  <c r="H94" i="14"/>
  <c r="D94" i="14"/>
  <c r="P88" i="14"/>
  <c r="L88" i="14"/>
  <c r="H88" i="14"/>
  <c r="D88" i="14"/>
  <c r="P80" i="14"/>
  <c r="P79" i="14"/>
  <c r="L80" i="14"/>
  <c r="L79" i="14"/>
  <c r="H80" i="14"/>
  <c r="H79" i="14"/>
  <c r="D80" i="14"/>
  <c r="D79" i="14"/>
  <c r="N56" i="14"/>
  <c r="F56" i="14"/>
  <c r="J45" i="14"/>
  <c r="G3" i="3"/>
  <c r="G10" i="3"/>
  <c r="G11" i="3"/>
  <c r="H3" i="3"/>
  <c r="F3" i="3" s="1"/>
  <c r="H4" i="3"/>
  <c r="G4" i="3" s="1"/>
  <c r="H5" i="3"/>
  <c r="G5" i="3" s="1"/>
  <c r="H6" i="3"/>
  <c r="G6" i="3" s="1"/>
  <c r="H7" i="3"/>
  <c r="G7" i="3" s="1"/>
  <c r="H8" i="3"/>
  <c r="G8" i="3" s="1"/>
  <c r="H9" i="3"/>
  <c r="F9" i="3" s="1"/>
  <c r="H10" i="3"/>
  <c r="F10" i="3" s="1"/>
  <c r="H11" i="3"/>
  <c r="F11" i="3" s="1"/>
  <c r="H2" i="3"/>
  <c r="F2" i="3" s="1"/>
  <c r="A7" i="3"/>
  <c r="A8" i="3"/>
  <c r="A9" i="3"/>
  <c r="A10" i="3"/>
  <c r="A11" i="3"/>
  <c r="A3" i="3"/>
  <c r="A4" i="3"/>
  <c r="A5" i="3"/>
  <c r="A6" i="3"/>
  <c r="A2" i="3"/>
  <c r="G9" i="3" l="1"/>
  <c r="F8" i="3"/>
  <c r="F7" i="3"/>
  <c r="G2" i="3"/>
  <c r="F6" i="3"/>
  <c r="F5" i="3"/>
  <c r="F4" i="3"/>
</calcChain>
</file>

<file path=xl/sharedStrings.xml><?xml version="1.0" encoding="utf-8"?>
<sst xmlns="http://schemas.openxmlformats.org/spreadsheetml/2006/main" count="1098" uniqueCount="221">
  <si>
    <t>Name</t>
  </si>
  <si>
    <t>96 Well PCR Plate</t>
  </si>
  <si>
    <t>Type</t>
  </si>
  <si>
    <t>Sample Description</t>
  </si>
  <si>
    <t>Sample Number</t>
  </si>
  <si>
    <t>Sample Concentration (mg/mL)</t>
  </si>
  <si>
    <t>Plate - (Click Here to Update)</t>
  </si>
  <si>
    <t>Comments</t>
  </si>
  <si>
    <t>Add Action (Click Here)</t>
  </si>
  <si>
    <t>Plate</t>
  </si>
  <si>
    <t>Volatility</t>
  </si>
  <si>
    <t>Low</t>
  </si>
  <si>
    <t>Viscosity</t>
  </si>
  <si>
    <t>Medium</t>
  </si>
  <si>
    <t>Homogeneity</t>
  </si>
  <si>
    <t>Homogenous</t>
  </si>
  <si>
    <t>Yes</t>
  </si>
  <si>
    <t>Source</t>
  </si>
  <si>
    <t>Volume (uL)</t>
  </si>
  <si>
    <t>Mix?</t>
  </si>
  <si>
    <t>Dispense:10</t>
  </si>
  <si>
    <t>Diluent</t>
  </si>
  <si>
    <t>Temp (C)</t>
  </si>
  <si>
    <t>Ambient</t>
  </si>
  <si>
    <t>Time (min)</t>
  </si>
  <si>
    <t>Shake (rpm)</t>
  </si>
  <si>
    <t>Normal</t>
  </si>
  <si>
    <t>Notify</t>
  </si>
  <si>
    <t>Liquid Transfer - (Click Here to Update)</t>
  </si>
  <si>
    <t>Solution Category</t>
  </si>
  <si>
    <t>Storage Temperature</t>
  </si>
  <si>
    <t>General Reagent/Plate</t>
  </si>
  <si>
    <t>Liquid Level Detection</t>
  </si>
  <si>
    <t>Incubate - (Click Here to Update)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</si>
  <si>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</si>
  <si>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</si>
  <si>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</si>
  <si>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</si>
  <si>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</si>
  <si>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</si>
  <si>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</si>
  <si>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</si>
  <si>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</si>
  <si>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</si>
  <si>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</si>
  <si>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</si>
  <si>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</si>
  <si>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</si>
  <si>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</si>
  <si>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</si>
  <si>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</si>
  <si>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</si>
  <si>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</si>
  <si>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</si>
  <si>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</si>
  <si>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</si>
  <si>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</si>
  <si>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</si>
  <si>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</si>
  <si>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</si>
  <si>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</si>
  <si>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</si>
  <si>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</si>
  <si>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</si>
  <si>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</si>
  <si>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</si>
  <si>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</si>
  <si>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</si>
  <si>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</si>
  <si>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</si>
  <si>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</si>
  <si>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</si>
  <si>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</si>
  <si>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</si>
  <si>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</si>
  <si>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</si>
  <si>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</si>
  <si>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</si>
  <si>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</si>
  <si>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</si>
  <si>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</si>
  <si>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</si>
  <si>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</si>
  <si>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</si>
  <si>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Finish</t>
  </si>
  <si>
    <t>BlockDescriptionsFinish</t>
  </si>
  <si>
    <t>Liquid Transfer</t>
  </si>
  <si>
    <t>Actions</t>
  </si>
  <si>
    <t>8FBFCD</t>
  </si>
  <si>
    <t>BlockDescriptionsLiquidTransfer</t>
  </si>
  <si>
    <t>Dilute</t>
  </si>
  <si>
    <t>9DBBD8</t>
  </si>
  <si>
    <t>BlockDescriptionsDilute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</si>
  <si>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</si>
  <si>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</si>
  <si>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</si>
  <si>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</si>
  <si>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</si>
  <si>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</si>
  <si>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</si>
  <si>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</si>
  <si>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</si>
  <si>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</si>
  <si>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</si>
  <si>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</si>
  <si>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</si>
  <si>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</si>
  <si>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</si>
  <si>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</si>
  <si>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</si>
  <si>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</si>
  <si>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</si>
  <si>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</si>
  <si>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</si>
  <si>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</si>
  <si>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</si>
  <si>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</si>
  <si>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</si>
  <si>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</si>
  <si>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</si>
  <si>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</si>
  <si>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</si>
  <si>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</si>
  <si>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</si>
  <si>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</si>
  <si>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</si>
  <si>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</si>
  <si>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</si>
  <si>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</si>
  <si>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</si>
  <si>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</si>
  <si>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</si>
  <si>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</si>
  <si>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</si>
  <si>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</si>
  <si>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</si>
  <si>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</si>
  <si>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</si>
  <si>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</si>
  <si>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</si>
  <si>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</si>
  <si>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</si>
  <si>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</si>
  <si>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</si>
  <si>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</si>
  <si>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</si>
  <si>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</si>
  <si>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Denaturation</t>
  </si>
  <si>
    <t>sample will be preloaded in this plate</t>
  </si>
  <si>
    <t>Preload Liquid - (Click Here to Update)</t>
  </si>
  <si>
    <t>0.5 M TCEP</t>
  </si>
  <si>
    <t>0.5 M TCEP - (Click Here to Update)</t>
  </si>
  <si>
    <t>0.200 M CAA in 50 mM tris pH 7.9</t>
  </si>
  <si>
    <t>0.200 M CAA in 50 mM tris pH 7.9 - (Click Here to Update)</t>
  </si>
  <si>
    <t>Split Plate - (Click Here to Update)</t>
  </si>
  <si>
    <t>Desalting 1</t>
  </si>
  <si>
    <t>Desalting 2</t>
  </si>
  <si>
    <t>Low Artifact</t>
  </si>
  <si>
    <t>HCP</t>
  </si>
  <si>
    <t>low volume</t>
  </si>
  <si>
    <t>equal volume</t>
  </si>
  <si>
    <t>IMCS SizeX Desalt - (Click Here to Update)</t>
  </si>
  <si>
    <t>Waste</t>
  </si>
  <si>
    <t>50 mM tris pH 7.9</t>
  </si>
  <si>
    <t>Denaturation - (Click Here to Update)</t>
  </si>
  <si>
    <t>50 mM tris pH 7.9 - (Click Here to Update)</t>
  </si>
  <si>
    <t>original volume:39.765</t>
  </si>
  <si>
    <t>orignal volume: 3.08</t>
  </si>
  <si>
    <t>original amount of sample preloaded (158)</t>
  </si>
  <si>
    <t>Merge Plates - (Click Here to Update)</t>
  </si>
  <si>
    <t>No</t>
  </si>
  <si>
    <t>Digestion</t>
  </si>
  <si>
    <t>Dilute - (Click Here to Update)</t>
  </si>
  <si>
    <t>Trypsin 1mg/mL</t>
  </si>
  <si>
    <t>Trypsin 1mg/mL - (Click Here to Update)</t>
  </si>
  <si>
    <t>LysC 1mg/mL</t>
  </si>
  <si>
    <t>LysC 1mg/mL - (Click Here to Update)</t>
  </si>
  <si>
    <t>Desalting Collection</t>
  </si>
  <si>
    <t>Liquid Level Detection Options</t>
  </si>
  <si>
    <t>Normal,Organic</t>
  </si>
  <si>
    <t>96 Well PCR Plate,96 Well UV Plate,56 Well Starstedt 200uL Plate</t>
  </si>
  <si>
    <t>ACN/MeOH</t>
  </si>
  <si>
    <t>Chloroform</t>
  </si>
  <si>
    <t>Organic</t>
  </si>
  <si>
    <t>No,Dispense:10,Aspirate:10,Aspirate:10 + Dispense:10</t>
  </si>
  <si>
    <t>Wait For Temperature?</t>
  </si>
  <si>
    <t>MAM/Low Artifact,HCP/Proteomics,Anjis Elution method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</si>
  <si>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</si>
  <si>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</si>
  <si>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</si>
  <si>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</si>
  <si>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</si>
  <si>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</si>
  <si>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</si>
  <si>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</si>
  <si>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</si>
  <si>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</si>
  <si>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</si>
  <si>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</si>
  <si>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Lysed cells</t>
  </si>
  <si>
    <t>Lysed cells - (Click Here to Update)</t>
  </si>
  <si>
    <t>Desalting Collection - (Click Here to Update)</t>
  </si>
  <si>
    <t>50% TFA</t>
  </si>
  <si>
    <t>50% TFA - (Click Here to Update)</t>
  </si>
  <si>
    <t>Finish - (Click Here to Update)</t>
  </si>
  <si>
    <t>HCP/Proteomics</t>
  </si>
  <si>
    <t>Anjis Elution method</t>
  </si>
  <si>
    <t>Desalting Pathway</t>
  </si>
  <si>
    <t>Experiment</t>
  </si>
  <si>
    <t>Waste 2</t>
  </si>
  <si>
    <t>LysC (uL)</t>
  </si>
  <si>
    <t>Trypsin (uL)</t>
  </si>
  <si>
    <t>LA-1</t>
  </si>
  <si>
    <t>HCP-1</t>
  </si>
  <si>
    <t>Proteomics-Low1</t>
  </si>
  <si>
    <t>Proteomics-Low2</t>
  </si>
  <si>
    <t>Proteomics-Equal1</t>
  </si>
  <si>
    <t>Proteomics-Equal2</t>
  </si>
  <si>
    <t>Enzyme Blank 1</t>
  </si>
  <si>
    <t>Enzyme Blank 2</t>
  </si>
  <si>
    <t>Expected Mass after desalting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</si>
</sst>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9DBBD8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5" fillId="0" borderId="1" xfId="0" applyFont="1" applyBorder="1"/>
    <xf numFmtId="49" fontId="0" fillId="0" borderId="6" xfId="0" applyNumberFormat="1" applyBorder="1"/>
    <xf numFmtId="0" fontId="3" fillId="8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lef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/>
    </xf>
    <xf numFmtId="0" fontId="2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left" vertical="center"/>
    </xf>
    <xf numFmtId="0" fontId="3" fillId="9" borderId="12" xfId="0" applyFont="1" applyFill="1" applyBorder="1" applyAlignment="1">
      <alignment horizontal="left" vertical="center"/>
    </xf>
    <xf numFmtId="0" fontId="2" fillId="9" borderId="14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/>
    </xf>
    <xf numFmtId="0" fontId="3" fillId="7" borderId="12" xfId="0" applyFont="1" applyFill="1" applyBorder="1" applyAlignment="1">
      <alignment horizontal="left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left" vertical="center"/>
    </xf>
    <xf numFmtId="0" fontId="3" fillId="10" borderId="12" xfId="0" applyFont="1" applyFill="1" applyBorder="1" applyAlignment="1">
      <alignment horizontal="left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3" fillId="10" borderId="16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left" vertical="center"/>
    </xf>
    <xf numFmtId="0" fontId="3" fillId="11" borderId="12" xfId="0" applyFont="1" applyFill="1" applyBorder="1" applyAlignment="1">
      <alignment horizontal="left" vertical="center"/>
    </xf>
    <xf numFmtId="0" fontId="2" fillId="11" borderId="14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 wrapText="1"/>
    </xf>
    <xf numFmtId="0" fontId="3" fillId="11" borderId="13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left" vertical="center"/>
    </xf>
    <xf numFmtId="0" fontId="3" fillId="8" borderId="12" xfId="0" applyFont="1" applyFill="1" applyBorder="1" applyAlignment="1">
      <alignment horizontal="left" vertical="center"/>
    </xf>
    <xf numFmtId="0" fontId="2" fillId="8" borderId="14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21E63-BFD2-4EE8-8265-8847543BA1EB}">
  <dimension ref="B1:G383"/>
  <sheetViews>
    <sheetView workbookViewId="0">
      <selection activeCell="D16" sqref="D16"/>
    </sheetView>
  </sheetViews>
  <sheetFormatPr defaultColWidth="9.15625" defaultRowHeight="14.4" x14ac:dyDescent="0.55000000000000004"/>
  <cols>
    <col min="2" max="2" width="21.578125" bestFit="1" customWidth="1"/>
    <col min="3" max="3" width="38" bestFit="1" customWidth="1"/>
    <col min="4" max="4" width="79.68359375" bestFit="1" customWidth="1"/>
    <col min="6" max="6" width="28.68359375" bestFit="1" customWidth="1"/>
    <col min="7" max="7" width="80" bestFit="1" customWidth="1"/>
  </cols>
  <sheetData>
    <row r="1" spans="2:7" ht="14.7" thickBot="1" x14ac:dyDescent="0.6"/>
    <row r="2" spans="2:7" ht="23.1" x14ac:dyDescent="0.85">
      <c r="B2" s="37" t="s">
        <v>34</v>
      </c>
      <c r="C2" s="12" t="s">
        <v>9</v>
      </c>
      <c r="D2" s="25"/>
      <c r="F2" s="37" t="s">
        <v>35</v>
      </c>
      <c r="G2" s="25"/>
    </row>
    <row r="3" spans="2:7" x14ac:dyDescent="0.55000000000000004">
      <c r="B3" s="22" t="s">
        <v>36</v>
      </c>
      <c r="C3" t="s">
        <v>37</v>
      </c>
      <c r="D3" s="26"/>
      <c r="F3" s="22" t="s">
        <v>38</v>
      </c>
      <c r="G3" s="26" t="s">
        <v>39</v>
      </c>
    </row>
    <row r="4" spans="2:7" x14ac:dyDescent="0.55000000000000004">
      <c r="B4" s="22" t="s">
        <v>40</v>
      </c>
      <c r="C4" t="b">
        <v>0</v>
      </c>
      <c r="D4" s="26"/>
      <c r="F4" s="22" t="s">
        <v>41</v>
      </c>
      <c r="G4" s="26" t="s">
        <v>42</v>
      </c>
    </row>
    <row r="5" spans="2:7" x14ac:dyDescent="0.55000000000000004">
      <c r="B5" s="22" t="s">
        <v>43</v>
      </c>
      <c r="C5" t="s">
        <v>44</v>
      </c>
      <c r="D5" s="26"/>
      <c r="F5" s="22" t="s">
        <v>45</v>
      </c>
      <c r="G5" s="26" t="s">
        <v>46</v>
      </c>
    </row>
    <row r="6" spans="2:7" x14ac:dyDescent="0.55000000000000004">
      <c r="B6" s="22" t="s">
        <v>47</v>
      </c>
      <c r="C6" t="b">
        <v>1</v>
      </c>
      <c r="D6" s="26"/>
      <c r="F6" s="22" t="s">
        <v>48</v>
      </c>
      <c r="G6" s="26" t="s">
        <v>46</v>
      </c>
    </row>
    <row r="7" spans="2:7" x14ac:dyDescent="0.55000000000000004">
      <c r="B7" s="22" t="s">
        <v>49</v>
      </c>
      <c r="C7" t="s">
        <v>50</v>
      </c>
      <c r="D7" s="26"/>
      <c r="F7" s="22" t="s">
        <v>51</v>
      </c>
      <c r="G7" s="26" t="s">
        <v>52</v>
      </c>
    </row>
    <row r="8" spans="2:7" x14ac:dyDescent="0.55000000000000004">
      <c r="B8" s="22"/>
      <c r="D8" s="26"/>
      <c r="F8" s="22" t="s">
        <v>178</v>
      </c>
      <c r="G8" s="26" t="s">
        <v>179</v>
      </c>
    </row>
    <row r="9" spans="2:7" x14ac:dyDescent="0.55000000000000004">
      <c r="B9" s="22" t="s">
        <v>53</v>
      </c>
      <c r="C9" t="s">
        <v>0</v>
      </c>
      <c r="D9" s="26"/>
      <c r="F9" s="22"/>
      <c r="G9" s="26"/>
    </row>
    <row r="10" spans="2:7" x14ac:dyDescent="0.55000000000000004">
      <c r="B10" s="22" t="s">
        <v>54</v>
      </c>
      <c r="C10" t="s">
        <v>55</v>
      </c>
      <c r="D10" s="26"/>
      <c r="F10" s="22" t="s">
        <v>56</v>
      </c>
      <c r="G10" s="26" t="s">
        <v>57</v>
      </c>
    </row>
    <row r="11" spans="2:7" x14ac:dyDescent="0.55000000000000004">
      <c r="B11" s="22" t="s">
        <v>58</v>
      </c>
      <c r="D11" s="26"/>
      <c r="F11" s="22" t="s">
        <v>10</v>
      </c>
      <c r="G11" s="26" t="s">
        <v>11</v>
      </c>
    </row>
    <row r="12" spans="2:7" x14ac:dyDescent="0.55000000000000004">
      <c r="B12" s="22" t="s">
        <v>59</v>
      </c>
      <c r="C12" t="b">
        <v>0</v>
      </c>
      <c r="D12" s="26"/>
      <c r="F12" s="22" t="s">
        <v>12</v>
      </c>
      <c r="G12" s="26" t="s">
        <v>13</v>
      </c>
    </row>
    <row r="13" spans="2:7" x14ac:dyDescent="0.55000000000000004">
      <c r="B13" s="22"/>
      <c r="D13" s="26"/>
      <c r="F13" s="22" t="s">
        <v>14</v>
      </c>
      <c r="G13" s="26" t="s">
        <v>15</v>
      </c>
    </row>
    <row r="14" spans="2:7" x14ac:dyDescent="0.55000000000000004">
      <c r="B14" s="22" t="s">
        <v>53</v>
      </c>
      <c r="C14" t="s">
        <v>2</v>
      </c>
      <c r="D14" s="26"/>
      <c r="F14" s="22" t="s">
        <v>32</v>
      </c>
      <c r="G14" s="26" t="s">
        <v>26</v>
      </c>
    </row>
    <row r="15" spans="2:7" x14ac:dyDescent="0.55000000000000004">
      <c r="B15" s="22" t="s">
        <v>54</v>
      </c>
      <c r="C15" t="s">
        <v>60</v>
      </c>
      <c r="D15" s="26" t="s">
        <v>180</v>
      </c>
      <c r="F15" s="22"/>
      <c r="G15" s="26"/>
    </row>
    <row r="16" spans="2:7" x14ac:dyDescent="0.55000000000000004">
      <c r="B16" s="22" t="s">
        <v>58</v>
      </c>
      <c r="C16" t="s">
        <v>1</v>
      </c>
      <c r="D16" s="26"/>
      <c r="F16" s="22" t="s">
        <v>56</v>
      </c>
      <c r="G16" s="26" t="s">
        <v>181</v>
      </c>
    </row>
    <row r="17" spans="2:7" ht="14.7" thickBot="1" x14ac:dyDescent="0.6">
      <c r="B17" s="23" t="s">
        <v>59</v>
      </c>
      <c r="C17" s="24" t="b">
        <v>0</v>
      </c>
      <c r="D17" s="27"/>
      <c r="F17" s="22" t="s">
        <v>10</v>
      </c>
      <c r="G17" s="26" t="s">
        <v>61</v>
      </c>
    </row>
    <row r="18" spans="2:7" ht="14.7" thickBot="1" x14ac:dyDescent="0.6">
      <c r="F18" s="22" t="s">
        <v>12</v>
      </c>
      <c r="G18" s="26" t="s">
        <v>11</v>
      </c>
    </row>
    <row r="19" spans="2:7" ht="23.1" x14ac:dyDescent="0.85">
      <c r="B19" s="37" t="s">
        <v>34</v>
      </c>
      <c r="C19" s="12" t="s">
        <v>62</v>
      </c>
      <c r="D19" s="25"/>
      <c r="F19" s="22" t="s">
        <v>14</v>
      </c>
      <c r="G19" s="26" t="s">
        <v>15</v>
      </c>
    </row>
    <row r="20" spans="2:7" x14ac:dyDescent="0.55000000000000004">
      <c r="B20" s="22" t="s">
        <v>36</v>
      </c>
      <c r="C20" t="s">
        <v>37</v>
      </c>
      <c r="D20" s="26"/>
      <c r="F20" s="22" t="s">
        <v>32</v>
      </c>
      <c r="G20" s="26" t="s">
        <v>26</v>
      </c>
    </row>
    <row r="21" spans="2:7" x14ac:dyDescent="0.55000000000000004">
      <c r="B21" s="22" t="s">
        <v>40</v>
      </c>
      <c r="C21" t="b">
        <v>0</v>
      </c>
      <c r="D21" s="26"/>
      <c r="F21" s="22"/>
      <c r="G21" s="26"/>
    </row>
    <row r="22" spans="2:7" x14ac:dyDescent="0.55000000000000004">
      <c r="B22" s="22" t="s">
        <v>43</v>
      </c>
      <c r="C22" t="s">
        <v>64</v>
      </c>
      <c r="D22" s="26"/>
      <c r="F22" s="22" t="s">
        <v>56</v>
      </c>
      <c r="G22" s="26" t="s">
        <v>182</v>
      </c>
    </row>
    <row r="23" spans="2:7" x14ac:dyDescent="0.55000000000000004">
      <c r="B23" s="22" t="s">
        <v>47</v>
      </c>
      <c r="C23" t="b">
        <v>1</v>
      </c>
      <c r="D23" s="26"/>
      <c r="F23" s="22" t="s">
        <v>10</v>
      </c>
      <c r="G23" s="26" t="s">
        <v>61</v>
      </c>
    </row>
    <row r="24" spans="2:7" x14ac:dyDescent="0.55000000000000004">
      <c r="B24" s="22" t="s">
        <v>49</v>
      </c>
      <c r="C24" t="s">
        <v>65</v>
      </c>
      <c r="D24" s="26"/>
      <c r="F24" s="22" t="s">
        <v>12</v>
      </c>
      <c r="G24" s="26" t="s">
        <v>11</v>
      </c>
    </row>
    <row r="25" spans="2:7" x14ac:dyDescent="0.55000000000000004">
      <c r="B25" s="22"/>
      <c r="D25" s="26"/>
      <c r="F25" s="22" t="s">
        <v>14</v>
      </c>
      <c r="G25" s="26" t="s">
        <v>15</v>
      </c>
    </row>
    <row r="26" spans="2:7" x14ac:dyDescent="0.55000000000000004">
      <c r="B26" s="22" t="s">
        <v>53</v>
      </c>
      <c r="C26" t="s">
        <v>67</v>
      </c>
      <c r="D26" s="26"/>
      <c r="F26" s="22" t="s">
        <v>32</v>
      </c>
      <c r="G26" s="26" t="s">
        <v>183</v>
      </c>
    </row>
    <row r="27" spans="2:7" x14ac:dyDescent="0.55000000000000004">
      <c r="B27" s="22" t="s">
        <v>54</v>
      </c>
      <c r="C27" t="s">
        <v>68</v>
      </c>
      <c r="D27" s="26" t="s">
        <v>69</v>
      </c>
      <c r="F27" s="22"/>
      <c r="G27" s="26"/>
    </row>
    <row r="28" spans="2:7" x14ac:dyDescent="0.55000000000000004">
      <c r="B28" s="22" t="s">
        <v>58</v>
      </c>
      <c r="D28" s="26"/>
      <c r="F28" s="22" t="s">
        <v>56</v>
      </c>
      <c r="G28" s="26" t="s">
        <v>63</v>
      </c>
    </row>
    <row r="29" spans="2:7" x14ac:dyDescent="0.55000000000000004">
      <c r="B29" s="22" t="s">
        <v>59</v>
      </c>
      <c r="C29" t="b">
        <v>0</v>
      </c>
      <c r="D29" s="26"/>
      <c r="F29" s="22" t="s">
        <v>10</v>
      </c>
      <c r="G29" s="26" t="s">
        <v>11</v>
      </c>
    </row>
    <row r="30" spans="2:7" x14ac:dyDescent="0.55000000000000004">
      <c r="B30" s="22"/>
      <c r="D30" s="26"/>
      <c r="F30" s="22" t="s">
        <v>12</v>
      </c>
      <c r="G30" s="26" t="s">
        <v>61</v>
      </c>
    </row>
    <row r="31" spans="2:7" x14ac:dyDescent="0.55000000000000004">
      <c r="B31" s="22" t="s">
        <v>53</v>
      </c>
      <c r="C31" t="s">
        <v>72</v>
      </c>
      <c r="D31" s="26"/>
      <c r="F31" s="22" t="s">
        <v>14</v>
      </c>
      <c r="G31" s="26" t="s">
        <v>15</v>
      </c>
    </row>
    <row r="32" spans="2:7" x14ac:dyDescent="0.55000000000000004">
      <c r="B32" s="22" t="s">
        <v>54</v>
      </c>
      <c r="C32" t="s">
        <v>55</v>
      </c>
      <c r="D32" s="26"/>
      <c r="F32" s="22" t="s">
        <v>32</v>
      </c>
      <c r="G32" s="26" t="s">
        <v>26</v>
      </c>
    </row>
    <row r="33" spans="2:7" x14ac:dyDescent="0.55000000000000004">
      <c r="B33" s="22" t="s">
        <v>58</v>
      </c>
      <c r="C33" t="s">
        <v>73</v>
      </c>
      <c r="D33" s="26"/>
      <c r="F33" s="22"/>
      <c r="G33" s="26"/>
    </row>
    <row r="34" spans="2:7" x14ac:dyDescent="0.55000000000000004">
      <c r="B34" s="22" t="s">
        <v>59</v>
      </c>
      <c r="C34" t="b">
        <v>0</v>
      </c>
      <c r="D34" s="26"/>
      <c r="F34" s="22" t="s">
        <v>56</v>
      </c>
      <c r="G34" s="26" t="s">
        <v>66</v>
      </c>
    </row>
    <row r="35" spans="2:7" x14ac:dyDescent="0.55000000000000004">
      <c r="B35" s="22"/>
      <c r="D35" s="26"/>
      <c r="F35" s="22" t="s">
        <v>10</v>
      </c>
      <c r="G35" s="26" t="s">
        <v>11</v>
      </c>
    </row>
    <row r="36" spans="2:7" x14ac:dyDescent="0.55000000000000004">
      <c r="B36" s="22" t="s">
        <v>53</v>
      </c>
      <c r="C36" t="s">
        <v>76</v>
      </c>
      <c r="D36" s="26"/>
      <c r="F36" s="22" t="s">
        <v>12</v>
      </c>
      <c r="G36" s="26" t="s">
        <v>70</v>
      </c>
    </row>
    <row r="37" spans="2:7" x14ac:dyDescent="0.55000000000000004">
      <c r="B37" s="22" t="s">
        <v>54</v>
      </c>
      <c r="C37" t="s">
        <v>55</v>
      </c>
      <c r="D37" s="26"/>
      <c r="F37" s="22" t="s">
        <v>14</v>
      </c>
      <c r="G37" s="26" t="s">
        <v>15</v>
      </c>
    </row>
    <row r="38" spans="2:7" x14ac:dyDescent="0.55000000000000004">
      <c r="B38" s="22" t="s">
        <v>58</v>
      </c>
      <c r="C38" t="s">
        <v>77</v>
      </c>
      <c r="D38" s="26"/>
      <c r="F38" s="22" t="s">
        <v>32</v>
      </c>
      <c r="G38" s="26" t="s">
        <v>26</v>
      </c>
    </row>
    <row r="39" spans="2:7" ht="14.7" thickBot="1" x14ac:dyDescent="0.6">
      <c r="B39" s="23" t="s">
        <v>59</v>
      </c>
      <c r="C39" s="24" t="b">
        <v>0</v>
      </c>
      <c r="D39" s="27"/>
      <c r="F39" s="22"/>
      <c r="G39" s="26"/>
    </row>
    <row r="40" spans="2:7" ht="14.7" thickBot="1" x14ac:dyDescent="0.6">
      <c r="F40" s="22" t="s">
        <v>56</v>
      </c>
      <c r="G40" s="26" t="s">
        <v>71</v>
      </c>
    </row>
    <row r="41" spans="2:7" ht="23.1" x14ac:dyDescent="0.85">
      <c r="B41" s="37" t="s">
        <v>34</v>
      </c>
      <c r="C41" s="12" t="s">
        <v>78</v>
      </c>
      <c r="D41" s="25"/>
      <c r="F41" s="22" t="s">
        <v>10</v>
      </c>
      <c r="G41" s="26" t="s">
        <v>11</v>
      </c>
    </row>
    <row r="42" spans="2:7" x14ac:dyDescent="0.55000000000000004">
      <c r="B42" s="22" t="s">
        <v>36</v>
      </c>
      <c r="C42" t="s">
        <v>37</v>
      </c>
      <c r="D42" s="26"/>
      <c r="F42" s="22" t="s">
        <v>12</v>
      </c>
      <c r="G42" s="26" t="s">
        <v>13</v>
      </c>
    </row>
    <row r="43" spans="2:7" x14ac:dyDescent="0.55000000000000004">
      <c r="B43" s="22" t="s">
        <v>40</v>
      </c>
      <c r="C43" t="b">
        <v>0</v>
      </c>
      <c r="D43" s="26"/>
      <c r="F43" s="22" t="s">
        <v>14</v>
      </c>
      <c r="G43" s="26" t="s">
        <v>74</v>
      </c>
    </row>
    <row r="44" spans="2:7" x14ac:dyDescent="0.55000000000000004">
      <c r="B44" s="22" t="s">
        <v>43</v>
      </c>
      <c r="C44" t="s">
        <v>79</v>
      </c>
      <c r="D44" s="26"/>
      <c r="F44" s="22" t="s">
        <v>32</v>
      </c>
      <c r="G44" s="26" t="s">
        <v>26</v>
      </c>
    </row>
    <row r="45" spans="2:7" x14ac:dyDescent="0.55000000000000004">
      <c r="B45" s="22" t="s">
        <v>47</v>
      </c>
      <c r="C45" t="b">
        <v>1</v>
      </c>
      <c r="D45" s="26"/>
      <c r="F45" s="22"/>
      <c r="G45" s="26"/>
    </row>
    <row r="46" spans="2:7" x14ac:dyDescent="0.55000000000000004">
      <c r="B46" s="22" t="s">
        <v>49</v>
      </c>
      <c r="C46" t="s">
        <v>80</v>
      </c>
      <c r="D46" s="26"/>
      <c r="F46" s="22" t="s">
        <v>56</v>
      </c>
      <c r="G46" s="26" t="s">
        <v>75</v>
      </c>
    </row>
    <row r="47" spans="2:7" x14ac:dyDescent="0.55000000000000004">
      <c r="B47" s="22"/>
      <c r="D47" s="26"/>
      <c r="F47" s="22" t="s">
        <v>10</v>
      </c>
      <c r="G47" s="26" t="s">
        <v>61</v>
      </c>
    </row>
    <row r="48" spans="2:7" x14ac:dyDescent="0.55000000000000004">
      <c r="B48" s="22" t="s">
        <v>53</v>
      </c>
      <c r="C48" t="s">
        <v>81</v>
      </c>
      <c r="D48" s="26"/>
      <c r="F48" s="22" t="s">
        <v>12</v>
      </c>
      <c r="G48" s="26" t="s">
        <v>11</v>
      </c>
    </row>
    <row r="49" spans="2:7" x14ac:dyDescent="0.55000000000000004">
      <c r="B49" s="22" t="s">
        <v>54</v>
      </c>
      <c r="C49" t="s">
        <v>55</v>
      </c>
      <c r="D49" s="26"/>
      <c r="F49" s="22" t="s">
        <v>14</v>
      </c>
      <c r="G49" s="26" t="s">
        <v>74</v>
      </c>
    </row>
    <row r="50" spans="2:7" ht="14.7" thickBot="1" x14ac:dyDescent="0.6">
      <c r="B50" s="22" t="s">
        <v>58</v>
      </c>
      <c r="D50" s="26"/>
      <c r="F50" s="23" t="s">
        <v>32</v>
      </c>
      <c r="G50" s="27" t="s">
        <v>26</v>
      </c>
    </row>
    <row r="51" spans="2:7" x14ac:dyDescent="0.55000000000000004">
      <c r="B51" s="22" t="s">
        <v>59</v>
      </c>
      <c r="C51" t="b">
        <v>0</v>
      </c>
      <c r="D51" s="26"/>
    </row>
    <row r="52" spans="2:7" x14ac:dyDescent="0.55000000000000004">
      <c r="B52" s="22"/>
      <c r="D52" s="26"/>
    </row>
    <row r="53" spans="2:7" x14ac:dyDescent="0.55000000000000004">
      <c r="B53" s="22" t="s">
        <v>53</v>
      </c>
      <c r="C53" t="s">
        <v>82</v>
      </c>
      <c r="D53" s="26"/>
    </row>
    <row r="54" spans="2:7" x14ac:dyDescent="0.55000000000000004">
      <c r="B54" s="22" t="s">
        <v>54</v>
      </c>
      <c r="C54" t="s">
        <v>60</v>
      </c>
      <c r="D54" s="26" t="s">
        <v>83</v>
      </c>
    </row>
    <row r="55" spans="2:7" x14ac:dyDescent="0.55000000000000004">
      <c r="B55" s="22" t="s">
        <v>58</v>
      </c>
      <c r="C55" t="s">
        <v>16</v>
      </c>
      <c r="D55" s="26"/>
    </row>
    <row r="56" spans="2:7" ht="14.7" thickBot="1" x14ac:dyDescent="0.6">
      <c r="B56" s="23" t="s">
        <v>59</v>
      </c>
      <c r="C56" s="24" t="b">
        <v>0</v>
      </c>
      <c r="D56" s="27"/>
    </row>
    <row r="57" spans="2:7" ht="14.7" thickBot="1" x14ac:dyDescent="0.6"/>
    <row r="58" spans="2:7" ht="23.1" x14ac:dyDescent="0.85">
      <c r="B58" s="37" t="s">
        <v>34</v>
      </c>
      <c r="C58" s="12" t="s">
        <v>84</v>
      </c>
      <c r="D58" s="25"/>
    </row>
    <row r="59" spans="2:7" x14ac:dyDescent="0.55000000000000004">
      <c r="B59" s="22" t="s">
        <v>36</v>
      </c>
      <c r="C59" t="s">
        <v>37</v>
      </c>
      <c r="D59" s="26"/>
    </row>
    <row r="60" spans="2:7" x14ac:dyDescent="0.55000000000000004">
      <c r="B60" s="22" t="s">
        <v>40</v>
      </c>
      <c r="C60" t="b">
        <v>0</v>
      </c>
      <c r="D60" s="26"/>
    </row>
    <row r="61" spans="2:7" x14ac:dyDescent="0.55000000000000004">
      <c r="B61" s="22" t="s">
        <v>43</v>
      </c>
      <c r="C61" t="s">
        <v>44</v>
      </c>
      <c r="D61" s="26"/>
    </row>
    <row r="62" spans="2:7" x14ac:dyDescent="0.55000000000000004">
      <c r="B62" s="22" t="s">
        <v>47</v>
      </c>
      <c r="C62" t="b">
        <v>1</v>
      </c>
      <c r="D62" s="26"/>
    </row>
    <row r="63" spans="2:7" ht="14.7" thickBot="1" x14ac:dyDescent="0.6">
      <c r="B63" s="23" t="s">
        <v>49</v>
      </c>
      <c r="C63" s="24" t="s">
        <v>85</v>
      </c>
      <c r="D63" s="27"/>
    </row>
    <row r="65" spans="2:4" ht="14.7" thickBot="1" x14ac:dyDescent="0.6"/>
    <row r="66" spans="2:4" ht="23.1" x14ac:dyDescent="0.85">
      <c r="B66" s="37" t="s">
        <v>34</v>
      </c>
      <c r="C66" s="12" t="s">
        <v>86</v>
      </c>
      <c r="D66" s="25"/>
    </row>
    <row r="67" spans="2:4" x14ac:dyDescent="0.55000000000000004">
      <c r="B67" s="22" t="s">
        <v>36</v>
      </c>
      <c r="C67" t="s">
        <v>87</v>
      </c>
      <c r="D67" s="26"/>
    </row>
    <row r="68" spans="2:4" x14ac:dyDescent="0.55000000000000004">
      <c r="B68" s="22" t="s">
        <v>40</v>
      </c>
      <c r="C68" t="b">
        <v>1</v>
      </c>
      <c r="D68" s="26"/>
    </row>
    <row r="69" spans="2:4" x14ac:dyDescent="0.55000000000000004">
      <c r="B69" s="22" t="s">
        <v>43</v>
      </c>
      <c r="C69" t="s">
        <v>88</v>
      </c>
      <c r="D69" s="26"/>
    </row>
    <row r="70" spans="2:4" x14ac:dyDescent="0.55000000000000004">
      <c r="B70" s="22" t="s">
        <v>47</v>
      </c>
      <c r="C70" t="b">
        <v>1</v>
      </c>
      <c r="D70" s="26"/>
    </row>
    <row r="71" spans="2:4" x14ac:dyDescent="0.55000000000000004">
      <c r="B71" s="22" t="s">
        <v>49</v>
      </c>
      <c r="C71" t="s">
        <v>89</v>
      </c>
      <c r="D71" s="26"/>
    </row>
    <row r="72" spans="2:4" x14ac:dyDescent="0.55000000000000004">
      <c r="B72" s="22"/>
      <c r="D72" s="26"/>
    </row>
    <row r="73" spans="2:4" x14ac:dyDescent="0.55000000000000004">
      <c r="B73" s="22" t="s">
        <v>53</v>
      </c>
      <c r="C73" t="s">
        <v>17</v>
      </c>
      <c r="D73" s="26"/>
    </row>
    <row r="74" spans="2:4" x14ac:dyDescent="0.55000000000000004">
      <c r="B74" s="22" t="s">
        <v>54</v>
      </c>
      <c r="C74" t="s">
        <v>55</v>
      </c>
      <c r="D74" s="26"/>
    </row>
    <row r="75" spans="2:4" x14ac:dyDescent="0.55000000000000004">
      <c r="B75" s="22" t="s">
        <v>58</v>
      </c>
      <c r="D75" s="26"/>
    </row>
    <row r="76" spans="2:4" x14ac:dyDescent="0.55000000000000004">
      <c r="B76" s="22" t="s">
        <v>59</v>
      </c>
      <c r="C76" t="b">
        <v>1</v>
      </c>
      <c r="D76" s="26"/>
    </row>
    <row r="77" spans="2:4" x14ac:dyDescent="0.55000000000000004">
      <c r="B77" s="22"/>
      <c r="D77" s="26"/>
    </row>
    <row r="78" spans="2:4" x14ac:dyDescent="0.55000000000000004">
      <c r="B78" s="22" t="s">
        <v>53</v>
      </c>
      <c r="C78" t="s">
        <v>18</v>
      </c>
      <c r="D78" s="26"/>
    </row>
    <row r="79" spans="2:4" x14ac:dyDescent="0.55000000000000004">
      <c r="B79" s="22" t="s">
        <v>54</v>
      </c>
      <c r="C79" t="s">
        <v>55</v>
      </c>
      <c r="D79" s="26"/>
    </row>
    <row r="80" spans="2:4" x14ac:dyDescent="0.55000000000000004">
      <c r="B80" s="22" t="s">
        <v>58</v>
      </c>
      <c r="D80" s="26"/>
    </row>
    <row r="81" spans="2:4" x14ac:dyDescent="0.55000000000000004">
      <c r="B81" s="22" t="s">
        <v>59</v>
      </c>
      <c r="C81" t="b">
        <v>0</v>
      </c>
      <c r="D81" s="26"/>
    </row>
    <row r="82" spans="2:4" x14ac:dyDescent="0.55000000000000004">
      <c r="B82" s="22"/>
      <c r="D82" s="26"/>
    </row>
    <row r="83" spans="2:4" x14ac:dyDescent="0.55000000000000004">
      <c r="B83" s="22" t="s">
        <v>53</v>
      </c>
      <c r="C83" t="s">
        <v>19</v>
      </c>
      <c r="D83" s="26"/>
    </row>
    <row r="84" spans="2:4" x14ac:dyDescent="0.55000000000000004">
      <c r="B84" s="22" t="s">
        <v>54</v>
      </c>
      <c r="C84" t="s">
        <v>68</v>
      </c>
      <c r="D84" s="26" t="s">
        <v>184</v>
      </c>
    </row>
    <row r="85" spans="2:4" x14ac:dyDescent="0.55000000000000004">
      <c r="B85" s="22" t="s">
        <v>58</v>
      </c>
      <c r="C85" t="s">
        <v>20</v>
      </c>
      <c r="D85" s="26"/>
    </row>
    <row r="86" spans="2:4" ht="14.7" thickBot="1" x14ac:dyDescent="0.6">
      <c r="B86" s="23" t="s">
        <v>59</v>
      </c>
      <c r="C86" s="24" t="b">
        <v>0</v>
      </c>
      <c r="D86" s="27"/>
    </row>
    <row r="87" spans="2:4" ht="14.7" thickBot="1" x14ac:dyDescent="0.6"/>
    <row r="88" spans="2:4" ht="23.1" x14ac:dyDescent="0.85">
      <c r="B88" s="37" t="s">
        <v>34</v>
      </c>
      <c r="C88" s="12" t="s">
        <v>90</v>
      </c>
      <c r="D88" s="25"/>
    </row>
    <row r="89" spans="2:4" x14ac:dyDescent="0.55000000000000004">
      <c r="B89" s="22" t="s">
        <v>36</v>
      </c>
      <c r="C89" t="s">
        <v>87</v>
      </c>
      <c r="D89" s="26"/>
    </row>
    <row r="90" spans="2:4" x14ac:dyDescent="0.55000000000000004">
      <c r="B90" s="22" t="s">
        <v>40</v>
      </c>
      <c r="C90" t="b">
        <v>1</v>
      </c>
      <c r="D90" s="26"/>
    </row>
    <row r="91" spans="2:4" x14ac:dyDescent="0.55000000000000004">
      <c r="B91" s="22" t="s">
        <v>43</v>
      </c>
      <c r="C91" t="s">
        <v>91</v>
      </c>
      <c r="D91" s="26"/>
    </row>
    <row r="92" spans="2:4" x14ac:dyDescent="0.55000000000000004">
      <c r="B92" s="22" t="s">
        <v>47</v>
      </c>
      <c r="C92" t="b">
        <v>1</v>
      </c>
      <c r="D92" s="26"/>
    </row>
    <row r="93" spans="2:4" x14ac:dyDescent="0.55000000000000004">
      <c r="B93" s="22" t="s">
        <v>49</v>
      </c>
      <c r="C93" t="s">
        <v>92</v>
      </c>
      <c r="D93" s="26"/>
    </row>
    <row r="94" spans="2:4" x14ac:dyDescent="0.55000000000000004">
      <c r="B94" s="22"/>
      <c r="D94" s="26"/>
    </row>
    <row r="95" spans="2:4" x14ac:dyDescent="0.55000000000000004">
      <c r="B95" s="22" t="s">
        <v>53</v>
      </c>
      <c r="C95" t="s">
        <v>17</v>
      </c>
      <c r="D95" s="26"/>
    </row>
    <row r="96" spans="2:4" x14ac:dyDescent="0.55000000000000004">
      <c r="B96" s="22" t="s">
        <v>54</v>
      </c>
      <c r="C96" t="s">
        <v>55</v>
      </c>
      <c r="D96" s="26"/>
    </row>
    <row r="97" spans="2:4" x14ac:dyDescent="0.55000000000000004">
      <c r="B97" s="22" t="s">
        <v>58</v>
      </c>
      <c r="D97" s="26"/>
    </row>
    <row r="98" spans="2:4" x14ac:dyDescent="0.55000000000000004">
      <c r="B98" s="22" t="s">
        <v>59</v>
      </c>
      <c r="C98" t="b">
        <v>1</v>
      </c>
      <c r="D98" s="26"/>
    </row>
    <row r="99" spans="2:4" x14ac:dyDescent="0.55000000000000004">
      <c r="B99" s="22"/>
      <c r="D99" s="26"/>
    </row>
    <row r="100" spans="2:4" x14ac:dyDescent="0.55000000000000004">
      <c r="B100" s="22" t="s">
        <v>53</v>
      </c>
      <c r="C100" t="s">
        <v>21</v>
      </c>
      <c r="D100" s="26"/>
    </row>
    <row r="101" spans="2:4" x14ac:dyDescent="0.55000000000000004">
      <c r="B101" s="22" t="s">
        <v>54</v>
      </c>
      <c r="C101" t="s">
        <v>55</v>
      </c>
      <c r="D101" s="26"/>
    </row>
    <row r="102" spans="2:4" x14ac:dyDescent="0.55000000000000004">
      <c r="B102" s="22" t="s">
        <v>58</v>
      </c>
      <c r="D102" s="26"/>
    </row>
    <row r="103" spans="2:4" x14ac:dyDescent="0.55000000000000004">
      <c r="B103" s="22" t="s">
        <v>59</v>
      </c>
      <c r="C103" t="b">
        <v>1</v>
      </c>
      <c r="D103" s="26"/>
    </row>
    <row r="104" spans="2:4" x14ac:dyDescent="0.55000000000000004">
      <c r="B104" s="22"/>
      <c r="D104" s="26"/>
    </row>
    <row r="105" spans="2:4" x14ac:dyDescent="0.55000000000000004">
      <c r="B105" s="22" t="s">
        <v>53</v>
      </c>
      <c r="C105" t="s">
        <v>93</v>
      </c>
      <c r="D105" s="26"/>
    </row>
    <row r="106" spans="2:4" x14ac:dyDescent="0.55000000000000004">
      <c r="B106" s="22" t="s">
        <v>54</v>
      </c>
      <c r="C106" t="s">
        <v>55</v>
      </c>
      <c r="D106" s="26"/>
    </row>
    <row r="107" spans="2:4" x14ac:dyDescent="0.55000000000000004">
      <c r="B107" s="22" t="s">
        <v>58</v>
      </c>
      <c r="D107" s="26"/>
    </row>
    <row r="108" spans="2:4" x14ac:dyDescent="0.55000000000000004">
      <c r="B108" s="22" t="s">
        <v>59</v>
      </c>
      <c r="C108" t="b">
        <v>0</v>
      </c>
      <c r="D108" s="26"/>
    </row>
    <row r="109" spans="2:4" x14ac:dyDescent="0.55000000000000004">
      <c r="B109" s="22"/>
      <c r="D109" s="26"/>
    </row>
    <row r="110" spans="2:4" x14ac:dyDescent="0.55000000000000004">
      <c r="B110" s="22" t="s">
        <v>53</v>
      </c>
      <c r="C110" t="s">
        <v>94</v>
      </c>
      <c r="D110" s="26"/>
    </row>
    <row r="111" spans="2:4" x14ac:dyDescent="0.55000000000000004">
      <c r="B111" s="22" t="s">
        <v>54</v>
      </c>
      <c r="C111" t="s">
        <v>55</v>
      </c>
      <c r="D111" s="26"/>
    </row>
    <row r="112" spans="2:4" x14ac:dyDescent="0.55000000000000004">
      <c r="B112" s="22" t="s">
        <v>58</v>
      </c>
      <c r="D112" s="26"/>
    </row>
    <row r="113" spans="2:4" x14ac:dyDescent="0.55000000000000004">
      <c r="B113" s="22" t="s">
        <v>59</v>
      </c>
      <c r="C113" t="b">
        <v>0</v>
      </c>
      <c r="D113" s="26"/>
    </row>
    <row r="114" spans="2:4" x14ac:dyDescent="0.55000000000000004">
      <c r="B114" s="22"/>
      <c r="D114" s="26"/>
    </row>
    <row r="115" spans="2:4" x14ac:dyDescent="0.55000000000000004">
      <c r="B115" s="22" t="s">
        <v>53</v>
      </c>
      <c r="C115" t="s">
        <v>95</v>
      </c>
      <c r="D115" s="26"/>
    </row>
    <row r="116" spans="2:4" x14ac:dyDescent="0.55000000000000004">
      <c r="B116" s="22" t="s">
        <v>54</v>
      </c>
      <c r="C116" t="s">
        <v>55</v>
      </c>
      <c r="D116" s="26"/>
    </row>
    <row r="117" spans="2:4" x14ac:dyDescent="0.55000000000000004">
      <c r="B117" s="22" t="s">
        <v>58</v>
      </c>
      <c r="D117" s="26"/>
    </row>
    <row r="118" spans="2:4" x14ac:dyDescent="0.55000000000000004">
      <c r="B118" s="22" t="s">
        <v>59</v>
      </c>
      <c r="C118" t="b">
        <v>0</v>
      </c>
      <c r="D118" s="26"/>
    </row>
    <row r="119" spans="2:4" x14ac:dyDescent="0.55000000000000004">
      <c r="B119" s="22"/>
      <c r="D119" s="26"/>
    </row>
    <row r="120" spans="2:4" x14ac:dyDescent="0.55000000000000004">
      <c r="B120" s="22" t="s">
        <v>53</v>
      </c>
      <c r="C120" t="s">
        <v>96</v>
      </c>
      <c r="D120" s="26"/>
    </row>
    <row r="121" spans="2:4" x14ac:dyDescent="0.55000000000000004">
      <c r="B121" s="22" t="s">
        <v>54</v>
      </c>
      <c r="C121" t="s">
        <v>55</v>
      </c>
      <c r="D121" s="26"/>
    </row>
    <row r="122" spans="2:4" x14ac:dyDescent="0.55000000000000004">
      <c r="B122" s="22" t="s">
        <v>58</v>
      </c>
      <c r="D122" s="26"/>
    </row>
    <row r="123" spans="2:4" ht="14.7" thickBot="1" x14ac:dyDescent="0.6">
      <c r="B123" s="23" t="s">
        <v>59</v>
      </c>
      <c r="C123" s="24" t="b">
        <v>0</v>
      </c>
      <c r="D123" s="27"/>
    </row>
    <row r="124" spans="2:4" ht="14.7" thickBot="1" x14ac:dyDescent="0.6"/>
    <row r="125" spans="2:4" ht="23.1" x14ac:dyDescent="0.85">
      <c r="B125" s="37" t="s">
        <v>34</v>
      </c>
      <c r="C125" s="12" t="s">
        <v>97</v>
      </c>
      <c r="D125" s="25"/>
    </row>
    <row r="126" spans="2:4" x14ac:dyDescent="0.55000000000000004">
      <c r="B126" s="22" t="s">
        <v>36</v>
      </c>
      <c r="C126" t="s">
        <v>87</v>
      </c>
      <c r="D126" s="26"/>
    </row>
    <row r="127" spans="2:4" x14ac:dyDescent="0.55000000000000004">
      <c r="B127" s="22" t="s">
        <v>40</v>
      </c>
      <c r="C127" t="b">
        <v>1</v>
      </c>
      <c r="D127" s="26"/>
    </row>
    <row r="128" spans="2:4" x14ac:dyDescent="0.55000000000000004">
      <c r="B128" s="22" t="s">
        <v>43</v>
      </c>
      <c r="C128" t="s">
        <v>98</v>
      </c>
      <c r="D128" s="26"/>
    </row>
    <row r="129" spans="2:4" x14ac:dyDescent="0.55000000000000004">
      <c r="B129" s="22" t="s">
        <v>47</v>
      </c>
      <c r="C129" t="b">
        <v>1</v>
      </c>
      <c r="D129" s="26"/>
    </row>
    <row r="130" spans="2:4" x14ac:dyDescent="0.55000000000000004">
      <c r="B130" s="22" t="s">
        <v>49</v>
      </c>
      <c r="C130" t="s">
        <v>99</v>
      </c>
      <c r="D130" s="26"/>
    </row>
    <row r="131" spans="2:4" x14ac:dyDescent="0.55000000000000004">
      <c r="B131" s="22"/>
      <c r="D131" s="26"/>
    </row>
    <row r="132" spans="2:4" x14ac:dyDescent="0.55000000000000004">
      <c r="B132" s="22" t="s">
        <v>53</v>
      </c>
      <c r="C132" t="s">
        <v>22</v>
      </c>
      <c r="D132" s="26"/>
    </row>
    <row r="133" spans="2:4" x14ac:dyDescent="0.55000000000000004">
      <c r="B133" s="22" t="s">
        <v>54</v>
      </c>
      <c r="C133" t="s">
        <v>68</v>
      </c>
      <c r="D133" s="26" t="s">
        <v>100</v>
      </c>
    </row>
    <row r="134" spans="2:4" x14ac:dyDescent="0.55000000000000004">
      <c r="B134" s="22" t="s">
        <v>58</v>
      </c>
      <c r="C134" t="s">
        <v>23</v>
      </c>
      <c r="D134" s="26"/>
    </row>
    <row r="135" spans="2:4" x14ac:dyDescent="0.55000000000000004">
      <c r="B135" s="22" t="s">
        <v>59</v>
      </c>
      <c r="C135" t="b">
        <v>0</v>
      </c>
      <c r="D135" s="26"/>
    </row>
    <row r="136" spans="2:4" x14ac:dyDescent="0.55000000000000004">
      <c r="B136" s="22"/>
      <c r="D136" s="26"/>
    </row>
    <row r="137" spans="2:4" x14ac:dyDescent="0.55000000000000004">
      <c r="B137" s="22" t="s">
        <v>53</v>
      </c>
      <c r="C137" t="s">
        <v>185</v>
      </c>
      <c r="D137" s="26"/>
    </row>
    <row r="138" spans="2:4" x14ac:dyDescent="0.55000000000000004">
      <c r="B138" s="22" t="s">
        <v>54</v>
      </c>
      <c r="C138" t="s">
        <v>60</v>
      </c>
      <c r="D138" s="26" t="s">
        <v>83</v>
      </c>
    </row>
    <row r="139" spans="2:4" x14ac:dyDescent="0.55000000000000004">
      <c r="B139" s="22" t="s">
        <v>58</v>
      </c>
      <c r="C139" t="s">
        <v>170</v>
      </c>
      <c r="D139" s="26"/>
    </row>
    <row r="140" spans="2:4" x14ac:dyDescent="0.55000000000000004">
      <c r="B140" s="22" t="s">
        <v>59</v>
      </c>
      <c r="C140" t="b">
        <v>0</v>
      </c>
      <c r="D140" s="26"/>
    </row>
    <row r="141" spans="2:4" x14ac:dyDescent="0.55000000000000004">
      <c r="B141" s="22"/>
      <c r="D141" s="26"/>
    </row>
    <row r="142" spans="2:4" x14ac:dyDescent="0.55000000000000004">
      <c r="B142" s="22" t="s">
        <v>53</v>
      </c>
      <c r="C142" t="s">
        <v>24</v>
      </c>
      <c r="D142" s="26"/>
    </row>
    <row r="143" spans="2:4" x14ac:dyDescent="0.55000000000000004">
      <c r="B143" s="22" t="s">
        <v>54</v>
      </c>
      <c r="C143" t="s">
        <v>55</v>
      </c>
      <c r="D143" s="26"/>
    </row>
    <row r="144" spans="2:4" x14ac:dyDescent="0.55000000000000004">
      <c r="B144" s="22" t="s">
        <v>58</v>
      </c>
      <c r="D144" s="26"/>
    </row>
    <row r="145" spans="2:4" x14ac:dyDescent="0.55000000000000004">
      <c r="B145" s="22" t="s">
        <v>59</v>
      </c>
      <c r="C145" t="b">
        <v>0</v>
      </c>
      <c r="D145" s="26"/>
    </row>
    <row r="146" spans="2:4" x14ac:dyDescent="0.55000000000000004">
      <c r="B146" s="22"/>
      <c r="D146" s="26"/>
    </row>
    <row r="147" spans="2:4" x14ac:dyDescent="0.55000000000000004">
      <c r="B147" s="22" t="s">
        <v>53</v>
      </c>
      <c r="C147" t="s">
        <v>25</v>
      </c>
      <c r="D147" s="26"/>
    </row>
    <row r="148" spans="2:4" x14ac:dyDescent="0.55000000000000004">
      <c r="B148" s="22" t="s">
        <v>54</v>
      </c>
      <c r="C148" t="s">
        <v>55</v>
      </c>
      <c r="D148" s="26"/>
    </row>
    <row r="149" spans="2:4" x14ac:dyDescent="0.55000000000000004">
      <c r="B149" s="22" t="s">
        <v>58</v>
      </c>
      <c r="C149">
        <v>0</v>
      </c>
      <c r="D149" s="26"/>
    </row>
    <row r="150" spans="2:4" ht="14.7" thickBot="1" x14ac:dyDescent="0.6">
      <c r="B150" s="23" t="s">
        <v>59</v>
      </c>
      <c r="C150" s="24" t="b">
        <v>0</v>
      </c>
      <c r="D150" s="27"/>
    </row>
    <row r="151" spans="2:4" ht="14.7" thickBot="1" x14ac:dyDescent="0.6"/>
    <row r="152" spans="2:4" ht="23.1" x14ac:dyDescent="0.85">
      <c r="B152" s="37" t="s">
        <v>34</v>
      </c>
      <c r="C152" s="12" t="s">
        <v>101</v>
      </c>
      <c r="D152" s="25"/>
    </row>
    <row r="153" spans="2:4" x14ac:dyDescent="0.55000000000000004">
      <c r="B153" s="22" t="s">
        <v>36</v>
      </c>
      <c r="C153" t="s">
        <v>87</v>
      </c>
      <c r="D153" s="26"/>
    </row>
    <row r="154" spans="2:4" x14ac:dyDescent="0.55000000000000004">
      <c r="B154" s="22" t="s">
        <v>40</v>
      </c>
      <c r="C154" t="b">
        <v>1</v>
      </c>
      <c r="D154" s="26"/>
    </row>
    <row r="155" spans="2:4" x14ac:dyDescent="0.55000000000000004">
      <c r="B155" s="22" t="s">
        <v>43</v>
      </c>
      <c r="C155" t="s">
        <v>102</v>
      </c>
      <c r="D155" s="26"/>
    </row>
    <row r="156" spans="2:4" x14ac:dyDescent="0.55000000000000004">
      <c r="B156" s="22" t="s">
        <v>47</v>
      </c>
      <c r="C156" t="b">
        <v>1</v>
      </c>
      <c r="D156" s="26"/>
    </row>
    <row r="157" spans="2:4" x14ac:dyDescent="0.55000000000000004">
      <c r="B157" s="22" t="s">
        <v>49</v>
      </c>
      <c r="C157" t="s">
        <v>103</v>
      </c>
      <c r="D157" s="26"/>
    </row>
    <row r="158" spans="2:4" x14ac:dyDescent="0.55000000000000004">
      <c r="B158" s="22"/>
      <c r="D158" s="26"/>
    </row>
    <row r="159" spans="2:4" x14ac:dyDescent="0.55000000000000004">
      <c r="B159" s="22" t="s">
        <v>53</v>
      </c>
      <c r="C159" t="s">
        <v>104</v>
      </c>
      <c r="D159" s="26"/>
    </row>
    <row r="160" spans="2:4" x14ac:dyDescent="0.55000000000000004">
      <c r="B160" s="22" t="s">
        <v>54</v>
      </c>
      <c r="C160" t="s">
        <v>55</v>
      </c>
      <c r="D160" s="26"/>
    </row>
    <row r="161" spans="2:4" x14ac:dyDescent="0.55000000000000004">
      <c r="B161" s="22" t="s">
        <v>58</v>
      </c>
      <c r="D161" s="26"/>
    </row>
    <row r="162" spans="2:4" x14ac:dyDescent="0.55000000000000004">
      <c r="B162" s="22" t="s">
        <v>59</v>
      </c>
      <c r="C162" t="b">
        <v>1</v>
      </c>
      <c r="D162" s="26"/>
    </row>
    <row r="163" spans="2:4" x14ac:dyDescent="0.55000000000000004">
      <c r="B163" s="22"/>
      <c r="D163" s="26"/>
    </row>
    <row r="164" spans="2:4" x14ac:dyDescent="0.55000000000000004">
      <c r="B164" s="22" t="s">
        <v>53</v>
      </c>
      <c r="C164" t="s">
        <v>105</v>
      </c>
      <c r="D164" s="26"/>
    </row>
    <row r="165" spans="2:4" x14ac:dyDescent="0.55000000000000004">
      <c r="B165" s="22" t="s">
        <v>54</v>
      </c>
      <c r="C165" t="s">
        <v>55</v>
      </c>
      <c r="D165" s="26"/>
    </row>
    <row r="166" spans="2:4" x14ac:dyDescent="0.55000000000000004">
      <c r="B166" s="22" t="s">
        <v>58</v>
      </c>
      <c r="D166" s="26"/>
    </row>
    <row r="167" spans="2:4" x14ac:dyDescent="0.55000000000000004">
      <c r="B167" s="22" t="s">
        <v>59</v>
      </c>
      <c r="C167" t="b">
        <v>0</v>
      </c>
      <c r="D167" s="26"/>
    </row>
    <row r="168" spans="2:4" x14ac:dyDescent="0.55000000000000004">
      <c r="B168" s="22"/>
      <c r="D168" s="26"/>
    </row>
    <row r="169" spans="2:4" x14ac:dyDescent="0.55000000000000004">
      <c r="B169" s="22" t="s">
        <v>53</v>
      </c>
      <c r="C169" t="s">
        <v>106</v>
      </c>
      <c r="D169" s="26"/>
    </row>
    <row r="170" spans="2:4" x14ac:dyDescent="0.55000000000000004">
      <c r="B170" s="22" t="s">
        <v>54</v>
      </c>
      <c r="C170" t="s">
        <v>55</v>
      </c>
      <c r="D170" s="26"/>
    </row>
    <row r="171" spans="2:4" x14ac:dyDescent="0.55000000000000004">
      <c r="B171" s="22" t="s">
        <v>58</v>
      </c>
      <c r="D171" s="26"/>
    </row>
    <row r="172" spans="2:4" x14ac:dyDescent="0.55000000000000004">
      <c r="B172" s="22" t="s">
        <v>59</v>
      </c>
      <c r="C172" t="b">
        <v>1</v>
      </c>
      <c r="D172" s="26"/>
    </row>
    <row r="173" spans="2:4" x14ac:dyDescent="0.55000000000000004">
      <c r="B173" s="22"/>
      <c r="D173" s="26"/>
    </row>
    <row r="174" spans="2:4" x14ac:dyDescent="0.55000000000000004">
      <c r="B174" s="22" t="s">
        <v>53</v>
      </c>
      <c r="C174" t="s">
        <v>107</v>
      </c>
      <c r="D174" s="26"/>
    </row>
    <row r="175" spans="2:4" x14ac:dyDescent="0.55000000000000004">
      <c r="B175" s="22" t="s">
        <v>54</v>
      </c>
      <c r="C175" t="s">
        <v>60</v>
      </c>
      <c r="D175" s="13" t="s">
        <v>108</v>
      </c>
    </row>
    <row r="176" spans="2:4" x14ac:dyDescent="0.55000000000000004">
      <c r="B176" s="22" t="s">
        <v>58</v>
      </c>
      <c r="D176" s="26"/>
    </row>
    <row r="177" spans="2:4" x14ac:dyDescent="0.55000000000000004">
      <c r="B177" s="22" t="s">
        <v>59</v>
      </c>
      <c r="C177" t="b">
        <v>0</v>
      </c>
      <c r="D177" s="26"/>
    </row>
    <row r="178" spans="2:4" x14ac:dyDescent="0.55000000000000004">
      <c r="B178" s="22"/>
      <c r="D178" s="26"/>
    </row>
    <row r="179" spans="2:4" x14ac:dyDescent="0.55000000000000004">
      <c r="B179" s="22" t="s">
        <v>53</v>
      </c>
      <c r="C179" t="s">
        <v>109</v>
      </c>
      <c r="D179" s="26"/>
    </row>
    <row r="180" spans="2:4" x14ac:dyDescent="0.55000000000000004">
      <c r="B180" s="22" t="s">
        <v>54</v>
      </c>
      <c r="C180" t="s">
        <v>60</v>
      </c>
      <c r="D180" s="13" t="s">
        <v>186</v>
      </c>
    </row>
    <row r="181" spans="2:4" x14ac:dyDescent="0.55000000000000004">
      <c r="B181" s="22" t="s">
        <v>58</v>
      </c>
      <c r="C181" t="s">
        <v>110</v>
      </c>
      <c r="D181" s="26"/>
    </row>
    <row r="182" spans="2:4" ht="14.7" thickBot="1" x14ac:dyDescent="0.6">
      <c r="B182" s="23" t="s">
        <v>59</v>
      </c>
      <c r="C182" s="24" t="b">
        <v>0</v>
      </c>
      <c r="D182" s="27"/>
    </row>
    <row r="183" spans="2:4" ht="14.7" thickBot="1" x14ac:dyDescent="0.6"/>
    <row r="184" spans="2:4" ht="23.1" x14ac:dyDescent="0.85">
      <c r="B184" s="37" t="s">
        <v>34</v>
      </c>
      <c r="C184" s="12" t="s">
        <v>111</v>
      </c>
      <c r="D184" s="25"/>
    </row>
    <row r="185" spans="2:4" x14ac:dyDescent="0.55000000000000004">
      <c r="B185" s="22" t="s">
        <v>36</v>
      </c>
      <c r="C185" t="s">
        <v>87</v>
      </c>
      <c r="D185" s="26"/>
    </row>
    <row r="186" spans="2:4" x14ac:dyDescent="0.55000000000000004">
      <c r="B186" s="22" t="s">
        <v>40</v>
      </c>
      <c r="C186" t="b">
        <v>1</v>
      </c>
      <c r="D186" s="26"/>
    </row>
    <row r="187" spans="2:4" x14ac:dyDescent="0.55000000000000004">
      <c r="B187" s="22" t="s">
        <v>43</v>
      </c>
      <c r="C187" t="s">
        <v>112</v>
      </c>
      <c r="D187" s="26"/>
    </row>
    <row r="188" spans="2:4" x14ac:dyDescent="0.55000000000000004">
      <c r="B188" s="22" t="s">
        <v>47</v>
      </c>
      <c r="C188" t="b">
        <v>1</v>
      </c>
      <c r="D188" s="26"/>
    </row>
    <row r="189" spans="2:4" x14ac:dyDescent="0.55000000000000004">
      <c r="B189" s="22" t="s">
        <v>49</v>
      </c>
      <c r="C189" t="s">
        <v>113</v>
      </c>
      <c r="D189" s="26"/>
    </row>
    <row r="190" spans="2:4" x14ac:dyDescent="0.55000000000000004">
      <c r="B190" s="22"/>
      <c r="D190" s="26"/>
    </row>
    <row r="191" spans="2:4" x14ac:dyDescent="0.55000000000000004">
      <c r="B191" s="22" t="s">
        <v>53</v>
      </c>
      <c r="C191" t="s">
        <v>17</v>
      </c>
      <c r="D191" s="26"/>
    </row>
    <row r="192" spans="2:4" x14ac:dyDescent="0.55000000000000004">
      <c r="B192" s="22" t="s">
        <v>54</v>
      </c>
      <c r="C192" t="s">
        <v>55</v>
      </c>
      <c r="D192" s="26"/>
    </row>
    <row r="193" spans="2:4" x14ac:dyDescent="0.55000000000000004">
      <c r="B193" s="22" t="s">
        <v>58</v>
      </c>
      <c r="D193" s="26"/>
    </row>
    <row r="194" spans="2:4" x14ac:dyDescent="0.55000000000000004">
      <c r="B194" s="22" t="s">
        <v>59</v>
      </c>
      <c r="C194" t="b">
        <v>1</v>
      </c>
      <c r="D194" s="26"/>
    </row>
    <row r="195" spans="2:4" x14ac:dyDescent="0.55000000000000004">
      <c r="B195" s="22"/>
      <c r="D195" s="26"/>
    </row>
    <row r="196" spans="2:4" x14ac:dyDescent="0.55000000000000004">
      <c r="B196" s="22" t="s">
        <v>53</v>
      </c>
      <c r="C196" t="s">
        <v>18</v>
      </c>
      <c r="D196" s="26"/>
    </row>
    <row r="197" spans="2:4" x14ac:dyDescent="0.55000000000000004">
      <c r="B197" s="22" t="s">
        <v>54</v>
      </c>
      <c r="C197" t="s">
        <v>55</v>
      </c>
      <c r="D197" s="26"/>
    </row>
    <row r="198" spans="2:4" x14ac:dyDescent="0.55000000000000004">
      <c r="B198" s="22" t="s">
        <v>58</v>
      </c>
      <c r="D198" s="26"/>
    </row>
    <row r="199" spans="2:4" x14ac:dyDescent="0.55000000000000004">
      <c r="B199" s="22" t="s">
        <v>59</v>
      </c>
      <c r="C199" t="b">
        <v>0</v>
      </c>
      <c r="D199" s="26"/>
    </row>
    <row r="200" spans="2:4" x14ac:dyDescent="0.55000000000000004">
      <c r="B200" s="22"/>
      <c r="D200" s="26"/>
    </row>
    <row r="201" spans="2:4" x14ac:dyDescent="0.55000000000000004">
      <c r="B201" s="22" t="s">
        <v>53</v>
      </c>
      <c r="C201" t="s">
        <v>114</v>
      </c>
      <c r="D201" s="26"/>
    </row>
    <row r="202" spans="2:4" x14ac:dyDescent="0.55000000000000004">
      <c r="B202" s="22" t="s">
        <v>54</v>
      </c>
      <c r="C202" t="s">
        <v>60</v>
      </c>
      <c r="D202" s="26" t="s">
        <v>115</v>
      </c>
    </row>
    <row r="203" spans="2:4" x14ac:dyDescent="0.55000000000000004">
      <c r="B203" s="22" t="s">
        <v>58</v>
      </c>
      <c r="D203" s="26"/>
    </row>
    <row r="204" spans="2:4" x14ac:dyDescent="0.55000000000000004">
      <c r="B204" s="22" t="s">
        <v>59</v>
      </c>
      <c r="C204" t="b">
        <v>0</v>
      </c>
      <c r="D204" s="26"/>
    </row>
    <row r="205" spans="2:4" x14ac:dyDescent="0.55000000000000004">
      <c r="B205" s="22"/>
      <c r="D205" s="26"/>
    </row>
    <row r="206" spans="2:4" x14ac:dyDescent="0.55000000000000004">
      <c r="B206" s="22" t="s">
        <v>53</v>
      </c>
      <c r="C206" t="s">
        <v>116</v>
      </c>
      <c r="D206" s="26"/>
    </row>
    <row r="207" spans="2:4" x14ac:dyDescent="0.55000000000000004">
      <c r="B207" s="22" t="s">
        <v>54</v>
      </c>
      <c r="C207" t="s">
        <v>55</v>
      </c>
      <c r="D207" s="26"/>
    </row>
    <row r="208" spans="2:4" x14ac:dyDescent="0.55000000000000004">
      <c r="B208" s="22" t="s">
        <v>58</v>
      </c>
      <c r="D208" s="26"/>
    </row>
    <row r="209" spans="2:4" x14ac:dyDescent="0.55000000000000004">
      <c r="B209" s="22" t="s">
        <v>59</v>
      </c>
      <c r="C209" t="b">
        <v>0</v>
      </c>
      <c r="D209" s="26"/>
    </row>
    <row r="210" spans="2:4" x14ac:dyDescent="0.55000000000000004">
      <c r="B210" s="22"/>
      <c r="D210" s="26"/>
    </row>
    <row r="211" spans="2:4" x14ac:dyDescent="0.55000000000000004">
      <c r="B211" s="22" t="s">
        <v>53</v>
      </c>
      <c r="C211" t="s">
        <v>117</v>
      </c>
      <c r="D211" s="26"/>
    </row>
    <row r="212" spans="2:4" x14ac:dyDescent="0.55000000000000004">
      <c r="B212" s="22" t="s">
        <v>54</v>
      </c>
      <c r="C212" t="s">
        <v>68</v>
      </c>
      <c r="D212" s="26" t="s">
        <v>118</v>
      </c>
    </row>
    <row r="213" spans="2:4" x14ac:dyDescent="0.55000000000000004">
      <c r="B213" s="22" t="s">
        <v>58</v>
      </c>
      <c r="C213" t="s">
        <v>26</v>
      </c>
      <c r="D213" s="26"/>
    </row>
    <row r="214" spans="2:4" x14ac:dyDescent="0.55000000000000004">
      <c r="B214" s="22" t="s">
        <v>59</v>
      </c>
      <c r="C214" t="b">
        <v>0</v>
      </c>
      <c r="D214" s="26"/>
    </row>
    <row r="215" spans="2:4" x14ac:dyDescent="0.55000000000000004">
      <c r="B215" s="22"/>
      <c r="D215" s="26"/>
    </row>
    <row r="216" spans="2:4" x14ac:dyDescent="0.55000000000000004">
      <c r="B216" s="22" t="s">
        <v>53</v>
      </c>
      <c r="C216" t="s">
        <v>119</v>
      </c>
      <c r="D216" s="26"/>
    </row>
    <row r="217" spans="2:4" x14ac:dyDescent="0.55000000000000004">
      <c r="B217" s="22" t="s">
        <v>54</v>
      </c>
      <c r="C217" t="s">
        <v>55</v>
      </c>
      <c r="D217" s="26"/>
    </row>
    <row r="218" spans="2:4" x14ac:dyDescent="0.55000000000000004">
      <c r="B218" s="22" t="s">
        <v>58</v>
      </c>
      <c r="D218" s="26"/>
    </row>
    <row r="219" spans="2:4" ht="14.7" thickBot="1" x14ac:dyDescent="0.6">
      <c r="B219" s="23" t="s">
        <v>59</v>
      </c>
      <c r="C219" s="24" t="b">
        <v>0</v>
      </c>
      <c r="D219" s="27"/>
    </row>
    <row r="220" spans="2:4" ht="14.7" thickBot="1" x14ac:dyDescent="0.6"/>
    <row r="221" spans="2:4" ht="23.1" x14ac:dyDescent="0.85">
      <c r="B221" s="37" t="s">
        <v>34</v>
      </c>
      <c r="C221" s="12" t="s">
        <v>27</v>
      </c>
      <c r="D221" s="25"/>
    </row>
    <row r="222" spans="2:4" x14ac:dyDescent="0.55000000000000004">
      <c r="B222" s="22" t="s">
        <v>36</v>
      </c>
      <c r="C222" t="s">
        <v>87</v>
      </c>
      <c r="D222" s="26"/>
    </row>
    <row r="223" spans="2:4" x14ac:dyDescent="0.55000000000000004">
      <c r="B223" s="22" t="s">
        <v>40</v>
      </c>
      <c r="C223" t="b">
        <v>1</v>
      </c>
      <c r="D223" s="26"/>
    </row>
    <row r="224" spans="2:4" x14ac:dyDescent="0.55000000000000004">
      <c r="B224" s="22" t="s">
        <v>43</v>
      </c>
      <c r="C224" t="s">
        <v>120</v>
      </c>
      <c r="D224" s="26"/>
    </row>
    <row r="225" spans="2:4" x14ac:dyDescent="0.55000000000000004">
      <c r="B225" s="22" t="s">
        <v>47</v>
      </c>
      <c r="C225" t="b">
        <v>1</v>
      </c>
      <c r="D225" s="26"/>
    </row>
    <row r="226" spans="2:4" x14ac:dyDescent="0.55000000000000004">
      <c r="B226" s="22" t="s">
        <v>49</v>
      </c>
      <c r="C226" t="s">
        <v>121</v>
      </c>
      <c r="D226" s="26"/>
    </row>
    <row r="227" spans="2:4" x14ac:dyDescent="0.55000000000000004">
      <c r="B227" s="22"/>
      <c r="D227" s="26"/>
    </row>
    <row r="228" spans="2:4" x14ac:dyDescent="0.55000000000000004">
      <c r="B228" s="22" t="s">
        <v>53</v>
      </c>
      <c r="C228" t="s">
        <v>122</v>
      </c>
      <c r="D228" s="26"/>
    </row>
    <row r="229" spans="2:4" x14ac:dyDescent="0.55000000000000004">
      <c r="B229" s="22" t="s">
        <v>54</v>
      </c>
      <c r="C229" t="s">
        <v>60</v>
      </c>
      <c r="D229" s="26" t="s">
        <v>83</v>
      </c>
    </row>
    <row r="230" spans="2:4" x14ac:dyDescent="0.55000000000000004">
      <c r="B230" s="22" t="s">
        <v>58</v>
      </c>
      <c r="C230" t="s">
        <v>16</v>
      </c>
      <c r="D230" s="26"/>
    </row>
    <row r="231" spans="2:4" x14ac:dyDescent="0.55000000000000004">
      <c r="B231" s="22" t="s">
        <v>59</v>
      </c>
      <c r="C231" t="b">
        <v>0</v>
      </c>
      <c r="D231" s="26"/>
    </row>
    <row r="232" spans="2:4" x14ac:dyDescent="0.55000000000000004">
      <c r="B232" s="22"/>
      <c r="D232" s="26"/>
    </row>
    <row r="233" spans="2:4" x14ac:dyDescent="0.55000000000000004">
      <c r="B233" s="22" t="s">
        <v>53</v>
      </c>
      <c r="C233" t="s">
        <v>123</v>
      </c>
      <c r="D233" s="26"/>
    </row>
    <row r="234" spans="2:4" x14ac:dyDescent="0.55000000000000004">
      <c r="B234" s="22" t="s">
        <v>54</v>
      </c>
      <c r="C234" t="s">
        <v>55</v>
      </c>
      <c r="D234" s="26"/>
    </row>
    <row r="235" spans="2:4" x14ac:dyDescent="0.55000000000000004">
      <c r="B235" s="22" t="s">
        <v>58</v>
      </c>
      <c r="D235" s="26"/>
    </row>
    <row r="236" spans="2:4" x14ac:dyDescent="0.55000000000000004">
      <c r="B236" s="22" t="s">
        <v>59</v>
      </c>
      <c r="C236" t="b">
        <v>0</v>
      </c>
      <c r="D236" s="26"/>
    </row>
    <row r="237" spans="2:4" x14ac:dyDescent="0.55000000000000004">
      <c r="B237" s="22"/>
      <c r="D237" s="26"/>
    </row>
    <row r="238" spans="2:4" x14ac:dyDescent="0.55000000000000004">
      <c r="B238" s="22" t="s">
        <v>53</v>
      </c>
      <c r="C238" t="s">
        <v>124</v>
      </c>
      <c r="D238" s="26"/>
    </row>
    <row r="239" spans="2:4" x14ac:dyDescent="0.55000000000000004">
      <c r="B239" s="22" t="s">
        <v>54</v>
      </c>
      <c r="C239" t="s">
        <v>55</v>
      </c>
      <c r="D239" s="26"/>
    </row>
    <row r="240" spans="2:4" x14ac:dyDescent="0.55000000000000004">
      <c r="B240" s="22" t="s">
        <v>58</v>
      </c>
      <c r="D240" s="26"/>
    </row>
    <row r="241" spans="2:4" ht="14.7" thickBot="1" x14ac:dyDescent="0.6">
      <c r="B241" s="23" t="s">
        <v>59</v>
      </c>
      <c r="C241" s="24" t="b">
        <v>0</v>
      </c>
      <c r="D241" s="27"/>
    </row>
    <row r="242" spans="2:4" ht="14.7" thickBot="1" x14ac:dyDescent="0.6"/>
    <row r="243" spans="2:4" ht="23.1" x14ac:dyDescent="0.85">
      <c r="B243" s="37" t="s">
        <v>34</v>
      </c>
      <c r="C243" s="12" t="s">
        <v>125</v>
      </c>
      <c r="D243" s="25"/>
    </row>
    <row r="244" spans="2:4" x14ac:dyDescent="0.55000000000000004">
      <c r="B244" s="22" t="s">
        <v>36</v>
      </c>
      <c r="C244" t="s">
        <v>87</v>
      </c>
      <c r="D244" s="26"/>
    </row>
    <row r="245" spans="2:4" x14ac:dyDescent="0.55000000000000004">
      <c r="B245" s="22" t="s">
        <v>40</v>
      </c>
      <c r="C245" t="b">
        <v>1</v>
      </c>
      <c r="D245" s="26"/>
    </row>
    <row r="246" spans="2:4" x14ac:dyDescent="0.55000000000000004">
      <c r="B246" s="22" t="s">
        <v>43</v>
      </c>
      <c r="C246" t="s">
        <v>126</v>
      </c>
      <c r="D246" s="26"/>
    </row>
    <row r="247" spans="2:4" x14ac:dyDescent="0.55000000000000004">
      <c r="B247" s="22" t="s">
        <v>47</v>
      </c>
      <c r="C247" t="b">
        <v>1</v>
      </c>
      <c r="D247" s="26"/>
    </row>
    <row r="248" spans="2:4" x14ac:dyDescent="0.55000000000000004">
      <c r="B248" s="22" t="s">
        <v>49</v>
      </c>
      <c r="C248" t="s">
        <v>127</v>
      </c>
      <c r="D248" s="26"/>
    </row>
    <row r="249" spans="2:4" x14ac:dyDescent="0.55000000000000004">
      <c r="B249" s="22"/>
      <c r="D249" s="26"/>
    </row>
    <row r="250" spans="2:4" x14ac:dyDescent="0.55000000000000004">
      <c r="B250" s="22" t="s">
        <v>53</v>
      </c>
      <c r="C250" t="s">
        <v>128</v>
      </c>
      <c r="D250" s="26"/>
    </row>
    <row r="251" spans="2:4" x14ac:dyDescent="0.55000000000000004">
      <c r="B251" s="22" t="s">
        <v>54</v>
      </c>
      <c r="C251" t="s">
        <v>55</v>
      </c>
      <c r="D251" s="26"/>
    </row>
    <row r="252" spans="2:4" x14ac:dyDescent="0.55000000000000004">
      <c r="B252" s="22" t="s">
        <v>58</v>
      </c>
      <c r="D252" s="26"/>
    </row>
    <row r="253" spans="2:4" x14ac:dyDescent="0.55000000000000004">
      <c r="B253" s="22" t="s">
        <v>59</v>
      </c>
      <c r="C253" t="b">
        <v>1</v>
      </c>
      <c r="D253" s="26"/>
    </row>
    <row r="254" spans="2:4" x14ac:dyDescent="0.55000000000000004">
      <c r="B254" s="22"/>
      <c r="D254" s="26"/>
    </row>
    <row r="255" spans="2:4" x14ac:dyDescent="0.55000000000000004">
      <c r="B255" s="22" t="s">
        <v>53</v>
      </c>
      <c r="C255" t="s">
        <v>129</v>
      </c>
      <c r="D255" s="26"/>
    </row>
    <row r="256" spans="2:4" x14ac:dyDescent="0.55000000000000004">
      <c r="B256" s="22" t="s">
        <v>54</v>
      </c>
      <c r="C256" t="s">
        <v>55</v>
      </c>
      <c r="D256" s="26"/>
    </row>
    <row r="257" spans="2:4" x14ac:dyDescent="0.55000000000000004">
      <c r="B257" s="22" t="s">
        <v>58</v>
      </c>
      <c r="D257" s="26"/>
    </row>
    <row r="258" spans="2:4" x14ac:dyDescent="0.55000000000000004">
      <c r="B258" s="22" t="s">
        <v>59</v>
      </c>
      <c r="C258" t="b">
        <v>1</v>
      </c>
      <c r="D258" s="26"/>
    </row>
    <row r="259" spans="2:4" x14ac:dyDescent="0.55000000000000004">
      <c r="B259" s="22"/>
      <c r="D259" s="26"/>
    </row>
    <row r="260" spans="2:4" x14ac:dyDescent="0.55000000000000004">
      <c r="B260" s="22" t="s">
        <v>53</v>
      </c>
      <c r="C260" t="s">
        <v>130</v>
      </c>
      <c r="D260" s="26"/>
    </row>
    <row r="261" spans="2:4" x14ac:dyDescent="0.55000000000000004">
      <c r="B261" s="22" t="s">
        <v>54</v>
      </c>
      <c r="C261" t="s">
        <v>55</v>
      </c>
      <c r="D261" s="26"/>
    </row>
    <row r="262" spans="2:4" x14ac:dyDescent="0.55000000000000004">
      <c r="B262" s="22" t="s">
        <v>58</v>
      </c>
      <c r="D262" s="26"/>
    </row>
    <row r="263" spans="2:4" x14ac:dyDescent="0.55000000000000004">
      <c r="B263" s="22" t="s">
        <v>59</v>
      </c>
      <c r="C263" t="b">
        <v>0</v>
      </c>
      <c r="D263" s="26"/>
    </row>
    <row r="264" spans="2:4" x14ac:dyDescent="0.55000000000000004">
      <c r="B264" s="22"/>
      <c r="D264" s="26"/>
    </row>
    <row r="265" spans="2:4" x14ac:dyDescent="0.55000000000000004">
      <c r="B265" s="22" t="s">
        <v>53</v>
      </c>
      <c r="C265" t="s">
        <v>131</v>
      </c>
      <c r="D265" s="26"/>
    </row>
    <row r="266" spans="2:4" x14ac:dyDescent="0.55000000000000004">
      <c r="B266" s="22" t="s">
        <v>54</v>
      </c>
      <c r="C266" t="s">
        <v>55</v>
      </c>
      <c r="D266" s="26"/>
    </row>
    <row r="267" spans="2:4" x14ac:dyDescent="0.55000000000000004">
      <c r="B267" s="22" t="s">
        <v>58</v>
      </c>
      <c r="C267">
        <v>1</v>
      </c>
      <c r="D267" s="26"/>
    </row>
    <row r="268" spans="2:4" x14ac:dyDescent="0.55000000000000004">
      <c r="B268" s="22" t="s">
        <v>59</v>
      </c>
      <c r="C268" t="b">
        <v>0</v>
      </c>
      <c r="D268" s="26"/>
    </row>
    <row r="269" spans="2:4" x14ac:dyDescent="0.55000000000000004">
      <c r="B269" s="22"/>
      <c r="D269" s="26"/>
    </row>
    <row r="270" spans="2:4" x14ac:dyDescent="0.55000000000000004">
      <c r="B270" s="22" t="s">
        <v>53</v>
      </c>
      <c r="C270" t="s">
        <v>132</v>
      </c>
      <c r="D270" s="26"/>
    </row>
    <row r="271" spans="2:4" x14ac:dyDescent="0.55000000000000004">
      <c r="B271" s="22" t="s">
        <v>54</v>
      </c>
      <c r="C271" t="s">
        <v>55</v>
      </c>
      <c r="D271" s="26"/>
    </row>
    <row r="272" spans="2:4" x14ac:dyDescent="0.55000000000000004">
      <c r="B272" s="22" t="s">
        <v>58</v>
      </c>
      <c r="C272">
        <v>1</v>
      </c>
      <c r="D272" s="26"/>
    </row>
    <row r="273" spans="2:4" ht="14.7" thickBot="1" x14ac:dyDescent="0.6">
      <c r="B273" s="23" t="s">
        <v>59</v>
      </c>
      <c r="C273" s="24" t="b">
        <v>0</v>
      </c>
      <c r="D273" s="27"/>
    </row>
    <row r="274" spans="2:4" ht="14.7" thickBot="1" x14ac:dyDescent="0.6"/>
    <row r="275" spans="2:4" ht="23.1" x14ac:dyDescent="0.85">
      <c r="B275" s="37" t="s">
        <v>34</v>
      </c>
      <c r="C275" s="12" t="s">
        <v>133</v>
      </c>
      <c r="D275" s="25"/>
    </row>
    <row r="276" spans="2:4" x14ac:dyDescent="0.55000000000000004">
      <c r="B276" s="22" t="s">
        <v>36</v>
      </c>
      <c r="C276" t="s">
        <v>134</v>
      </c>
      <c r="D276" s="26"/>
    </row>
    <row r="277" spans="2:4" x14ac:dyDescent="0.55000000000000004">
      <c r="B277" s="22" t="s">
        <v>40</v>
      </c>
      <c r="C277" t="b">
        <v>1</v>
      </c>
      <c r="D277" s="26"/>
    </row>
    <row r="278" spans="2:4" x14ac:dyDescent="0.55000000000000004">
      <c r="B278" s="22" t="s">
        <v>43</v>
      </c>
      <c r="C278" t="s">
        <v>135</v>
      </c>
      <c r="D278" s="26"/>
    </row>
    <row r="279" spans="2:4" x14ac:dyDescent="0.55000000000000004">
      <c r="B279" s="22" t="s">
        <v>47</v>
      </c>
      <c r="C279" t="b">
        <v>1</v>
      </c>
      <c r="D279" s="26"/>
    </row>
    <row r="280" spans="2:4" x14ac:dyDescent="0.55000000000000004">
      <c r="B280" s="22" t="s">
        <v>49</v>
      </c>
      <c r="C280" t="s">
        <v>136</v>
      </c>
      <c r="D280" s="26"/>
    </row>
    <row r="281" spans="2:4" x14ac:dyDescent="0.55000000000000004">
      <c r="B281" s="22"/>
      <c r="D281" s="26"/>
    </row>
    <row r="282" spans="2:4" x14ac:dyDescent="0.55000000000000004">
      <c r="B282" s="22" t="s">
        <v>53</v>
      </c>
      <c r="C282" t="s">
        <v>137</v>
      </c>
      <c r="D282" s="26"/>
    </row>
    <row r="283" spans="2:4" x14ac:dyDescent="0.55000000000000004">
      <c r="B283" s="22" t="s">
        <v>54</v>
      </c>
      <c r="C283" t="s">
        <v>55</v>
      </c>
      <c r="D283" s="26"/>
    </row>
    <row r="284" spans="2:4" x14ac:dyDescent="0.55000000000000004">
      <c r="B284" s="22" t="s">
        <v>58</v>
      </c>
      <c r="D284" s="26"/>
    </row>
    <row r="285" spans="2:4" x14ac:dyDescent="0.55000000000000004">
      <c r="B285" s="22" t="s">
        <v>59</v>
      </c>
      <c r="C285" t="b">
        <v>0</v>
      </c>
      <c r="D285" s="26"/>
    </row>
    <row r="286" spans="2:4" x14ac:dyDescent="0.55000000000000004">
      <c r="B286" s="22"/>
      <c r="D286" s="26"/>
    </row>
    <row r="287" spans="2:4" x14ac:dyDescent="0.55000000000000004">
      <c r="B287" s="22" t="s">
        <v>53</v>
      </c>
      <c r="C287" t="s">
        <v>138</v>
      </c>
      <c r="D287" s="26"/>
    </row>
    <row r="288" spans="2:4" x14ac:dyDescent="0.55000000000000004">
      <c r="B288" s="22" t="s">
        <v>54</v>
      </c>
      <c r="C288" t="s">
        <v>60</v>
      </c>
      <c r="D288" s="26" t="s">
        <v>139</v>
      </c>
    </row>
    <row r="289" spans="2:4" x14ac:dyDescent="0.55000000000000004">
      <c r="B289" s="22" t="s">
        <v>58</v>
      </c>
      <c r="C289" t="s">
        <v>140</v>
      </c>
      <c r="D289" s="26"/>
    </row>
    <row r="290" spans="2:4" ht="14.7" thickBot="1" x14ac:dyDescent="0.6">
      <c r="B290" s="23" t="s">
        <v>59</v>
      </c>
      <c r="C290" s="24" t="b">
        <v>0</v>
      </c>
      <c r="D290" s="27"/>
    </row>
    <row r="291" spans="2:4" ht="14.7" thickBot="1" x14ac:dyDescent="0.6"/>
    <row r="292" spans="2:4" ht="23.1" x14ac:dyDescent="0.85">
      <c r="B292" s="37" t="s">
        <v>34</v>
      </c>
      <c r="C292" s="12" t="s">
        <v>141</v>
      </c>
      <c r="D292" s="25"/>
    </row>
    <row r="293" spans="2:4" x14ac:dyDescent="0.55000000000000004">
      <c r="B293" s="22" t="s">
        <v>36</v>
      </c>
      <c r="C293" t="s">
        <v>134</v>
      </c>
      <c r="D293" s="26"/>
    </row>
    <row r="294" spans="2:4" x14ac:dyDescent="0.55000000000000004">
      <c r="B294" s="22" t="s">
        <v>40</v>
      </c>
      <c r="C294" t="b">
        <v>1</v>
      </c>
      <c r="D294" s="26"/>
    </row>
    <row r="295" spans="2:4" x14ac:dyDescent="0.55000000000000004">
      <c r="B295" s="22" t="s">
        <v>43</v>
      </c>
      <c r="C295" t="s">
        <v>135</v>
      </c>
      <c r="D295" s="26"/>
    </row>
    <row r="296" spans="2:4" x14ac:dyDescent="0.55000000000000004">
      <c r="B296" s="22" t="s">
        <v>47</v>
      </c>
      <c r="C296" t="b">
        <v>1</v>
      </c>
      <c r="D296" s="26"/>
    </row>
    <row r="297" spans="2:4" x14ac:dyDescent="0.55000000000000004">
      <c r="B297" s="22" t="s">
        <v>49</v>
      </c>
      <c r="C297" t="s">
        <v>142</v>
      </c>
      <c r="D297" s="26"/>
    </row>
    <row r="298" spans="2:4" x14ac:dyDescent="0.55000000000000004">
      <c r="B298" s="22"/>
      <c r="D298" s="26"/>
    </row>
    <row r="299" spans="2:4" x14ac:dyDescent="0.55000000000000004">
      <c r="B299" s="22" t="s">
        <v>53</v>
      </c>
      <c r="C299" t="s">
        <v>143</v>
      </c>
      <c r="D299" s="26"/>
    </row>
    <row r="300" spans="2:4" x14ac:dyDescent="0.55000000000000004">
      <c r="B300" s="22" t="s">
        <v>54</v>
      </c>
      <c r="C300" t="s">
        <v>55</v>
      </c>
      <c r="D300" s="26"/>
    </row>
    <row r="301" spans="2:4" x14ac:dyDescent="0.55000000000000004">
      <c r="B301" s="22" t="s">
        <v>58</v>
      </c>
      <c r="D301" s="26"/>
    </row>
    <row r="302" spans="2:4" x14ac:dyDescent="0.55000000000000004">
      <c r="B302" s="22" t="s">
        <v>59</v>
      </c>
      <c r="C302" t="b">
        <v>0</v>
      </c>
      <c r="D302" s="26"/>
    </row>
    <row r="303" spans="2:4" x14ac:dyDescent="0.55000000000000004">
      <c r="B303" s="22"/>
      <c r="D303" s="26"/>
    </row>
    <row r="304" spans="2:4" x14ac:dyDescent="0.55000000000000004">
      <c r="B304" s="22" t="s">
        <v>53</v>
      </c>
      <c r="C304" t="s">
        <v>138</v>
      </c>
      <c r="D304" s="26"/>
    </row>
    <row r="305" spans="2:4" x14ac:dyDescent="0.55000000000000004">
      <c r="B305" s="22" t="s">
        <v>54</v>
      </c>
      <c r="C305" t="s">
        <v>60</v>
      </c>
      <c r="D305" s="26" t="s">
        <v>139</v>
      </c>
    </row>
    <row r="306" spans="2:4" x14ac:dyDescent="0.55000000000000004">
      <c r="B306" s="22" t="s">
        <v>58</v>
      </c>
      <c r="C306" t="s">
        <v>140</v>
      </c>
      <c r="D306" s="26"/>
    </row>
    <row r="307" spans="2:4" ht="14.7" thickBot="1" x14ac:dyDescent="0.6">
      <c r="B307" s="23" t="s">
        <v>59</v>
      </c>
      <c r="C307" s="24" t="b">
        <v>0</v>
      </c>
      <c r="D307" s="27"/>
    </row>
    <row r="308" spans="2:4" ht="14.7" thickBot="1" x14ac:dyDescent="0.6"/>
    <row r="309" spans="2:4" ht="23.1" x14ac:dyDescent="0.85">
      <c r="B309" s="37" t="s">
        <v>34</v>
      </c>
      <c r="C309" s="12" t="s">
        <v>144</v>
      </c>
      <c r="D309" s="25"/>
    </row>
    <row r="310" spans="2:4" x14ac:dyDescent="0.55000000000000004">
      <c r="B310" s="22" t="s">
        <v>36</v>
      </c>
      <c r="C310" t="s">
        <v>87</v>
      </c>
      <c r="D310" s="26"/>
    </row>
    <row r="311" spans="2:4" x14ac:dyDescent="0.55000000000000004">
      <c r="B311" s="22" t="s">
        <v>40</v>
      </c>
      <c r="C311" t="b">
        <v>1</v>
      </c>
      <c r="D311" s="26"/>
    </row>
    <row r="312" spans="2:4" x14ac:dyDescent="0.55000000000000004">
      <c r="B312" s="22" t="s">
        <v>43</v>
      </c>
      <c r="C312" t="s">
        <v>145</v>
      </c>
      <c r="D312" s="26"/>
    </row>
    <row r="313" spans="2:4" x14ac:dyDescent="0.55000000000000004">
      <c r="B313" s="22" t="s">
        <v>47</v>
      </c>
      <c r="C313" t="b">
        <v>1</v>
      </c>
      <c r="D313" s="26"/>
    </row>
    <row r="314" spans="2:4" x14ac:dyDescent="0.55000000000000004">
      <c r="B314" s="22" t="s">
        <v>49</v>
      </c>
      <c r="C314" t="s">
        <v>146</v>
      </c>
      <c r="D314" s="26"/>
    </row>
    <row r="315" spans="2:4" x14ac:dyDescent="0.55000000000000004">
      <c r="B315" s="22"/>
      <c r="D315" s="26"/>
    </row>
    <row r="316" spans="2:4" x14ac:dyDescent="0.55000000000000004">
      <c r="B316" s="22" t="s">
        <v>53</v>
      </c>
      <c r="C316" t="s">
        <v>17</v>
      </c>
      <c r="D316" s="26"/>
    </row>
    <row r="317" spans="2:4" x14ac:dyDescent="0.55000000000000004">
      <c r="B317" s="22" t="s">
        <v>54</v>
      </c>
      <c r="C317" t="s">
        <v>55</v>
      </c>
      <c r="D317" s="26"/>
    </row>
    <row r="318" spans="2:4" x14ac:dyDescent="0.55000000000000004">
      <c r="B318" s="22" t="s">
        <v>58</v>
      </c>
      <c r="D318" s="26"/>
    </row>
    <row r="319" spans="2:4" x14ac:dyDescent="0.55000000000000004">
      <c r="B319" s="22" t="s">
        <v>59</v>
      </c>
      <c r="C319" t="b">
        <v>1</v>
      </c>
      <c r="D319" s="26"/>
    </row>
    <row r="320" spans="2:4" x14ac:dyDescent="0.55000000000000004">
      <c r="B320" s="22"/>
      <c r="D320" s="26"/>
    </row>
    <row r="321" spans="2:4" x14ac:dyDescent="0.55000000000000004">
      <c r="B321" s="22" t="s">
        <v>53</v>
      </c>
      <c r="C321" t="s">
        <v>18</v>
      </c>
      <c r="D321" s="26"/>
    </row>
    <row r="322" spans="2:4" x14ac:dyDescent="0.55000000000000004">
      <c r="B322" s="22" t="s">
        <v>54</v>
      </c>
      <c r="C322" t="s">
        <v>55</v>
      </c>
      <c r="D322" s="26"/>
    </row>
    <row r="323" spans="2:4" x14ac:dyDescent="0.55000000000000004">
      <c r="B323" s="22" t="s">
        <v>58</v>
      </c>
      <c r="D323" s="26"/>
    </row>
    <row r="324" spans="2:4" ht="14.7" thickBot="1" x14ac:dyDescent="0.6">
      <c r="B324" s="23" t="s">
        <v>59</v>
      </c>
      <c r="C324" s="24" t="b">
        <v>0</v>
      </c>
      <c r="D324" s="27"/>
    </row>
    <row r="325" spans="2:4" ht="14.7" thickBot="1" x14ac:dyDescent="0.6"/>
    <row r="326" spans="2:4" ht="23.1" x14ac:dyDescent="0.85">
      <c r="B326" s="37" t="s">
        <v>34</v>
      </c>
      <c r="C326" s="12" t="s">
        <v>187</v>
      </c>
      <c r="D326" s="25"/>
    </row>
    <row r="327" spans="2:4" x14ac:dyDescent="0.55000000000000004">
      <c r="B327" s="22" t="s">
        <v>36</v>
      </c>
      <c r="C327" t="s">
        <v>87</v>
      </c>
      <c r="D327" s="26"/>
    </row>
    <row r="328" spans="2:4" x14ac:dyDescent="0.55000000000000004">
      <c r="B328" s="22" t="s">
        <v>40</v>
      </c>
      <c r="C328" t="b">
        <v>1</v>
      </c>
      <c r="D328" s="26"/>
    </row>
    <row r="329" spans="2:4" x14ac:dyDescent="0.55000000000000004">
      <c r="B329" s="22" t="s">
        <v>43</v>
      </c>
      <c r="C329" t="s">
        <v>188</v>
      </c>
      <c r="D329" s="26"/>
    </row>
    <row r="330" spans="2:4" x14ac:dyDescent="0.55000000000000004">
      <c r="B330" s="22" t="s">
        <v>47</v>
      </c>
      <c r="C330" t="b">
        <v>1</v>
      </c>
      <c r="D330" s="26"/>
    </row>
    <row r="331" spans="2:4" x14ac:dyDescent="0.55000000000000004">
      <c r="B331" s="22" t="s">
        <v>49</v>
      </c>
      <c r="C331" t="s">
        <v>189</v>
      </c>
      <c r="D331" s="26"/>
    </row>
    <row r="332" spans="2:4" x14ac:dyDescent="0.55000000000000004">
      <c r="B332" s="22"/>
      <c r="D332" s="26"/>
    </row>
    <row r="333" spans="2:4" x14ac:dyDescent="0.55000000000000004">
      <c r="B333" s="22" t="s">
        <v>53</v>
      </c>
      <c r="C333" t="s">
        <v>24</v>
      </c>
      <c r="D333" s="26"/>
    </row>
    <row r="334" spans="2:4" x14ac:dyDescent="0.55000000000000004">
      <c r="B334" s="22" t="s">
        <v>54</v>
      </c>
      <c r="C334" t="s">
        <v>55</v>
      </c>
      <c r="D334" s="26"/>
    </row>
    <row r="335" spans="2:4" x14ac:dyDescent="0.55000000000000004">
      <c r="B335" s="22" t="s">
        <v>58</v>
      </c>
      <c r="D335" s="26"/>
    </row>
    <row r="336" spans="2:4" ht="14.7" thickBot="1" x14ac:dyDescent="0.6">
      <c r="B336" s="23" t="s">
        <v>59</v>
      </c>
      <c r="C336" s="24" t="b">
        <v>0</v>
      </c>
      <c r="D336" s="27"/>
    </row>
    <row r="337" spans="2:4" ht="14.7" thickBot="1" x14ac:dyDescent="0.6"/>
    <row r="338" spans="2:4" ht="23.1" x14ac:dyDescent="0.85">
      <c r="B338" s="37" t="s">
        <v>34</v>
      </c>
      <c r="C338" s="12" t="s">
        <v>190</v>
      </c>
      <c r="D338" s="25"/>
    </row>
    <row r="339" spans="2:4" x14ac:dyDescent="0.55000000000000004">
      <c r="B339" s="22" t="s">
        <v>36</v>
      </c>
      <c r="C339" t="s">
        <v>87</v>
      </c>
      <c r="D339" s="26"/>
    </row>
    <row r="340" spans="2:4" x14ac:dyDescent="0.55000000000000004">
      <c r="B340" s="22" t="s">
        <v>40</v>
      </c>
      <c r="C340" t="b">
        <v>1</v>
      </c>
      <c r="D340" s="26"/>
    </row>
    <row r="341" spans="2:4" x14ac:dyDescent="0.55000000000000004">
      <c r="B341" s="22" t="s">
        <v>43</v>
      </c>
      <c r="C341" t="s">
        <v>188</v>
      </c>
      <c r="D341" s="26"/>
    </row>
    <row r="342" spans="2:4" x14ac:dyDescent="0.55000000000000004">
      <c r="B342" s="22" t="s">
        <v>47</v>
      </c>
      <c r="C342" t="b">
        <v>1</v>
      </c>
      <c r="D342" s="26"/>
    </row>
    <row r="343" spans="2:4" x14ac:dyDescent="0.55000000000000004">
      <c r="B343" s="22" t="s">
        <v>49</v>
      </c>
      <c r="C343" t="s">
        <v>191</v>
      </c>
      <c r="D343" s="26"/>
    </row>
    <row r="344" spans="2:4" x14ac:dyDescent="0.55000000000000004">
      <c r="B344" s="22"/>
      <c r="D344" s="26"/>
    </row>
    <row r="345" spans="2:4" x14ac:dyDescent="0.55000000000000004">
      <c r="B345" s="22" t="s">
        <v>53</v>
      </c>
      <c r="C345" t="s">
        <v>17</v>
      </c>
      <c r="D345" s="26"/>
    </row>
    <row r="346" spans="2:4" x14ac:dyDescent="0.55000000000000004">
      <c r="B346" s="22" t="s">
        <v>54</v>
      </c>
      <c r="C346" t="s">
        <v>55</v>
      </c>
      <c r="D346" s="26"/>
    </row>
    <row r="347" spans="2:4" x14ac:dyDescent="0.55000000000000004">
      <c r="B347" s="22" t="s">
        <v>58</v>
      </c>
      <c r="D347" s="26"/>
    </row>
    <row r="348" spans="2:4" x14ac:dyDescent="0.55000000000000004">
      <c r="B348" s="22" t="s">
        <v>59</v>
      </c>
      <c r="C348" t="b">
        <v>1</v>
      </c>
      <c r="D348" s="26"/>
    </row>
    <row r="349" spans="2:4" x14ac:dyDescent="0.55000000000000004">
      <c r="B349" s="22"/>
      <c r="D349" s="26"/>
    </row>
    <row r="350" spans="2:4" x14ac:dyDescent="0.55000000000000004">
      <c r="B350" s="22" t="s">
        <v>53</v>
      </c>
      <c r="C350" t="s">
        <v>21</v>
      </c>
      <c r="D350" s="26"/>
    </row>
    <row r="351" spans="2:4" x14ac:dyDescent="0.55000000000000004">
      <c r="B351" s="22" t="s">
        <v>54</v>
      </c>
      <c r="C351" t="s">
        <v>55</v>
      </c>
      <c r="D351" s="26"/>
    </row>
    <row r="352" spans="2:4" x14ac:dyDescent="0.55000000000000004">
      <c r="B352" s="22" t="s">
        <v>58</v>
      </c>
      <c r="D352" s="26"/>
    </row>
    <row r="353" spans="2:4" x14ac:dyDescent="0.55000000000000004">
      <c r="B353" s="22" t="s">
        <v>59</v>
      </c>
      <c r="C353" t="b">
        <v>1</v>
      </c>
      <c r="D353" s="26"/>
    </row>
    <row r="354" spans="2:4" x14ac:dyDescent="0.55000000000000004">
      <c r="B354" s="22"/>
      <c r="D354" s="26"/>
    </row>
    <row r="355" spans="2:4" x14ac:dyDescent="0.55000000000000004">
      <c r="B355" s="22" t="s">
        <v>53</v>
      </c>
      <c r="C355" t="s">
        <v>93</v>
      </c>
      <c r="D355" s="26"/>
    </row>
    <row r="356" spans="2:4" x14ac:dyDescent="0.55000000000000004">
      <c r="B356" s="22" t="s">
        <v>54</v>
      </c>
      <c r="C356" t="s">
        <v>55</v>
      </c>
      <c r="D356" s="26"/>
    </row>
    <row r="357" spans="2:4" x14ac:dyDescent="0.55000000000000004">
      <c r="B357" s="22" t="s">
        <v>58</v>
      </c>
      <c r="D357" s="26"/>
    </row>
    <row r="358" spans="2:4" x14ac:dyDescent="0.55000000000000004">
      <c r="B358" s="22" t="s">
        <v>59</v>
      </c>
      <c r="C358" t="b">
        <v>0</v>
      </c>
      <c r="D358" s="26"/>
    </row>
    <row r="359" spans="2:4" x14ac:dyDescent="0.55000000000000004">
      <c r="B359" s="22"/>
      <c r="D359" s="26"/>
    </row>
    <row r="360" spans="2:4" x14ac:dyDescent="0.55000000000000004">
      <c r="B360" s="22" t="s">
        <v>53</v>
      </c>
      <c r="C360" t="s">
        <v>94</v>
      </c>
      <c r="D360" s="26"/>
    </row>
    <row r="361" spans="2:4" x14ac:dyDescent="0.55000000000000004">
      <c r="B361" s="22" t="s">
        <v>54</v>
      </c>
      <c r="C361" t="s">
        <v>55</v>
      </c>
      <c r="D361" s="26"/>
    </row>
    <row r="362" spans="2:4" x14ac:dyDescent="0.55000000000000004">
      <c r="B362" s="22" t="s">
        <v>58</v>
      </c>
      <c r="D362" s="26"/>
    </row>
    <row r="363" spans="2:4" x14ac:dyDescent="0.55000000000000004">
      <c r="B363" s="22" t="s">
        <v>59</v>
      </c>
      <c r="C363" t="b">
        <v>0</v>
      </c>
      <c r="D363" s="26"/>
    </row>
    <row r="364" spans="2:4" x14ac:dyDescent="0.55000000000000004">
      <c r="B364" s="22"/>
      <c r="D364" s="26"/>
    </row>
    <row r="365" spans="2:4" x14ac:dyDescent="0.55000000000000004">
      <c r="B365" s="22" t="s">
        <v>53</v>
      </c>
      <c r="C365" t="s">
        <v>95</v>
      </c>
      <c r="D365" s="26"/>
    </row>
    <row r="366" spans="2:4" x14ac:dyDescent="0.55000000000000004">
      <c r="B366" s="22" t="s">
        <v>54</v>
      </c>
      <c r="C366" t="s">
        <v>55</v>
      </c>
      <c r="D366" s="26"/>
    </row>
    <row r="367" spans="2:4" x14ac:dyDescent="0.55000000000000004">
      <c r="B367" s="22" t="s">
        <v>58</v>
      </c>
      <c r="D367" s="26"/>
    </row>
    <row r="368" spans="2:4" x14ac:dyDescent="0.55000000000000004">
      <c r="B368" s="22" t="s">
        <v>59</v>
      </c>
      <c r="C368" t="b">
        <v>0</v>
      </c>
      <c r="D368" s="26"/>
    </row>
    <row r="369" spans="2:4" x14ac:dyDescent="0.55000000000000004">
      <c r="B369" s="22"/>
      <c r="D369" s="26"/>
    </row>
    <row r="370" spans="2:4" x14ac:dyDescent="0.55000000000000004">
      <c r="B370" s="22" t="s">
        <v>53</v>
      </c>
      <c r="C370" t="s">
        <v>192</v>
      </c>
      <c r="D370" s="26"/>
    </row>
    <row r="371" spans="2:4" x14ac:dyDescent="0.55000000000000004">
      <c r="B371" s="22" t="s">
        <v>54</v>
      </c>
      <c r="C371" t="s">
        <v>68</v>
      </c>
      <c r="D371" s="26" t="s">
        <v>193</v>
      </c>
    </row>
    <row r="372" spans="2:4" x14ac:dyDescent="0.55000000000000004">
      <c r="B372" s="22" t="s">
        <v>58</v>
      </c>
      <c r="C372" t="s">
        <v>194</v>
      </c>
      <c r="D372" s="26"/>
    </row>
    <row r="373" spans="2:4" x14ac:dyDescent="0.55000000000000004">
      <c r="B373" s="22" t="s">
        <v>59</v>
      </c>
      <c r="C373" t="b">
        <v>0</v>
      </c>
      <c r="D373" s="26"/>
    </row>
    <row r="374" spans="2:4" x14ac:dyDescent="0.55000000000000004">
      <c r="B374" s="22"/>
      <c r="D374" s="26"/>
    </row>
    <row r="375" spans="2:4" x14ac:dyDescent="0.55000000000000004">
      <c r="B375" s="22" t="s">
        <v>53</v>
      </c>
      <c r="C375" t="s">
        <v>195</v>
      </c>
      <c r="D375" s="26"/>
    </row>
    <row r="376" spans="2:4" x14ac:dyDescent="0.55000000000000004">
      <c r="B376" s="22" t="s">
        <v>54</v>
      </c>
      <c r="C376" t="s">
        <v>55</v>
      </c>
      <c r="D376" s="26"/>
    </row>
    <row r="377" spans="2:4" x14ac:dyDescent="0.55000000000000004">
      <c r="B377" s="22" t="s">
        <v>58</v>
      </c>
      <c r="D377" s="26"/>
    </row>
    <row r="378" spans="2:4" x14ac:dyDescent="0.55000000000000004">
      <c r="B378" s="22" t="s">
        <v>59</v>
      </c>
      <c r="C378" t="b">
        <v>0</v>
      </c>
      <c r="D378" s="26"/>
    </row>
    <row r="379" spans="2:4" x14ac:dyDescent="0.55000000000000004">
      <c r="B379" s="22"/>
      <c r="D379" s="26"/>
    </row>
    <row r="380" spans="2:4" x14ac:dyDescent="0.55000000000000004">
      <c r="B380" s="22" t="s">
        <v>53</v>
      </c>
      <c r="C380" t="s">
        <v>196</v>
      </c>
      <c r="D380" s="26"/>
    </row>
    <row r="381" spans="2:4" x14ac:dyDescent="0.55000000000000004">
      <c r="B381" s="22" t="s">
        <v>54</v>
      </c>
      <c r="C381" t="s">
        <v>60</v>
      </c>
      <c r="D381" s="26" t="s">
        <v>197</v>
      </c>
    </row>
    <row r="382" spans="2:4" x14ac:dyDescent="0.55000000000000004">
      <c r="B382" s="22" t="s">
        <v>58</v>
      </c>
      <c r="C382" t="s">
        <v>198</v>
      </c>
      <c r="D382" s="26"/>
    </row>
    <row r="383" spans="2:4" ht="14.7" thickBot="1" x14ac:dyDescent="0.6">
      <c r="B383" s="23" t="s">
        <v>59</v>
      </c>
      <c r="C383" s="24" t="b">
        <v>0</v>
      </c>
      <c r="D383" s="2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1"/>
  <sheetViews>
    <sheetView workbookViewId="0">
      <selection activeCell="D17" sqref="D17"/>
    </sheetView>
  </sheetViews>
  <sheetFormatPr defaultRowHeight="14.4" x14ac:dyDescent="0.55000000000000004"/>
  <cols>
    <col min="1" max="1" width="15.41796875" bestFit="1" customWidth="1"/>
    <col min="2" max="2" width="18.41796875" bestFit="1" customWidth="1"/>
    <col min="3" max="4" width="29.15625" bestFit="1" customWidth="1"/>
    <col min="5" max="5" width="23.68359375" bestFit="1" customWidth="1"/>
    <col min="7" max="7" width="9.7890625" bestFit="1" customWidth="1"/>
    <col min="8" max="8" width="25.578125" bestFit="1" customWidth="1"/>
  </cols>
  <sheetData>
    <row r="1" spans="1:52" x14ac:dyDescent="0.55000000000000004">
      <c r="A1" s="1" t="s">
        <v>4</v>
      </c>
      <c r="B1" s="1" t="s">
        <v>3</v>
      </c>
      <c r="C1" s="1" t="s">
        <v>5</v>
      </c>
      <c r="D1" s="1" t="s">
        <v>207</v>
      </c>
      <c r="E1" s="1" t="s">
        <v>208</v>
      </c>
      <c r="F1" s="1" t="s">
        <v>210</v>
      </c>
      <c r="G1" s="1" t="s">
        <v>211</v>
      </c>
      <c r="H1" s="1" t="s">
        <v>220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55000000000000004">
      <c r="A2" s="1">
        <f>ROW() - 1</f>
        <v>1</v>
      </c>
      <c r="B2" s="1" t="s">
        <v>218</v>
      </c>
      <c r="C2">
        <v>1.58</v>
      </c>
      <c r="D2" s="1" t="s">
        <v>155</v>
      </c>
      <c r="E2" s="1" t="s">
        <v>157</v>
      </c>
      <c r="F2" s="1" t="e">
        <f t="shared" ref="F2:F11" si="0">(H2/50)</f>
        <v>#REF!</v>
      </c>
      <c r="G2" s="1" t="e">
        <f t="shared" ref="G2" si="1">(H2/5)/0.4</f>
        <v>#REF!</v>
      </c>
      <c r="H2" s="1" t="e">
        <f>C2*(Method!#REF!/1000)*0.8*1000</f>
        <v>#REF!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55000000000000004">
      <c r="A3" s="1">
        <f t="shared" ref="A3:A11" si="2">ROW() - 1</f>
        <v>2</v>
      </c>
      <c r="B3" s="1" t="s">
        <v>212</v>
      </c>
      <c r="C3">
        <v>1.58</v>
      </c>
      <c r="D3" s="1" t="s">
        <v>155</v>
      </c>
      <c r="E3" s="1" t="s">
        <v>157</v>
      </c>
      <c r="F3" s="1" t="e">
        <f t="shared" si="0"/>
        <v>#REF!</v>
      </c>
      <c r="G3" s="1" t="e">
        <f t="shared" ref="G3" si="3">(H3/5)/0.4</f>
        <v>#REF!</v>
      </c>
      <c r="H3" s="1" t="e">
        <f>C3*(Method!#REF!/1000)*0.8*1000</f>
        <v>#REF!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55000000000000004">
      <c r="A4" s="1">
        <f t="shared" si="2"/>
        <v>3</v>
      </c>
      <c r="B4" s="1" t="s">
        <v>212</v>
      </c>
      <c r="C4">
        <v>1.58</v>
      </c>
      <c r="D4" s="1" t="s">
        <v>155</v>
      </c>
      <c r="E4" s="1" t="s">
        <v>157</v>
      </c>
      <c r="F4" s="1" t="e">
        <f t="shared" si="0"/>
        <v>#REF!</v>
      </c>
      <c r="G4" s="1" t="e">
        <f t="shared" ref="G4" si="4">(H4/5)/0.4</f>
        <v>#REF!</v>
      </c>
      <c r="H4" s="1" t="e">
        <f>C4*(Method!#REF!/1000)*0.8*1000</f>
        <v>#REF!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55000000000000004">
      <c r="A5" s="1">
        <f t="shared" si="2"/>
        <v>4</v>
      </c>
      <c r="B5" s="1" t="s">
        <v>213</v>
      </c>
      <c r="C5">
        <v>1.58</v>
      </c>
      <c r="D5" s="1" t="s">
        <v>155</v>
      </c>
      <c r="E5" s="1" t="s">
        <v>158</v>
      </c>
      <c r="F5" s="1" t="e">
        <f t="shared" si="0"/>
        <v>#REF!</v>
      </c>
      <c r="G5" s="1" t="e">
        <f t="shared" ref="G5" si="5">(H5/5)/0.4</f>
        <v>#REF!</v>
      </c>
      <c r="H5" s="1" t="e">
        <f>C5*(Method!#REF!/1000)*0.8*1000</f>
        <v>#REF!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55000000000000004">
      <c r="A6" s="1">
        <f t="shared" si="2"/>
        <v>5</v>
      </c>
      <c r="B6" s="1" t="s">
        <v>213</v>
      </c>
      <c r="C6">
        <v>1.58</v>
      </c>
      <c r="D6" s="1" t="s">
        <v>155</v>
      </c>
      <c r="E6" s="1" t="s">
        <v>158</v>
      </c>
      <c r="F6" s="1" t="e">
        <f t="shared" si="0"/>
        <v>#REF!</v>
      </c>
      <c r="G6" s="1" t="e">
        <f t="shared" ref="G6" si="6">(H6/5)/0.4</f>
        <v>#REF!</v>
      </c>
      <c r="H6" s="1" t="e">
        <f>C6*(Method!#REF!/1000)*0.8*1000</f>
        <v>#REF!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55000000000000004">
      <c r="A7" s="1">
        <f>ROW() - 1</f>
        <v>6</v>
      </c>
      <c r="B7" s="1" t="s">
        <v>219</v>
      </c>
      <c r="C7">
        <v>1.58</v>
      </c>
      <c r="D7" s="1" t="s">
        <v>156</v>
      </c>
      <c r="E7" s="1" t="s">
        <v>159</v>
      </c>
      <c r="F7" s="1" t="e">
        <f t="shared" si="0"/>
        <v>#REF!</v>
      </c>
      <c r="G7" s="1" t="e">
        <f t="shared" ref="F2:G11" si="7">(H7/5)/0.4</f>
        <v>#REF!</v>
      </c>
      <c r="H7" s="1" t="e">
        <f>C7*(Method!#REF!/1000)*0.8*1000</f>
        <v>#REF!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55000000000000004">
      <c r="A8" s="1">
        <f t="shared" si="2"/>
        <v>7</v>
      </c>
      <c r="B8" s="1" t="s">
        <v>214</v>
      </c>
      <c r="C8">
        <v>1.58</v>
      </c>
      <c r="D8" s="1" t="s">
        <v>156</v>
      </c>
      <c r="E8" s="1" t="s">
        <v>159</v>
      </c>
      <c r="F8" s="1" t="e">
        <f t="shared" si="0"/>
        <v>#REF!</v>
      </c>
      <c r="G8" s="1" t="e">
        <f t="shared" si="7"/>
        <v>#REF!</v>
      </c>
      <c r="H8" s="1" t="e">
        <f>C8*(Method!#REF!/1000)*0.8*1000</f>
        <v>#REF!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55000000000000004">
      <c r="A9" s="1">
        <f t="shared" si="2"/>
        <v>8</v>
      </c>
      <c r="B9" s="1" t="s">
        <v>215</v>
      </c>
      <c r="C9">
        <v>1.58</v>
      </c>
      <c r="D9" s="1" t="s">
        <v>156</v>
      </c>
      <c r="E9" s="1" t="s">
        <v>159</v>
      </c>
      <c r="F9" s="1" t="e">
        <f t="shared" si="0"/>
        <v>#REF!</v>
      </c>
      <c r="G9" s="1" t="e">
        <f t="shared" si="7"/>
        <v>#REF!</v>
      </c>
      <c r="H9" s="1" t="e">
        <f>C9*(Method!#REF!/1000)*0.8*1000</f>
        <v>#REF!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55000000000000004">
      <c r="A10" s="1">
        <f t="shared" si="2"/>
        <v>9</v>
      </c>
      <c r="B10" s="1" t="s">
        <v>216</v>
      </c>
      <c r="C10">
        <v>1.58</v>
      </c>
      <c r="D10" s="1" t="s">
        <v>156</v>
      </c>
      <c r="E10" s="1" t="s">
        <v>160</v>
      </c>
      <c r="F10" s="1" t="e">
        <f t="shared" si="0"/>
        <v>#REF!</v>
      </c>
      <c r="G10" s="1" t="e">
        <f t="shared" si="7"/>
        <v>#REF!</v>
      </c>
      <c r="H10" s="1" t="e">
        <f>C10*(Method!#REF!/1000)*0.8*1000</f>
        <v>#REF!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55000000000000004">
      <c r="A11" s="1">
        <f t="shared" si="2"/>
        <v>10</v>
      </c>
      <c r="B11" s="1" t="s">
        <v>217</v>
      </c>
      <c r="C11">
        <v>1.58</v>
      </c>
      <c r="D11" s="1" t="s">
        <v>156</v>
      </c>
      <c r="E11" s="1" t="s">
        <v>160</v>
      </c>
      <c r="F11" s="1" t="e">
        <f t="shared" si="0"/>
        <v>#REF!</v>
      </c>
      <c r="G11" s="1" t="e">
        <f t="shared" si="7"/>
        <v>#REF!</v>
      </c>
      <c r="H11" s="1" t="e">
        <f>C11*(Method!#REF!/1000)*0.8*1000</f>
        <v>#REF!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5500000000000000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5500000000000000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5500000000000000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5500000000000000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5500000000000000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5500000000000000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5500000000000000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5500000000000000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5500000000000000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5500000000000000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5500000000000000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5500000000000000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Q2000"/>
  <sheetViews>
    <sheetView topLeftCell="A7" zoomScale="60" zoomScaleNormal="60" workbookViewId="0">
      <selection activeCell="C60" sqref="C60:D60"/>
    </sheetView>
  </sheetViews>
  <sheetFormatPr defaultRowHeight="14.4" x14ac:dyDescent="0.55000000000000004"/>
  <cols>
    <col min="2" max="2" width="5.3125" bestFit="1" customWidth="1"/>
    <col min="3" max="3" width="18.89453125" style="5" bestFit="1" customWidth="1"/>
    <col min="4" max="4" width="31.26171875" bestFit="1" customWidth="1"/>
    <col min="5" max="5" width="14.26171875" bestFit="1" customWidth="1"/>
    <col min="6" max="6" width="31.26171875" bestFit="1" customWidth="1"/>
    <col min="7" max="7" width="31" style="5" bestFit="1" customWidth="1"/>
    <col min="8" max="8" width="31.26171875" bestFit="1" customWidth="1"/>
    <col min="9" max="9" width="22.68359375" bestFit="1" customWidth="1"/>
    <col min="10" max="10" width="32.68359375" bestFit="1" customWidth="1"/>
    <col min="11" max="11" width="40.20703125" bestFit="1" customWidth="1"/>
    <col min="12" max="12" width="31.26171875" bestFit="1" customWidth="1"/>
    <col min="13" max="13" width="14.26171875" bestFit="1" customWidth="1"/>
    <col min="14" max="14" width="31.26171875" bestFit="1" customWidth="1"/>
    <col min="15" max="15" width="18.89453125" bestFit="1" customWidth="1"/>
    <col min="16" max="16" width="31.26171875" bestFit="1" customWidth="1"/>
    <col min="17" max="17" width="14.26171875" bestFit="1" customWidth="1"/>
    <col min="18" max="18" width="34.578125" bestFit="1" customWidth="1"/>
    <col min="19" max="19" width="11.578125" bestFit="1" customWidth="1"/>
    <col min="20" max="20" width="33.41796875" bestFit="1" customWidth="1"/>
    <col min="21" max="21" width="12.68359375" bestFit="1" customWidth="1"/>
    <col min="22" max="22" width="34.578125" bestFit="1" customWidth="1"/>
    <col min="23" max="23" width="38.41796875" bestFit="1" customWidth="1"/>
    <col min="24" max="24" width="32.68359375" bestFit="1" customWidth="1"/>
    <col min="25" max="25" width="6.26171875" bestFit="1" customWidth="1"/>
    <col min="26" max="26" width="34.578125" bestFit="1" customWidth="1"/>
    <col min="27" max="27" width="11.578125" bestFit="1" customWidth="1"/>
    <col min="31" max="31" width="6.15625" bestFit="1" customWidth="1"/>
    <col min="32" max="32" width="32.68359375" bestFit="1" customWidth="1"/>
    <col min="33" max="33" width="11.15625" bestFit="1" customWidth="1"/>
  </cols>
  <sheetData>
    <row r="1" spans="3:11" ht="14.7" thickBot="1" x14ac:dyDescent="0.6">
      <c r="C1"/>
      <c r="G1"/>
    </row>
    <row r="2" spans="3:11" ht="15" x14ac:dyDescent="0.55000000000000004">
      <c r="C2"/>
      <c r="G2"/>
      <c r="I2" s="40" t="s">
        <v>6</v>
      </c>
      <c r="J2" s="28"/>
      <c r="K2" s="41" t="s">
        <v>7</v>
      </c>
    </row>
    <row r="3" spans="3:11" x14ac:dyDescent="0.55000000000000004">
      <c r="C3"/>
      <c r="G3"/>
      <c r="I3" s="38" t="s">
        <v>0</v>
      </c>
      <c r="J3" s="2" t="s">
        <v>147</v>
      </c>
      <c r="K3" s="42" t="s">
        <v>148</v>
      </c>
    </row>
    <row r="4" spans="3:11" ht="14.7" thickBot="1" x14ac:dyDescent="0.6">
      <c r="C4"/>
      <c r="G4"/>
      <c r="I4" s="39" t="s">
        <v>2</v>
      </c>
      <c r="J4" s="3" t="s">
        <v>1</v>
      </c>
      <c r="K4" s="43"/>
    </row>
    <row r="5" spans="3:11" x14ac:dyDescent="0.55000000000000004">
      <c r="C5"/>
      <c r="G5"/>
    </row>
    <row r="6" spans="3:11" ht="19.8" x14ac:dyDescent="0.55000000000000004">
      <c r="C6"/>
      <c r="G6"/>
      <c r="J6" s="4" t="s">
        <v>8</v>
      </c>
    </row>
    <row r="7" spans="3:11" ht="14.7" thickBot="1" x14ac:dyDescent="0.6">
      <c r="C7"/>
      <c r="G7"/>
    </row>
    <row r="8" spans="3:11" ht="15" x14ac:dyDescent="0.55000000000000004">
      <c r="C8"/>
      <c r="G8"/>
      <c r="I8" s="92" t="s">
        <v>149</v>
      </c>
      <c r="J8" s="30"/>
      <c r="K8" s="44" t="s">
        <v>7</v>
      </c>
    </row>
    <row r="9" spans="3:11" x14ac:dyDescent="0.55000000000000004">
      <c r="C9"/>
      <c r="G9"/>
      <c r="I9" s="90" t="s">
        <v>17</v>
      </c>
      <c r="J9" s="89" t="s">
        <v>199</v>
      </c>
      <c r="K9" s="93" t="s">
        <v>168</v>
      </c>
    </row>
    <row r="10" spans="3:11" ht="14.7" thickBot="1" x14ac:dyDescent="0.6">
      <c r="C10"/>
      <c r="G10"/>
      <c r="I10" s="91" t="s">
        <v>18</v>
      </c>
      <c r="J10" s="14">
        <v>79</v>
      </c>
      <c r="K10" s="94"/>
    </row>
    <row r="11" spans="3:11" x14ac:dyDescent="0.55000000000000004">
      <c r="C11"/>
      <c r="G11"/>
    </row>
    <row r="12" spans="3:11" ht="19.8" x14ac:dyDescent="0.55000000000000004">
      <c r="C12"/>
      <c r="G12"/>
      <c r="J12" s="4" t="s">
        <v>8</v>
      </c>
    </row>
    <row r="13" spans="3:11" ht="14.7" thickBot="1" x14ac:dyDescent="0.6">
      <c r="C13"/>
      <c r="G13"/>
    </row>
    <row r="14" spans="3:11" ht="15" x14ac:dyDescent="0.55000000000000004">
      <c r="C14"/>
      <c r="G14"/>
      <c r="I14" s="47" t="s">
        <v>28</v>
      </c>
      <c r="J14" s="31"/>
      <c r="K14" s="48" t="s">
        <v>7</v>
      </c>
    </row>
    <row r="15" spans="3:11" x14ac:dyDescent="0.55000000000000004">
      <c r="C15"/>
      <c r="G15"/>
      <c r="I15" s="45" t="s">
        <v>17</v>
      </c>
      <c r="J15" s="6" t="s">
        <v>150</v>
      </c>
      <c r="K15" s="49" t="s">
        <v>167</v>
      </c>
    </row>
    <row r="16" spans="3:11" x14ac:dyDescent="0.55000000000000004">
      <c r="C16"/>
      <c r="G16"/>
      <c r="I16" s="45" t="s">
        <v>18</v>
      </c>
      <c r="J16" s="6">
        <v>1.504</v>
      </c>
      <c r="K16" s="49"/>
    </row>
    <row r="17" spans="3:11" ht="14.7" thickBot="1" x14ac:dyDescent="0.6">
      <c r="C17"/>
      <c r="G17"/>
      <c r="I17" s="46" t="s">
        <v>19</v>
      </c>
      <c r="J17" s="7" t="s">
        <v>20</v>
      </c>
      <c r="K17" s="50"/>
    </row>
    <row r="18" spans="3:11" x14ac:dyDescent="0.55000000000000004">
      <c r="C18"/>
      <c r="G18"/>
    </row>
    <row r="19" spans="3:11" ht="19.8" x14ac:dyDescent="0.55000000000000004">
      <c r="C19"/>
      <c r="G19"/>
      <c r="J19" s="4" t="s">
        <v>8</v>
      </c>
    </row>
    <row r="20" spans="3:11" ht="14.7" thickBot="1" x14ac:dyDescent="0.6">
      <c r="C20"/>
      <c r="G20"/>
    </row>
    <row r="21" spans="3:11" ht="15" x14ac:dyDescent="0.55000000000000004">
      <c r="C21"/>
      <c r="G21"/>
      <c r="I21" s="81" t="s">
        <v>33</v>
      </c>
      <c r="J21" s="32"/>
      <c r="K21" s="52" t="s">
        <v>7</v>
      </c>
    </row>
    <row r="22" spans="3:11" x14ac:dyDescent="0.55000000000000004">
      <c r="C22"/>
      <c r="G22"/>
      <c r="I22" s="51" t="s">
        <v>22</v>
      </c>
      <c r="J22" s="8">
        <v>37</v>
      </c>
      <c r="K22" s="53"/>
    </row>
    <row r="23" spans="3:11" x14ac:dyDescent="0.55000000000000004">
      <c r="C23"/>
      <c r="G23"/>
      <c r="I23" s="51" t="s">
        <v>185</v>
      </c>
      <c r="J23" s="8" t="s">
        <v>170</v>
      </c>
      <c r="K23" s="53"/>
    </row>
    <row r="24" spans="3:11" x14ac:dyDescent="0.55000000000000004">
      <c r="C24"/>
      <c r="G24"/>
      <c r="I24" s="51" t="s">
        <v>24</v>
      </c>
      <c r="J24" s="8">
        <v>30</v>
      </c>
      <c r="K24" s="53"/>
    </row>
    <row r="25" spans="3:11" ht="14.7" thickBot="1" x14ac:dyDescent="0.6">
      <c r="C25"/>
      <c r="G25"/>
      <c r="I25" s="80" t="s">
        <v>25</v>
      </c>
      <c r="J25" s="9">
        <v>0</v>
      </c>
      <c r="K25" s="54"/>
    </row>
    <row r="26" spans="3:11" x14ac:dyDescent="0.55000000000000004">
      <c r="C26"/>
      <c r="G26"/>
    </row>
    <row r="27" spans="3:11" ht="19.8" x14ac:dyDescent="0.55000000000000004">
      <c r="C27"/>
      <c r="G27"/>
      <c r="J27" s="4" t="s">
        <v>8</v>
      </c>
    </row>
    <row r="28" spans="3:11" ht="14.7" thickBot="1" x14ac:dyDescent="0.6">
      <c r="C28"/>
      <c r="G28"/>
    </row>
    <row r="29" spans="3:11" ht="15" x14ac:dyDescent="0.55000000000000004">
      <c r="C29"/>
      <c r="G29"/>
      <c r="I29" s="47" t="s">
        <v>28</v>
      </c>
      <c r="J29" s="31"/>
      <c r="K29" s="48" t="s">
        <v>7</v>
      </c>
    </row>
    <row r="30" spans="3:11" x14ac:dyDescent="0.55000000000000004">
      <c r="C30"/>
      <c r="G30"/>
      <c r="I30" s="45" t="s">
        <v>17</v>
      </c>
      <c r="J30" s="6" t="s">
        <v>152</v>
      </c>
      <c r="K30" s="49" t="s">
        <v>166</v>
      </c>
    </row>
    <row r="31" spans="3:11" x14ac:dyDescent="0.55000000000000004">
      <c r="C31"/>
      <c r="G31"/>
      <c r="I31" s="45" t="s">
        <v>18</v>
      </c>
      <c r="J31" s="6">
        <v>19.8825</v>
      </c>
      <c r="K31" s="49"/>
    </row>
    <row r="32" spans="3:11" ht="14.7" thickBot="1" x14ac:dyDescent="0.6">
      <c r="C32"/>
      <c r="G32"/>
      <c r="I32" s="46" t="s">
        <v>19</v>
      </c>
      <c r="J32" s="7" t="s">
        <v>20</v>
      </c>
      <c r="K32" s="50"/>
    </row>
    <row r="33" spans="3:11" x14ac:dyDescent="0.55000000000000004">
      <c r="C33"/>
      <c r="G33"/>
    </row>
    <row r="34" spans="3:11" ht="19.8" x14ac:dyDescent="0.55000000000000004">
      <c r="C34"/>
      <c r="G34"/>
      <c r="J34" s="4" t="s">
        <v>8</v>
      </c>
    </row>
    <row r="35" spans="3:11" ht="14.7" thickBot="1" x14ac:dyDescent="0.6">
      <c r="C35"/>
      <c r="G35"/>
    </row>
    <row r="36" spans="3:11" ht="15" x14ac:dyDescent="0.55000000000000004">
      <c r="C36"/>
      <c r="G36"/>
      <c r="I36" s="81" t="s">
        <v>33</v>
      </c>
      <c r="J36" s="32"/>
      <c r="K36" s="52" t="s">
        <v>7</v>
      </c>
    </row>
    <row r="37" spans="3:11" x14ac:dyDescent="0.55000000000000004">
      <c r="C37"/>
      <c r="G37"/>
      <c r="I37" s="51" t="s">
        <v>22</v>
      </c>
      <c r="J37" s="8" t="s">
        <v>23</v>
      </c>
      <c r="K37" s="53"/>
    </row>
    <row r="38" spans="3:11" x14ac:dyDescent="0.55000000000000004">
      <c r="C38"/>
      <c r="G38"/>
      <c r="I38" s="51" t="s">
        <v>185</v>
      </c>
      <c r="J38" s="8" t="s">
        <v>170</v>
      </c>
      <c r="K38" s="53"/>
    </row>
    <row r="39" spans="3:11" x14ac:dyDescent="0.55000000000000004">
      <c r="C39"/>
      <c r="G39"/>
      <c r="I39" s="51" t="s">
        <v>24</v>
      </c>
      <c r="J39" s="8">
        <v>30</v>
      </c>
      <c r="K39" s="53"/>
    </row>
    <row r="40" spans="3:11" ht="14.7" thickBot="1" x14ac:dyDescent="0.6">
      <c r="C40"/>
      <c r="G40"/>
      <c r="I40" s="80" t="s">
        <v>25</v>
      </c>
      <c r="J40" s="9">
        <v>0</v>
      </c>
      <c r="K40" s="54"/>
    </row>
    <row r="41" spans="3:11" x14ac:dyDescent="0.55000000000000004">
      <c r="C41"/>
      <c r="G41"/>
    </row>
    <row r="42" spans="3:11" ht="19.8" x14ac:dyDescent="0.55000000000000004">
      <c r="C42"/>
      <c r="G42"/>
      <c r="J42" s="4" t="s">
        <v>8</v>
      </c>
    </row>
    <row r="43" spans="3:11" ht="14.7" thickBot="1" x14ac:dyDescent="0.6">
      <c r="C43"/>
      <c r="G43"/>
    </row>
    <row r="44" spans="3:11" ht="15" x14ac:dyDescent="0.55000000000000004">
      <c r="C44"/>
      <c r="G44"/>
      <c r="I44" s="57" t="s">
        <v>154</v>
      </c>
      <c r="J44" s="29"/>
      <c r="K44" s="58" t="s">
        <v>7</v>
      </c>
    </row>
    <row r="45" spans="3:11" x14ac:dyDescent="0.55000000000000004">
      <c r="C45"/>
      <c r="G45"/>
      <c r="I45" s="55" t="s">
        <v>67</v>
      </c>
      <c r="J45" s="15" t="str">
        <f>Worklist!$D$1</f>
        <v>Desalting Pathway</v>
      </c>
      <c r="K45" s="59"/>
    </row>
    <row r="46" spans="3:11" x14ac:dyDescent="0.55000000000000004">
      <c r="C46"/>
      <c r="G46"/>
      <c r="I46" s="55" t="s">
        <v>72</v>
      </c>
      <c r="J46" s="15" t="s">
        <v>155</v>
      </c>
      <c r="K46" s="59"/>
    </row>
    <row r="47" spans="3:11" ht="14.7" thickBot="1" x14ac:dyDescent="0.6">
      <c r="C47"/>
      <c r="G47"/>
      <c r="I47" s="56" t="s">
        <v>76</v>
      </c>
      <c r="J47" s="16" t="s">
        <v>156</v>
      </c>
      <c r="K47" s="60"/>
    </row>
    <row r="48" spans="3:11" ht="14.7" thickBot="1" x14ac:dyDescent="0.6">
      <c r="C48"/>
      <c r="G48"/>
    </row>
    <row r="49" spans="3:17" ht="15" x14ac:dyDescent="0.55000000000000004">
      <c r="C49"/>
      <c r="E49" s="40" t="s">
        <v>6</v>
      </c>
      <c r="F49" s="28"/>
      <c r="G49" s="41" t="s">
        <v>7</v>
      </c>
      <c r="M49" s="40" t="s">
        <v>6</v>
      </c>
      <c r="N49" s="28"/>
      <c r="O49" s="41" t="s">
        <v>7</v>
      </c>
    </row>
    <row r="50" spans="3:17" x14ac:dyDescent="0.55000000000000004">
      <c r="C50"/>
      <c r="E50" s="38" t="s">
        <v>0</v>
      </c>
      <c r="F50" s="2" t="s">
        <v>155</v>
      </c>
      <c r="G50" s="42"/>
      <c r="M50" s="38" t="s">
        <v>0</v>
      </c>
      <c r="N50" s="2" t="s">
        <v>156</v>
      </c>
      <c r="O50" s="42"/>
    </row>
    <row r="51" spans="3:17" ht="14.7" thickBot="1" x14ac:dyDescent="0.6">
      <c r="C51"/>
      <c r="E51" s="39" t="s">
        <v>2</v>
      </c>
      <c r="F51" s="3" t="s">
        <v>1</v>
      </c>
      <c r="G51" s="43"/>
      <c r="M51" s="39" t="s">
        <v>2</v>
      </c>
      <c r="N51" s="3" t="s">
        <v>1</v>
      </c>
      <c r="O51" s="43"/>
    </row>
    <row r="52" spans="3:17" x14ac:dyDescent="0.55000000000000004">
      <c r="C52"/>
      <c r="G52"/>
    </row>
    <row r="53" spans="3:17" ht="19.8" x14ac:dyDescent="0.55000000000000004">
      <c r="C53"/>
      <c r="F53" s="4" t="s">
        <v>8</v>
      </c>
      <c r="G53"/>
      <c r="N53" s="4" t="s">
        <v>8</v>
      </c>
    </row>
    <row r="54" spans="3:17" ht="14.7" thickBot="1" x14ac:dyDescent="0.6">
      <c r="C54"/>
      <c r="G54"/>
    </row>
    <row r="55" spans="3:17" ht="15" x14ac:dyDescent="0.55000000000000004">
      <c r="C55"/>
      <c r="E55" s="57" t="s">
        <v>154</v>
      </c>
      <c r="F55" s="29"/>
      <c r="G55" s="58" t="s">
        <v>7</v>
      </c>
      <c r="M55" s="57" t="s">
        <v>154</v>
      </c>
      <c r="N55" s="29"/>
      <c r="O55" s="58" t="s">
        <v>7</v>
      </c>
    </row>
    <row r="56" spans="3:17" x14ac:dyDescent="0.55000000000000004">
      <c r="C56"/>
      <c r="E56" s="55" t="s">
        <v>67</v>
      </c>
      <c r="F56" s="15" t="str">
        <f>Worklist!$E$1</f>
        <v>Experiment</v>
      </c>
      <c r="G56" s="59"/>
      <c r="M56" s="55" t="s">
        <v>67</v>
      </c>
      <c r="N56" s="15" t="str">
        <f>Worklist!$E$1</f>
        <v>Experiment</v>
      </c>
      <c r="O56" s="59"/>
    </row>
    <row r="57" spans="3:17" x14ac:dyDescent="0.55000000000000004">
      <c r="C57"/>
      <c r="E57" s="55" t="s">
        <v>72</v>
      </c>
      <c r="F57" s="15" t="s">
        <v>157</v>
      </c>
      <c r="G57" s="59"/>
      <c r="M57" s="55" t="s">
        <v>72</v>
      </c>
      <c r="N57" s="15" t="s">
        <v>159</v>
      </c>
      <c r="O57" s="59"/>
    </row>
    <row r="58" spans="3:17" ht="14.7" thickBot="1" x14ac:dyDescent="0.6">
      <c r="C58"/>
      <c r="E58" s="56" t="s">
        <v>76</v>
      </c>
      <c r="F58" s="16" t="s">
        <v>158</v>
      </c>
      <c r="G58" s="60"/>
      <c r="M58" s="56" t="s">
        <v>76</v>
      </c>
      <c r="N58" s="16" t="s">
        <v>160</v>
      </c>
      <c r="O58" s="60"/>
    </row>
    <row r="59" spans="3:17" ht="14.7" thickBot="1" x14ac:dyDescent="0.6">
      <c r="C59"/>
      <c r="G59"/>
    </row>
    <row r="60" spans="3:17" ht="15" x14ac:dyDescent="0.55000000000000004">
      <c r="C60" s="40" t="s">
        <v>6</v>
      </c>
      <c r="D60" s="28"/>
      <c r="E60" s="41" t="s">
        <v>7</v>
      </c>
      <c r="G60" s="40" t="s">
        <v>6</v>
      </c>
      <c r="H60" s="28"/>
      <c r="I60" s="41" t="s">
        <v>7</v>
      </c>
      <c r="K60" s="40" t="s">
        <v>6</v>
      </c>
      <c r="L60" s="28"/>
      <c r="M60" s="41" t="s">
        <v>7</v>
      </c>
      <c r="O60" s="40" t="s">
        <v>6</v>
      </c>
      <c r="P60" s="28"/>
      <c r="Q60" s="41" t="s">
        <v>7</v>
      </c>
    </row>
    <row r="61" spans="3:17" x14ac:dyDescent="0.55000000000000004">
      <c r="C61" s="38" t="s">
        <v>0</v>
      </c>
      <c r="D61" s="2" t="s">
        <v>157</v>
      </c>
      <c r="E61" s="42"/>
      <c r="G61" s="38" t="s">
        <v>0</v>
      </c>
      <c r="H61" s="2" t="s">
        <v>158</v>
      </c>
      <c r="I61" s="42"/>
      <c r="K61" s="38" t="s">
        <v>0</v>
      </c>
      <c r="L61" s="2" t="s">
        <v>159</v>
      </c>
      <c r="M61" s="42"/>
      <c r="O61" s="38" t="s">
        <v>0</v>
      </c>
      <c r="P61" s="2" t="s">
        <v>160</v>
      </c>
      <c r="Q61" s="42"/>
    </row>
    <row r="62" spans="3:17" ht="14.7" thickBot="1" x14ac:dyDescent="0.6">
      <c r="C62" s="39" t="s">
        <v>2</v>
      </c>
      <c r="D62" s="3" t="s">
        <v>1</v>
      </c>
      <c r="E62" s="43"/>
      <c r="G62" s="39" t="s">
        <v>2</v>
      </c>
      <c r="H62" s="3" t="s">
        <v>1</v>
      </c>
      <c r="I62" s="43"/>
      <c r="K62" s="39" t="s">
        <v>2</v>
      </c>
      <c r="L62" s="3" t="s">
        <v>1</v>
      </c>
      <c r="M62" s="43"/>
      <c r="O62" s="39" t="s">
        <v>2</v>
      </c>
      <c r="P62" s="3" t="s">
        <v>1</v>
      </c>
      <c r="Q62" s="43"/>
    </row>
    <row r="63" spans="3:17" ht="18.75" customHeight="1" x14ac:dyDescent="0.55000000000000004">
      <c r="C63"/>
      <c r="G63"/>
    </row>
    <row r="64" spans="3:17" ht="19.8" x14ac:dyDescent="0.55000000000000004">
      <c r="C64"/>
      <c r="D64" s="4" t="s">
        <v>8</v>
      </c>
      <c r="G64"/>
      <c r="H64" s="4" t="s">
        <v>8</v>
      </c>
      <c r="L64" s="4" t="s">
        <v>8</v>
      </c>
      <c r="P64" s="4" t="s">
        <v>8</v>
      </c>
    </row>
    <row r="65" spans="3:17" ht="14.7" thickBot="1" x14ac:dyDescent="0.6">
      <c r="C65"/>
      <c r="G65"/>
    </row>
    <row r="66" spans="3:17" ht="15" x14ac:dyDescent="0.55000000000000004">
      <c r="C66" s="40" t="s">
        <v>6</v>
      </c>
      <c r="D66" s="28"/>
      <c r="E66" s="41" t="s">
        <v>7</v>
      </c>
      <c r="G66" s="40" t="s">
        <v>6</v>
      </c>
      <c r="H66" s="28"/>
      <c r="I66" s="41" t="s">
        <v>7</v>
      </c>
      <c r="K66" s="40" t="s">
        <v>6</v>
      </c>
      <c r="L66" s="28"/>
      <c r="M66" s="41" t="s">
        <v>7</v>
      </c>
      <c r="O66" s="40" t="s">
        <v>6</v>
      </c>
      <c r="P66" s="28"/>
      <c r="Q66" s="41" t="s">
        <v>7</v>
      </c>
    </row>
    <row r="67" spans="3:17" x14ac:dyDescent="0.55000000000000004">
      <c r="C67" s="38" t="s">
        <v>0</v>
      </c>
      <c r="D67" s="2" t="s">
        <v>162</v>
      </c>
      <c r="E67" s="42"/>
      <c r="G67" s="38" t="s">
        <v>0</v>
      </c>
      <c r="H67" s="2" t="s">
        <v>162</v>
      </c>
      <c r="I67" s="42"/>
      <c r="K67" s="38" t="s">
        <v>0</v>
      </c>
      <c r="L67" s="2" t="s">
        <v>209</v>
      </c>
      <c r="M67" s="42"/>
      <c r="O67" s="38" t="s">
        <v>0</v>
      </c>
      <c r="P67" s="2" t="s">
        <v>209</v>
      </c>
      <c r="Q67" s="42"/>
    </row>
    <row r="68" spans="3:17" ht="14.7" thickBot="1" x14ac:dyDescent="0.6">
      <c r="C68" s="39" t="s">
        <v>2</v>
      </c>
      <c r="D68" s="3" t="s">
        <v>1</v>
      </c>
      <c r="E68" s="43"/>
      <c r="G68" s="39" t="s">
        <v>2</v>
      </c>
      <c r="H68" s="3" t="s">
        <v>1</v>
      </c>
      <c r="I68" s="43"/>
      <c r="K68" s="39" t="s">
        <v>2</v>
      </c>
      <c r="L68" s="3" t="s">
        <v>1</v>
      </c>
      <c r="M68" s="43"/>
      <c r="O68" s="39" t="s">
        <v>2</v>
      </c>
      <c r="P68" s="3" t="s">
        <v>1</v>
      </c>
      <c r="Q68" s="43"/>
    </row>
    <row r="69" spans="3:17" x14ac:dyDescent="0.55000000000000004">
      <c r="C69"/>
      <c r="G69"/>
    </row>
    <row r="70" spans="3:17" ht="19.8" x14ac:dyDescent="0.55000000000000004">
      <c r="C70"/>
      <c r="D70" s="4" t="s">
        <v>8</v>
      </c>
      <c r="G70"/>
      <c r="H70" s="4" t="s">
        <v>8</v>
      </c>
      <c r="L70" s="4" t="s">
        <v>8</v>
      </c>
      <c r="P70" s="4" t="s">
        <v>8</v>
      </c>
    </row>
    <row r="71" spans="3:17" ht="14.7" thickBot="1" x14ac:dyDescent="0.6">
      <c r="C71"/>
      <c r="G71"/>
    </row>
    <row r="72" spans="3:17" ht="15" x14ac:dyDescent="0.55000000000000004">
      <c r="C72" s="40" t="s">
        <v>6</v>
      </c>
      <c r="D72" s="28"/>
      <c r="E72" s="41" t="s">
        <v>7</v>
      </c>
      <c r="G72" s="40" t="s">
        <v>6</v>
      </c>
      <c r="H72" s="28"/>
      <c r="I72" s="41" t="s">
        <v>7</v>
      </c>
      <c r="K72" s="40" t="s">
        <v>6</v>
      </c>
      <c r="L72" s="28"/>
      <c r="M72" s="41" t="s">
        <v>7</v>
      </c>
      <c r="O72" s="40" t="s">
        <v>6</v>
      </c>
      <c r="P72" s="28"/>
      <c r="Q72" s="41" t="s">
        <v>7</v>
      </c>
    </row>
    <row r="73" spans="3:17" x14ac:dyDescent="0.55000000000000004">
      <c r="C73" s="38" t="s">
        <v>0</v>
      </c>
      <c r="D73" s="2" t="s">
        <v>177</v>
      </c>
      <c r="E73" s="42"/>
      <c r="G73" s="38" t="s">
        <v>0</v>
      </c>
      <c r="H73" s="2" t="s">
        <v>177</v>
      </c>
      <c r="I73" s="42"/>
      <c r="K73" s="38" t="s">
        <v>0</v>
      </c>
      <c r="L73" s="2" t="s">
        <v>177</v>
      </c>
      <c r="M73" s="42"/>
      <c r="O73" s="38" t="s">
        <v>0</v>
      </c>
      <c r="P73" s="2" t="s">
        <v>177</v>
      </c>
      <c r="Q73" s="42"/>
    </row>
    <row r="74" spans="3:17" ht="14.7" thickBot="1" x14ac:dyDescent="0.6">
      <c r="C74" s="39" t="s">
        <v>2</v>
      </c>
      <c r="D74" s="3" t="s">
        <v>1</v>
      </c>
      <c r="E74" s="43"/>
      <c r="G74" s="39" t="s">
        <v>2</v>
      </c>
      <c r="H74" s="3" t="s">
        <v>1</v>
      </c>
      <c r="I74" s="43"/>
      <c r="K74" s="39" t="s">
        <v>2</v>
      </c>
      <c r="L74" s="3" t="s">
        <v>1</v>
      </c>
      <c r="M74" s="43"/>
      <c r="O74" s="39" t="s">
        <v>2</v>
      </c>
      <c r="P74" s="3" t="s">
        <v>1</v>
      </c>
      <c r="Q74" s="43"/>
    </row>
    <row r="75" spans="3:17" x14ac:dyDescent="0.55000000000000004">
      <c r="C75"/>
      <c r="G75"/>
    </row>
    <row r="76" spans="3:17" ht="19.8" x14ac:dyDescent="0.55000000000000004">
      <c r="C76"/>
      <c r="D76" s="4" t="s">
        <v>8</v>
      </c>
      <c r="G76"/>
      <c r="H76" s="4" t="s">
        <v>8</v>
      </c>
      <c r="L76" s="4" t="s">
        <v>8</v>
      </c>
      <c r="P76" s="4" t="s">
        <v>8</v>
      </c>
    </row>
    <row r="77" spans="3:17" ht="14.7" thickBot="1" x14ac:dyDescent="0.6">
      <c r="C77"/>
      <c r="G77"/>
    </row>
    <row r="78" spans="3:17" ht="15" x14ac:dyDescent="0.55000000000000004">
      <c r="C78" s="63" t="s">
        <v>161</v>
      </c>
      <c r="D78" s="33"/>
      <c r="E78" s="64" t="s">
        <v>7</v>
      </c>
      <c r="G78" s="63" t="s">
        <v>161</v>
      </c>
      <c r="H78" s="33"/>
      <c r="I78" s="64" t="s">
        <v>7</v>
      </c>
      <c r="K78" s="63" t="s">
        <v>161</v>
      </c>
      <c r="L78" s="33"/>
      <c r="M78" s="64" t="s">
        <v>7</v>
      </c>
      <c r="O78" s="63" t="s">
        <v>161</v>
      </c>
      <c r="P78" s="33"/>
      <c r="Q78" s="64" t="s">
        <v>7</v>
      </c>
    </row>
    <row r="79" spans="3:17" x14ac:dyDescent="0.55000000000000004">
      <c r="C79" s="61" t="s">
        <v>104</v>
      </c>
      <c r="D79" s="10" t="str">
        <f>Method!$J$3</f>
        <v>Denaturation</v>
      </c>
      <c r="E79" s="65"/>
      <c r="G79" s="61" t="s">
        <v>104</v>
      </c>
      <c r="H79" s="10" t="str">
        <f>Method!$J$3</f>
        <v>Denaturation</v>
      </c>
      <c r="I79" s="65"/>
      <c r="K79" s="61" t="s">
        <v>104</v>
      </c>
      <c r="L79" s="10" t="str">
        <f>Method!$J$3</f>
        <v>Denaturation</v>
      </c>
      <c r="M79" s="65"/>
      <c r="O79" s="61" t="s">
        <v>104</v>
      </c>
      <c r="P79" s="10" t="str">
        <f>Method!$J$3</f>
        <v>Denaturation</v>
      </c>
      <c r="Q79" s="65"/>
    </row>
    <row r="80" spans="3:17" x14ac:dyDescent="0.55000000000000004">
      <c r="C80" s="61" t="s">
        <v>105</v>
      </c>
      <c r="D80" s="10" t="str">
        <f>Method!$D$67</f>
        <v>Waste</v>
      </c>
      <c r="E80" s="65"/>
      <c r="G80" s="61" t="s">
        <v>105</v>
      </c>
      <c r="H80" s="10" t="str">
        <f>Method!$D$67</f>
        <v>Waste</v>
      </c>
      <c r="I80" s="65"/>
      <c r="K80" s="61" t="s">
        <v>105</v>
      </c>
      <c r="L80" s="10" t="str">
        <f>Method!$L$67</f>
        <v>Waste 2</v>
      </c>
      <c r="M80" s="65"/>
      <c r="O80" s="61" t="s">
        <v>105</v>
      </c>
      <c r="P80" s="10" t="str">
        <f>Method!$P$67</f>
        <v>Waste 2</v>
      </c>
      <c r="Q80" s="65"/>
    </row>
    <row r="81" spans="3:17" x14ac:dyDescent="0.55000000000000004">
      <c r="C81" s="61" t="s">
        <v>106</v>
      </c>
      <c r="D81" s="10" t="s">
        <v>163</v>
      </c>
      <c r="E81" s="65"/>
      <c r="G81" s="61" t="s">
        <v>106</v>
      </c>
      <c r="H81" s="10" t="s">
        <v>163</v>
      </c>
      <c r="I81" s="65"/>
      <c r="K81" s="61" t="s">
        <v>106</v>
      </c>
      <c r="L81" s="10" t="s">
        <v>163</v>
      </c>
      <c r="M81" s="65"/>
      <c r="O81" s="61" t="s">
        <v>106</v>
      </c>
      <c r="P81" s="10" t="s">
        <v>163</v>
      </c>
      <c r="Q81" s="65"/>
    </row>
    <row r="82" spans="3:17" x14ac:dyDescent="0.55000000000000004">
      <c r="C82" s="61" t="s">
        <v>107</v>
      </c>
      <c r="D82" s="10">
        <v>100</v>
      </c>
      <c r="E82" s="65"/>
      <c r="G82" s="61" t="s">
        <v>107</v>
      </c>
      <c r="H82" s="10">
        <v>100</v>
      </c>
      <c r="I82" s="65"/>
      <c r="K82" s="61" t="s">
        <v>107</v>
      </c>
      <c r="L82" s="10">
        <v>100</v>
      </c>
      <c r="M82" s="65"/>
      <c r="O82" s="61" t="s">
        <v>107</v>
      </c>
      <c r="P82" s="10">
        <v>100</v>
      </c>
      <c r="Q82" s="65"/>
    </row>
    <row r="83" spans="3:17" ht="14.7" thickBot="1" x14ac:dyDescent="0.6">
      <c r="C83" s="62" t="s">
        <v>109</v>
      </c>
      <c r="D83" s="11" t="s">
        <v>110</v>
      </c>
      <c r="E83" s="66"/>
      <c r="G83" s="62" t="s">
        <v>109</v>
      </c>
      <c r="H83" s="11" t="s">
        <v>205</v>
      </c>
      <c r="I83" s="66"/>
      <c r="K83" s="62" t="s">
        <v>109</v>
      </c>
      <c r="L83" s="11" t="s">
        <v>206</v>
      </c>
      <c r="M83" s="66"/>
      <c r="O83" s="62" t="s">
        <v>109</v>
      </c>
      <c r="P83" s="11" t="s">
        <v>206</v>
      </c>
      <c r="Q83" s="66"/>
    </row>
    <row r="84" spans="3:17" x14ac:dyDescent="0.55000000000000004">
      <c r="C84"/>
      <c r="G84"/>
    </row>
    <row r="85" spans="3:17" ht="19.8" x14ac:dyDescent="0.55000000000000004">
      <c r="C85"/>
      <c r="D85" s="4" t="s">
        <v>8</v>
      </c>
      <c r="G85"/>
      <c r="H85" s="4" t="s">
        <v>8</v>
      </c>
      <c r="L85" s="4" t="s">
        <v>8</v>
      </c>
      <c r="P85" s="4" t="s">
        <v>8</v>
      </c>
    </row>
    <row r="86" spans="3:17" ht="14.7" thickBot="1" x14ac:dyDescent="0.6">
      <c r="C86"/>
      <c r="G86"/>
    </row>
    <row r="87" spans="3:17" ht="15" x14ac:dyDescent="0.55000000000000004">
      <c r="C87" s="40" t="s">
        <v>6</v>
      </c>
      <c r="D87" s="28"/>
      <c r="E87" s="41" t="s">
        <v>7</v>
      </c>
      <c r="G87" s="40" t="s">
        <v>6</v>
      </c>
      <c r="H87" s="28"/>
      <c r="I87" s="41" t="s">
        <v>7</v>
      </c>
      <c r="K87" s="40" t="s">
        <v>6</v>
      </c>
      <c r="L87" s="28"/>
      <c r="M87" s="41" t="s">
        <v>7</v>
      </c>
      <c r="O87" s="40" t="s">
        <v>6</v>
      </c>
      <c r="P87" s="28"/>
      <c r="Q87" s="41" t="s">
        <v>7</v>
      </c>
    </row>
    <row r="88" spans="3:17" x14ac:dyDescent="0.55000000000000004">
      <c r="C88" s="38" t="s">
        <v>0</v>
      </c>
      <c r="D88" s="2" t="str">
        <f>Method!$D$61</f>
        <v>Low Artifact</v>
      </c>
      <c r="E88" s="42"/>
      <c r="G88" s="38" t="s">
        <v>0</v>
      </c>
      <c r="H88" s="2" t="str">
        <f>Method!$H$61</f>
        <v>HCP</v>
      </c>
      <c r="I88" s="42"/>
      <c r="K88" s="38" t="s">
        <v>0</v>
      </c>
      <c r="L88" s="2" t="str">
        <f>Method!$L$61</f>
        <v>low volume</v>
      </c>
      <c r="M88" s="42"/>
      <c r="O88" s="38" t="s">
        <v>0</v>
      </c>
      <c r="P88" s="2" t="str">
        <f>Method!$P$61</f>
        <v>equal volume</v>
      </c>
      <c r="Q88" s="42"/>
    </row>
    <row r="89" spans="3:17" ht="14.7" thickBot="1" x14ac:dyDescent="0.6">
      <c r="C89" s="39" t="s">
        <v>2</v>
      </c>
      <c r="D89" s="3" t="s">
        <v>1</v>
      </c>
      <c r="E89" s="43"/>
      <c r="G89" s="39" t="s">
        <v>2</v>
      </c>
      <c r="H89" s="3" t="s">
        <v>1</v>
      </c>
      <c r="I89" s="43"/>
      <c r="K89" s="39" t="s">
        <v>2</v>
      </c>
      <c r="L89" s="3" t="s">
        <v>1</v>
      </c>
      <c r="M89" s="43"/>
      <c r="O89" s="39" t="s">
        <v>2</v>
      </c>
      <c r="P89" s="3" t="s">
        <v>1</v>
      </c>
      <c r="Q89" s="43"/>
    </row>
    <row r="90" spans="3:17" x14ac:dyDescent="0.55000000000000004">
      <c r="C90"/>
      <c r="G90"/>
    </row>
    <row r="91" spans="3:17" ht="19.8" x14ac:dyDescent="0.55000000000000004">
      <c r="C91"/>
      <c r="D91" s="4" t="s">
        <v>8</v>
      </c>
      <c r="G91"/>
      <c r="H91" s="4" t="s">
        <v>8</v>
      </c>
      <c r="L91" s="4" t="s">
        <v>8</v>
      </c>
      <c r="P91" s="4" t="s">
        <v>8</v>
      </c>
    </row>
    <row r="92" spans="3:17" ht="14.7" thickBot="1" x14ac:dyDescent="0.6">
      <c r="C92"/>
      <c r="G92"/>
    </row>
    <row r="93" spans="3:17" ht="15" x14ac:dyDescent="0.55000000000000004">
      <c r="C93" s="69" t="s">
        <v>169</v>
      </c>
      <c r="D93" s="34"/>
      <c r="E93" s="70" t="s">
        <v>7</v>
      </c>
      <c r="G93" s="69" t="s">
        <v>169</v>
      </c>
      <c r="H93" s="34"/>
      <c r="I93" s="70" t="s">
        <v>7</v>
      </c>
      <c r="K93" s="69" t="s">
        <v>169</v>
      </c>
      <c r="L93" s="34"/>
      <c r="M93" s="70" t="s">
        <v>7</v>
      </c>
      <c r="O93" s="69" t="s">
        <v>169</v>
      </c>
      <c r="P93" s="34"/>
      <c r="Q93" s="70" t="s">
        <v>7</v>
      </c>
    </row>
    <row r="94" spans="3:17" x14ac:dyDescent="0.55000000000000004">
      <c r="C94" s="67" t="s">
        <v>81</v>
      </c>
      <c r="D94" s="17" t="str">
        <f>Method!$H$88</f>
        <v>HCP</v>
      </c>
      <c r="E94" s="71"/>
      <c r="G94" s="67" t="s">
        <v>81</v>
      </c>
      <c r="H94" s="17" t="str">
        <f>Method!$D$88</f>
        <v>Low Artifact</v>
      </c>
      <c r="I94" s="71"/>
      <c r="K94" s="67" t="s">
        <v>81</v>
      </c>
      <c r="L94" s="17" t="str">
        <f>Method!$P$88</f>
        <v>equal volume</v>
      </c>
      <c r="M94" s="71"/>
      <c r="O94" s="67" t="s">
        <v>81</v>
      </c>
      <c r="P94" s="17" t="str">
        <f>Method!$L$88</f>
        <v>low volume</v>
      </c>
      <c r="Q94" s="71"/>
    </row>
    <row r="95" spans="3:17" ht="14.7" thickBot="1" x14ac:dyDescent="0.6">
      <c r="C95" s="68" t="s">
        <v>82</v>
      </c>
      <c r="D95" s="18" t="s">
        <v>170</v>
      </c>
      <c r="E95" s="72"/>
      <c r="G95" s="68" t="s">
        <v>82</v>
      </c>
      <c r="H95" s="18" t="s">
        <v>16</v>
      </c>
      <c r="I95" s="72"/>
      <c r="K95" s="68" t="s">
        <v>82</v>
      </c>
      <c r="L95" s="18" t="s">
        <v>16</v>
      </c>
      <c r="M95" s="72"/>
      <c r="O95" s="68" t="s">
        <v>82</v>
      </c>
      <c r="P95" s="18" t="s">
        <v>170</v>
      </c>
      <c r="Q95" s="72"/>
    </row>
    <row r="96" spans="3:17" x14ac:dyDescent="0.55000000000000004">
      <c r="C96"/>
      <c r="G96"/>
    </row>
    <row r="97" spans="3:17" ht="19.8" x14ac:dyDescent="0.55000000000000004">
      <c r="C97"/>
      <c r="D97" s="4" t="s">
        <v>8</v>
      </c>
      <c r="G97"/>
      <c r="H97" s="4" t="s">
        <v>8</v>
      </c>
      <c r="L97" s="4" t="s">
        <v>8</v>
      </c>
      <c r="P97" s="4" t="s">
        <v>8</v>
      </c>
    </row>
    <row r="98" spans="3:17" ht="14.7" thickBot="1" x14ac:dyDescent="0.6">
      <c r="C98"/>
      <c r="G98"/>
    </row>
    <row r="99" spans="3:17" ht="15" x14ac:dyDescent="0.55000000000000004">
      <c r="C99" s="40" t="s">
        <v>204</v>
      </c>
      <c r="D99" s="28"/>
      <c r="E99" s="41" t="s">
        <v>7</v>
      </c>
      <c r="G99" s="40" t="s">
        <v>6</v>
      </c>
      <c r="H99" s="28"/>
      <c r="I99" s="41" t="s">
        <v>7</v>
      </c>
      <c r="K99" s="40" t="s">
        <v>6</v>
      </c>
      <c r="L99" s="28"/>
      <c r="M99" s="41" t="s">
        <v>7</v>
      </c>
      <c r="O99" s="40" t="s">
        <v>204</v>
      </c>
      <c r="P99" s="28"/>
      <c r="Q99" s="41" t="s">
        <v>7</v>
      </c>
    </row>
    <row r="100" spans="3:17" ht="14.7" thickBot="1" x14ac:dyDescent="0.6">
      <c r="C100" s="39"/>
      <c r="D100" s="3"/>
      <c r="E100" s="79"/>
      <c r="G100" s="38" t="s">
        <v>0</v>
      </c>
      <c r="H100" s="2" t="str">
        <f>Method!$F$50</f>
        <v>Desalting 1</v>
      </c>
      <c r="I100" s="42"/>
      <c r="K100" s="38" t="s">
        <v>0</v>
      </c>
      <c r="L100" s="2" t="str">
        <f>Method!$N$50</f>
        <v>Desalting 2</v>
      </c>
      <c r="M100" s="42"/>
      <c r="O100" s="39"/>
      <c r="P100" s="3"/>
      <c r="Q100" s="79"/>
    </row>
    <row r="101" spans="3:17" ht="14.7" thickBot="1" x14ac:dyDescent="0.6">
      <c r="C101"/>
      <c r="G101" s="39" t="s">
        <v>2</v>
      </c>
      <c r="H101" s="3" t="s">
        <v>1</v>
      </c>
      <c r="I101" s="43"/>
      <c r="K101" s="39" t="s">
        <v>2</v>
      </c>
      <c r="L101" s="3" t="s">
        <v>1</v>
      </c>
      <c r="M101" s="43"/>
    </row>
    <row r="102" spans="3:17" x14ac:dyDescent="0.55000000000000004">
      <c r="C102"/>
      <c r="G102"/>
    </row>
    <row r="103" spans="3:17" ht="19.8" x14ac:dyDescent="0.55000000000000004">
      <c r="C103"/>
      <c r="G103"/>
      <c r="H103" s="4" t="s">
        <v>8</v>
      </c>
      <c r="L103" s="4" t="s">
        <v>8</v>
      </c>
    </row>
    <row r="104" spans="3:17" ht="14.7" thickBot="1" x14ac:dyDescent="0.6">
      <c r="C104"/>
      <c r="G104"/>
    </row>
    <row r="105" spans="3:17" ht="15" x14ac:dyDescent="0.55000000000000004">
      <c r="C105"/>
      <c r="G105" s="69" t="s">
        <v>169</v>
      </c>
      <c r="H105" s="34"/>
      <c r="I105" s="70" t="s">
        <v>7</v>
      </c>
      <c r="K105" s="69" t="s">
        <v>169</v>
      </c>
      <c r="L105" s="34"/>
      <c r="M105" s="70" t="s">
        <v>7</v>
      </c>
    </row>
    <row r="106" spans="3:17" x14ac:dyDescent="0.55000000000000004">
      <c r="C106"/>
      <c r="G106" s="67" t="s">
        <v>81</v>
      </c>
      <c r="H106" s="17" t="str">
        <f>Method!$L$100</f>
        <v>Desalting 2</v>
      </c>
      <c r="I106" s="71"/>
      <c r="K106" s="67" t="s">
        <v>81</v>
      </c>
      <c r="L106" s="17" t="str">
        <f>Method!$H$100</f>
        <v>Desalting 1</v>
      </c>
      <c r="M106" s="71"/>
    </row>
    <row r="107" spans="3:17" ht="14.7" thickBot="1" x14ac:dyDescent="0.6">
      <c r="C107"/>
      <c r="G107" s="68" t="s">
        <v>82</v>
      </c>
      <c r="H107" s="18" t="s">
        <v>16</v>
      </c>
      <c r="I107" s="72"/>
      <c r="K107" s="68" t="s">
        <v>82</v>
      </c>
      <c r="L107" s="18" t="s">
        <v>170</v>
      </c>
      <c r="M107" s="72"/>
    </row>
    <row r="108" spans="3:17" x14ac:dyDescent="0.55000000000000004">
      <c r="C108"/>
      <c r="G108"/>
    </row>
    <row r="109" spans="3:17" ht="19.8" x14ac:dyDescent="0.55000000000000004">
      <c r="C109"/>
      <c r="G109"/>
      <c r="H109" s="4" t="s">
        <v>8</v>
      </c>
      <c r="L109" s="4" t="s">
        <v>8</v>
      </c>
    </row>
    <row r="110" spans="3:17" ht="14.7" thickBot="1" x14ac:dyDescent="0.6">
      <c r="C110"/>
      <c r="G110"/>
    </row>
    <row r="111" spans="3:17" ht="15" x14ac:dyDescent="0.55000000000000004">
      <c r="C111"/>
      <c r="G111" s="40" t="s">
        <v>6</v>
      </c>
      <c r="H111" s="28"/>
      <c r="I111" s="41" t="s">
        <v>7</v>
      </c>
      <c r="K111" s="40" t="s">
        <v>204</v>
      </c>
      <c r="L111" s="28"/>
      <c r="M111" s="41" t="s">
        <v>7</v>
      </c>
    </row>
    <row r="112" spans="3:17" ht="14.7" thickBot="1" x14ac:dyDescent="0.6">
      <c r="C112"/>
      <c r="G112" s="38" t="s">
        <v>0</v>
      </c>
      <c r="H112" s="2" t="s">
        <v>171</v>
      </c>
      <c r="I112" s="42"/>
      <c r="K112" s="39"/>
      <c r="L112" s="3"/>
      <c r="M112" s="79"/>
    </row>
    <row r="113" spans="3:9" ht="14.7" thickBot="1" x14ac:dyDescent="0.6">
      <c r="C113"/>
      <c r="G113" s="39" t="s">
        <v>2</v>
      </c>
      <c r="H113" s="3" t="s">
        <v>1</v>
      </c>
      <c r="I113" s="43"/>
    </row>
    <row r="114" spans="3:9" x14ac:dyDescent="0.55000000000000004">
      <c r="C114"/>
      <c r="G114"/>
    </row>
    <row r="115" spans="3:9" ht="19.8" x14ac:dyDescent="0.55000000000000004">
      <c r="C115"/>
      <c r="G115"/>
      <c r="H115" s="4" t="s">
        <v>8</v>
      </c>
    </row>
    <row r="116" spans="3:9" ht="14.7" thickBot="1" x14ac:dyDescent="0.6">
      <c r="C116"/>
      <c r="G116"/>
    </row>
    <row r="117" spans="3:9" ht="15" x14ac:dyDescent="0.55000000000000004">
      <c r="C117"/>
      <c r="G117" s="75" t="s">
        <v>172</v>
      </c>
      <c r="H117" s="35"/>
      <c r="I117" s="76" t="s">
        <v>7</v>
      </c>
    </row>
    <row r="118" spans="3:9" x14ac:dyDescent="0.55000000000000004">
      <c r="C118"/>
      <c r="G118" s="73" t="s">
        <v>17</v>
      </c>
      <c r="H118" s="19" t="str">
        <f>Method!$H$73</f>
        <v>Desalting Collection</v>
      </c>
      <c r="I118" s="77"/>
    </row>
    <row r="119" spans="3:9" x14ac:dyDescent="0.55000000000000004">
      <c r="C119"/>
      <c r="G119" s="73" t="s">
        <v>21</v>
      </c>
      <c r="H119" s="19" t="s">
        <v>163</v>
      </c>
      <c r="I119" s="77"/>
    </row>
    <row r="120" spans="3:9" x14ac:dyDescent="0.55000000000000004">
      <c r="C120"/>
      <c r="G120" s="73" t="s">
        <v>93</v>
      </c>
      <c r="H120" s="19">
        <v>1.264</v>
      </c>
      <c r="I120" s="77"/>
    </row>
    <row r="121" spans="3:9" x14ac:dyDescent="0.55000000000000004">
      <c r="C121"/>
      <c r="G121" s="73" t="s">
        <v>94</v>
      </c>
      <c r="H121" s="19">
        <v>1</v>
      </c>
      <c r="I121" s="77"/>
    </row>
    <row r="122" spans="3:9" x14ac:dyDescent="0.55000000000000004">
      <c r="C122"/>
      <c r="G122" s="73" t="s">
        <v>95</v>
      </c>
      <c r="H122" s="19">
        <v>80</v>
      </c>
      <c r="I122" s="77"/>
    </row>
    <row r="123" spans="3:9" ht="14.7" thickBot="1" x14ac:dyDescent="0.6">
      <c r="C123"/>
      <c r="G123" s="74" t="s">
        <v>96</v>
      </c>
      <c r="H123" s="20">
        <v>80</v>
      </c>
      <c r="I123" s="78"/>
    </row>
    <row r="124" spans="3:9" x14ac:dyDescent="0.55000000000000004">
      <c r="C124"/>
      <c r="G124"/>
    </row>
    <row r="125" spans="3:9" ht="19.8" x14ac:dyDescent="0.55000000000000004">
      <c r="C125"/>
      <c r="G125"/>
      <c r="H125" s="4" t="s">
        <v>8</v>
      </c>
    </row>
    <row r="126" spans="3:9" ht="14.7" thickBot="1" x14ac:dyDescent="0.6">
      <c r="C126"/>
      <c r="G126"/>
    </row>
    <row r="127" spans="3:9" ht="15" x14ac:dyDescent="0.55000000000000004">
      <c r="C127"/>
      <c r="G127" s="47" t="s">
        <v>28</v>
      </c>
      <c r="H127" s="31"/>
      <c r="I127" s="48" t="s">
        <v>7</v>
      </c>
    </row>
    <row r="128" spans="3:9" x14ac:dyDescent="0.55000000000000004">
      <c r="C128"/>
      <c r="G128" s="45" t="s">
        <v>17</v>
      </c>
      <c r="H128" s="6" t="s">
        <v>175</v>
      </c>
      <c r="I128" s="49"/>
    </row>
    <row r="129" spans="3:9" x14ac:dyDescent="0.55000000000000004">
      <c r="C129"/>
      <c r="G129" s="45" t="s">
        <v>18</v>
      </c>
      <c r="H129" s="6" t="str">
        <f>Worklist!$F$1</f>
        <v>LysC (uL)</v>
      </c>
      <c r="I129" s="49"/>
    </row>
    <row r="130" spans="3:9" ht="14.7" thickBot="1" x14ac:dyDescent="0.6">
      <c r="C130"/>
      <c r="G130" s="46" t="s">
        <v>19</v>
      </c>
      <c r="H130" s="7" t="s">
        <v>20</v>
      </c>
      <c r="I130" s="50"/>
    </row>
    <row r="131" spans="3:9" x14ac:dyDescent="0.55000000000000004">
      <c r="C131"/>
      <c r="G131"/>
    </row>
    <row r="132" spans="3:9" ht="19.8" x14ac:dyDescent="0.55000000000000004">
      <c r="C132"/>
      <c r="G132"/>
      <c r="H132" s="4" t="s">
        <v>8</v>
      </c>
    </row>
    <row r="133" spans="3:9" ht="14.7" thickBot="1" x14ac:dyDescent="0.6">
      <c r="C133"/>
      <c r="G133"/>
    </row>
    <row r="134" spans="3:9" ht="15" x14ac:dyDescent="0.55000000000000004">
      <c r="C134"/>
      <c r="G134" s="47" t="s">
        <v>28</v>
      </c>
      <c r="H134" s="31"/>
      <c r="I134" s="48" t="s">
        <v>7</v>
      </c>
    </row>
    <row r="135" spans="3:9" x14ac:dyDescent="0.55000000000000004">
      <c r="C135"/>
      <c r="G135" s="45" t="s">
        <v>17</v>
      </c>
      <c r="H135" s="6" t="s">
        <v>173</v>
      </c>
      <c r="I135" s="49"/>
    </row>
    <row r="136" spans="3:9" x14ac:dyDescent="0.55000000000000004">
      <c r="C136"/>
      <c r="G136" s="45" t="s">
        <v>18</v>
      </c>
      <c r="H136" s="6">
        <v>0</v>
      </c>
      <c r="I136" s="49"/>
    </row>
    <row r="137" spans="3:9" ht="14.7" thickBot="1" x14ac:dyDescent="0.6">
      <c r="C137"/>
      <c r="G137" s="46" t="s">
        <v>19</v>
      </c>
      <c r="H137" s="7" t="s">
        <v>20</v>
      </c>
      <c r="I137" s="50"/>
    </row>
    <row r="138" spans="3:9" x14ac:dyDescent="0.55000000000000004">
      <c r="C138"/>
      <c r="G138"/>
    </row>
    <row r="139" spans="3:9" ht="19.8" x14ac:dyDescent="0.55000000000000004">
      <c r="C139"/>
      <c r="G139"/>
      <c r="H139" s="4" t="s">
        <v>8</v>
      </c>
    </row>
    <row r="140" spans="3:9" ht="14.7" thickBot="1" x14ac:dyDescent="0.6">
      <c r="C140"/>
      <c r="G140"/>
    </row>
    <row r="141" spans="3:9" ht="15" x14ac:dyDescent="0.55000000000000004">
      <c r="C141"/>
      <c r="G141" s="81" t="s">
        <v>33</v>
      </c>
      <c r="H141" s="32"/>
      <c r="I141" s="52" t="s">
        <v>7</v>
      </c>
    </row>
    <row r="142" spans="3:9" x14ac:dyDescent="0.55000000000000004">
      <c r="C142"/>
      <c r="G142" s="51" t="s">
        <v>22</v>
      </c>
      <c r="H142" s="8">
        <v>37</v>
      </c>
      <c r="I142" s="53"/>
    </row>
    <row r="143" spans="3:9" x14ac:dyDescent="0.55000000000000004">
      <c r="C143"/>
      <c r="G143" s="51" t="s">
        <v>185</v>
      </c>
      <c r="H143" s="8" t="s">
        <v>170</v>
      </c>
      <c r="I143" s="53"/>
    </row>
    <row r="144" spans="3:9" x14ac:dyDescent="0.55000000000000004">
      <c r="C144"/>
      <c r="G144" s="51" t="s">
        <v>24</v>
      </c>
      <c r="H144" s="8">
        <f>60*4</f>
        <v>240</v>
      </c>
      <c r="I144" s="53"/>
    </row>
    <row r="145" spans="3:9" ht="14.7" thickBot="1" x14ac:dyDescent="0.6">
      <c r="C145"/>
      <c r="G145" s="80" t="s">
        <v>25</v>
      </c>
      <c r="H145" s="9">
        <v>200</v>
      </c>
      <c r="I145" s="54"/>
    </row>
    <row r="146" spans="3:9" x14ac:dyDescent="0.55000000000000004">
      <c r="C146"/>
      <c r="G146"/>
    </row>
    <row r="147" spans="3:9" ht="19.8" x14ac:dyDescent="0.55000000000000004">
      <c r="C147"/>
      <c r="G147"/>
      <c r="H147" s="4" t="s">
        <v>8</v>
      </c>
    </row>
    <row r="148" spans="3:9" ht="14.7" thickBot="1" x14ac:dyDescent="0.6">
      <c r="C148"/>
      <c r="G148"/>
    </row>
    <row r="149" spans="3:9" ht="15" x14ac:dyDescent="0.55000000000000004">
      <c r="C149"/>
      <c r="G149" s="47" t="s">
        <v>28</v>
      </c>
      <c r="H149" s="31"/>
      <c r="I149" s="48" t="s">
        <v>7</v>
      </c>
    </row>
    <row r="150" spans="3:9" x14ac:dyDescent="0.55000000000000004">
      <c r="C150"/>
      <c r="G150" s="45" t="s">
        <v>17</v>
      </c>
      <c r="H150" s="6" t="s">
        <v>202</v>
      </c>
      <c r="I150" s="49"/>
    </row>
    <row r="151" spans="3:9" x14ac:dyDescent="0.55000000000000004">
      <c r="C151"/>
      <c r="G151" s="45" t="s">
        <v>18</v>
      </c>
      <c r="H151" s="6">
        <v>10</v>
      </c>
      <c r="I151" s="49"/>
    </row>
    <row r="152" spans="3:9" ht="14.7" thickBot="1" x14ac:dyDescent="0.6">
      <c r="C152"/>
      <c r="G152" s="46" t="s">
        <v>19</v>
      </c>
      <c r="H152" s="7" t="s">
        <v>20</v>
      </c>
      <c r="I152" s="50"/>
    </row>
    <row r="153" spans="3:9" x14ac:dyDescent="0.55000000000000004">
      <c r="C153"/>
      <c r="G153"/>
    </row>
    <row r="154" spans="3:9" ht="19.8" x14ac:dyDescent="0.55000000000000004">
      <c r="C154"/>
      <c r="G154"/>
      <c r="H154" s="4" t="s">
        <v>8</v>
      </c>
    </row>
    <row r="155" spans="3:9" ht="14.7" thickBot="1" x14ac:dyDescent="0.6">
      <c r="C155"/>
      <c r="G155"/>
    </row>
    <row r="156" spans="3:9" ht="15" x14ac:dyDescent="0.55000000000000004">
      <c r="C156"/>
      <c r="G156" s="40" t="s">
        <v>204</v>
      </c>
      <c r="H156" s="28"/>
      <c r="I156" s="41" t="s">
        <v>7</v>
      </c>
    </row>
    <row r="157" spans="3:9" ht="14.7" thickBot="1" x14ac:dyDescent="0.6">
      <c r="C157"/>
      <c r="G157" s="39"/>
      <c r="H157" s="3"/>
      <c r="I157" s="79"/>
    </row>
    <row r="158" spans="3:9" x14ac:dyDescent="0.55000000000000004">
      <c r="C158"/>
      <c r="G158"/>
    </row>
    <row r="159" spans="3:9" x14ac:dyDescent="0.55000000000000004">
      <c r="C159"/>
      <c r="G159"/>
    </row>
    <row r="160" spans="3:9" x14ac:dyDescent="0.55000000000000004">
      <c r="C160"/>
      <c r="G160"/>
    </row>
    <row r="161" spans="3:7" x14ac:dyDescent="0.55000000000000004">
      <c r="C161"/>
      <c r="G161"/>
    </row>
    <row r="162" spans="3:7" x14ac:dyDescent="0.55000000000000004">
      <c r="C162"/>
      <c r="G162"/>
    </row>
    <row r="163" spans="3:7" x14ac:dyDescent="0.55000000000000004">
      <c r="C163"/>
      <c r="G163"/>
    </row>
    <row r="164" spans="3:7" x14ac:dyDescent="0.55000000000000004">
      <c r="C164"/>
      <c r="G164"/>
    </row>
    <row r="165" spans="3:7" x14ac:dyDescent="0.55000000000000004">
      <c r="C165"/>
      <c r="G165"/>
    </row>
    <row r="166" spans="3:7" x14ac:dyDescent="0.55000000000000004">
      <c r="C166"/>
      <c r="G166"/>
    </row>
    <row r="167" spans="3:7" x14ac:dyDescent="0.55000000000000004">
      <c r="C167"/>
      <c r="G167"/>
    </row>
    <row r="168" spans="3:7" x14ac:dyDescent="0.55000000000000004">
      <c r="C168"/>
      <c r="G168"/>
    </row>
    <row r="169" spans="3:7" x14ac:dyDescent="0.55000000000000004">
      <c r="C169"/>
      <c r="G169"/>
    </row>
    <row r="170" spans="3:7" x14ac:dyDescent="0.55000000000000004">
      <c r="C170"/>
      <c r="G170"/>
    </row>
    <row r="171" spans="3:7" x14ac:dyDescent="0.55000000000000004">
      <c r="C171"/>
      <c r="G171"/>
    </row>
    <row r="172" spans="3:7" x14ac:dyDescent="0.55000000000000004">
      <c r="C172"/>
      <c r="G172"/>
    </row>
    <row r="173" spans="3:7" x14ac:dyDescent="0.55000000000000004">
      <c r="C173"/>
      <c r="G173"/>
    </row>
    <row r="174" spans="3:7" x14ac:dyDescent="0.55000000000000004">
      <c r="C174"/>
      <c r="G174"/>
    </row>
    <row r="175" spans="3:7" x14ac:dyDescent="0.55000000000000004">
      <c r="C175"/>
      <c r="G175"/>
    </row>
    <row r="176" spans="3:7" x14ac:dyDescent="0.55000000000000004">
      <c r="C176"/>
      <c r="G176"/>
    </row>
    <row r="177" spans="3:7" x14ac:dyDescent="0.55000000000000004">
      <c r="C177"/>
      <c r="G177"/>
    </row>
    <row r="178" spans="3:7" x14ac:dyDescent="0.55000000000000004">
      <c r="C178"/>
      <c r="G178"/>
    </row>
    <row r="179" spans="3:7" x14ac:dyDescent="0.55000000000000004">
      <c r="C179"/>
      <c r="G179"/>
    </row>
    <row r="180" spans="3:7" x14ac:dyDescent="0.55000000000000004">
      <c r="C180"/>
      <c r="G180"/>
    </row>
    <row r="181" spans="3:7" x14ac:dyDescent="0.55000000000000004">
      <c r="C181"/>
      <c r="G181"/>
    </row>
    <row r="182" spans="3:7" x14ac:dyDescent="0.55000000000000004">
      <c r="C182"/>
      <c r="G182"/>
    </row>
    <row r="183" spans="3:7" x14ac:dyDescent="0.55000000000000004">
      <c r="C183"/>
      <c r="G183"/>
    </row>
    <row r="184" spans="3:7" x14ac:dyDescent="0.55000000000000004">
      <c r="C184"/>
      <c r="G184"/>
    </row>
    <row r="185" spans="3:7" x14ac:dyDescent="0.55000000000000004">
      <c r="C185"/>
      <c r="G185"/>
    </row>
    <row r="186" spans="3:7" x14ac:dyDescent="0.55000000000000004">
      <c r="C186"/>
      <c r="G186"/>
    </row>
    <row r="187" spans="3:7" x14ac:dyDescent="0.55000000000000004">
      <c r="C187"/>
      <c r="G187"/>
    </row>
    <row r="188" spans="3:7" x14ac:dyDescent="0.55000000000000004">
      <c r="C188"/>
      <c r="G188"/>
    </row>
    <row r="189" spans="3:7" x14ac:dyDescent="0.55000000000000004">
      <c r="C189"/>
      <c r="G189"/>
    </row>
    <row r="190" spans="3:7" x14ac:dyDescent="0.55000000000000004">
      <c r="C190"/>
      <c r="G190"/>
    </row>
    <row r="191" spans="3:7" x14ac:dyDescent="0.55000000000000004">
      <c r="C191"/>
      <c r="G191"/>
    </row>
    <row r="192" spans="3:7" x14ac:dyDescent="0.55000000000000004">
      <c r="C192"/>
      <c r="G192"/>
    </row>
    <row r="193" spans="3:7" x14ac:dyDescent="0.55000000000000004">
      <c r="C193"/>
      <c r="G193"/>
    </row>
    <row r="194" spans="3:7" x14ac:dyDescent="0.55000000000000004">
      <c r="C194"/>
      <c r="G194"/>
    </row>
    <row r="195" spans="3:7" x14ac:dyDescent="0.55000000000000004">
      <c r="C195"/>
      <c r="G195"/>
    </row>
    <row r="196" spans="3:7" x14ac:dyDescent="0.55000000000000004">
      <c r="C196"/>
      <c r="G196"/>
    </row>
    <row r="197" spans="3:7" x14ac:dyDescent="0.55000000000000004">
      <c r="C197"/>
      <c r="G197"/>
    </row>
    <row r="198" spans="3:7" x14ac:dyDescent="0.55000000000000004">
      <c r="C198"/>
      <c r="G198"/>
    </row>
    <row r="199" spans="3:7" x14ac:dyDescent="0.55000000000000004">
      <c r="C199"/>
      <c r="G199"/>
    </row>
    <row r="200" spans="3:7" x14ac:dyDescent="0.55000000000000004">
      <c r="C200"/>
      <c r="G200"/>
    </row>
    <row r="201" spans="3:7" x14ac:dyDescent="0.55000000000000004">
      <c r="C201"/>
      <c r="G201"/>
    </row>
    <row r="202" spans="3:7" x14ac:dyDescent="0.55000000000000004">
      <c r="C202"/>
      <c r="G202"/>
    </row>
    <row r="203" spans="3:7" x14ac:dyDescent="0.55000000000000004">
      <c r="C203"/>
      <c r="G203"/>
    </row>
    <row r="204" spans="3:7" x14ac:dyDescent="0.55000000000000004">
      <c r="C204"/>
      <c r="G204"/>
    </row>
    <row r="205" spans="3:7" x14ac:dyDescent="0.55000000000000004">
      <c r="C205"/>
      <c r="G205"/>
    </row>
    <row r="206" spans="3:7" x14ac:dyDescent="0.55000000000000004">
      <c r="C206"/>
      <c r="G206"/>
    </row>
    <row r="207" spans="3:7" x14ac:dyDescent="0.55000000000000004">
      <c r="C207"/>
      <c r="G207"/>
    </row>
    <row r="208" spans="3:7" x14ac:dyDescent="0.55000000000000004">
      <c r="C208"/>
      <c r="G208"/>
    </row>
    <row r="209" spans="3:7" x14ac:dyDescent="0.55000000000000004">
      <c r="C209"/>
      <c r="G209"/>
    </row>
    <row r="210" spans="3:7" x14ac:dyDescent="0.55000000000000004">
      <c r="C210"/>
      <c r="G210"/>
    </row>
    <row r="211" spans="3:7" x14ac:dyDescent="0.55000000000000004">
      <c r="C211"/>
      <c r="G211"/>
    </row>
    <row r="212" spans="3:7" x14ac:dyDescent="0.55000000000000004">
      <c r="C212"/>
      <c r="G212"/>
    </row>
    <row r="213" spans="3:7" x14ac:dyDescent="0.55000000000000004">
      <c r="C213"/>
      <c r="G213"/>
    </row>
    <row r="214" spans="3:7" x14ac:dyDescent="0.55000000000000004">
      <c r="C214"/>
      <c r="G214"/>
    </row>
    <row r="215" spans="3:7" x14ac:dyDescent="0.55000000000000004">
      <c r="C215"/>
      <c r="G215"/>
    </row>
    <row r="216" spans="3:7" x14ac:dyDescent="0.55000000000000004">
      <c r="C216"/>
      <c r="G216"/>
    </row>
    <row r="217" spans="3:7" x14ac:dyDescent="0.55000000000000004">
      <c r="C217"/>
      <c r="G217"/>
    </row>
    <row r="218" spans="3:7" x14ac:dyDescent="0.55000000000000004">
      <c r="C218"/>
      <c r="G218"/>
    </row>
    <row r="219" spans="3:7" x14ac:dyDescent="0.55000000000000004">
      <c r="C219"/>
      <c r="G219"/>
    </row>
    <row r="220" spans="3:7" x14ac:dyDescent="0.55000000000000004">
      <c r="C220"/>
      <c r="G220"/>
    </row>
    <row r="221" spans="3:7" x14ac:dyDescent="0.55000000000000004">
      <c r="C221"/>
      <c r="G221"/>
    </row>
    <row r="222" spans="3:7" x14ac:dyDescent="0.55000000000000004">
      <c r="C222"/>
      <c r="G222"/>
    </row>
    <row r="223" spans="3:7" x14ac:dyDescent="0.55000000000000004">
      <c r="C223"/>
      <c r="G223"/>
    </row>
    <row r="224" spans="3:7" x14ac:dyDescent="0.55000000000000004">
      <c r="C224"/>
      <c r="G224"/>
    </row>
    <row r="225" spans="3:7" x14ac:dyDescent="0.55000000000000004">
      <c r="C225"/>
      <c r="G225"/>
    </row>
    <row r="226" spans="3:7" x14ac:dyDescent="0.55000000000000004">
      <c r="C226"/>
      <c r="G226"/>
    </row>
    <row r="227" spans="3:7" x14ac:dyDescent="0.55000000000000004">
      <c r="C227"/>
      <c r="G227"/>
    </row>
    <row r="228" spans="3:7" x14ac:dyDescent="0.55000000000000004">
      <c r="C228"/>
      <c r="G228"/>
    </row>
    <row r="229" spans="3:7" x14ac:dyDescent="0.55000000000000004">
      <c r="C229"/>
      <c r="G229"/>
    </row>
    <row r="230" spans="3:7" x14ac:dyDescent="0.55000000000000004">
      <c r="C230"/>
      <c r="G230"/>
    </row>
    <row r="231" spans="3:7" x14ac:dyDescent="0.55000000000000004">
      <c r="C231"/>
      <c r="G231"/>
    </row>
    <row r="232" spans="3:7" x14ac:dyDescent="0.55000000000000004">
      <c r="C232"/>
      <c r="G232"/>
    </row>
    <row r="233" spans="3:7" x14ac:dyDescent="0.55000000000000004">
      <c r="C233"/>
      <c r="G233"/>
    </row>
    <row r="234" spans="3:7" x14ac:dyDescent="0.55000000000000004">
      <c r="C234"/>
      <c r="G234"/>
    </row>
    <row r="235" spans="3:7" x14ac:dyDescent="0.55000000000000004">
      <c r="C235"/>
      <c r="G235"/>
    </row>
    <row r="236" spans="3:7" x14ac:dyDescent="0.55000000000000004">
      <c r="C236"/>
      <c r="G236"/>
    </row>
    <row r="237" spans="3:7" x14ac:dyDescent="0.55000000000000004">
      <c r="C237"/>
      <c r="G237"/>
    </row>
    <row r="238" spans="3:7" x14ac:dyDescent="0.55000000000000004">
      <c r="C238"/>
      <c r="G238"/>
    </row>
    <row r="239" spans="3:7" x14ac:dyDescent="0.55000000000000004">
      <c r="C239"/>
      <c r="G239"/>
    </row>
    <row r="240" spans="3:7" x14ac:dyDescent="0.55000000000000004">
      <c r="C240"/>
      <c r="G240"/>
    </row>
    <row r="241" spans="3:7" x14ac:dyDescent="0.55000000000000004">
      <c r="C241"/>
      <c r="G241"/>
    </row>
    <row r="242" spans="3:7" x14ac:dyDescent="0.55000000000000004">
      <c r="C242"/>
      <c r="G242"/>
    </row>
    <row r="243" spans="3:7" x14ac:dyDescent="0.55000000000000004">
      <c r="C243"/>
      <c r="G243"/>
    </row>
    <row r="244" spans="3:7" x14ac:dyDescent="0.55000000000000004">
      <c r="C244"/>
      <c r="G244"/>
    </row>
    <row r="245" spans="3:7" x14ac:dyDescent="0.55000000000000004">
      <c r="C245"/>
      <c r="G245"/>
    </row>
    <row r="246" spans="3:7" x14ac:dyDescent="0.55000000000000004">
      <c r="C246"/>
      <c r="G246"/>
    </row>
    <row r="247" spans="3:7" x14ac:dyDescent="0.55000000000000004">
      <c r="C247"/>
      <c r="G247"/>
    </row>
    <row r="248" spans="3:7" x14ac:dyDescent="0.55000000000000004">
      <c r="C248"/>
      <c r="G248"/>
    </row>
    <row r="249" spans="3:7" x14ac:dyDescent="0.55000000000000004">
      <c r="C249"/>
      <c r="G249"/>
    </row>
    <row r="250" spans="3:7" x14ac:dyDescent="0.55000000000000004">
      <c r="C250"/>
      <c r="G250"/>
    </row>
    <row r="251" spans="3:7" x14ac:dyDescent="0.55000000000000004">
      <c r="C251"/>
      <c r="G251"/>
    </row>
    <row r="252" spans="3:7" x14ac:dyDescent="0.55000000000000004">
      <c r="C252"/>
      <c r="G252"/>
    </row>
    <row r="253" spans="3:7" x14ac:dyDescent="0.55000000000000004">
      <c r="C253"/>
      <c r="G253"/>
    </row>
    <row r="254" spans="3:7" x14ac:dyDescent="0.55000000000000004">
      <c r="C254"/>
      <c r="G254"/>
    </row>
    <row r="255" spans="3:7" x14ac:dyDescent="0.55000000000000004">
      <c r="C255"/>
      <c r="G255"/>
    </row>
    <row r="256" spans="3:7" x14ac:dyDescent="0.55000000000000004">
      <c r="C256"/>
      <c r="G256"/>
    </row>
    <row r="257" spans="3:7" x14ac:dyDescent="0.55000000000000004">
      <c r="C257"/>
      <c r="G257"/>
    </row>
    <row r="258" spans="3:7" x14ac:dyDescent="0.55000000000000004">
      <c r="C258"/>
      <c r="G258"/>
    </row>
    <row r="259" spans="3:7" x14ac:dyDescent="0.55000000000000004">
      <c r="C259"/>
      <c r="G259"/>
    </row>
    <row r="260" spans="3:7" x14ac:dyDescent="0.55000000000000004">
      <c r="C260"/>
      <c r="G260"/>
    </row>
    <row r="261" spans="3:7" x14ac:dyDescent="0.55000000000000004">
      <c r="C261"/>
      <c r="G261"/>
    </row>
    <row r="262" spans="3:7" x14ac:dyDescent="0.55000000000000004">
      <c r="C262"/>
      <c r="G262"/>
    </row>
    <row r="263" spans="3:7" x14ac:dyDescent="0.55000000000000004">
      <c r="C263"/>
      <c r="G263"/>
    </row>
    <row r="264" spans="3:7" x14ac:dyDescent="0.55000000000000004">
      <c r="C264"/>
      <c r="G264"/>
    </row>
    <row r="265" spans="3:7" x14ac:dyDescent="0.55000000000000004">
      <c r="C265"/>
      <c r="G265"/>
    </row>
    <row r="266" spans="3:7" x14ac:dyDescent="0.55000000000000004">
      <c r="C266"/>
      <c r="G266"/>
    </row>
    <row r="267" spans="3:7" x14ac:dyDescent="0.55000000000000004">
      <c r="C267"/>
      <c r="G267"/>
    </row>
    <row r="268" spans="3:7" x14ac:dyDescent="0.55000000000000004">
      <c r="C268"/>
      <c r="G268"/>
    </row>
    <row r="269" spans="3:7" x14ac:dyDescent="0.55000000000000004">
      <c r="C269"/>
      <c r="G269"/>
    </row>
    <row r="270" spans="3:7" x14ac:dyDescent="0.55000000000000004">
      <c r="C270"/>
      <c r="G270"/>
    </row>
    <row r="271" spans="3:7" x14ac:dyDescent="0.55000000000000004">
      <c r="C271"/>
      <c r="G271"/>
    </row>
    <row r="272" spans="3:7" x14ac:dyDescent="0.55000000000000004">
      <c r="C272"/>
      <c r="G272"/>
    </row>
    <row r="273" spans="3:7" x14ac:dyDescent="0.55000000000000004">
      <c r="C273"/>
      <c r="G273"/>
    </row>
    <row r="274" spans="3:7" x14ac:dyDescent="0.55000000000000004">
      <c r="C274"/>
      <c r="G274"/>
    </row>
    <row r="275" spans="3:7" x14ac:dyDescent="0.55000000000000004">
      <c r="C275"/>
      <c r="G275"/>
    </row>
    <row r="276" spans="3:7" x14ac:dyDescent="0.55000000000000004">
      <c r="C276"/>
      <c r="G276"/>
    </row>
    <row r="277" spans="3:7" x14ac:dyDescent="0.55000000000000004">
      <c r="C277"/>
      <c r="G277"/>
    </row>
    <row r="278" spans="3:7" x14ac:dyDescent="0.55000000000000004">
      <c r="C278"/>
      <c r="G278"/>
    </row>
    <row r="279" spans="3:7" x14ac:dyDescent="0.55000000000000004">
      <c r="C279"/>
      <c r="G279"/>
    </row>
    <row r="280" spans="3:7" x14ac:dyDescent="0.55000000000000004">
      <c r="C280"/>
      <c r="G280"/>
    </row>
    <row r="281" spans="3:7" x14ac:dyDescent="0.55000000000000004">
      <c r="C281"/>
      <c r="G281"/>
    </row>
    <row r="282" spans="3:7" x14ac:dyDescent="0.55000000000000004">
      <c r="C282"/>
      <c r="G282"/>
    </row>
    <row r="283" spans="3:7" x14ac:dyDescent="0.55000000000000004">
      <c r="C283"/>
      <c r="G283"/>
    </row>
    <row r="284" spans="3:7" x14ac:dyDescent="0.55000000000000004">
      <c r="C284"/>
      <c r="G284"/>
    </row>
    <row r="285" spans="3:7" x14ac:dyDescent="0.55000000000000004">
      <c r="C285"/>
      <c r="G285"/>
    </row>
    <row r="286" spans="3:7" x14ac:dyDescent="0.55000000000000004">
      <c r="C286"/>
      <c r="G286"/>
    </row>
    <row r="287" spans="3:7" x14ac:dyDescent="0.55000000000000004">
      <c r="C287"/>
      <c r="G287"/>
    </row>
    <row r="288" spans="3:7" x14ac:dyDescent="0.55000000000000004">
      <c r="C288"/>
      <c r="G288"/>
    </row>
    <row r="289" spans="3:7" x14ac:dyDescent="0.55000000000000004">
      <c r="C289"/>
      <c r="G289"/>
    </row>
    <row r="290" spans="3:7" x14ac:dyDescent="0.55000000000000004">
      <c r="C290"/>
      <c r="G290"/>
    </row>
    <row r="291" spans="3:7" x14ac:dyDescent="0.55000000000000004">
      <c r="C291"/>
      <c r="G291"/>
    </row>
    <row r="292" spans="3:7" x14ac:dyDescent="0.55000000000000004">
      <c r="C292"/>
      <c r="G292"/>
    </row>
    <row r="293" spans="3:7" x14ac:dyDescent="0.55000000000000004">
      <c r="C293"/>
      <c r="G293"/>
    </row>
    <row r="294" spans="3:7" x14ac:dyDescent="0.55000000000000004">
      <c r="C294"/>
      <c r="G294"/>
    </row>
    <row r="295" spans="3:7" x14ac:dyDescent="0.55000000000000004">
      <c r="C295"/>
      <c r="G295"/>
    </row>
    <row r="296" spans="3:7" x14ac:dyDescent="0.55000000000000004">
      <c r="C296"/>
      <c r="G296"/>
    </row>
    <row r="297" spans="3:7" x14ac:dyDescent="0.55000000000000004">
      <c r="C297"/>
      <c r="G297"/>
    </row>
    <row r="298" spans="3:7" x14ac:dyDescent="0.55000000000000004">
      <c r="C298"/>
      <c r="G298"/>
    </row>
    <row r="299" spans="3:7" x14ac:dyDescent="0.55000000000000004">
      <c r="C299"/>
      <c r="G299"/>
    </row>
    <row r="300" spans="3:7" x14ac:dyDescent="0.55000000000000004">
      <c r="C300"/>
      <c r="G300"/>
    </row>
    <row r="301" spans="3:7" x14ac:dyDescent="0.55000000000000004">
      <c r="C301"/>
      <c r="G301"/>
    </row>
    <row r="302" spans="3:7" x14ac:dyDescent="0.55000000000000004">
      <c r="C302"/>
      <c r="G302"/>
    </row>
    <row r="303" spans="3:7" x14ac:dyDescent="0.55000000000000004">
      <c r="C303"/>
      <c r="G303"/>
    </row>
    <row r="304" spans="3:7" x14ac:dyDescent="0.55000000000000004">
      <c r="C304"/>
      <c r="G304"/>
    </row>
    <row r="305" spans="3:7" x14ac:dyDescent="0.55000000000000004">
      <c r="C305"/>
      <c r="G305"/>
    </row>
    <row r="306" spans="3:7" x14ac:dyDescent="0.55000000000000004">
      <c r="C306"/>
      <c r="G306"/>
    </row>
    <row r="307" spans="3:7" x14ac:dyDescent="0.55000000000000004">
      <c r="C307"/>
      <c r="G307"/>
    </row>
    <row r="308" spans="3:7" x14ac:dyDescent="0.55000000000000004">
      <c r="C308"/>
      <c r="G308"/>
    </row>
    <row r="309" spans="3:7" x14ac:dyDescent="0.55000000000000004">
      <c r="C309"/>
      <c r="G309"/>
    </row>
    <row r="310" spans="3:7" x14ac:dyDescent="0.55000000000000004">
      <c r="C310"/>
      <c r="G310"/>
    </row>
    <row r="311" spans="3:7" x14ac:dyDescent="0.55000000000000004">
      <c r="C311"/>
      <c r="G311"/>
    </row>
    <row r="312" spans="3:7" x14ac:dyDescent="0.55000000000000004">
      <c r="C312"/>
      <c r="G312"/>
    </row>
    <row r="313" spans="3:7" x14ac:dyDescent="0.55000000000000004">
      <c r="C313"/>
      <c r="G313"/>
    </row>
    <row r="314" spans="3:7" x14ac:dyDescent="0.55000000000000004">
      <c r="C314"/>
      <c r="G314"/>
    </row>
    <row r="315" spans="3:7" x14ac:dyDescent="0.55000000000000004">
      <c r="C315"/>
      <c r="G315"/>
    </row>
    <row r="316" spans="3:7" x14ac:dyDescent="0.55000000000000004">
      <c r="C316"/>
      <c r="G316"/>
    </row>
    <row r="317" spans="3:7" x14ac:dyDescent="0.55000000000000004">
      <c r="C317"/>
      <c r="G317"/>
    </row>
    <row r="318" spans="3:7" x14ac:dyDescent="0.55000000000000004">
      <c r="C318"/>
      <c r="G318"/>
    </row>
    <row r="319" spans="3:7" x14ac:dyDescent="0.55000000000000004">
      <c r="C319"/>
      <c r="G319"/>
    </row>
    <row r="320" spans="3:7" x14ac:dyDescent="0.55000000000000004">
      <c r="C320"/>
      <c r="G320"/>
    </row>
    <row r="321" spans="3:7" x14ac:dyDescent="0.55000000000000004">
      <c r="C321"/>
      <c r="G321"/>
    </row>
    <row r="322" spans="3:7" x14ac:dyDescent="0.55000000000000004">
      <c r="C322"/>
      <c r="G322"/>
    </row>
    <row r="323" spans="3:7" x14ac:dyDescent="0.55000000000000004">
      <c r="C323"/>
      <c r="G323"/>
    </row>
    <row r="324" spans="3:7" x14ac:dyDescent="0.55000000000000004">
      <c r="C324"/>
      <c r="G324"/>
    </row>
    <row r="325" spans="3:7" x14ac:dyDescent="0.55000000000000004">
      <c r="C325"/>
      <c r="G325"/>
    </row>
    <row r="326" spans="3:7" x14ac:dyDescent="0.55000000000000004">
      <c r="C326"/>
      <c r="G326"/>
    </row>
    <row r="327" spans="3:7" x14ac:dyDescent="0.55000000000000004">
      <c r="C327"/>
      <c r="G327"/>
    </row>
    <row r="328" spans="3:7" x14ac:dyDescent="0.55000000000000004">
      <c r="C328"/>
      <c r="G328"/>
    </row>
    <row r="329" spans="3:7" x14ac:dyDescent="0.55000000000000004">
      <c r="C329"/>
      <c r="G329"/>
    </row>
    <row r="330" spans="3:7" x14ac:dyDescent="0.55000000000000004">
      <c r="C330"/>
      <c r="G330"/>
    </row>
    <row r="331" spans="3:7" x14ac:dyDescent="0.55000000000000004">
      <c r="C331"/>
      <c r="G331"/>
    </row>
    <row r="332" spans="3:7" x14ac:dyDescent="0.55000000000000004">
      <c r="C332"/>
      <c r="G332"/>
    </row>
    <row r="333" spans="3:7" x14ac:dyDescent="0.55000000000000004">
      <c r="C333"/>
      <c r="G333"/>
    </row>
    <row r="334" spans="3:7" x14ac:dyDescent="0.55000000000000004">
      <c r="C334"/>
      <c r="G334"/>
    </row>
    <row r="335" spans="3:7" x14ac:dyDescent="0.55000000000000004">
      <c r="C335"/>
      <c r="G335"/>
    </row>
    <row r="336" spans="3:7" x14ac:dyDescent="0.55000000000000004">
      <c r="C336"/>
      <c r="G336"/>
    </row>
    <row r="337" spans="3:7" x14ac:dyDescent="0.55000000000000004">
      <c r="C337"/>
      <c r="G337"/>
    </row>
    <row r="338" spans="3:7" x14ac:dyDescent="0.55000000000000004">
      <c r="C338"/>
      <c r="G338"/>
    </row>
    <row r="339" spans="3:7" x14ac:dyDescent="0.55000000000000004">
      <c r="C339"/>
      <c r="G339"/>
    </row>
    <row r="340" spans="3:7" x14ac:dyDescent="0.55000000000000004">
      <c r="C340"/>
      <c r="G340"/>
    </row>
    <row r="341" spans="3:7" x14ac:dyDescent="0.55000000000000004">
      <c r="C341"/>
      <c r="G341"/>
    </row>
    <row r="342" spans="3:7" x14ac:dyDescent="0.55000000000000004">
      <c r="C342"/>
      <c r="G342"/>
    </row>
    <row r="343" spans="3:7" x14ac:dyDescent="0.55000000000000004">
      <c r="C343"/>
      <c r="G343"/>
    </row>
    <row r="344" spans="3:7" x14ac:dyDescent="0.55000000000000004">
      <c r="C344"/>
      <c r="G344"/>
    </row>
    <row r="345" spans="3:7" x14ac:dyDescent="0.55000000000000004">
      <c r="C345"/>
      <c r="G345"/>
    </row>
    <row r="346" spans="3:7" x14ac:dyDescent="0.55000000000000004">
      <c r="C346"/>
      <c r="G346"/>
    </row>
    <row r="347" spans="3:7" x14ac:dyDescent="0.55000000000000004">
      <c r="C347"/>
      <c r="G347"/>
    </row>
    <row r="348" spans="3:7" x14ac:dyDescent="0.55000000000000004">
      <c r="C348"/>
      <c r="G348"/>
    </row>
    <row r="349" spans="3:7" x14ac:dyDescent="0.55000000000000004">
      <c r="C349"/>
      <c r="G349"/>
    </row>
    <row r="350" spans="3:7" x14ac:dyDescent="0.55000000000000004">
      <c r="C350"/>
      <c r="G350"/>
    </row>
    <row r="351" spans="3:7" x14ac:dyDescent="0.55000000000000004">
      <c r="C351"/>
      <c r="G351"/>
    </row>
    <row r="352" spans="3:7" x14ac:dyDescent="0.55000000000000004">
      <c r="C352"/>
      <c r="G352"/>
    </row>
    <row r="353" spans="3:7" x14ac:dyDescent="0.55000000000000004">
      <c r="C353"/>
      <c r="G353"/>
    </row>
    <row r="354" spans="3:7" x14ac:dyDescent="0.55000000000000004">
      <c r="C354"/>
      <c r="G354"/>
    </row>
    <row r="355" spans="3:7" x14ac:dyDescent="0.55000000000000004">
      <c r="C355"/>
      <c r="G355"/>
    </row>
    <row r="356" spans="3:7" x14ac:dyDescent="0.55000000000000004">
      <c r="C356"/>
      <c r="G356"/>
    </row>
    <row r="357" spans="3:7" x14ac:dyDescent="0.55000000000000004">
      <c r="C357"/>
      <c r="G357"/>
    </row>
    <row r="358" spans="3:7" x14ac:dyDescent="0.55000000000000004">
      <c r="C358"/>
      <c r="G358"/>
    </row>
    <row r="359" spans="3:7" x14ac:dyDescent="0.55000000000000004">
      <c r="C359"/>
      <c r="G359"/>
    </row>
    <row r="360" spans="3:7" x14ac:dyDescent="0.55000000000000004">
      <c r="C360"/>
      <c r="G360"/>
    </row>
    <row r="361" spans="3:7" x14ac:dyDescent="0.55000000000000004">
      <c r="C361"/>
      <c r="G361"/>
    </row>
    <row r="362" spans="3:7" x14ac:dyDescent="0.55000000000000004">
      <c r="C362"/>
      <c r="G362"/>
    </row>
    <row r="363" spans="3:7" x14ac:dyDescent="0.55000000000000004">
      <c r="C363"/>
      <c r="G363"/>
    </row>
    <row r="364" spans="3:7" x14ac:dyDescent="0.55000000000000004">
      <c r="C364"/>
      <c r="G364"/>
    </row>
    <row r="365" spans="3:7" x14ac:dyDescent="0.55000000000000004">
      <c r="C365"/>
      <c r="G365"/>
    </row>
    <row r="366" spans="3:7" x14ac:dyDescent="0.55000000000000004">
      <c r="C366"/>
      <c r="G366"/>
    </row>
    <row r="367" spans="3:7" x14ac:dyDescent="0.55000000000000004">
      <c r="C367"/>
      <c r="G367"/>
    </row>
    <row r="368" spans="3:7" x14ac:dyDescent="0.55000000000000004">
      <c r="C368"/>
      <c r="G368"/>
    </row>
    <row r="369" spans="3:7" x14ac:dyDescent="0.55000000000000004">
      <c r="C369"/>
      <c r="G369"/>
    </row>
    <row r="370" spans="3:7" x14ac:dyDescent="0.55000000000000004">
      <c r="C370"/>
      <c r="G370"/>
    </row>
    <row r="371" spans="3:7" x14ac:dyDescent="0.55000000000000004">
      <c r="C371"/>
      <c r="G371"/>
    </row>
    <row r="372" spans="3:7" x14ac:dyDescent="0.55000000000000004">
      <c r="C372"/>
      <c r="G372"/>
    </row>
    <row r="373" spans="3:7" x14ac:dyDescent="0.55000000000000004">
      <c r="C373"/>
      <c r="G373"/>
    </row>
    <row r="374" spans="3:7" x14ac:dyDescent="0.55000000000000004">
      <c r="C374"/>
      <c r="G374"/>
    </row>
    <row r="375" spans="3:7" x14ac:dyDescent="0.55000000000000004">
      <c r="C375"/>
      <c r="G375"/>
    </row>
    <row r="376" spans="3:7" x14ac:dyDescent="0.55000000000000004">
      <c r="C376"/>
      <c r="G376"/>
    </row>
    <row r="377" spans="3:7" x14ac:dyDescent="0.55000000000000004">
      <c r="C377"/>
      <c r="G377"/>
    </row>
    <row r="378" spans="3:7" x14ac:dyDescent="0.55000000000000004">
      <c r="C378"/>
      <c r="G378"/>
    </row>
    <row r="379" spans="3:7" x14ac:dyDescent="0.55000000000000004">
      <c r="C379"/>
      <c r="G379"/>
    </row>
    <row r="380" spans="3:7" x14ac:dyDescent="0.55000000000000004">
      <c r="C380"/>
      <c r="G380"/>
    </row>
    <row r="381" spans="3:7" x14ac:dyDescent="0.55000000000000004">
      <c r="C381"/>
      <c r="G381"/>
    </row>
    <row r="382" spans="3:7" x14ac:dyDescent="0.55000000000000004">
      <c r="C382"/>
      <c r="G382"/>
    </row>
    <row r="383" spans="3:7" x14ac:dyDescent="0.55000000000000004">
      <c r="C383"/>
      <c r="G383"/>
    </row>
    <row r="384" spans="3:7" x14ac:dyDescent="0.55000000000000004">
      <c r="C384"/>
      <c r="G384"/>
    </row>
    <row r="385" spans="3:7" x14ac:dyDescent="0.55000000000000004">
      <c r="C385"/>
      <c r="G385"/>
    </row>
    <row r="386" spans="3:7" x14ac:dyDescent="0.55000000000000004">
      <c r="C386"/>
      <c r="G386"/>
    </row>
    <row r="387" spans="3:7" x14ac:dyDescent="0.55000000000000004">
      <c r="C387"/>
      <c r="G387"/>
    </row>
    <row r="388" spans="3:7" x14ac:dyDescent="0.55000000000000004">
      <c r="C388"/>
      <c r="G388"/>
    </row>
    <row r="389" spans="3:7" x14ac:dyDescent="0.55000000000000004">
      <c r="C389"/>
      <c r="G389"/>
    </row>
    <row r="390" spans="3:7" x14ac:dyDescent="0.55000000000000004">
      <c r="C390"/>
      <c r="G390"/>
    </row>
    <row r="391" spans="3:7" x14ac:dyDescent="0.55000000000000004">
      <c r="C391"/>
      <c r="G391"/>
    </row>
    <row r="392" spans="3:7" x14ac:dyDescent="0.55000000000000004">
      <c r="C392"/>
      <c r="G392"/>
    </row>
    <row r="393" spans="3:7" x14ac:dyDescent="0.55000000000000004">
      <c r="C393"/>
      <c r="G393"/>
    </row>
    <row r="394" spans="3:7" x14ac:dyDescent="0.55000000000000004">
      <c r="C394"/>
      <c r="G394"/>
    </row>
    <row r="395" spans="3:7" x14ac:dyDescent="0.55000000000000004">
      <c r="C395"/>
      <c r="G395"/>
    </row>
    <row r="396" spans="3:7" x14ac:dyDescent="0.55000000000000004">
      <c r="C396"/>
      <c r="G396"/>
    </row>
    <row r="397" spans="3:7" x14ac:dyDescent="0.55000000000000004">
      <c r="C397"/>
      <c r="G397"/>
    </row>
    <row r="398" spans="3:7" x14ac:dyDescent="0.55000000000000004">
      <c r="C398"/>
      <c r="G398"/>
    </row>
    <row r="399" spans="3:7" x14ac:dyDescent="0.55000000000000004">
      <c r="C399"/>
      <c r="G399"/>
    </row>
    <row r="400" spans="3:7" x14ac:dyDescent="0.55000000000000004">
      <c r="C400"/>
      <c r="G400"/>
    </row>
    <row r="401" spans="3:7" x14ac:dyDescent="0.55000000000000004">
      <c r="C401"/>
      <c r="G401"/>
    </row>
    <row r="402" spans="3:7" x14ac:dyDescent="0.55000000000000004">
      <c r="C402"/>
      <c r="G402"/>
    </row>
    <row r="403" spans="3:7" x14ac:dyDescent="0.55000000000000004">
      <c r="C403"/>
      <c r="G403"/>
    </row>
    <row r="404" spans="3:7" x14ac:dyDescent="0.55000000000000004">
      <c r="C404"/>
      <c r="G404"/>
    </row>
    <row r="405" spans="3:7" x14ac:dyDescent="0.55000000000000004">
      <c r="C405"/>
      <c r="G405"/>
    </row>
    <row r="406" spans="3:7" x14ac:dyDescent="0.55000000000000004">
      <c r="C406"/>
      <c r="G406"/>
    </row>
    <row r="407" spans="3:7" x14ac:dyDescent="0.55000000000000004">
      <c r="C407"/>
      <c r="G407"/>
    </row>
    <row r="408" spans="3:7" x14ac:dyDescent="0.55000000000000004">
      <c r="C408"/>
      <c r="G408"/>
    </row>
    <row r="409" spans="3:7" x14ac:dyDescent="0.55000000000000004">
      <c r="C409"/>
      <c r="G409"/>
    </row>
    <row r="410" spans="3:7" x14ac:dyDescent="0.55000000000000004">
      <c r="C410"/>
      <c r="G410"/>
    </row>
    <row r="411" spans="3:7" x14ac:dyDescent="0.55000000000000004">
      <c r="C411"/>
      <c r="G411"/>
    </row>
    <row r="412" spans="3:7" x14ac:dyDescent="0.55000000000000004">
      <c r="C412"/>
      <c r="G412"/>
    </row>
    <row r="413" spans="3:7" x14ac:dyDescent="0.55000000000000004">
      <c r="C413"/>
      <c r="G413"/>
    </row>
    <row r="414" spans="3:7" x14ac:dyDescent="0.55000000000000004">
      <c r="C414"/>
      <c r="G414"/>
    </row>
    <row r="415" spans="3:7" x14ac:dyDescent="0.55000000000000004">
      <c r="C415"/>
      <c r="G415"/>
    </row>
    <row r="416" spans="3:7" x14ac:dyDescent="0.55000000000000004">
      <c r="C416"/>
      <c r="G416"/>
    </row>
    <row r="417" spans="3:7" x14ac:dyDescent="0.55000000000000004">
      <c r="C417"/>
      <c r="G417"/>
    </row>
    <row r="418" spans="3:7" x14ac:dyDescent="0.55000000000000004">
      <c r="C418"/>
      <c r="G418"/>
    </row>
    <row r="419" spans="3:7" x14ac:dyDescent="0.55000000000000004">
      <c r="C419"/>
      <c r="G419"/>
    </row>
    <row r="420" spans="3:7" x14ac:dyDescent="0.55000000000000004">
      <c r="C420"/>
      <c r="G420"/>
    </row>
    <row r="421" spans="3:7" x14ac:dyDescent="0.55000000000000004">
      <c r="C421"/>
      <c r="G421"/>
    </row>
    <row r="422" spans="3:7" x14ac:dyDescent="0.55000000000000004">
      <c r="C422"/>
      <c r="G422"/>
    </row>
    <row r="423" spans="3:7" x14ac:dyDescent="0.55000000000000004">
      <c r="C423"/>
      <c r="G423"/>
    </row>
    <row r="424" spans="3:7" x14ac:dyDescent="0.55000000000000004">
      <c r="C424"/>
      <c r="G424"/>
    </row>
    <row r="425" spans="3:7" x14ac:dyDescent="0.55000000000000004">
      <c r="C425"/>
      <c r="G425"/>
    </row>
    <row r="426" spans="3:7" x14ac:dyDescent="0.55000000000000004">
      <c r="C426"/>
      <c r="G426"/>
    </row>
    <row r="427" spans="3:7" x14ac:dyDescent="0.55000000000000004">
      <c r="C427"/>
      <c r="G427"/>
    </row>
    <row r="428" spans="3:7" x14ac:dyDescent="0.55000000000000004">
      <c r="C428"/>
      <c r="G428"/>
    </row>
    <row r="429" spans="3:7" x14ac:dyDescent="0.55000000000000004">
      <c r="C429"/>
      <c r="G429"/>
    </row>
    <row r="430" spans="3:7" x14ac:dyDescent="0.55000000000000004">
      <c r="C430"/>
      <c r="G430"/>
    </row>
    <row r="431" spans="3:7" x14ac:dyDescent="0.55000000000000004">
      <c r="C431"/>
      <c r="G431"/>
    </row>
    <row r="432" spans="3:7" x14ac:dyDescent="0.55000000000000004">
      <c r="C432"/>
      <c r="G432"/>
    </row>
    <row r="433" spans="3:7" x14ac:dyDescent="0.55000000000000004">
      <c r="C433"/>
      <c r="G433"/>
    </row>
    <row r="434" spans="3:7" x14ac:dyDescent="0.55000000000000004">
      <c r="C434"/>
      <c r="G434"/>
    </row>
    <row r="435" spans="3:7" x14ac:dyDescent="0.55000000000000004">
      <c r="C435"/>
      <c r="G435"/>
    </row>
    <row r="436" spans="3:7" x14ac:dyDescent="0.55000000000000004">
      <c r="C436"/>
      <c r="G436"/>
    </row>
    <row r="437" spans="3:7" x14ac:dyDescent="0.55000000000000004">
      <c r="C437"/>
      <c r="G437"/>
    </row>
    <row r="438" spans="3:7" x14ac:dyDescent="0.55000000000000004">
      <c r="C438"/>
      <c r="G438"/>
    </row>
    <row r="439" spans="3:7" x14ac:dyDescent="0.55000000000000004">
      <c r="C439"/>
      <c r="G439"/>
    </row>
    <row r="440" spans="3:7" x14ac:dyDescent="0.55000000000000004">
      <c r="C440"/>
      <c r="G440"/>
    </row>
    <row r="441" spans="3:7" x14ac:dyDescent="0.55000000000000004">
      <c r="C441"/>
      <c r="G441"/>
    </row>
    <row r="442" spans="3:7" x14ac:dyDescent="0.55000000000000004">
      <c r="C442"/>
      <c r="G442"/>
    </row>
    <row r="443" spans="3:7" x14ac:dyDescent="0.55000000000000004">
      <c r="C443"/>
      <c r="G443"/>
    </row>
    <row r="444" spans="3:7" x14ac:dyDescent="0.55000000000000004">
      <c r="C444"/>
      <c r="G444"/>
    </row>
    <row r="445" spans="3:7" x14ac:dyDescent="0.55000000000000004">
      <c r="C445"/>
      <c r="G445"/>
    </row>
    <row r="446" spans="3:7" x14ac:dyDescent="0.55000000000000004">
      <c r="C446"/>
      <c r="G446"/>
    </row>
    <row r="447" spans="3:7" x14ac:dyDescent="0.55000000000000004">
      <c r="C447"/>
      <c r="G447"/>
    </row>
    <row r="448" spans="3:7" x14ac:dyDescent="0.55000000000000004">
      <c r="C448"/>
      <c r="G448"/>
    </row>
    <row r="449" spans="3:7" x14ac:dyDescent="0.55000000000000004">
      <c r="C449"/>
      <c r="G449"/>
    </row>
    <row r="450" spans="3:7" x14ac:dyDescent="0.55000000000000004">
      <c r="C450"/>
      <c r="G450"/>
    </row>
    <row r="451" spans="3:7" x14ac:dyDescent="0.55000000000000004">
      <c r="C451"/>
      <c r="G451"/>
    </row>
    <row r="452" spans="3:7" x14ac:dyDescent="0.55000000000000004">
      <c r="C452"/>
      <c r="G452"/>
    </row>
    <row r="453" spans="3:7" x14ac:dyDescent="0.55000000000000004">
      <c r="C453"/>
      <c r="G453"/>
    </row>
    <row r="454" spans="3:7" x14ac:dyDescent="0.55000000000000004">
      <c r="C454"/>
      <c r="G454"/>
    </row>
    <row r="455" spans="3:7" x14ac:dyDescent="0.55000000000000004">
      <c r="C455"/>
      <c r="G455"/>
    </row>
    <row r="456" spans="3:7" x14ac:dyDescent="0.55000000000000004">
      <c r="C456"/>
      <c r="G456"/>
    </row>
    <row r="457" spans="3:7" x14ac:dyDescent="0.55000000000000004">
      <c r="C457"/>
      <c r="G457"/>
    </row>
    <row r="458" spans="3:7" x14ac:dyDescent="0.55000000000000004">
      <c r="C458"/>
      <c r="G458"/>
    </row>
    <row r="459" spans="3:7" x14ac:dyDescent="0.55000000000000004">
      <c r="C459"/>
      <c r="G459"/>
    </row>
    <row r="460" spans="3:7" x14ac:dyDescent="0.55000000000000004">
      <c r="C460"/>
      <c r="G460"/>
    </row>
    <row r="461" spans="3:7" x14ac:dyDescent="0.55000000000000004">
      <c r="C461"/>
      <c r="G461"/>
    </row>
    <row r="462" spans="3:7" x14ac:dyDescent="0.55000000000000004">
      <c r="C462"/>
      <c r="G462"/>
    </row>
    <row r="463" spans="3:7" x14ac:dyDescent="0.55000000000000004">
      <c r="C463"/>
      <c r="G463"/>
    </row>
    <row r="464" spans="3:7" x14ac:dyDescent="0.55000000000000004">
      <c r="C464"/>
      <c r="G464"/>
    </row>
    <row r="465" spans="3:7" x14ac:dyDescent="0.55000000000000004">
      <c r="C465"/>
      <c r="G465"/>
    </row>
    <row r="466" spans="3:7" x14ac:dyDescent="0.55000000000000004">
      <c r="C466"/>
      <c r="G466"/>
    </row>
    <row r="467" spans="3:7" x14ac:dyDescent="0.55000000000000004">
      <c r="C467"/>
      <c r="G467"/>
    </row>
    <row r="468" spans="3:7" x14ac:dyDescent="0.55000000000000004">
      <c r="C468"/>
      <c r="G468"/>
    </row>
    <row r="469" spans="3:7" x14ac:dyDescent="0.55000000000000004">
      <c r="C469"/>
      <c r="G469"/>
    </row>
    <row r="470" spans="3:7" x14ac:dyDescent="0.55000000000000004">
      <c r="C470"/>
      <c r="G470"/>
    </row>
    <row r="471" spans="3:7" x14ac:dyDescent="0.55000000000000004">
      <c r="C471"/>
      <c r="G471"/>
    </row>
    <row r="472" spans="3:7" x14ac:dyDescent="0.55000000000000004">
      <c r="C472"/>
      <c r="G472"/>
    </row>
    <row r="473" spans="3:7" x14ac:dyDescent="0.55000000000000004">
      <c r="C473"/>
      <c r="G473"/>
    </row>
    <row r="474" spans="3:7" x14ac:dyDescent="0.55000000000000004">
      <c r="C474"/>
      <c r="G474"/>
    </row>
    <row r="475" spans="3:7" x14ac:dyDescent="0.55000000000000004">
      <c r="C475"/>
      <c r="G475"/>
    </row>
    <row r="476" spans="3:7" x14ac:dyDescent="0.55000000000000004">
      <c r="C476"/>
      <c r="G476"/>
    </row>
    <row r="477" spans="3:7" x14ac:dyDescent="0.55000000000000004">
      <c r="C477"/>
      <c r="G477"/>
    </row>
    <row r="478" spans="3:7" x14ac:dyDescent="0.55000000000000004">
      <c r="C478"/>
      <c r="G478"/>
    </row>
    <row r="479" spans="3:7" x14ac:dyDescent="0.55000000000000004">
      <c r="C479"/>
      <c r="G479"/>
    </row>
    <row r="480" spans="3:7" x14ac:dyDescent="0.55000000000000004">
      <c r="C480"/>
      <c r="G480"/>
    </row>
    <row r="481" spans="3:7" x14ac:dyDescent="0.55000000000000004">
      <c r="C481"/>
      <c r="G481"/>
    </row>
    <row r="482" spans="3:7" x14ac:dyDescent="0.55000000000000004">
      <c r="C482"/>
      <c r="G482"/>
    </row>
    <row r="483" spans="3:7" x14ac:dyDescent="0.55000000000000004">
      <c r="C483"/>
      <c r="G483"/>
    </row>
    <row r="484" spans="3:7" x14ac:dyDescent="0.55000000000000004">
      <c r="C484"/>
      <c r="G484"/>
    </row>
    <row r="485" spans="3:7" x14ac:dyDescent="0.55000000000000004">
      <c r="C485"/>
      <c r="G485"/>
    </row>
    <row r="486" spans="3:7" x14ac:dyDescent="0.55000000000000004">
      <c r="C486"/>
      <c r="G486"/>
    </row>
    <row r="487" spans="3:7" x14ac:dyDescent="0.55000000000000004">
      <c r="C487"/>
      <c r="G487"/>
    </row>
    <row r="488" spans="3:7" x14ac:dyDescent="0.55000000000000004">
      <c r="C488"/>
      <c r="G488"/>
    </row>
    <row r="489" spans="3:7" x14ac:dyDescent="0.55000000000000004">
      <c r="C489"/>
      <c r="G489"/>
    </row>
    <row r="490" spans="3:7" x14ac:dyDescent="0.55000000000000004">
      <c r="C490"/>
      <c r="G490"/>
    </row>
    <row r="491" spans="3:7" x14ac:dyDescent="0.55000000000000004">
      <c r="C491"/>
      <c r="G491"/>
    </row>
    <row r="492" spans="3:7" x14ac:dyDescent="0.55000000000000004">
      <c r="C492"/>
      <c r="G492"/>
    </row>
    <row r="493" spans="3:7" x14ac:dyDescent="0.55000000000000004">
      <c r="C493"/>
      <c r="G493"/>
    </row>
    <row r="494" spans="3:7" x14ac:dyDescent="0.55000000000000004">
      <c r="C494"/>
      <c r="G494"/>
    </row>
    <row r="495" spans="3:7" x14ac:dyDescent="0.55000000000000004">
      <c r="C495"/>
      <c r="G495"/>
    </row>
    <row r="496" spans="3:7" x14ac:dyDescent="0.55000000000000004">
      <c r="C496"/>
      <c r="G496"/>
    </row>
    <row r="497" spans="3:7" x14ac:dyDescent="0.55000000000000004">
      <c r="C497"/>
      <c r="G497"/>
    </row>
    <row r="498" spans="3:7" x14ac:dyDescent="0.55000000000000004">
      <c r="C498"/>
      <c r="G498"/>
    </row>
    <row r="499" spans="3:7" x14ac:dyDescent="0.55000000000000004">
      <c r="C499"/>
      <c r="G499"/>
    </row>
    <row r="500" spans="3:7" x14ac:dyDescent="0.55000000000000004">
      <c r="C500"/>
      <c r="G500"/>
    </row>
    <row r="501" spans="3:7" x14ac:dyDescent="0.55000000000000004">
      <c r="C501"/>
      <c r="G501"/>
    </row>
    <row r="502" spans="3:7" x14ac:dyDescent="0.55000000000000004">
      <c r="C502"/>
      <c r="G502"/>
    </row>
    <row r="503" spans="3:7" x14ac:dyDescent="0.55000000000000004">
      <c r="C503"/>
      <c r="G503"/>
    </row>
    <row r="504" spans="3:7" x14ac:dyDescent="0.55000000000000004">
      <c r="C504"/>
      <c r="G504"/>
    </row>
    <row r="505" spans="3:7" x14ac:dyDescent="0.55000000000000004">
      <c r="C505"/>
      <c r="G505"/>
    </row>
    <row r="506" spans="3:7" x14ac:dyDescent="0.55000000000000004">
      <c r="C506"/>
      <c r="G506"/>
    </row>
    <row r="507" spans="3:7" x14ac:dyDescent="0.55000000000000004">
      <c r="C507"/>
      <c r="G507"/>
    </row>
    <row r="508" spans="3:7" x14ac:dyDescent="0.55000000000000004">
      <c r="C508"/>
      <c r="G508"/>
    </row>
    <row r="509" spans="3:7" x14ac:dyDescent="0.55000000000000004">
      <c r="C509"/>
      <c r="G509"/>
    </row>
    <row r="510" spans="3:7" x14ac:dyDescent="0.55000000000000004">
      <c r="C510"/>
      <c r="G510"/>
    </row>
    <row r="511" spans="3:7" x14ac:dyDescent="0.55000000000000004">
      <c r="C511"/>
      <c r="G511"/>
    </row>
    <row r="512" spans="3:7" x14ac:dyDescent="0.55000000000000004">
      <c r="C512"/>
      <c r="G512"/>
    </row>
    <row r="513" spans="3:7" x14ac:dyDescent="0.55000000000000004">
      <c r="C513"/>
      <c r="G513"/>
    </row>
    <row r="514" spans="3:7" x14ac:dyDescent="0.55000000000000004">
      <c r="C514"/>
      <c r="G514"/>
    </row>
    <row r="515" spans="3:7" x14ac:dyDescent="0.55000000000000004">
      <c r="C515"/>
      <c r="G515"/>
    </row>
    <row r="516" spans="3:7" x14ac:dyDescent="0.55000000000000004">
      <c r="C516"/>
      <c r="G516"/>
    </row>
    <row r="517" spans="3:7" x14ac:dyDescent="0.55000000000000004">
      <c r="C517"/>
      <c r="G517"/>
    </row>
    <row r="518" spans="3:7" x14ac:dyDescent="0.55000000000000004">
      <c r="C518"/>
      <c r="G518"/>
    </row>
    <row r="519" spans="3:7" x14ac:dyDescent="0.55000000000000004">
      <c r="C519"/>
      <c r="G519"/>
    </row>
    <row r="520" spans="3:7" x14ac:dyDescent="0.55000000000000004">
      <c r="C520"/>
      <c r="G520"/>
    </row>
    <row r="521" spans="3:7" x14ac:dyDescent="0.55000000000000004">
      <c r="C521"/>
      <c r="G521"/>
    </row>
    <row r="522" spans="3:7" x14ac:dyDescent="0.55000000000000004">
      <c r="C522"/>
      <c r="G522"/>
    </row>
    <row r="523" spans="3:7" x14ac:dyDescent="0.55000000000000004">
      <c r="C523"/>
      <c r="G523"/>
    </row>
    <row r="524" spans="3:7" x14ac:dyDescent="0.55000000000000004">
      <c r="C524"/>
      <c r="G524"/>
    </row>
    <row r="525" spans="3:7" x14ac:dyDescent="0.55000000000000004">
      <c r="C525"/>
      <c r="G525"/>
    </row>
    <row r="526" spans="3:7" x14ac:dyDescent="0.55000000000000004">
      <c r="C526"/>
      <c r="G526"/>
    </row>
    <row r="527" spans="3:7" x14ac:dyDescent="0.55000000000000004">
      <c r="C527"/>
      <c r="G527"/>
    </row>
    <row r="528" spans="3:7" x14ac:dyDescent="0.55000000000000004">
      <c r="C528"/>
      <c r="G528"/>
    </row>
    <row r="529" spans="3:7" x14ac:dyDescent="0.55000000000000004">
      <c r="C529"/>
      <c r="G529"/>
    </row>
    <row r="530" spans="3:7" x14ac:dyDescent="0.55000000000000004">
      <c r="C530"/>
      <c r="G530"/>
    </row>
    <row r="531" spans="3:7" x14ac:dyDescent="0.55000000000000004">
      <c r="C531"/>
      <c r="G531"/>
    </row>
    <row r="532" spans="3:7" x14ac:dyDescent="0.55000000000000004">
      <c r="C532"/>
      <c r="G532"/>
    </row>
    <row r="533" spans="3:7" x14ac:dyDescent="0.55000000000000004">
      <c r="C533"/>
      <c r="G533"/>
    </row>
    <row r="534" spans="3:7" x14ac:dyDescent="0.55000000000000004">
      <c r="C534"/>
      <c r="G534"/>
    </row>
    <row r="535" spans="3:7" x14ac:dyDescent="0.55000000000000004">
      <c r="C535"/>
      <c r="G535"/>
    </row>
    <row r="536" spans="3:7" x14ac:dyDescent="0.55000000000000004">
      <c r="C536"/>
      <c r="G536"/>
    </row>
    <row r="537" spans="3:7" x14ac:dyDescent="0.55000000000000004">
      <c r="C537"/>
      <c r="G537"/>
    </row>
    <row r="538" spans="3:7" x14ac:dyDescent="0.55000000000000004">
      <c r="C538"/>
      <c r="G538"/>
    </row>
    <row r="539" spans="3:7" x14ac:dyDescent="0.55000000000000004">
      <c r="C539"/>
      <c r="G539"/>
    </row>
    <row r="540" spans="3:7" x14ac:dyDescent="0.55000000000000004">
      <c r="C540"/>
      <c r="G540"/>
    </row>
    <row r="541" spans="3:7" x14ac:dyDescent="0.55000000000000004">
      <c r="C541"/>
      <c r="G541"/>
    </row>
    <row r="542" spans="3:7" x14ac:dyDescent="0.55000000000000004">
      <c r="C542"/>
      <c r="G542"/>
    </row>
    <row r="543" spans="3:7" x14ac:dyDescent="0.55000000000000004">
      <c r="C543"/>
      <c r="G543"/>
    </row>
    <row r="544" spans="3:7" x14ac:dyDescent="0.55000000000000004">
      <c r="C544"/>
      <c r="G544"/>
    </row>
    <row r="545" spans="3:7" x14ac:dyDescent="0.55000000000000004">
      <c r="C545"/>
      <c r="G545"/>
    </row>
    <row r="546" spans="3:7" x14ac:dyDescent="0.55000000000000004">
      <c r="C546"/>
      <c r="G546"/>
    </row>
    <row r="547" spans="3:7" x14ac:dyDescent="0.55000000000000004">
      <c r="C547"/>
      <c r="G547"/>
    </row>
    <row r="548" spans="3:7" x14ac:dyDescent="0.55000000000000004">
      <c r="C548"/>
      <c r="G548"/>
    </row>
    <row r="549" spans="3:7" x14ac:dyDescent="0.55000000000000004">
      <c r="C549"/>
      <c r="G549"/>
    </row>
    <row r="550" spans="3:7" x14ac:dyDescent="0.55000000000000004">
      <c r="C550"/>
      <c r="G550"/>
    </row>
    <row r="551" spans="3:7" x14ac:dyDescent="0.55000000000000004">
      <c r="C551"/>
      <c r="G551"/>
    </row>
    <row r="552" spans="3:7" x14ac:dyDescent="0.55000000000000004">
      <c r="C552"/>
      <c r="G552"/>
    </row>
    <row r="553" spans="3:7" x14ac:dyDescent="0.55000000000000004">
      <c r="C553"/>
      <c r="G553"/>
    </row>
    <row r="554" spans="3:7" x14ac:dyDescent="0.55000000000000004">
      <c r="C554"/>
      <c r="G554"/>
    </row>
    <row r="555" spans="3:7" x14ac:dyDescent="0.55000000000000004">
      <c r="C555"/>
      <c r="G555"/>
    </row>
    <row r="556" spans="3:7" x14ac:dyDescent="0.55000000000000004">
      <c r="C556"/>
      <c r="G556"/>
    </row>
    <row r="557" spans="3:7" x14ac:dyDescent="0.55000000000000004">
      <c r="C557"/>
      <c r="G557"/>
    </row>
    <row r="558" spans="3:7" x14ac:dyDescent="0.55000000000000004">
      <c r="C558"/>
      <c r="G558"/>
    </row>
    <row r="559" spans="3:7" x14ac:dyDescent="0.55000000000000004">
      <c r="C559"/>
      <c r="G559"/>
    </row>
    <row r="560" spans="3:7" x14ac:dyDescent="0.55000000000000004">
      <c r="C560"/>
      <c r="G560"/>
    </row>
    <row r="561" spans="3:7" x14ac:dyDescent="0.55000000000000004">
      <c r="C561"/>
      <c r="G561"/>
    </row>
    <row r="562" spans="3:7" x14ac:dyDescent="0.55000000000000004">
      <c r="C562"/>
      <c r="G562"/>
    </row>
    <row r="563" spans="3:7" x14ac:dyDescent="0.55000000000000004">
      <c r="C563"/>
      <c r="G563"/>
    </row>
    <row r="564" spans="3:7" x14ac:dyDescent="0.55000000000000004">
      <c r="C564"/>
      <c r="G564"/>
    </row>
    <row r="565" spans="3:7" x14ac:dyDescent="0.55000000000000004">
      <c r="C565"/>
      <c r="G565"/>
    </row>
    <row r="566" spans="3:7" x14ac:dyDescent="0.55000000000000004">
      <c r="C566"/>
      <c r="G566"/>
    </row>
    <row r="567" spans="3:7" x14ac:dyDescent="0.55000000000000004">
      <c r="C567"/>
      <c r="G567"/>
    </row>
    <row r="568" spans="3:7" x14ac:dyDescent="0.55000000000000004">
      <c r="C568"/>
      <c r="G568"/>
    </row>
    <row r="569" spans="3:7" x14ac:dyDescent="0.55000000000000004">
      <c r="C569"/>
      <c r="G569"/>
    </row>
    <row r="570" spans="3:7" x14ac:dyDescent="0.55000000000000004">
      <c r="C570"/>
      <c r="G570"/>
    </row>
    <row r="571" spans="3:7" x14ac:dyDescent="0.55000000000000004">
      <c r="C571"/>
      <c r="G571"/>
    </row>
    <row r="572" spans="3:7" x14ac:dyDescent="0.55000000000000004">
      <c r="C572"/>
      <c r="G572"/>
    </row>
    <row r="573" spans="3:7" x14ac:dyDescent="0.55000000000000004">
      <c r="C573"/>
      <c r="G573"/>
    </row>
    <row r="574" spans="3:7" x14ac:dyDescent="0.55000000000000004">
      <c r="C574"/>
      <c r="G574"/>
    </row>
    <row r="575" spans="3:7" x14ac:dyDescent="0.55000000000000004">
      <c r="C575"/>
      <c r="G575"/>
    </row>
    <row r="576" spans="3:7" x14ac:dyDescent="0.55000000000000004">
      <c r="C576"/>
      <c r="G576"/>
    </row>
    <row r="577" spans="3:7" x14ac:dyDescent="0.55000000000000004">
      <c r="C577"/>
      <c r="G577"/>
    </row>
    <row r="578" spans="3:7" x14ac:dyDescent="0.55000000000000004">
      <c r="C578"/>
      <c r="G578"/>
    </row>
    <row r="579" spans="3:7" x14ac:dyDescent="0.55000000000000004">
      <c r="C579"/>
      <c r="G579"/>
    </row>
    <row r="580" spans="3:7" x14ac:dyDescent="0.55000000000000004">
      <c r="C580"/>
      <c r="G580"/>
    </row>
    <row r="581" spans="3:7" x14ac:dyDescent="0.55000000000000004">
      <c r="C581"/>
      <c r="G581"/>
    </row>
    <row r="582" spans="3:7" x14ac:dyDescent="0.55000000000000004">
      <c r="C582"/>
      <c r="G582"/>
    </row>
    <row r="583" spans="3:7" x14ac:dyDescent="0.55000000000000004">
      <c r="C583"/>
      <c r="G583"/>
    </row>
    <row r="584" spans="3:7" x14ac:dyDescent="0.55000000000000004">
      <c r="C584"/>
      <c r="G584"/>
    </row>
    <row r="585" spans="3:7" x14ac:dyDescent="0.55000000000000004">
      <c r="C585"/>
      <c r="G585"/>
    </row>
    <row r="586" spans="3:7" x14ac:dyDescent="0.55000000000000004">
      <c r="C586"/>
      <c r="G586"/>
    </row>
    <row r="587" spans="3:7" x14ac:dyDescent="0.55000000000000004">
      <c r="C587"/>
      <c r="G587"/>
    </row>
    <row r="588" spans="3:7" x14ac:dyDescent="0.55000000000000004">
      <c r="C588"/>
      <c r="G588"/>
    </row>
    <row r="589" spans="3:7" x14ac:dyDescent="0.55000000000000004">
      <c r="C589"/>
      <c r="G589"/>
    </row>
    <row r="590" spans="3:7" x14ac:dyDescent="0.55000000000000004">
      <c r="C590"/>
      <c r="G590"/>
    </row>
    <row r="591" spans="3:7" x14ac:dyDescent="0.55000000000000004">
      <c r="C591"/>
      <c r="G591"/>
    </row>
    <row r="592" spans="3:7" x14ac:dyDescent="0.55000000000000004">
      <c r="C592"/>
      <c r="G592"/>
    </row>
    <row r="593" spans="3:7" x14ac:dyDescent="0.55000000000000004">
      <c r="C593"/>
      <c r="G593"/>
    </row>
    <row r="594" spans="3:7" x14ac:dyDescent="0.55000000000000004">
      <c r="C594"/>
      <c r="G594"/>
    </row>
    <row r="595" spans="3:7" x14ac:dyDescent="0.55000000000000004">
      <c r="C595"/>
      <c r="G595"/>
    </row>
    <row r="596" spans="3:7" x14ac:dyDescent="0.55000000000000004">
      <c r="C596"/>
      <c r="G596"/>
    </row>
    <row r="597" spans="3:7" x14ac:dyDescent="0.55000000000000004">
      <c r="C597"/>
      <c r="G597"/>
    </row>
    <row r="598" spans="3:7" x14ac:dyDescent="0.55000000000000004">
      <c r="C598"/>
      <c r="G598"/>
    </row>
    <row r="599" spans="3:7" x14ac:dyDescent="0.55000000000000004">
      <c r="C599"/>
      <c r="G599"/>
    </row>
    <row r="600" spans="3:7" x14ac:dyDescent="0.55000000000000004">
      <c r="C600"/>
      <c r="G600"/>
    </row>
    <row r="601" spans="3:7" x14ac:dyDescent="0.55000000000000004">
      <c r="C601"/>
      <c r="G601"/>
    </row>
    <row r="602" spans="3:7" x14ac:dyDescent="0.55000000000000004">
      <c r="C602"/>
      <c r="G602"/>
    </row>
    <row r="603" spans="3:7" x14ac:dyDescent="0.55000000000000004">
      <c r="C603"/>
      <c r="G603"/>
    </row>
    <row r="604" spans="3:7" x14ac:dyDescent="0.55000000000000004">
      <c r="C604"/>
      <c r="G604"/>
    </row>
    <row r="605" spans="3:7" x14ac:dyDescent="0.55000000000000004">
      <c r="C605"/>
      <c r="G605"/>
    </row>
    <row r="606" spans="3:7" x14ac:dyDescent="0.55000000000000004">
      <c r="C606"/>
      <c r="G606"/>
    </row>
    <row r="607" spans="3:7" x14ac:dyDescent="0.55000000000000004">
      <c r="C607"/>
      <c r="G607"/>
    </row>
    <row r="608" spans="3:7" x14ac:dyDescent="0.55000000000000004">
      <c r="C608"/>
      <c r="G608"/>
    </row>
    <row r="609" spans="3:7" x14ac:dyDescent="0.55000000000000004">
      <c r="C609"/>
      <c r="G609"/>
    </row>
    <row r="610" spans="3:7" x14ac:dyDescent="0.55000000000000004">
      <c r="C610"/>
      <c r="G610"/>
    </row>
    <row r="611" spans="3:7" x14ac:dyDescent="0.55000000000000004">
      <c r="C611"/>
      <c r="G611"/>
    </row>
    <row r="612" spans="3:7" x14ac:dyDescent="0.55000000000000004">
      <c r="C612"/>
      <c r="G612"/>
    </row>
    <row r="613" spans="3:7" x14ac:dyDescent="0.55000000000000004">
      <c r="C613"/>
      <c r="G613"/>
    </row>
    <row r="614" spans="3:7" x14ac:dyDescent="0.55000000000000004">
      <c r="C614"/>
      <c r="G614"/>
    </row>
    <row r="615" spans="3:7" x14ac:dyDescent="0.55000000000000004">
      <c r="C615"/>
      <c r="G615"/>
    </row>
    <row r="616" spans="3:7" x14ac:dyDescent="0.55000000000000004">
      <c r="C616"/>
      <c r="G616"/>
    </row>
    <row r="617" spans="3:7" x14ac:dyDescent="0.55000000000000004">
      <c r="C617"/>
      <c r="G617"/>
    </row>
    <row r="618" spans="3:7" x14ac:dyDescent="0.55000000000000004">
      <c r="C618"/>
      <c r="G618"/>
    </row>
    <row r="619" spans="3:7" x14ac:dyDescent="0.55000000000000004">
      <c r="C619"/>
      <c r="G619"/>
    </row>
    <row r="620" spans="3:7" x14ac:dyDescent="0.55000000000000004">
      <c r="C620"/>
      <c r="G620"/>
    </row>
    <row r="621" spans="3:7" x14ac:dyDescent="0.55000000000000004">
      <c r="C621"/>
      <c r="G621"/>
    </row>
    <row r="622" spans="3:7" x14ac:dyDescent="0.55000000000000004">
      <c r="C622"/>
      <c r="G622"/>
    </row>
    <row r="623" spans="3:7" x14ac:dyDescent="0.55000000000000004">
      <c r="C623"/>
      <c r="G623"/>
    </row>
    <row r="624" spans="3:7" x14ac:dyDescent="0.55000000000000004">
      <c r="C624"/>
      <c r="G624"/>
    </row>
    <row r="625" spans="3:7" x14ac:dyDescent="0.55000000000000004">
      <c r="C625"/>
      <c r="G625"/>
    </row>
    <row r="626" spans="3:7" x14ac:dyDescent="0.55000000000000004">
      <c r="C626"/>
      <c r="G626"/>
    </row>
    <row r="627" spans="3:7" x14ac:dyDescent="0.55000000000000004">
      <c r="C627"/>
      <c r="G627"/>
    </row>
    <row r="628" spans="3:7" x14ac:dyDescent="0.55000000000000004">
      <c r="C628"/>
      <c r="G628"/>
    </row>
    <row r="629" spans="3:7" x14ac:dyDescent="0.55000000000000004">
      <c r="C629"/>
      <c r="G629"/>
    </row>
    <row r="630" spans="3:7" x14ac:dyDescent="0.55000000000000004">
      <c r="C630"/>
      <c r="G630"/>
    </row>
    <row r="631" spans="3:7" x14ac:dyDescent="0.55000000000000004">
      <c r="C631"/>
      <c r="G631"/>
    </row>
    <row r="632" spans="3:7" x14ac:dyDescent="0.55000000000000004">
      <c r="C632"/>
      <c r="G632"/>
    </row>
    <row r="633" spans="3:7" x14ac:dyDescent="0.55000000000000004">
      <c r="C633"/>
      <c r="G633"/>
    </row>
    <row r="634" spans="3:7" x14ac:dyDescent="0.55000000000000004">
      <c r="C634"/>
      <c r="G634"/>
    </row>
    <row r="635" spans="3:7" x14ac:dyDescent="0.55000000000000004">
      <c r="C635"/>
      <c r="G635"/>
    </row>
    <row r="636" spans="3:7" x14ac:dyDescent="0.55000000000000004">
      <c r="C636"/>
      <c r="G636"/>
    </row>
    <row r="637" spans="3:7" x14ac:dyDescent="0.55000000000000004">
      <c r="C637"/>
      <c r="G637"/>
    </row>
    <row r="638" spans="3:7" x14ac:dyDescent="0.55000000000000004">
      <c r="C638"/>
      <c r="G638"/>
    </row>
    <row r="639" spans="3:7" x14ac:dyDescent="0.55000000000000004">
      <c r="C639"/>
      <c r="G639"/>
    </row>
    <row r="640" spans="3:7" x14ac:dyDescent="0.55000000000000004">
      <c r="C640"/>
      <c r="G640"/>
    </row>
    <row r="641" spans="3:7" x14ac:dyDescent="0.55000000000000004">
      <c r="C641"/>
      <c r="G641"/>
    </row>
    <row r="642" spans="3:7" x14ac:dyDescent="0.55000000000000004">
      <c r="C642"/>
      <c r="G642"/>
    </row>
    <row r="643" spans="3:7" x14ac:dyDescent="0.55000000000000004">
      <c r="C643"/>
      <c r="G643"/>
    </row>
    <row r="644" spans="3:7" x14ac:dyDescent="0.55000000000000004">
      <c r="C644"/>
      <c r="G644"/>
    </row>
    <row r="645" spans="3:7" x14ac:dyDescent="0.55000000000000004">
      <c r="C645"/>
      <c r="G645"/>
    </row>
    <row r="646" spans="3:7" x14ac:dyDescent="0.55000000000000004">
      <c r="C646"/>
      <c r="G646"/>
    </row>
    <row r="647" spans="3:7" x14ac:dyDescent="0.55000000000000004">
      <c r="C647"/>
      <c r="G647"/>
    </row>
    <row r="648" spans="3:7" x14ac:dyDescent="0.55000000000000004">
      <c r="C648"/>
      <c r="G648"/>
    </row>
    <row r="649" spans="3:7" x14ac:dyDescent="0.55000000000000004">
      <c r="C649"/>
      <c r="G649"/>
    </row>
    <row r="650" spans="3:7" x14ac:dyDescent="0.55000000000000004">
      <c r="C650"/>
      <c r="G650"/>
    </row>
    <row r="651" spans="3:7" x14ac:dyDescent="0.55000000000000004">
      <c r="C651"/>
      <c r="G651"/>
    </row>
    <row r="652" spans="3:7" x14ac:dyDescent="0.55000000000000004">
      <c r="C652"/>
      <c r="G652"/>
    </row>
    <row r="653" spans="3:7" x14ac:dyDescent="0.55000000000000004">
      <c r="C653"/>
      <c r="G653"/>
    </row>
    <row r="654" spans="3:7" x14ac:dyDescent="0.55000000000000004">
      <c r="C654"/>
      <c r="G654"/>
    </row>
    <row r="655" spans="3:7" x14ac:dyDescent="0.55000000000000004">
      <c r="C655"/>
      <c r="G655"/>
    </row>
    <row r="656" spans="3:7" x14ac:dyDescent="0.55000000000000004">
      <c r="C656"/>
      <c r="G656"/>
    </row>
    <row r="657" spans="3:7" x14ac:dyDescent="0.55000000000000004">
      <c r="C657"/>
      <c r="G657"/>
    </row>
    <row r="658" spans="3:7" x14ac:dyDescent="0.55000000000000004">
      <c r="C658"/>
      <c r="G658"/>
    </row>
    <row r="659" spans="3:7" x14ac:dyDescent="0.55000000000000004">
      <c r="C659"/>
      <c r="G659"/>
    </row>
    <row r="660" spans="3:7" x14ac:dyDescent="0.55000000000000004">
      <c r="C660"/>
      <c r="G660"/>
    </row>
    <row r="661" spans="3:7" x14ac:dyDescent="0.55000000000000004">
      <c r="C661"/>
      <c r="G661"/>
    </row>
    <row r="662" spans="3:7" x14ac:dyDescent="0.55000000000000004">
      <c r="C662"/>
      <c r="G662"/>
    </row>
    <row r="663" spans="3:7" x14ac:dyDescent="0.55000000000000004">
      <c r="C663"/>
      <c r="G663"/>
    </row>
    <row r="664" spans="3:7" x14ac:dyDescent="0.55000000000000004">
      <c r="C664"/>
      <c r="G664"/>
    </row>
    <row r="665" spans="3:7" x14ac:dyDescent="0.55000000000000004">
      <c r="C665"/>
      <c r="G665"/>
    </row>
    <row r="666" spans="3:7" x14ac:dyDescent="0.55000000000000004">
      <c r="C666"/>
      <c r="G666"/>
    </row>
    <row r="667" spans="3:7" x14ac:dyDescent="0.55000000000000004">
      <c r="C667"/>
      <c r="G667"/>
    </row>
    <row r="668" spans="3:7" x14ac:dyDescent="0.55000000000000004">
      <c r="C668"/>
      <c r="G668"/>
    </row>
    <row r="669" spans="3:7" x14ac:dyDescent="0.55000000000000004">
      <c r="C669"/>
      <c r="G669"/>
    </row>
    <row r="670" spans="3:7" x14ac:dyDescent="0.55000000000000004">
      <c r="C670"/>
      <c r="G670"/>
    </row>
    <row r="671" spans="3:7" x14ac:dyDescent="0.55000000000000004">
      <c r="C671"/>
      <c r="G671"/>
    </row>
    <row r="672" spans="3:7" x14ac:dyDescent="0.55000000000000004">
      <c r="C672"/>
      <c r="G672"/>
    </row>
    <row r="673" spans="3:7" x14ac:dyDescent="0.55000000000000004">
      <c r="C673"/>
      <c r="G673"/>
    </row>
    <row r="674" spans="3:7" x14ac:dyDescent="0.55000000000000004">
      <c r="C674"/>
      <c r="G674"/>
    </row>
    <row r="675" spans="3:7" x14ac:dyDescent="0.55000000000000004">
      <c r="C675"/>
      <c r="G675"/>
    </row>
    <row r="676" spans="3:7" x14ac:dyDescent="0.55000000000000004">
      <c r="C676"/>
      <c r="G676"/>
    </row>
    <row r="677" spans="3:7" x14ac:dyDescent="0.55000000000000004">
      <c r="C677"/>
      <c r="G677"/>
    </row>
    <row r="678" spans="3:7" x14ac:dyDescent="0.55000000000000004">
      <c r="C678"/>
      <c r="G678"/>
    </row>
    <row r="679" spans="3:7" x14ac:dyDescent="0.55000000000000004">
      <c r="C679"/>
      <c r="G679"/>
    </row>
    <row r="680" spans="3:7" x14ac:dyDescent="0.55000000000000004">
      <c r="C680"/>
      <c r="G680"/>
    </row>
    <row r="681" spans="3:7" x14ac:dyDescent="0.55000000000000004">
      <c r="C681"/>
      <c r="G681"/>
    </row>
    <row r="682" spans="3:7" x14ac:dyDescent="0.55000000000000004">
      <c r="C682"/>
      <c r="G682"/>
    </row>
    <row r="683" spans="3:7" x14ac:dyDescent="0.55000000000000004">
      <c r="C683"/>
      <c r="G683"/>
    </row>
    <row r="684" spans="3:7" x14ac:dyDescent="0.55000000000000004">
      <c r="C684"/>
      <c r="G684"/>
    </row>
    <row r="685" spans="3:7" x14ac:dyDescent="0.55000000000000004">
      <c r="C685"/>
      <c r="G685"/>
    </row>
    <row r="686" spans="3:7" x14ac:dyDescent="0.55000000000000004">
      <c r="C686"/>
      <c r="G686"/>
    </row>
    <row r="687" spans="3:7" x14ac:dyDescent="0.55000000000000004">
      <c r="C687"/>
      <c r="G687"/>
    </row>
    <row r="688" spans="3:7" x14ac:dyDescent="0.55000000000000004">
      <c r="C688"/>
      <c r="G688"/>
    </row>
    <row r="689" spans="3:7" x14ac:dyDescent="0.55000000000000004">
      <c r="C689"/>
      <c r="G689"/>
    </row>
    <row r="690" spans="3:7" x14ac:dyDescent="0.55000000000000004">
      <c r="C690"/>
      <c r="G690"/>
    </row>
    <row r="691" spans="3:7" x14ac:dyDescent="0.55000000000000004">
      <c r="C691"/>
      <c r="G691"/>
    </row>
    <row r="692" spans="3:7" x14ac:dyDescent="0.55000000000000004">
      <c r="C692"/>
      <c r="G692"/>
    </row>
    <row r="693" spans="3:7" x14ac:dyDescent="0.55000000000000004">
      <c r="C693"/>
      <c r="G693"/>
    </row>
    <row r="694" spans="3:7" x14ac:dyDescent="0.55000000000000004">
      <c r="C694"/>
      <c r="G694"/>
    </row>
    <row r="695" spans="3:7" x14ac:dyDescent="0.55000000000000004">
      <c r="C695"/>
      <c r="G695"/>
    </row>
    <row r="696" spans="3:7" x14ac:dyDescent="0.55000000000000004">
      <c r="C696"/>
      <c r="G696"/>
    </row>
    <row r="697" spans="3:7" x14ac:dyDescent="0.55000000000000004">
      <c r="C697"/>
      <c r="G697"/>
    </row>
    <row r="698" spans="3:7" x14ac:dyDescent="0.55000000000000004">
      <c r="C698"/>
      <c r="G698"/>
    </row>
    <row r="699" spans="3:7" x14ac:dyDescent="0.55000000000000004">
      <c r="C699"/>
      <c r="G699"/>
    </row>
    <row r="700" spans="3:7" x14ac:dyDescent="0.55000000000000004">
      <c r="C700"/>
      <c r="G700"/>
    </row>
    <row r="701" spans="3:7" x14ac:dyDescent="0.55000000000000004">
      <c r="C701"/>
      <c r="G701"/>
    </row>
    <row r="702" spans="3:7" x14ac:dyDescent="0.55000000000000004">
      <c r="C702"/>
      <c r="G702"/>
    </row>
    <row r="703" spans="3:7" x14ac:dyDescent="0.55000000000000004">
      <c r="C703"/>
      <c r="G703"/>
    </row>
    <row r="704" spans="3:7" x14ac:dyDescent="0.55000000000000004">
      <c r="C704"/>
      <c r="G704"/>
    </row>
    <row r="705" spans="3:7" x14ac:dyDescent="0.55000000000000004">
      <c r="C705"/>
      <c r="G705"/>
    </row>
    <row r="706" spans="3:7" x14ac:dyDescent="0.55000000000000004">
      <c r="C706"/>
      <c r="G706"/>
    </row>
    <row r="707" spans="3:7" x14ac:dyDescent="0.55000000000000004">
      <c r="C707"/>
      <c r="G707"/>
    </row>
    <row r="708" spans="3:7" x14ac:dyDescent="0.55000000000000004">
      <c r="C708"/>
      <c r="G708"/>
    </row>
    <row r="709" spans="3:7" x14ac:dyDescent="0.55000000000000004">
      <c r="C709"/>
      <c r="G709"/>
    </row>
    <row r="710" spans="3:7" x14ac:dyDescent="0.55000000000000004">
      <c r="C710"/>
      <c r="G710"/>
    </row>
    <row r="711" spans="3:7" x14ac:dyDescent="0.55000000000000004">
      <c r="C711"/>
      <c r="G711"/>
    </row>
    <row r="712" spans="3:7" x14ac:dyDescent="0.55000000000000004">
      <c r="C712"/>
      <c r="G712"/>
    </row>
    <row r="713" spans="3:7" x14ac:dyDescent="0.55000000000000004">
      <c r="C713"/>
      <c r="G713"/>
    </row>
    <row r="714" spans="3:7" x14ac:dyDescent="0.55000000000000004">
      <c r="C714"/>
      <c r="G714"/>
    </row>
    <row r="715" spans="3:7" x14ac:dyDescent="0.55000000000000004">
      <c r="C715"/>
      <c r="G715"/>
    </row>
    <row r="716" spans="3:7" x14ac:dyDescent="0.55000000000000004">
      <c r="C716"/>
      <c r="G716"/>
    </row>
    <row r="717" spans="3:7" x14ac:dyDescent="0.55000000000000004">
      <c r="C717"/>
      <c r="G717"/>
    </row>
    <row r="718" spans="3:7" x14ac:dyDescent="0.55000000000000004">
      <c r="C718"/>
      <c r="G718"/>
    </row>
    <row r="719" spans="3:7" x14ac:dyDescent="0.55000000000000004">
      <c r="C719"/>
      <c r="G719"/>
    </row>
    <row r="720" spans="3:7" x14ac:dyDescent="0.55000000000000004">
      <c r="C720"/>
      <c r="G720"/>
    </row>
    <row r="721" spans="3:7" x14ac:dyDescent="0.55000000000000004">
      <c r="C721"/>
      <c r="G721"/>
    </row>
    <row r="722" spans="3:7" x14ac:dyDescent="0.55000000000000004">
      <c r="C722"/>
      <c r="G722"/>
    </row>
    <row r="723" spans="3:7" x14ac:dyDescent="0.55000000000000004">
      <c r="C723"/>
      <c r="G723"/>
    </row>
    <row r="724" spans="3:7" x14ac:dyDescent="0.55000000000000004">
      <c r="C724"/>
      <c r="G724"/>
    </row>
    <row r="725" spans="3:7" x14ac:dyDescent="0.55000000000000004">
      <c r="C725"/>
      <c r="G725"/>
    </row>
    <row r="726" spans="3:7" x14ac:dyDescent="0.55000000000000004">
      <c r="C726"/>
      <c r="G726"/>
    </row>
    <row r="727" spans="3:7" x14ac:dyDescent="0.55000000000000004">
      <c r="C727"/>
      <c r="G727"/>
    </row>
    <row r="728" spans="3:7" x14ac:dyDescent="0.55000000000000004">
      <c r="C728"/>
      <c r="G728"/>
    </row>
    <row r="729" spans="3:7" x14ac:dyDescent="0.55000000000000004">
      <c r="C729"/>
      <c r="G729"/>
    </row>
    <row r="730" spans="3:7" x14ac:dyDescent="0.55000000000000004">
      <c r="C730"/>
      <c r="G730"/>
    </row>
    <row r="731" spans="3:7" x14ac:dyDescent="0.55000000000000004">
      <c r="C731"/>
      <c r="G731"/>
    </row>
    <row r="732" spans="3:7" x14ac:dyDescent="0.55000000000000004">
      <c r="C732"/>
      <c r="G732"/>
    </row>
    <row r="733" spans="3:7" x14ac:dyDescent="0.55000000000000004">
      <c r="C733"/>
      <c r="G733"/>
    </row>
    <row r="734" spans="3:7" x14ac:dyDescent="0.55000000000000004">
      <c r="C734"/>
      <c r="G734"/>
    </row>
    <row r="735" spans="3:7" x14ac:dyDescent="0.55000000000000004">
      <c r="C735"/>
      <c r="G735"/>
    </row>
    <row r="736" spans="3:7" x14ac:dyDescent="0.55000000000000004">
      <c r="C736"/>
      <c r="G736"/>
    </row>
    <row r="737" spans="3:7" x14ac:dyDescent="0.55000000000000004">
      <c r="C737"/>
      <c r="G737"/>
    </row>
    <row r="738" spans="3:7" x14ac:dyDescent="0.55000000000000004">
      <c r="C738"/>
      <c r="G738"/>
    </row>
    <row r="739" spans="3:7" x14ac:dyDescent="0.55000000000000004">
      <c r="C739"/>
      <c r="G739"/>
    </row>
    <row r="740" spans="3:7" x14ac:dyDescent="0.55000000000000004">
      <c r="C740"/>
      <c r="G740"/>
    </row>
    <row r="741" spans="3:7" x14ac:dyDescent="0.55000000000000004">
      <c r="C741"/>
      <c r="G741"/>
    </row>
    <row r="742" spans="3:7" x14ac:dyDescent="0.55000000000000004">
      <c r="C742"/>
      <c r="G742"/>
    </row>
    <row r="743" spans="3:7" x14ac:dyDescent="0.55000000000000004">
      <c r="C743"/>
      <c r="G743"/>
    </row>
    <row r="744" spans="3:7" x14ac:dyDescent="0.55000000000000004">
      <c r="C744"/>
      <c r="G744"/>
    </row>
    <row r="745" spans="3:7" x14ac:dyDescent="0.55000000000000004">
      <c r="C745"/>
      <c r="G745"/>
    </row>
    <row r="746" spans="3:7" x14ac:dyDescent="0.55000000000000004">
      <c r="C746"/>
      <c r="G746"/>
    </row>
    <row r="747" spans="3:7" x14ac:dyDescent="0.55000000000000004">
      <c r="C747"/>
      <c r="G747"/>
    </row>
    <row r="748" spans="3:7" x14ac:dyDescent="0.55000000000000004">
      <c r="C748"/>
      <c r="G748"/>
    </row>
    <row r="749" spans="3:7" x14ac:dyDescent="0.55000000000000004">
      <c r="C749"/>
      <c r="G749"/>
    </row>
    <row r="750" spans="3:7" x14ac:dyDescent="0.55000000000000004">
      <c r="C750"/>
      <c r="G750"/>
    </row>
    <row r="751" spans="3:7" x14ac:dyDescent="0.55000000000000004">
      <c r="C751"/>
      <c r="G751"/>
    </row>
    <row r="752" spans="3:7" x14ac:dyDescent="0.55000000000000004">
      <c r="C752"/>
      <c r="G752"/>
    </row>
    <row r="753" spans="3:7" x14ac:dyDescent="0.55000000000000004">
      <c r="C753"/>
      <c r="G753"/>
    </row>
    <row r="754" spans="3:7" x14ac:dyDescent="0.55000000000000004">
      <c r="C754"/>
      <c r="G754"/>
    </row>
    <row r="755" spans="3:7" x14ac:dyDescent="0.55000000000000004">
      <c r="C755"/>
      <c r="G755"/>
    </row>
    <row r="756" spans="3:7" x14ac:dyDescent="0.55000000000000004">
      <c r="C756"/>
      <c r="G756"/>
    </row>
    <row r="757" spans="3:7" x14ac:dyDescent="0.55000000000000004">
      <c r="C757"/>
      <c r="G757"/>
    </row>
    <row r="758" spans="3:7" x14ac:dyDescent="0.55000000000000004">
      <c r="C758"/>
      <c r="G758"/>
    </row>
    <row r="759" spans="3:7" x14ac:dyDescent="0.55000000000000004">
      <c r="C759"/>
      <c r="G759"/>
    </row>
    <row r="760" spans="3:7" x14ac:dyDescent="0.55000000000000004">
      <c r="C760"/>
      <c r="G760"/>
    </row>
    <row r="761" spans="3:7" x14ac:dyDescent="0.55000000000000004">
      <c r="C761"/>
      <c r="G761"/>
    </row>
    <row r="762" spans="3:7" x14ac:dyDescent="0.55000000000000004">
      <c r="C762"/>
      <c r="G762"/>
    </row>
    <row r="763" spans="3:7" x14ac:dyDescent="0.55000000000000004">
      <c r="C763"/>
      <c r="G763"/>
    </row>
    <row r="764" spans="3:7" x14ac:dyDescent="0.55000000000000004">
      <c r="C764"/>
      <c r="G764"/>
    </row>
    <row r="765" spans="3:7" x14ac:dyDescent="0.55000000000000004">
      <c r="C765"/>
      <c r="G765"/>
    </row>
    <row r="766" spans="3:7" x14ac:dyDescent="0.55000000000000004">
      <c r="C766"/>
      <c r="G766"/>
    </row>
    <row r="767" spans="3:7" x14ac:dyDescent="0.55000000000000004">
      <c r="C767"/>
      <c r="G767"/>
    </row>
    <row r="768" spans="3:7" x14ac:dyDescent="0.55000000000000004">
      <c r="C768"/>
      <c r="G768"/>
    </row>
    <row r="769" spans="3:7" x14ac:dyDescent="0.55000000000000004">
      <c r="C769"/>
      <c r="G769"/>
    </row>
    <row r="770" spans="3:7" x14ac:dyDescent="0.55000000000000004">
      <c r="C770"/>
      <c r="G770"/>
    </row>
    <row r="771" spans="3:7" x14ac:dyDescent="0.55000000000000004">
      <c r="C771"/>
      <c r="G771"/>
    </row>
    <row r="772" spans="3:7" x14ac:dyDescent="0.55000000000000004">
      <c r="C772"/>
      <c r="G772"/>
    </row>
    <row r="773" spans="3:7" x14ac:dyDescent="0.55000000000000004">
      <c r="C773"/>
      <c r="G773"/>
    </row>
    <row r="774" spans="3:7" x14ac:dyDescent="0.55000000000000004">
      <c r="C774"/>
      <c r="G774"/>
    </row>
    <row r="775" spans="3:7" x14ac:dyDescent="0.55000000000000004">
      <c r="C775"/>
      <c r="G775"/>
    </row>
    <row r="776" spans="3:7" x14ac:dyDescent="0.55000000000000004">
      <c r="C776"/>
      <c r="G776"/>
    </row>
    <row r="777" spans="3:7" x14ac:dyDescent="0.55000000000000004">
      <c r="C777"/>
      <c r="G777"/>
    </row>
    <row r="778" spans="3:7" x14ac:dyDescent="0.55000000000000004">
      <c r="C778"/>
      <c r="G778"/>
    </row>
    <row r="779" spans="3:7" x14ac:dyDescent="0.55000000000000004">
      <c r="C779"/>
      <c r="G779"/>
    </row>
    <row r="780" spans="3:7" x14ac:dyDescent="0.55000000000000004">
      <c r="C780"/>
      <c r="G780"/>
    </row>
    <row r="781" spans="3:7" x14ac:dyDescent="0.55000000000000004">
      <c r="C781"/>
      <c r="G781"/>
    </row>
    <row r="782" spans="3:7" x14ac:dyDescent="0.55000000000000004">
      <c r="C782"/>
      <c r="G782"/>
    </row>
    <row r="783" spans="3:7" x14ac:dyDescent="0.55000000000000004">
      <c r="C783"/>
      <c r="G783"/>
    </row>
    <row r="784" spans="3:7" x14ac:dyDescent="0.55000000000000004">
      <c r="C784"/>
      <c r="G784"/>
    </row>
    <row r="785" spans="3:7" x14ac:dyDescent="0.55000000000000004">
      <c r="C785"/>
      <c r="G785"/>
    </row>
    <row r="786" spans="3:7" x14ac:dyDescent="0.55000000000000004">
      <c r="C786"/>
      <c r="G786"/>
    </row>
    <row r="787" spans="3:7" x14ac:dyDescent="0.55000000000000004">
      <c r="C787"/>
      <c r="G787"/>
    </row>
    <row r="788" spans="3:7" x14ac:dyDescent="0.55000000000000004">
      <c r="C788"/>
      <c r="G788"/>
    </row>
    <row r="789" spans="3:7" x14ac:dyDescent="0.55000000000000004">
      <c r="C789"/>
      <c r="G789"/>
    </row>
    <row r="790" spans="3:7" x14ac:dyDescent="0.55000000000000004">
      <c r="C790"/>
      <c r="G790"/>
    </row>
    <row r="791" spans="3:7" x14ac:dyDescent="0.55000000000000004">
      <c r="C791"/>
      <c r="G791"/>
    </row>
    <row r="792" spans="3:7" x14ac:dyDescent="0.55000000000000004">
      <c r="C792"/>
      <c r="G792"/>
    </row>
    <row r="793" spans="3:7" x14ac:dyDescent="0.55000000000000004">
      <c r="C793"/>
      <c r="G793"/>
    </row>
    <row r="794" spans="3:7" x14ac:dyDescent="0.55000000000000004">
      <c r="C794"/>
      <c r="G794"/>
    </row>
    <row r="795" spans="3:7" x14ac:dyDescent="0.55000000000000004">
      <c r="C795"/>
      <c r="G795"/>
    </row>
    <row r="796" spans="3:7" x14ac:dyDescent="0.55000000000000004">
      <c r="C796"/>
      <c r="G796"/>
    </row>
    <row r="797" spans="3:7" x14ac:dyDescent="0.55000000000000004">
      <c r="C797"/>
      <c r="G797"/>
    </row>
    <row r="798" spans="3:7" x14ac:dyDescent="0.55000000000000004">
      <c r="C798"/>
      <c r="G798"/>
    </row>
    <row r="799" spans="3:7" x14ac:dyDescent="0.55000000000000004">
      <c r="C799"/>
      <c r="G799"/>
    </row>
    <row r="800" spans="3:7" x14ac:dyDescent="0.55000000000000004">
      <c r="C800"/>
      <c r="G800"/>
    </row>
    <row r="801" spans="3:7" x14ac:dyDescent="0.55000000000000004">
      <c r="C801"/>
      <c r="G801"/>
    </row>
    <row r="802" spans="3:7" x14ac:dyDescent="0.55000000000000004">
      <c r="C802"/>
      <c r="G802"/>
    </row>
    <row r="803" spans="3:7" x14ac:dyDescent="0.55000000000000004">
      <c r="C803"/>
      <c r="G803"/>
    </row>
    <row r="804" spans="3:7" x14ac:dyDescent="0.55000000000000004">
      <c r="C804"/>
      <c r="G804"/>
    </row>
    <row r="805" spans="3:7" x14ac:dyDescent="0.55000000000000004">
      <c r="C805"/>
      <c r="G805"/>
    </row>
    <row r="806" spans="3:7" x14ac:dyDescent="0.55000000000000004">
      <c r="C806"/>
      <c r="G806"/>
    </row>
    <row r="807" spans="3:7" x14ac:dyDescent="0.55000000000000004">
      <c r="C807"/>
      <c r="G807"/>
    </row>
    <row r="808" spans="3:7" x14ac:dyDescent="0.55000000000000004">
      <c r="C808"/>
      <c r="G808"/>
    </row>
    <row r="809" spans="3:7" x14ac:dyDescent="0.55000000000000004">
      <c r="C809"/>
      <c r="G809"/>
    </row>
    <row r="810" spans="3:7" x14ac:dyDescent="0.55000000000000004">
      <c r="C810"/>
      <c r="G810"/>
    </row>
    <row r="811" spans="3:7" x14ac:dyDescent="0.55000000000000004">
      <c r="C811"/>
      <c r="G811"/>
    </row>
    <row r="812" spans="3:7" x14ac:dyDescent="0.55000000000000004">
      <c r="C812"/>
      <c r="G812"/>
    </row>
    <row r="813" spans="3:7" x14ac:dyDescent="0.55000000000000004">
      <c r="C813"/>
      <c r="G813"/>
    </row>
    <row r="814" spans="3:7" x14ac:dyDescent="0.55000000000000004">
      <c r="C814"/>
      <c r="G814"/>
    </row>
    <row r="815" spans="3:7" x14ac:dyDescent="0.55000000000000004">
      <c r="C815"/>
      <c r="G815"/>
    </row>
    <row r="816" spans="3:7" x14ac:dyDescent="0.55000000000000004">
      <c r="C816"/>
      <c r="G816"/>
    </row>
    <row r="817" spans="3:7" x14ac:dyDescent="0.55000000000000004">
      <c r="C817"/>
      <c r="G817"/>
    </row>
    <row r="818" spans="3:7" x14ac:dyDescent="0.55000000000000004">
      <c r="C818"/>
      <c r="G818"/>
    </row>
    <row r="819" spans="3:7" x14ac:dyDescent="0.55000000000000004">
      <c r="C819"/>
      <c r="G819"/>
    </row>
    <row r="820" spans="3:7" x14ac:dyDescent="0.55000000000000004">
      <c r="C820"/>
      <c r="G820"/>
    </row>
    <row r="821" spans="3:7" x14ac:dyDescent="0.55000000000000004">
      <c r="C821"/>
      <c r="G821"/>
    </row>
    <row r="822" spans="3:7" x14ac:dyDescent="0.55000000000000004">
      <c r="C822"/>
      <c r="G822"/>
    </row>
    <row r="823" spans="3:7" x14ac:dyDescent="0.55000000000000004">
      <c r="C823"/>
      <c r="G823"/>
    </row>
    <row r="824" spans="3:7" x14ac:dyDescent="0.55000000000000004">
      <c r="C824"/>
      <c r="G824"/>
    </row>
    <row r="825" spans="3:7" x14ac:dyDescent="0.55000000000000004">
      <c r="C825"/>
      <c r="G825"/>
    </row>
    <row r="826" spans="3:7" x14ac:dyDescent="0.55000000000000004">
      <c r="C826"/>
      <c r="G826"/>
    </row>
    <row r="827" spans="3:7" x14ac:dyDescent="0.55000000000000004">
      <c r="C827"/>
      <c r="G827"/>
    </row>
    <row r="828" spans="3:7" x14ac:dyDescent="0.55000000000000004">
      <c r="C828"/>
      <c r="G828"/>
    </row>
    <row r="829" spans="3:7" x14ac:dyDescent="0.55000000000000004">
      <c r="C829"/>
      <c r="G829"/>
    </row>
    <row r="830" spans="3:7" x14ac:dyDescent="0.55000000000000004">
      <c r="C830"/>
      <c r="G830"/>
    </row>
    <row r="831" spans="3:7" x14ac:dyDescent="0.55000000000000004">
      <c r="C831"/>
      <c r="G831"/>
    </row>
    <row r="832" spans="3:7" x14ac:dyDescent="0.55000000000000004">
      <c r="C832"/>
      <c r="G832"/>
    </row>
    <row r="833" spans="3:7" x14ac:dyDescent="0.55000000000000004">
      <c r="C833"/>
      <c r="G833"/>
    </row>
    <row r="834" spans="3:7" x14ac:dyDescent="0.55000000000000004">
      <c r="C834"/>
      <c r="G834"/>
    </row>
    <row r="835" spans="3:7" x14ac:dyDescent="0.55000000000000004">
      <c r="C835"/>
      <c r="G835"/>
    </row>
    <row r="836" spans="3:7" x14ac:dyDescent="0.55000000000000004">
      <c r="C836"/>
      <c r="G836"/>
    </row>
    <row r="837" spans="3:7" x14ac:dyDescent="0.55000000000000004">
      <c r="C837"/>
      <c r="G837"/>
    </row>
    <row r="838" spans="3:7" x14ac:dyDescent="0.55000000000000004">
      <c r="C838"/>
      <c r="G838"/>
    </row>
    <row r="839" spans="3:7" x14ac:dyDescent="0.55000000000000004">
      <c r="C839"/>
      <c r="G839"/>
    </row>
    <row r="840" spans="3:7" x14ac:dyDescent="0.55000000000000004">
      <c r="C840"/>
      <c r="G840"/>
    </row>
    <row r="841" spans="3:7" x14ac:dyDescent="0.55000000000000004">
      <c r="C841"/>
      <c r="G841"/>
    </row>
    <row r="842" spans="3:7" x14ac:dyDescent="0.55000000000000004">
      <c r="C842"/>
      <c r="G842"/>
    </row>
    <row r="843" spans="3:7" x14ac:dyDescent="0.55000000000000004">
      <c r="C843"/>
      <c r="G843"/>
    </row>
    <row r="844" spans="3:7" x14ac:dyDescent="0.55000000000000004">
      <c r="C844"/>
      <c r="G844"/>
    </row>
    <row r="845" spans="3:7" x14ac:dyDescent="0.55000000000000004">
      <c r="C845"/>
      <c r="G845"/>
    </row>
    <row r="846" spans="3:7" x14ac:dyDescent="0.55000000000000004">
      <c r="C846"/>
      <c r="G846"/>
    </row>
    <row r="847" spans="3:7" x14ac:dyDescent="0.55000000000000004">
      <c r="C847"/>
      <c r="G847"/>
    </row>
    <row r="848" spans="3:7" x14ac:dyDescent="0.55000000000000004">
      <c r="C848"/>
      <c r="G848"/>
    </row>
    <row r="849" spans="3:7" x14ac:dyDescent="0.55000000000000004">
      <c r="C849"/>
      <c r="G849"/>
    </row>
    <row r="850" spans="3:7" x14ac:dyDescent="0.55000000000000004">
      <c r="C850"/>
      <c r="G850"/>
    </row>
    <row r="851" spans="3:7" x14ac:dyDescent="0.55000000000000004">
      <c r="C851"/>
      <c r="G851"/>
    </row>
    <row r="852" spans="3:7" x14ac:dyDescent="0.55000000000000004">
      <c r="C852"/>
      <c r="G852"/>
    </row>
    <row r="853" spans="3:7" x14ac:dyDescent="0.55000000000000004">
      <c r="C853"/>
      <c r="G853"/>
    </row>
    <row r="854" spans="3:7" x14ac:dyDescent="0.55000000000000004">
      <c r="C854"/>
      <c r="G854"/>
    </row>
    <row r="855" spans="3:7" x14ac:dyDescent="0.55000000000000004">
      <c r="C855"/>
      <c r="G855"/>
    </row>
    <row r="856" spans="3:7" x14ac:dyDescent="0.55000000000000004">
      <c r="C856"/>
      <c r="G856"/>
    </row>
    <row r="857" spans="3:7" x14ac:dyDescent="0.55000000000000004">
      <c r="C857"/>
      <c r="G857"/>
    </row>
    <row r="858" spans="3:7" x14ac:dyDescent="0.55000000000000004">
      <c r="C858"/>
      <c r="G858"/>
    </row>
    <row r="859" spans="3:7" x14ac:dyDescent="0.55000000000000004">
      <c r="C859"/>
      <c r="G859"/>
    </row>
    <row r="860" spans="3:7" x14ac:dyDescent="0.55000000000000004">
      <c r="C860"/>
      <c r="G860"/>
    </row>
    <row r="861" spans="3:7" x14ac:dyDescent="0.55000000000000004">
      <c r="C861"/>
      <c r="G861"/>
    </row>
    <row r="862" spans="3:7" x14ac:dyDescent="0.55000000000000004">
      <c r="C862"/>
      <c r="G862"/>
    </row>
    <row r="863" spans="3:7" x14ac:dyDescent="0.55000000000000004">
      <c r="C863"/>
      <c r="G863"/>
    </row>
    <row r="864" spans="3:7" x14ac:dyDescent="0.55000000000000004">
      <c r="C864"/>
      <c r="G864"/>
    </row>
    <row r="865" spans="3:7" x14ac:dyDescent="0.55000000000000004">
      <c r="C865"/>
      <c r="G865"/>
    </row>
    <row r="866" spans="3:7" x14ac:dyDescent="0.55000000000000004">
      <c r="C866"/>
      <c r="G866"/>
    </row>
    <row r="867" spans="3:7" x14ac:dyDescent="0.55000000000000004">
      <c r="C867"/>
      <c r="G867"/>
    </row>
    <row r="868" spans="3:7" x14ac:dyDescent="0.55000000000000004">
      <c r="C868"/>
      <c r="G868"/>
    </row>
    <row r="869" spans="3:7" x14ac:dyDescent="0.55000000000000004">
      <c r="C869"/>
      <c r="G869"/>
    </row>
    <row r="870" spans="3:7" x14ac:dyDescent="0.55000000000000004">
      <c r="C870"/>
      <c r="G870"/>
    </row>
    <row r="871" spans="3:7" x14ac:dyDescent="0.55000000000000004">
      <c r="C871"/>
      <c r="G871"/>
    </row>
    <row r="872" spans="3:7" x14ac:dyDescent="0.55000000000000004">
      <c r="C872"/>
      <c r="G872"/>
    </row>
    <row r="873" spans="3:7" x14ac:dyDescent="0.55000000000000004">
      <c r="C873"/>
      <c r="G873"/>
    </row>
    <row r="874" spans="3:7" x14ac:dyDescent="0.55000000000000004">
      <c r="C874"/>
      <c r="G874"/>
    </row>
    <row r="875" spans="3:7" x14ac:dyDescent="0.55000000000000004">
      <c r="C875"/>
      <c r="G875"/>
    </row>
    <row r="876" spans="3:7" x14ac:dyDescent="0.55000000000000004">
      <c r="C876"/>
      <c r="G876"/>
    </row>
    <row r="877" spans="3:7" x14ac:dyDescent="0.55000000000000004">
      <c r="C877"/>
      <c r="G877"/>
    </row>
    <row r="878" spans="3:7" x14ac:dyDescent="0.55000000000000004">
      <c r="C878"/>
      <c r="G878"/>
    </row>
    <row r="879" spans="3:7" x14ac:dyDescent="0.55000000000000004">
      <c r="C879"/>
      <c r="G879"/>
    </row>
    <row r="880" spans="3:7" x14ac:dyDescent="0.55000000000000004">
      <c r="C880"/>
      <c r="G880"/>
    </row>
    <row r="881" spans="3:7" x14ac:dyDescent="0.55000000000000004">
      <c r="C881"/>
      <c r="G881"/>
    </row>
    <row r="882" spans="3:7" x14ac:dyDescent="0.55000000000000004">
      <c r="C882"/>
      <c r="G882"/>
    </row>
    <row r="883" spans="3:7" x14ac:dyDescent="0.55000000000000004">
      <c r="C883"/>
      <c r="G883"/>
    </row>
    <row r="884" spans="3:7" x14ac:dyDescent="0.55000000000000004">
      <c r="C884"/>
      <c r="G884"/>
    </row>
    <row r="885" spans="3:7" x14ac:dyDescent="0.55000000000000004">
      <c r="C885"/>
      <c r="G885"/>
    </row>
    <row r="886" spans="3:7" x14ac:dyDescent="0.55000000000000004">
      <c r="C886"/>
      <c r="G886"/>
    </row>
    <row r="887" spans="3:7" x14ac:dyDescent="0.55000000000000004">
      <c r="C887"/>
      <c r="G887"/>
    </row>
    <row r="888" spans="3:7" x14ac:dyDescent="0.55000000000000004">
      <c r="C888"/>
      <c r="G888"/>
    </row>
    <row r="889" spans="3:7" x14ac:dyDescent="0.55000000000000004">
      <c r="C889"/>
      <c r="G889"/>
    </row>
    <row r="890" spans="3:7" x14ac:dyDescent="0.55000000000000004">
      <c r="C890"/>
      <c r="G890"/>
    </row>
    <row r="891" spans="3:7" x14ac:dyDescent="0.55000000000000004">
      <c r="C891"/>
      <c r="G891"/>
    </row>
    <row r="892" spans="3:7" x14ac:dyDescent="0.55000000000000004">
      <c r="C892"/>
      <c r="G892"/>
    </row>
    <row r="893" spans="3:7" x14ac:dyDescent="0.55000000000000004">
      <c r="C893"/>
      <c r="G893"/>
    </row>
    <row r="894" spans="3:7" x14ac:dyDescent="0.55000000000000004">
      <c r="C894"/>
      <c r="G894"/>
    </row>
    <row r="895" spans="3:7" x14ac:dyDescent="0.55000000000000004">
      <c r="C895"/>
      <c r="G895"/>
    </row>
    <row r="896" spans="3:7" x14ac:dyDescent="0.55000000000000004">
      <c r="C896"/>
      <c r="G896"/>
    </row>
    <row r="897" spans="3:7" x14ac:dyDescent="0.55000000000000004">
      <c r="C897"/>
      <c r="G897"/>
    </row>
    <row r="898" spans="3:7" x14ac:dyDescent="0.55000000000000004">
      <c r="C898"/>
      <c r="G898"/>
    </row>
    <row r="899" spans="3:7" x14ac:dyDescent="0.55000000000000004">
      <c r="C899"/>
      <c r="G899"/>
    </row>
    <row r="900" spans="3:7" x14ac:dyDescent="0.55000000000000004">
      <c r="C900"/>
      <c r="G900"/>
    </row>
    <row r="901" spans="3:7" x14ac:dyDescent="0.55000000000000004">
      <c r="C901"/>
      <c r="G901"/>
    </row>
    <row r="902" spans="3:7" x14ac:dyDescent="0.55000000000000004">
      <c r="C902"/>
      <c r="G902"/>
    </row>
    <row r="903" spans="3:7" x14ac:dyDescent="0.55000000000000004">
      <c r="C903"/>
      <c r="G903"/>
    </row>
    <row r="904" spans="3:7" x14ac:dyDescent="0.55000000000000004">
      <c r="C904"/>
      <c r="G904"/>
    </row>
    <row r="905" spans="3:7" x14ac:dyDescent="0.55000000000000004">
      <c r="C905"/>
      <c r="G905"/>
    </row>
    <row r="906" spans="3:7" x14ac:dyDescent="0.55000000000000004">
      <c r="C906"/>
      <c r="G906"/>
    </row>
    <row r="907" spans="3:7" x14ac:dyDescent="0.55000000000000004">
      <c r="C907"/>
      <c r="G907"/>
    </row>
    <row r="908" spans="3:7" x14ac:dyDescent="0.55000000000000004">
      <c r="C908"/>
      <c r="G908"/>
    </row>
    <row r="909" spans="3:7" x14ac:dyDescent="0.55000000000000004">
      <c r="C909"/>
      <c r="G909"/>
    </row>
    <row r="910" spans="3:7" x14ac:dyDescent="0.55000000000000004">
      <c r="C910"/>
      <c r="G910"/>
    </row>
    <row r="911" spans="3:7" x14ac:dyDescent="0.55000000000000004">
      <c r="C911"/>
      <c r="G911"/>
    </row>
    <row r="912" spans="3:7" x14ac:dyDescent="0.55000000000000004">
      <c r="C912"/>
      <c r="G912"/>
    </row>
    <row r="913" spans="3:7" x14ac:dyDescent="0.55000000000000004">
      <c r="C913"/>
      <c r="G913"/>
    </row>
    <row r="914" spans="3:7" x14ac:dyDescent="0.55000000000000004">
      <c r="C914"/>
      <c r="G914"/>
    </row>
    <row r="915" spans="3:7" x14ac:dyDescent="0.55000000000000004">
      <c r="C915"/>
      <c r="G915"/>
    </row>
    <row r="916" spans="3:7" x14ac:dyDescent="0.55000000000000004">
      <c r="C916"/>
      <c r="G916"/>
    </row>
    <row r="917" spans="3:7" x14ac:dyDescent="0.55000000000000004">
      <c r="C917"/>
      <c r="G917"/>
    </row>
    <row r="918" spans="3:7" x14ac:dyDescent="0.55000000000000004">
      <c r="C918"/>
      <c r="G918"/>
    </row>
    <row r="919" spans="3:7" x14ac:dyDescent="0.55000000000000004">
      <c r="C919"/>
      <c r="G919"/>
    </row>
    <row r="920" spans="3:7" x14ac:dyDescent="0.55000000000000004">
      <c r="C920"/>
      <c r="G920"/>
    </row>
    <row r="921" spans="3:7" x14ac:dyDescent="0.55000000000000004">
      <c r="C921"/>
      <c r="G921"/>
    </row>
    <row r="922" spans="3:7" x14ac:dyDescent="0.55000000000000004">
      <c r="C922"/>
      <c r="G922"/>
    </row>
    <row r="923" spans="3:7" x14ac:dyDescent="0.55000000000000004">
      <c r="C923"/>
      <c r="G923"/>
    </row>
    <row r="924" spans="3:7" x14ac:dyDescent="0.55000000000000004">
      <c r="C924"/>
      <c r="G924"/>
    </row>
    <row r="925" spans="3:7" x14ac:dyDescent="0.55000000000000004">
      <c r="C925"/>
      <c r="G925"/>
    </row>
    <row r="926" spans="3:7" x14ac:dyDescent="0.55000000000000004">
      <c r="C926"/>
      <c r="G926"/>
    </row>
    <row r="927" spans="3:7" x14ac:dyDescent="0.55000000000000004">
      <c r="C927"/>
      <c r="G927"/>
    </row>
    <row r="928" spans="3:7" x14ac:dyDescent="0.55000000000000004">
      <c r="C928"/>
      <c r="G928"/>
    </row>
    <row r="929" spans="3:7" x14ac:dyDescent="0.55000000000000004">
      <c r="C929"/>
      <c r="G929"/>
    </row>
    <row r="930" spans="3:7" x14ac:dyDescent="0.55000000000000004">
      <c r="C930"/>
      <c r="G930"/>
    </row>
    <row r="931" spans="3:7" x14ac:dyDescent="0.55000000000000004">
      <c r="C931"/>
      <c r="G931"/>
    </row>
    <row r="932" spans="3:7" x14ac:dyDescent="0.55000000000000004">
      <c r="C932"/>
      <c r="G932"/>
    </row>
    <row r="933" spans="3:7" x14ac:dyDescent="0.55000000000000004">
      <c r="C933"/>
      <c r="G933"/>
    </row>
    <row r="934" spans="3:7" x14ac:dyDescent="0.55000000000000004">
      <c r="C934"/>
      <c r="G934"/>
    </row>
    <row r="935" spans="3:7" x14ac:dyDescent="0.55000000000000004">
      <c r="C935"/>
      <c r="G935"/>
    </row>
    <row r="936" spans="3:7" x14ac:dyDescent="0.55000000000000004">
      <c r="C936"/>
      <c r="G936"/>
    </row>
    <row r="937" spans="3:7" x14ac:dyDescent="0.55000000000000004">
      <c r="C937"/>
      <c r="G937"/>
    </row>
    <row r="938" spans="3:7" x14ac:dyDescent="0.55000000000000004">
      <c r="C938"/>
      <c r="G938"/>
    </row>
    <row r="939" spans="3:7" x14ac:dyDescent="0.55000000000000004">
      <c r="C939"/>
      <c r="G939"/>
    </row>
    <row r="940" spans="3:7" x14ac:dyDescent="0.55000000000000004">
      <c r="C940"/>
      <c r="G940"/>
    </row>
    <row r="941" spans="3:7" x14ac:dyDescent="0.55000000000000004">
      <c r="C941"/>
      <c r="G941"/>
    </row>
    <row r="942" spans="3:7" x14ac:dyDescent="0.55000000000000004">
      <c r="C942"/>
      <c r="G942"/>
    </row>
    <row r="943" spans="3:7" x14ac:dyDescent="0.55000000000000004">
      <c r="C943"/>
      <c r="G943"/>
    </row>
    <row r="944" spans="3:7" x14ac:dyDescent="0.55000000000000004">
      <c r="C944"/>
      <c r="G944"/>
    </row>
    <row r="945" spans="3:7" x14ac:dyDescent="0.55000000000000004">
      <c r="C945"/>
      <c r="G945"/>
    </row>
    <row r="946" spans="3:7" x14ac:dyDescent="0.55000000000000004">
      <c r="C946"/>
      <c r="G946"/>
    </row>
    <row r="947" spans="3:7" x14ac:dyDescent="0.55000000000000004">
      <c r="C947"/>
      <c r="G947"/>
    </row>
    <row r="948" spans="3:7" x14ac:dyDescent="0.55000000000000004">
      <c r="C948"/>
      <c r="G948"/>
    </row>
    <row r="949" spans="3:7" x14ac:dyDescent="0.55000000000000004">
      <c r="C949"/>
      <c r="G949"/>
    </row>
    <row r="950" spans="3:7" x14ac:dyDescent="0.55000000000000004">
      <c r="C950"/>
      <c r="G950"/>
    </row>
    <row r="951" spans="3:7" x14ac:dyDescent="0.55000000000000004">
      <c r="C951"/>
      <c r="G951"/>
    </row>
    <row r="952" spans="3:7" x14ac:dyDescent="0.55000000000000004">
      <c r="C952"/>
      <c r="G952"/>
    </row>
    <row r="953" spans="3:7" x14ac:dyDescent="0.55000000000000004">
      <c r="C953"/>
      <c r="G953"/>
    </row>
    <row r="954" spans="3:7" x14ac:dyDescent="0.55000000000000004">
      <c r="C954"/>
      <c r="G954"/>
    </row>
    <row r="955" spans="3:7" x14ac:dyDescent="0.55000000000000004">
      <c r="C955"/>
      <c r="G955"/>
    </row>
    <row r="956" spans="3:7" x14ac:dyDescent="0.55000000000000004">
      <c r="C956"/>
      <c r="G956"/>
    </row>
    <row r="957" spans="3:7" x14ac:dyDescent="0.55000000000000004">
      <c r="C957"/>
      <c r="G957"/>
    </row>
    <row r="958" spans="3:7" x14ac:dyDescent="0.55000000000000004">
      <c r="C958"/>
      <c r="G958"/>
    </row>
    <row r="959" spans="3:7" x14ac:dyDescent="0.55000000000000004">
      <c r="C959"/>
      <c r="G959"/>
    </row>
    <row r="960" spans="3:7" x14ac:dyDescent="0.55000000000000004">
      <c r="C960"/>
      <c r="G960"/>
    </row>
    <row r="961" spans="3:7" x14ac:dyDescent="0.55000000000000004">
      <c r="C961"/>
      <c r="G961"/>
    </row>
    <row r="962" spans="3:7" x14ac:dyDescent="0.55000000000000004">
      <c r="C962"/>
      <c r="G962"/>
    </row>
    <row r="963" spans="3:7" x14ac:dyDescent="0.55000000000000004">
      <c r="C963"/>
      <c r="G963"/>
    </row>
    <row r="964" spans="3:7" x14ac:dyDescent="0.55000000000000004">
      <c r="C964"/>
      <c r="G964"/>
    </row>
    <row r="965" spans="3:7" x14ac:dyDescent="0.55000000000000004">
      <c r="C965"/>
      <c r="G965"/>
    </row>
    <row r="966" spans="3:7" x14ac:dyDescent="0.55000000000000004">
      <c r="C966"/>
      <c r="G966"/>
    </row>
    <row r="967" spans="3:7" x14ac:dyDescent="0.55000000000000004">
      <c r="C967"/>
      <c r="G967"/>
    </row>
    <row r="968" spans="3:7" x14ac:dyDescent="0.55000000000000004">
      <c r="C968"/>
      <c r="G968"/>
    </row>
    <row r="969" spans="3:7" x14ac:dyDescent="0.55000000000000004">
      <c r="C969"/>
      <c r="G969"/>
    </row>
    <row r="970" spans="3:7" x14ac:dyDescent="0.55000000000000004">
      <c r="C970"/>
      <c r="G970"/>
    </row>
    <row r="971" spans="3:7" x14ac:dyDescent="0.55000000000000004">
      <c r="C971"/>
      <c r="G971"/>
    </row>
    <row r="972" spans="3:7" x14ac:dyDescent="0.55000000000000004">
      <c r="C972"/>
      <c r="G972"/>
    </row>
    <row r="973" spans="3:7" x14ac:dyDescent="0.55000000000000004">
      <c r="C973"/>
      <c r="G973"/>
    </row>
    <row r="974" spans="3:7" x14ac:dyDescent="0.55000000000000004">
      <c r="C974"/>
      <c r="G974"/>
    </row>
    <row r="975" spans="3:7" x14ac:dyDescent="0.55000000000000004">
      <c r="C975"/>
      <c r="G975"/>
    </row>
    <row r="976" spans="3:7" x14ac:dyDescent="0.55000000000000004">
      <c r="C976"/>
      <c r="G976"/>
    </row>
    <row r="977" spans="3:7" x14ac:dyDescent="0.55000000000000004">
      <c r="C977"/>
      <c r="G977"/>
    </row>
    <row r="978" spans="3:7" x14ac:dyDescent="0.55000000000000004">
      <c r="C978"/>
      <c r="G978"/>
    </row>
    <row r="979" spans="3:7" x14ac:dyDescent="0.55000000000000004">
      <c r="C979"/>
      <c r="G979"/>
    </row>
    <row r="980" spans="3:7" x14ac:dyDescent="0.55000000000000004">
      <c r="C980"/>
      <c r="G980"/>
    </row>
    <row r="981" spans="3:7" x14ac:dyDescent="0.55000000000000004">
      <c r="C981"/>
      <c r="G981"/>
    </row>
    <row r="982" spans="3:7" x14ac:dyDescent="0.55000000000000004">
      <c r="C982"/>
      <c r="G982"/>
    </row>
    <row r="983" spans="3:7" x14ac:dyDescent="0.55000000000000004">
      <c r="C983"/>
      <c r="G983"/>
    </row>
    <row r="984" spans="3:7" x14ac:dyDescent="0.55000000000000004">
      <c r="C984"/>
      <c r="G984"/>
    </row>
    <row r="985" spans="3:7" x14ac:dyDescent="0.55000000000000004">
      <c r="C985"/>
      <c r="G985"/>
    </row>
    <row r="986" spans="3:7" x14ac:dyDescent="0.55000000000000004">
      <c r="C986"/>
      <c r="G986"/>
    </row>
    <row r="987" spans="3:7" x14ac:dyDescent="0.55000000000000004">
      <c r="C987"/>
      <c r="G987"/>
    </row>
    <row r="988" spans="3:7" x14ac:dyDescent="0.55000000000000004">
      <c r="C988"/>
      <c r="G988"/>
    </row>
    <row r="989" spans="3:7" x14ac:dyDescent="0.55000000000000004">
      <c r="C989"/>
      <c r="G989"/>
    </row>
    <row r="990" spans="3:7" x14ac:dyDescent="0.55000000000000004">
      <c r="C990"/>
      <c r="G990"/>
    </row>
    <row r="991" spans="3:7" x14ac:dyDescent="0.55000000000000004">
      <c r="C991"/>
      <c r="G991"/>
    </row>
    <row r="992" spans="3:7" x14ac:dyDescent="0.55000000000000004">
      <c r="C992"/>
      <c r="G992"/>
    </row>
    <row r="993" spans="3:7" x14ac:dyDescent="0.55000000000000004">
      <c r="C993"/>
      <c r="G993"/>
    </row>
    <row r="994" spans="3:7" x14ac:dyDescent="0.55000000000000004">
      <c r="C994"/>
      <c r="G994"/>
    </row>
    <row r="995" spans="3:7" x14ac:dyDescent="0.55000000000000004">
      <c r="C995"/>
      <c r="G995"/>
    </row>
    <row r="996" spans="3:7" x14ac:dyDescent="0.55000000000000004">
      <c r="C996"/>
      <c r="G996"/>
    </row>
    <row r="997" spans="3:7" x14ac:dyDescent="0.55000000000000004">
      <c r="C997"/>
      <c r="G997"/>
    </row>
    <row r="998" spans="3:7" x14ac:dyDescent="0.55000000000000004">
      <c r="C998"/>
      <c r="G998"/>
    </row>
    <row r="999" spans="3:7" x14ac:dyDescent="0.55000000000000004">
      <c r="C999"/>
      <c r="G999"/>
    </row>
    <row r="1000" spans="3:7" x14ac:dyDescent="0.55000000000000004">
      <c r="C1000"/>
      <c r="G1000"/>
    </row>
    <row r="1001" spans="3:7" x14ac:dyDescent="0.55000000000000004">
      <c r="C1001"/>
      <c r="G1001"/>
    </row>
    <row r="1002" spans="3:7" x14ac:dyDescent="0.55000000000000004">
      <c r="C1002"/>
      <c r="G1002"/>
    </row>
    <row r="1003" spans="3:7" x14ac:dyDescent="0.55000000000000004">
      <c r="C1003"/>
      <c r="G1003"/>
    </row>
    <row r="1004" spans="3:7" x14ac:dyDescent="0.55000000000000004">
      <c r="C1004"/>
      <c r="G1004"/>
    </row>
    <row r="1005" spans="3:7" x14ac:dyDescent="0.55000000000000004">
      <c r="C1005"/>
      <c r="G1005"/>
    </row>
    <row r="1006" spans="3:7" x14ac:dyDescent="0.55000000000000004">
      <c r="C1006"/>
      <c r="G1006"/>
    </row>
    <row r="1007" spans="3:7" x14ac:dyDescent="0.55000000000000004">
      <c r="C1007"/>
      <c r="G1007"/>
    </row>
    <row r="1008" spans="3:7" x14ac:dyDescent="0.55000000000000004">
      <c r="C1008"/>
      <c r="G1008"/>
    </row>
    <row r="1009" spans="3:7" x14ac:dyDescent="0.55000000000000004">
      <c r="C1009"/>
      <c r="G1009"/>
    </row>
    <row r="1010" spans="3:7" x14ac:dyDescent="0.55000000000000004">
      <c r="C1010"/>
      <c r="G1010"/>
    </row>
    <row r="1011" spans="3:7" x14ac:dyDescent="0.55000000000000004">
      <c r="C1011"/>
      <c r="G1011"/>
    </row>
    <row r="1012" spans="3:7" x14ac:dyDescent="0.55000000000000004">
      <c r="C1012"/>
      <c r="G1012"/>
    </row>
    <row r="1013" spans="3:7" x14ac:dyDescent="0.55000000000000004">
      <c r="C1013"/>
      <c r="G1013"/>
    </row>
    <row r="1014" spans="3:7" x14ac:dyDescent="0.55000000000000004">
      <c r="C1014"/>
      <c r="G1014"/>
    </row>
    <row r="1015" spans="3:7" x14ac:dyDescent="0.55000000000000004">
      <c r="C1015"/>
      <c r="G1015"/>
    </row>
    <row r="1016" spans="3:7" x14ac:dyDescent="0.55000000000000004">
      <c r="C1016"/>
      <c r="G1016"/>
    </row>
    <row r="1017" spans="3:7" x14ac:dyDescent="0.55000000000000004">
      <c r="C1017"/>
      <c r="G1017"/>
    </row>
    <row r="1018" spans="3:7" x14ac:dyDescent="0.55000000000000004">
      <c r="C1018"/>
      <c r="G1018"/>
    </row>
    <row r="1019" spans="3:7" x14ac:dyDescent="0.55000000000000004">
      <c r="C1019"/>
      <c r="G1019"/>
    </row>
    <row r="1020" spans="3:7" x14ac:dyDescent="0.55000000000000004">
      <c r="C1020"/>
      <c r="G1020"/>
    </row>
    <row r="1021" spans="3:7" x14ac:dyDescent="0.55000000000000004">
      <c r="C1021"/>
      <c r="G1021"/>
    </row>
    <row r="1022" spans="3:7" x14ac:dyDescent="0.55000000000000004">
      <c r="C1022"/>
      <c r="G1022"/>
    </row>
    <row r="1023" spans="3:7" x14ac:dyDescent="0.55000000000000004">
      <c r="C1023"/>
      <c r="G1023"/>
    </row>
    <row r="1024" spans="3:7" x14ac:dyDescent="0.55000000000000004">
      <c r="C1024"/>
      <c r="G1024"/>
    </row>
    <row r="1025" spans="3:7" x14ac:dyDescent="0.55000000000000004">
      <c r="C1025"/>
      <c r="G1025"/>
    </row>
    <row r="1026" spans="3:7" x14ac:dyDescent="0.55000000000000004">
      <c r="C1026"/>
      <c r="G1026"/>
    </row>
    <row r="1027" spans="3:7" x14ac:dyDescent="0.55000000000000004">
      <c r="C1027"/>
      <c r="G1027"/>
    </row>
    <row r="1028" spans="3:7" x14ac:dyDescent="0.55000000000000004">
      <c r="C1028"/>
      <c r="G1028"/>
    </row>
    <row r="1029" spans="3:7" x14ac:dyDescent="0.55000000000000004">
      <c r="C1029"/>
      <c r="G1029"/>
    </row>
    <row r="1030" spans="3:7" x14ac:dyDescent="0.55000000000000004">
      <c r="C1030"/>
      <c r="G1030"/>
    </row>
    <row r="1031" spans="3:7" x14ac:dyDescent="0.55000000000000004">
      <c r="C1031"/>
      <c r="G1031"/>
    </row>
    <row r="1032" spans="3:7" x14ac:dyDescent="0.55000000000000004">
      <c r="C1032"/>
      <c r="G1032"/>
    </row>
    <row r="1033" spans="3:7" x14ac:dyDescent="0.55000000000000004">
      <c r="C1033"/>
      <c r="G1033"/>
    </row>
    <row r="1034" spans="3:7" x14ac:dyDescent="0.55000000000000004">
      <c r="C1034"/>
      <c r="G1034"/>
    </row>
    <row r="1035" spans="3:7" x14ac:dyDescent="0.55000000000000004">
      <c r="C1035"/>
      <c r="G1035"/>
    </row>
    <row r="1036" spans="3:7" x14ac:dyDescent="0.55000000000000004">
      <c r="C1036"/>
      <c r="G1036"/>
    </row>
    <row r="1037" spans="3:7" x14ac:dyDescent="0.55000000000000004">
      <c r="C1037"/>
      <c r="G1037"/>
    </row>
    <row r="1038" spans="3:7" x14ac:dyDescent="0.55000000000000004">
      <c r="C1038"/>
      <c r="G1038"/>
    </row>
    <row r="1039" spans="3:7" x14ac:dyDescent="0.55000000000000004">
      <c r="C1039"/>
      <c r="G1039"/>
    </row>
    <row r="1040" spans="3:7" x14ac:dyDescent="0.55000000000000004">
      <c r="C1040"/>
      <c r="G1040"/>
    </row>
    <row r="1041" spans="3:7" x14ac:dyDescent="0.55000000000000004">
      <c r="C1041"/>
      <c r="G1041"/>
    </row>
    <row r="1042" spans="3:7" x14ac:dyDescent="0.55000000000000004">
      <c r="C1042"/>
      <c r="G1042"/>
    </row>
    <row r="1043" spans="3:7" x14ac:dyDescent="0.55000000000000004">
      <c r="C1043"/>
      <c r="G1043"/>
    </row>
    <row r="1044" spans="3:7" x14ac:dyDescent="0.55000000000000004">
      <c r="C1044"/>
      <c r="G1044"/>
    </row>
    <row r="1045" spans="3:7" x14ac:dyDescent="0.55000000000000004">
      <c r="C1045"/>
      <c r="G1045"/>
    </row>
    <row r="1046" spans="3:7" x14ac:dyDescent="0.55000000000000004">
      <c r="C1046"/>
      <c r="G1046"/>
    </row>
    <row r="1047" spans="3:7" x14ac:dyDescent="0.55000000000000004">
      <c r="C1047"/>
      <c r="G1047"/>
    </row>
    <row r="1048" spans="3:7" x14ac:dyDescent="0.55000000000000004">
      <c r="C1048"/>
      <c r="G1048"/>
    </row>
    <row r="1049" spans="3:7" x14ac:dyDescent="0.55000000000000004">
      <c r="C1049"/>
      <c r="G1049"/>
    </row>
    <row r="1050" spans="3:7" x14ac:dyDescent="0.55000000000000004">
      <c r="C1050"/>
      <c r="G1050"/>
    </row>
    <row r="1051" spans="3:7" x14ac:dyDescent="0.55000000000000004">
      <c r="C1051"/>
      <c r="G1051"/>
    </row>
    <row r="1052" spans="3:7" x14ac:dyDescent="0.55000000000000004">
      <c r="C1052"/>
      <c r="G1052"/>
    </row>
    <row r="1053" spans="3:7" x14ac:dyDescent="0.55000000000000004">
      <c r="C1053"/>
      <c r="G1053"/>
    </row>
    <row r="1054" spans="3:7" x14ac:dyDescent="0.55000000000000004">
      <c r="C1054"/>
      <c r="G1054"/>
    </row>
    <row r="1055" spans="3:7" x14ac:dyDescent="0.55000000000000004">
      <c r="C1055"/>
      <c r="G1055"/>
    </row>
    <row r="1056" spans="3:7" x14ac:dyDescent="0.55000000000000004">
      <c r="C1056"/>
      <c r="G1056"/>
    </row>
    <row r="1057" spans="3:7" x14ac:dyDescent="0.55000000000000004">
      <c r="C1057"/>
      <c r="G1057"/>
    </row>
    <row r="1058" spans="3:7" x14ac:dyDescent="0.55000000000000004">
      <c r="C1058"/>
      <c r="G1058"/>
    </row>
    <row r="1059" spans="3:7" x14ac:dyDescent="0.55000000000000004">
      <c r="C1059"/>
      <c r="G1059"/>
    </row>
    <row r="1060" spans="3:7" x14ac:dyDescent="0.55000000000000004">
      <c r="C1060"/>
      <c r="G1060"/>
    </row>
    <row r="1061" spans="3:7" x14ac:dyDescent="0.55000000000000004">
      <c r="C1061"/>
      <c r="G1061"/>
    </row>
    <row r="1062" spans="3:7" x14ac:dyDescent="0.55000000000000004">
      <c r="C1062"/>
      <c r="G1062"/>
    </row>
    <row r="1063" spans="3:7" x14ac:dyDescent="0.55000000000000004">
      <c r="C1063"/>
      <c r="G1063"/>
    </row>
    <row r="1064" spans="3:7" x14ac:dyDescent="0.55000000000000004">
      <c r="C1064"/>
      <c r="G1064"/>
    </row>
    <row r="1065" spans="3:7" x14ac:dyDescent="0.55000000000000004">
      <c r="C1065"/>
      <c r="G1065"/>
    </row>
    <row r="1066" spans="3:7" x14ac:dyDescent="0.55000000000000004">
      <c r="C1066"/>
      <c r="G1066"/>
    </row>
    <row r="1067" spans="3:7" x14ac:dyDescent="0.55000000000000004">
      <c r="C1067"/>
      <c r="G1067"/>
    </row>
    <row r="1068" spans="3:7" x14ac:dyDescent="0.55000000000000004">
      <c r="C1068"/>
      <c r="G1068"/>
    </row>
    <row r="1069" spans="3:7" x14ac:dyDescent="0.55000000000000004">
      <c r="C1069"/>
      <c r="G1069"/>
    </row>
    <row r="1070" spans="3:7" x14ac:dyDescent="0.55000000000000004">
      <c r="C1070"/>
      <c r="G1070"/>
    </row>
    <row r="1071" spans="3:7" x14ac:dyDescent="0.55000000000000004">
      <c r="C1071"/>
      <c r="G1071"/>
    </row>
    <row r="1072" spans="3:7" x14ac:dyDescent="0.55000000000000004">
      <c r="C1072"/>
      <c r="G1072"/>
    </row>
    <row r="1073" spans="3:7" x14ac:dyDescent="0.55000000000000004">
      <c r="C1073"/>
      <c r="G1073"/>
    </row>
    <row r="1074" spans="3:7" x14ac:dyDescent="0.55000000000000004">
      <c r="C1074"/>
      <c r="G1074"/>
    </row>
    <row r="1075" spans="3:7" x14ac:dyDescent="0.55000000000000004">
      <c r="C1075"/>
      <c r="G1075"/>
    </row>
    <row r="1076" spans="3:7" x14ac:dyDescent="0.55000000000000004">
      <c r="C1076"/>
      <c r="G1076"/>
    </row>
    <row r="1077" spans="3:7" x14ac:dyDescent="0.55000000000000004">
      <c r="C1077"/>
      <c r="G1077"/>
    </row>
    <row r="1078" spans="3:7" x14ac:dyDescent="0.55000000000000004">
      <c r="C1078"/>
      <c r="G1078"/>
    </row>
    <row r="1079" spans="3:7" x14ac:dyDescent="0.55000000000000004">
      <c r="C1079"/>
      <c r="G1079"/>
    </row>
    <row r="1080" spans="3:7" x14ac:dyDescent="0.55000000000000004">
      <c r="C1080"/>
      <c r="G1080"/>
    </row>
    <row r="1081" spans="3:7" x14ac:dyDescent="0.55000000000000004">
      <c r="C1081"/>
      <c r="G1081"/>
    </row>
    <row r="1082" spans="3:7" x14ac:dyDescent="0.55000000000000004">
      <c r="C1082"/>
      <c r="G1082"/>
    </row>
    <row r="1083" spans="3:7" x14ac:dyDescent="0.55000000000000004">
      <c r="C1083"/>
      <c r="G1083"/>
    </row>
    <row r="1084" spans="3:7" x14ac:dyDescent="0.55000000000000004">
      <c r="C1084"/>
      <c r="G1084"/>
    </row>
    <row r="1085" spans="3:7" x14ac:dyDescent="0.55000000000000004">
      <c r="C1085"/>
      <c r="G1085"/>
    </row>
    <row r="1086" spans="3:7" x14ac:dyDescent="0.55000000000000004">
      <c r="C1086"/>
      <c r="G1086"/>
    </row>
    <row r="1087" spans="3:7" x14ac:dyDescent="0.55000000000000004">
      <c r="C1087"/>
      <c r="G1087"/>
    </row>
    <row r="1088" spans="3:7" x14ac:dyDescent="0.55000000000000004">
      <c r="C1088"/>
      <c r="G1088"/>
    </row>
    <row r="1089" spans="3:7" x14ac:dyDescent="0.55000000000000004">
      <c r="C1089"/>
      <c r="G1089"/>
    </row>
    <row r="1090" spans="3:7" x14ac:dyDescent="0.55000000000000004">
      <c r="C1090"/>
      <c r="G1090"/>
    </row>
    <row r="1091" spans="3:7" x14ac:dyDescent="0.55000000000000004">
      <c r="C1091"/>
      <c r="G1091"/>
    </row>
    <row r="1092" spans="3:7" x14ac:dyDescent="0.55000000000000004">
      <c r="C1092"/>
      <c r="G1092"/>
    </row>
    <row r="1093" spans="3:7" x14ac:dyDescent="0.55000000000000004">
      <c r="C1093"/>
      <c r="G1093"/>
    </row>
    <row r="1094" spans="3:7" x14ac:dyDescent="0.55000000000000004">
      <c r="C1094"/>
      <c r="G1094"/>
    </row>
    <row r="1095" spans="3:7" x14ac:dyDescent="0.55000000000000004">
      <c r="C1095"/>
      <c r="G1095"/>
    </row>
    <row r="1096" spans="3:7" x14ac:dyDescent="0.55000000000000004">
      <c r="C1096"/>
      <c r="G1096"/>
    </row>
    <row r="1097" spans="3:7" x14ac:dyDescent="0.55000000000000004">
      <c r="C1097"/>
      <c r="G1097"/>
    </row>
    <row r="1098" spans="3:7" x14ac:dyDescent="0.55000000000000004">
      <c r="C1098"/>
      <c r="G1098"/>
    </row>
    <row r="1099" spans="3:7" x14ac:dyDescent="0.55000000000000004">
      <c r="C1099"/>
      <c r="G1099"/>
    </row>
    <row r="1100" spans="3:7" x14ac:dyDescent="0.55000000000000004">
      <c r="C1100"/>
      <c r="G1100"/>
    </row>
    <row r="1101" spans="3:7" x14ac:dyDescent="0.55000000000000004">
      <c r="C1101"/>
      <c r="G1101"/>
    </row>
    <row r="1102" spans="3:7" x14ac:dyDescent="0.55000000000000004">
      <c r="C1102"/>
      <c r="G1102"/>
    </row>
    <row r="1103" spans="3:7" x14ac:dyDescent="0.55000000000000004">
      <c r="C1103"/>
      <c r="G1103"/>
    </row>
    <row r="1104" spans="3:7" x14ac:dyDescent="0.55000000000000004">
      <c r="C1104"/>
      <c r="G1104"/>
    </row>
    <row r="1105" spans="3:7" x14ac:dyDescent="0.55000000000000004">
      <c r="C1105"/>
      <c r="G1105"/>
    </row>
    <row r="1106" spans="3:7" x14ac:dyDescent="0.55000000000000004">
      <c r="C1106"/>
      <c r="G1106"/>
    </row>
    <row r="1107" spans="3:7" x14ac:dyDescent="0.55000000000000004">
      <c r="C1107"/>
      <c r="G1107"/>
    </row>
    <row r="1108" spans="3:7" x14ac:dyDescent="0.55000000000000004">
      <c r="C1108"/>
      <c r="G1108"/>
    </row>
    <row r="1109" spans="3:7" x14ac:dyDescent="0.55000000000000004">
      <c r="C1109"/>
      <c r="G1109"/>
    </row>
    <row r="1110" spans="3:7" x14ac:dyDescent="0.55000000000000004">
      <c r="C1110"/>
      <c r="G1110"/>
    </row>
    <row r="1111" spans="3:7" x14ac:dyDescent="0.55000000000000004">
      <c r="C1111"/>
      <c r="G1111"/>
    </row>
    <row r="1112" spans="3:7" x14ac:dyDescent="0.55000000000000004">
      <c r="C1112"/>
      <c r="G1112"/>
    </row>
    <row r="1113" spans="3:7" x14ac:dyDescent="0.55000000000000004">
      <c r="C1113"/>
      <c r="G1113"/>
    </row>
    <row r="1114" spans="3:7" x14ac:dyDescent="0.55000000000000004">
      <c r="C1114"/>
      <c r="G1114"/>
    </row>
    <row r="1115" spans="3:7" x14ac:dyDescent="0.55000000000000004">
      <c r="C1115"/>
      <c r="G1115"/>
    </row>
    <row r="1116" spans="3:7" x14ac:dyDescent="0.55000000000000004">
      <c r="C1116"/>
      <c r="G1116"/>
    </row>
    <row r="1117" spans="3:7" x14ac:dyDescent="0.55000000000000004">
      <c r="C1117"/>
      <c r="G1117"/>
    </row>
    <row r="1118" spans="3:7" x14ac:dyDescent="0.55000000000000004">
      <c r="C1118"/>
      <c r="G1118"/>
    </row>
    <row r="1119" spans="3:7" x14ac:dyDescent="0.55000000000000004">
      <c r="C1119"/>
      <c r="G1119"/>
    </row>
    <row r="1120" spans="3:7" x14ac:dyDescent="0.55000000000000004">
      <c r="C1120"/>
      <c r="G1120"/>
    </row>
    <row r="1121" spans="3:7" x14ac:dyDescent="0.55000000000000004">
      <c r="C1121"/>
      <c r="G1121"/>
    </row>
    <row r="1122" spans="3:7" x14ac:dyDescent="0.55000000000000004">
      <c r="C1122"/>
      <c r="G1122"/>
    </row>
    <row r="1123" spans="3:7" x14ac:dyDescent="0.55000000000000004">
      <c r="C1123"/>
      <c r="G1123"/>
    </row>
    <row r="1124" spans="3:7" x14ac:dyDescent="0.55000000000000004">
      <c r="C1124"/>
      <c r="G1124"/>
    </row>
    <row r="1125" spans="3:7" x14ac:dyDescent="0.55000000000000004">
      <c r="C1125"/>
      <c r="G1125"/>
    </row>
    <row r="1126" spans="3:7" x14ac:dyDescent="0.55000000000000004">
      <c r="C1126"/>
      <c r="G1126"/>
    </row>
    <row r="1127" spans="3:7" x14ac:dyDescent="0.55000000000000004">
      <c r="C1127"/>
      <c r="G1127"/>
    </row>
    <row r="1128" spans="3:7" x14ac:dyDescent="0.55000000000000004">
      <c r="C1128"/>
      <c r="G1128"/>
    </row>
    <row r="1129" spans="3:7" x14ac:dyDescent="0.55000000000000004">
      <c r="C1129"/>
      <c r="G1129"/>
    </row>
    <row r="1130" spans="3:7" x14ac:dyDescent="0.55000000000000004">
      <c r="C1130"/>
      <c r="G1130"/>
    </row>
    <row r="1131" spans="3:7" x14ac:dyDescent="0.55000000000000004">
      <c r="C1131"/>
      <c r="G1131"/>
    </row>
    <row r="1132" spans="3:7" x14ac:dyDescent="0.55000000000000004">
      <c r="C1132"/>
      <c r="G1132"/>
    </row>
    <row r="1133" spans="3:7" x14ac:dyDescent="0.55000000000000004">
      <c r="C1133"/>
      <c r="G1133"/>
    </row>
    <row r="1134" spans="3:7" x14ac:dyDescent="0.55000000000000004">
      <c r="C1134"/>
      <c r="G1134"/>
    </row>
    <row r="1135" spans="3:7" x14ac:dyDescent="0.55000000000000004">
      <c r="C1135"/>
      <c r="G1135"/>
    </row>
    <row r="1136" spans="3:7" x14ac:dyDescent="0.55000000000000004">
      <c r="C1136"/>
      <c r="G1136"/>
    </row>
    <row r="1137" spans="3:7" x14ac:dyDescent="0.55000000000000004">
      <c r="C1137"/>
      <c r="G1137"/>
    </row>
    <row r="1138" spans="3:7" x14ac:dyDescent="0.55000000000000004">
      <c r="C1138"/>
      <c r="G1138"/>
    </row>
    <row r="1139" spans="3:7" x14ac:dyDescent="0.55000000000000004">
      <c r="C1139"/>
      <c r="G1139"/>
    </row>
    <row r="1140" spans="3:7" x14ac:dyDescent="0.55000000000000004">
      <c r="C1140"/>
      <c r="G1140"/>
    </row>
    <row r="1141" spans="3:7" x14ac:dyDescent="0.55000000000000004">
      <c r="C1141"/>
      <c r="G1141"/>
    </row>
    <row r="1142" spans="3:7" x14ac:dyDescent="0.55000000000000004">
      <c r="C1142"/>
      <c r="G1142"/>
    </row>
    <row r="1143" spans="3:7" x14ac:dyDescent="0.55000000000000004">
      <c r="C1143"/>
      <c r="G1143"/>
    </row>
    <row r="1144" spans="3:7" x14ac:dyDescent="0.55000000000000004">
      <c r="C1144"/>
      <c r="G1144"/>
    </row>
    <row r="1145" spans="3:7" x14ac:dyDescent="0.55000000000000004">
      <c r="C1145"/>
      <c r="G1145"/>
    </row>
    <row r="1146" spans="3:7" x14ac:dyDescent="0.55000000000000004">
      <c r="C1146"/>
      <c r="G1146"/>
    </row>
    <row r="1147" spans="3:7" x14ac:dyDescent="0.55000000000000004">
      <c r="C1147"/>
      <c r="G1147"/>
    </row>
    <row r="1148" spans="3:7" x14ac:dyDescent="0.55000000000000004">
      <c r="C1148"/>
      <c r="G1148"/>
    </row>
    <row r="1149" spans="3:7" x14ac:dyDescent="0.55000000000000004">
      <c r="C1149"/>
      <c r="G1149"/>
    </row>
    <row r="1150" spans="3:7" x14ac:dyDescent="0.55000000000000004">
      <c r="C1150"/>
      <c r="G1150"/>
    </row>
    <row r="1151" spans="3:7" x14ac:dyDescent="0.55000000000000004">
      <c r="C1151"/>
      <c r="G1151"/>
    </row>
    <row r="1152" spans="3:7" x14ac:dyDescent="0.55000000000000004">
      <c r="C1152"/>
      <c r="G1152"/>
    </row>
    <row r="1153" spans="3:7" x14ac:dyDescent="0.55000000000000004">
      <c r="C1153"/>
      <c r="G1153"/>
    </row>
    <row r="1154" spans="3:7" x14ac:dyDescent="0.55000000000000004">
      <c r="C1154"/>
      <c r="G1154"/>
    </row>
    <row r="1155" spans="3:7" x14ac:dyDescent="0.55000000000000004">
      <c r="C1155"/>
      <c r="G1155"/>
    </row>
    <row r="1156" spans="3:7" x14ac:dyDescent="0.55000000000000004">
      <c r="C1156"/>
      <c r="G1156"/>
    </row>
    <row r="1157" spans="3:7" x14ac:dyDescent="0.55000000000000004">
      <c r="C1157"/>
      <c r="G1157"/>
    </row>
    <row r="1158" spans="3:7" x14ac:dyDescent="0.55000000000000004">
      <c r="C1158"/>
      <c r="G1158"/>
    </row>
    <row r="1159" spans="3:7" x14ac:dyDescent="0.55000000000000004">
      <c r="C1159"/>
      <c r="G1159"/>
    </row>
    <row r="1160" spans="3:7" x14ac:dyDescent="0.55000000000000004">
      <c r="C1160"/>
      <c r="G1160"/>
    </row>
    <row r="1161" spans="3:7" x14ac:dyDescent="0.55000000000000004">
      <c r="C1161"/>
      <c r="G1161"/>
    </row>
    <row r="1162" spans="3:7" x14ac:dyDescent="0.55000000000000004">
      <c r="C1162"/>
      <c r="G1162"/>
    </row>
    <row r="1163" spans="3:7" x14ac:dyDescent="0.55000000000000004">
      <c r="C1163"/>
      <c r="G1163"/>
    </row>
    <row r="1164" spans="3:7" x14ac:dyDescent="0.55000000000000004">
      <c r="C1164"/>
      <c r="G1164"/>
    </row>
    <row r="1165" spans="3:7" x14ac:dyDescent="0.55000000000000004">
      <c r="C1165"/>
      <c r="G1165"/>
    </row>
    <row r="1166" spans="3:7" x14ac:dyDescent="0.55000000000000004">
      <c r="C1166"/>
      <c r="G1166"/>
    </row>
    <row r="1167" spans="3:7" x14ac:dyDescent="0.55000000000000004">
      <c r="C1167"/>
      <c r="G1167"/>
    </row>
    <row r="1168" spans="3:7" x14ac:dyDescent="0.55000000000000004">
      <c r="C1168"/>
      <c r="G1168"/>
    </row>
    <row r="1169" spans="3:7" x14ac:dyDescent="0.55000000000000004">
      <c r="C1169"/>
      <c r="G1169"/>
    </row>
    <row r="1170" spans="3:7" x14ac:dyDescent="0.55000000000000004">
      <c r="C1170"/>
      <c r="G1170"/>
    </row>
    <row r="1171" spans="3:7" x14ac:dyDescent="0.55000000000000004">
      <c r="C1171"/>
      <c r="G1171"/>
    </row>
    <row r="1172" spans="3:7" x14ac:dyDescent="0.55000000000000004">
      <c r="C1172"/>
      <c r="G1172"/>
    </row>
    <row r="1173" spans="3:7" x14ac:dyDescent="0.55000000000000004">
      <c r="C1173"/>
      <c r="G1173"/>
    </row>
    <row r="1174" spans="3:7" x14ac:dyDescent="0.55000000000000004">
      <c r="C1174"/>
      <c r="G1174"/>
    </row>
    <row r="1175" spans="3:7" x14ac:dyDescent="0.55000000000000004">
      <c r="C1175"/>
      <c r="G1175"/>
    </row>
    <row r="1176" spans="3:7" x14ac:dyDescent="0.55000000000000004">
      <c r="C1176"/>
      <c r="G1176"/>
    </row>
    <row r="1177" spans="3:7" x14ac:dyDescent="0.55000000000000004">
      <c r="C1177"/>
      <c r="G1177"/>
    </row>
    <row r="1178" spans="3:7" x14ac:dyDescent="0.55000000000000004">
      <c r="C1178"/>
      <c r="G1178"/>
    </row>
    <row r="1179" spans="3:7" x14ac:dyDescent="0.55000000000000004">
      <c r="C1179"/>
      <c r="G1179"/>
    </row>
    <row r="1180" spans="3:7" x14ac:dyDescent="0.55000000000000004">
      <c r="C1180"/>
      <c r="G1180"/>
    </row>
    <row r="1181" spans="3:7" x14ac:dyDescent="0.55000000000000004">
      <c r="C1181"/>
      <c r="G1181"/>
    </row>
    <row r="1182" spans="3:7" x14ac:dyDescent="0.55000000000000004">
      <c r="C1182"/>
      <c r="G1182"/>
    </row>
    <row r="1183" spans="3:7" x14ac:dyDescent="0.55000000000000004">
      <c r="C1183"/>
      <c r="G1183"/>
    </row>
    <row r="1184" spans="3:7" x14ac:dyDescent="0.55000000000000004">
      <c r="C1184"/>
      <c r="G1184"/>
    </row>
    <row r="1185" spans="3:7" x14ac:dyDescent="0.55000000000000004">
      <c r="C1185"/>
      <c r="G1185"/>
    </row>
    <row r="1186" spans="3:7" x14ac:dyDescent="0.55000000000000004">
      <c r="C1186"/>
      <c r="G1186"/>
    </row>
    <row r="1187" spans="3:7" x14ac:dyDescent="0.55000000000000004">
      <c r="C1187"/>
      <c r="G1187"/>
    </row>
    <row r="1188" spans="3:7" x14ac:dyDescent="0.55000000000000004">
      <c r="C1188"/>
      <c r="G1188"/>
    </row>
    <row r="1189" spans="3:7" x14ac:dyDescent="0.55000000000000004">
      <c r="C1189"/>
      <c r="G1189"/>
    </row>
    <row r="1190" spans="3:7" x14ac:dyDescent="0.55000000000000004">
      <c r="C1190"/>
      <c r="G1190"/>
    </row>
    <row r="1191" spans="3:7" x14ac:dyDescent="0.55000000000000004">
      <c r="C1191"/>
      <c r="G1191"/>
    </row>
    <row r="1192" spans="3:7" x14ac:dyDescent="0.55000000000000004">
      <c r="C1192"/>
      <c r="G1192"/>
    </row>
    <row r="1193" spans="3:7" x14ac:dyDescent="0.55000000000000004">
      <c r="C1193"/>
      <c r="G1193"/>
    </row>
    <row r="1194" spans="3:7" x14ac:dyDescent="0.55000000000000004">
      <c r="C1194"/>
      <c r="G1194"/>
    </row>
    <row r="1195" spans="3:7" x14ac:dyDescent="0.55000000000000004">
      <c r="C1195"/>
      <c r="G1195"/>
    </row>
    <row r="1196" spans="3:7" x14ac:dyDescent="0.55000000000000004">
      <c r="C1196"/>
      <c r="G1196"/>
    </row>
    <row r="1197" spans="3:7" x14ac:dyDescent="0.55000000000000004">
      <c r="C1197"/>
      <c r="G1197"/>
    </row>
    <row r="1198" spans="3:7" x14ac:dyDescent="0.55000000000000004">
      <c r="C1198"/>
      <c r="G1198"/>
    </row>
    <row r="1199" spans="3:7" x14ac:dyDescent="0.55000000000000004">
      <c r="C1199"/>
      <c r="G1199"/>
    </row>
    <row r="1200" spans="3:7" x14ac:dyDescent="0.55000000000000004">
      <c r="C1200"/>
      <c r="G1200"/>
    </row>
    <row r="1201" spans="3:7" x14ac:dyDescent="0.55000000000000004">
      <c r="C1201"/>
      <c r="G1201"/>
    </row>
    <row r="1202" spans="3:7" x14ac:dyDescent="0.55000000000000004">
      <c r="C1202"/>
      <c r="G1202"/>
    </row>
    <row r="1203" spans="3:7" x14ac:dyDescent="0.55000000000000004">
      <c r="C1203"/>
      <c r="G1203"/>
    </row>
    <row r="1204" spans="3:7" x14ac:dyDescent="0.55000000000000004">
      <c r="C1204"/>
      <c r="G1204"/>
    </row>
    <row r="1205" spans="3:7" x14ac:dyDescent="0.55000000000000004">
      <c r="C1205"/>
      <c r="G1205"/>
    </row>
    <row r="1206" spans="3:7" x14ac:dyDescent="0.55000000000000004">
      <c r="C1206"/>
      <c r="G1206"/>
    </row>
    <row r="1207" spans="3:7" x14ac:dyDescent="0.55000000000000004">
      <c r="C1207"/>
      <c r="G1207"/>
    </row>
    <row r="1208" spans="3:7" x14ac:dyDescent="0.55000000000000004">
      <c r="C1208"/>
      <c r="G1208"/>
    </row>
    <row r="1209" spans="3:7" x14ac:dyDescent="0.55000000000000004">
      <c r="C1209"/>
      <c r="G1209"/>
    </row>
    <row r="1210" spans="3:7" x14ac:dyDescent="0.55000000000000004">
      <c r="C1210"/>
      <c r="G1210"/>
    </row>
    <row r="1211" spans="3:7" x14ac:dyDescent="0.55000000000000004">
      <c r="C1211"/>
      <c r="G1211"/>
    </row>
    <row r="1212" spans="3:7" x14ac:dyDescent="0.55000000000000004">
      <c r="C1212"/>
      <c r="G1212"/>
    </row>
    <row r="1213" spans="3:7" x14ac:dyDescent="0.55000000000000004">
      <c r="C1213"/>
      <c r="G1213"/>
    </row>
    <row r="1214" spans="3:7" x14ac:dyDescent="0.55000000000000004">
      <c r="C1214"/>
      <c r="G1214"/>
    </row>
    <row r="1215" spans="3:7" x14ac:dyDescent="0.55000000000000004">
      <c r="C1215"/>
      <c r="G1215"/>
    </row>
    <row r="1216" spans="3:7" x14ac:dyDescent="0.55000000000000004">
      <c r="C1216"/>
      <c r="G1216"/>
    </row>
    <row r="1217" spans="3:7" x14ac:dyDescent="0.55000000000000004">
      <c r="C1217"/>
      <c r="G1217"/>
    </row>
    <row r="1218" spans="3:7" x14ac:dyDescent="0.55000000000000004">
      <c r="C1218"/>
      <c r="G1218"/>
    </row>
    <row r="1219" spans="3:7" x14ac:dyDescent="0.55000000000000004">
      <c r="C1219"/>
      <c r="G1219"/>
    </row>
    <row r="1220" spans="3:7" x14ac:dyDescent="0.55000000000000004">
      <c r="C1220"/>
      <c r="G1220"/>
    </row>
    <row r="1221" spans="3:7" x14ac:dyDescent="0.55000000000000004">
      <c r="C1221"/>
      <c r="G1221"/>
    </row>
    <row r="1222" spans="3:7" x14ac:dyDescent="0.55000000000000004">
      <c r="C1222"/>
      <c r="G1222"/>
    </row>
    <row r="1223" spans="3:7" x14ac:dyDescent="0.55000000000000004">
      <c r="C1223"/>
      <c r="G1223"/>
    </row>
    <row r="1224" spans="3:7" x14ac:dyDescent="0.55000000000000004">
      <c r="C1224"/>
      <c r="G1224"/>
    </row>
    <row r="1225" spans="3:7" x14ac:dyDescent="0.55000000000000004">
      <c r="C1225"/>
      <c r="G1225"/>
    </row>
    <row r="1226" spans="3:7" x14ac:dyDescent="0.55000000000000004">
      <c r="C1226"/>
      <c r="G1226"/>
    </row>
    <row r="1227" spans="3:7" x14ac:dyDescent="0.55000000000000004">
      <c r="C1227"/>
      <c r="G1227"/>
    </row>
    <row r="1228" spans="3:7" x14ac:dyDescent="0.55000000000000004">
      <c r="C1228"/>
      <c r="G1228"/>
    </row>
    <row r="1229" spans="3:7" x14ac:dyDescent="0.55000000000000004">
      <c r="C1229"/>
      <c r="G1229"/>
    </row>
    <row r="1230" spans="3:7" x14ac:dyDescent="0.55000000000000004">
      <c r="C1230"/>
      <c r="G1230"/>
    </row>
    <row r="1231" spans="3:7" x14ac:dyDescent="0.55000000000000004">
      <c r="C1231"/>
      <c r="G1231"/>
    </row>
    <row r="1232" spans="3:7" x14ac:dyDescent="0.55000000000000004">
      <c r="C1232"/>
      <c r="G1232"/>
    </row>
    <row r="1233" spans="3:7" x14ac:dyDescent="0.55000000000000004">
      <c r="C1233"/>
      <c r="G1233"/>
    </row>
    <row r="1234" spans="3:7" x14ac:dyDescent="0.55000000000000004">
      <c r="C1234"/>
      <c r="G1234"/>
    </row>
    <row r="1235" spans="3:7" x14ac:dyDescent="0.55000000000000004">
      <c r="C1235"/>
      <c r="G1235"/>
    </row>
    <row r="1236" spans="3:7" x14ac:dyDescent="0.55000000000000004">
      <c r="C1236"/>
      <c r="G1236"/>
    </row>
    <row r="1237" spans="3:7" x14ac:dyDescent="0.55000000000000004">
      <c r="C1237"/>
      <c r="G1237"/>
    </row>
    <row r="1238" spans="3:7" x14ac:dyDescent="0.55000000000000004">
      <c r="C1238"/>
      <c r="G1238"/>
    </row>
    <row r="1239" spans="3:7" x14ac:dyDescent="0.55000000000000004">
      <c r="C1239"/>
      <c r="G1239"/>
    </row>
    <row r="1240" spans="3:7" x14ac:dyDescent="0.55000000000000004">
      <c r="C1240"/>
      <c r="G1240"/>
    </row>
    <row r="1241" spans="3:7" x14ac:dyDescent="0.55000000000000004">
      <c r="C1241"/>
      <c r="G1241"/>
    </row>
    <row r="1242" spans="3:7" x14ac:dyDescent="0.55000000000000004">
      <c r="C1242"/>
      <c r="G1242"/>
    </row>
    <row r="1243" spans="3:7" x14ac:dyDescent="0.55000000000000004">
      <c r="C1243"/>
      <c r="G1243"/>
    </row>
    <row r="1244" spans="3:7" x14ac:dyDescent="0.55000000000000004">
      <c r="C1244"/>
      <c r="G1244"/>
    </row>
    <row r="1245" spans="3:7" x14ac:dyDescent="0.55000000000000004">
      <c r="C1245"/>
      <c r="G1245"/>
    </row>
    <row r="1246" spans="3:7" x14ac:dyDescent="0.55000000000000004">
      <c r="C1246"/>
      <c r="G1246"/>
    </row>
    <row r="1247" spans="3:7" x14ac:dyDescent="0.55000000000000004">
      <c r="C1247"/>
      <c r="G1247"/>
    </row>
    <row r="1248" spans="3:7" x14ac:dyDescent="0.55000000000000004">
      <c r="C1248"/>
      <c r="G1248"/>
    </row>
    <row r="1249" spans="3:7" x14ac:dyDescent="0.55000000000000004">
      <c r="C1249"/>
      <c r="G1249"/>
    </row>
    <row r="1250" spans="3:7" x14ac:dyDescent="0.55000000000000004">
      <c r="C1250"/>
      <c r="G1250"/>
    </row>
    <row r="1251" spans="3:7" x14ac:dyDescent="0.55000000000000004">
      <c r="C1251"/>
      <c r="G1251"/>
    </row>
    <row r="1252" spans="3:7" x14ac:dyDescent="0.55000000000000004">
      <c r="C1252"/>
      <c r="G1252"/>
    </row>
    <row r="1253" spans="3:7" x14ac:dyDescent="0.55000000000000004">
      <c r="C1253"/>
      <c r="G1253"/>
    </row>
    <row r="1254" spans="3:7" x14ac:dyDescent="0.55000000000000004">
      <c r="C1254"/>
      <c r="G1254"/>
    </row>
    <row r="1255" spans="3:7" x14ac:dyDescent="0.55000000000000004">
      <c r="C1255"/>
      <c r="G1255"/>
    </row>
    <row r="1256" spans="3:7" x14ac:dyDescent="0.55000000000000004">
      <c r="C1256"/>
      <c r="G1256"/>
    </row>
    <row r="1257" spans="3:7" x14ac:dyDescent="0.55000000000000004">
      <c r="C1257"/>
      <c r="G1257"/>
    </row>
    <row r="1258" spans="3:7" x14ac:dyDescent="0.55000000000000004">
      <c r="C1258"/>
      <c r="G1258"/>
    </row>
    <row r="1259" spans="3:7" x14ac:dyDescent="0.55000000000000004">
      <c r="C1259"/>
      <c r="G1259"/>
    </row>
    <row r="1260" spans="3:7" x14ac:dyDescent="0.55000000000000004">
      <c r="C1260"/>
      <c r="G1260"/>
    </row>
    <row r="1261" spans="3:7" x14ac:dyDescent="0.55000000000000004">
      <c r="C1261"/>
      <c r="G1261"/>
    </row>
    <row r="1262" spans="3:7" x14ac:dyDescent="0.55000000000000004">
      <c r="C1262"/>
      <c r="G1262"/>
    </row>
    <row r="1263" spans="3:7" x14ac:dyDescent="0.55000000000000004">
      <c r="C1263"/>
      <c r="G1263"/>
    </row>
    <row r="1264" spans="3:7" x14ac:dyDescent="0.55000000000000004">
      <c r="C1264"/>
      <c r="G1264"/>
    </row>
    <row r="1265" spans="3:7" x14ac:dyDescent="0.55000000000000004">
      <c r="C1265"/>
      <c r="G1265"/>
    </row>
    <row r="1266" spans="3:7" x14ac:dyDescent="0.55000000000000004">
      <c r="C1266"/>
      <c r="G1266"/>
    </row>
    <row r="1267" spans="3:7" x14ac:dyDescent="0.55000000000000004">
      <c r="C1267"/>
      <c r="G1267"/>
    </row>
    <row r="1268" spans="3:7" x14ac:dyDescent="0.55000000000000004">
      <c r="C1268"/>
      <c r="G1268"/>
    </row>
    <row r="1269" spans="3:7" x14ac:dyDescent="0.55000000000000004">
      <c r="C1269"/>
      <c r="G1269"/>
    </row>
    <row r="1270" spans="3:7" x14ac:dyDescent="0.55000000000000004">
      <c r="C1270"/>
      <c r="G1270"/>
    </row>
    <row r="1271" spans="3:7" x14ac:dyDescent="0.55000000000000004">
      <c r="C1271"/>
      <c r="G1271"/>
    </row>
    <row r="1272" spans="3:7" x14ac:dyDescent="0.55000000000000004">
      <c r="C1272"/>
      <c r="G1272"/>
    </row>
    <row r="1273" spans="3:7" x14ac:dyDescent="0.55000000000000004">
      <c r="C1273"/>
      <c r="G1273"/>
    </row>
    <row r="1274" spans="3:7" x14ac:dyDescent="0.55000000000000004">
      <c r="C1274"/>
      <c r="G1274"/>
    </row>
    <row r="1275" spans="3:7" x14ac:dyDescent="0.55000000000000004">
      <c r="C1275"/>
      <c r="G1275"/>
    </row>
    <row r="1276" spans="3:7" x14ac:dyDescent="0.55000000000000004">
      <c r="C1276"/>
      <c r="G1276"/>
    </row>
    <row r="1277" spans="3:7" x14ac:dyDescent="0.55000000000000004">
      <c r="C1277"/>
      <c r="G1277"/>
    </row>
    <row r="1278" spans="3:7" x14ac:dyDescent="0.55000000000000004">
      <c r="C1278"/>
      <c r="G1278"/>
    </row>
    <row r="1279" spans="3:7" x14ac:dyDescent="0.55000000000000004">
      <c r="C1279"/>
      <c r="G1279"/>
    </row>
    <row r="1280" spans="3:7" x14ac:dyDescent="0.55000000000000004">
      <c r="C1280"/>
      <c r="G1280"/>
    </row>
    <row r="1281" spans="3:7" x14ac:dyDescent="0.55000000000000004">
      <c r="C1281"/>
      <c r="G1281"/>
    </row>
    <row r="1282" spans="3:7" x14ac:dyDescent="0.55000000000000004">
      <c r="C1282"/>
      <c r="G1282"/>
    </row>
    <row r="1283" spans="3:7" x14ac:dyDescent="0.55000000000000004">
      <c r="C1283"/>
      <c r="G1283"/>
    </row>
    <row r="1284" spans="3:7" x14ac:dyDescent="0.55000000000000004">
      <c r="C1284"/>
      <c r="G1284"/>
    </row>
    <row r="1285" spans="3:7" x14ac:dyDescent="0.55000000000000004">
      <c r="C1285"/>
      <c r="G1285"/>
    </row>
    <row r="1286" spans="3:7" x14ac:dyDescent="0.55000000000000004">
      <c r="C1286"/>
      <c r="G1286"/>
    </row>
    <row r="1287" spans="3:7" x14ac:dyDescent="0.55000000000000004">
      <c r="C1287"/>
      <c r="G1287"/>
    </row>
    <row r="1288" spans="3:7" x14ac:dyDescent="0.55000000000000004">
      <c r="C1288"/>
      <c r="G1288"/>
    </row>
    <row r="1289" spans="3:7" x14ac:dyDescent="0.55000000000000004">
      <c r="C1289"/>
      <c r="G1289"/>
    </row>
    <row r="1290" spans="3:7" x14ac:dyDescent="0.55000000000000004">
      <c r="C1290"/>
      <c r="G1290"/>
    </row>
    <row r="1291" spans="3:7" x14ac:dyDescent="0.55000000000000004">
      <c r="C1291"/>
      <c r="G1291"/>
    </row>
    <row r="1292" spans="3:7" x14ac:dyDescent="0.55000000000000004">
      <c r="C1292"/>
      <c r="G1292"/>
    </row>
    <row r="1293" spans="3:7" x14ac:dyDescent="0.55000000000000004">
      <c r="C1293"/>
      <c r="G1293"/>
    </row>
    <row r="1294" spans="3:7" x14ac:dyDescent="0.55000000000000004">
      <c r="C1294"/>
      <c r="G1294"/>
    </row>
    <row r="1295" spans="3:7" x14ac:dyDescent="0.55000000000000004">
      <c r="C1295"/>
      <c r="G1295"/>
    </row>
    <row r="1296" spans="3:7" x14ac:dyDescent="0.55000000000000004">
      <c r="C1296"/>
      <c r="G1296"/>
    </row>
    <row r="1297" spans="3:7" x14ac:dyDescent="0.55000000000000004">
      <c r="C1297"/>
      <c r="G1297"/>
    </row>
    <row r="1298" spans="3:7" x14ac:dyDescent="0.55000000000000004">
      <c r="C1298"/>
      <c r="G1298"/>
    </row>
    <row r="1299" spans="3:7" x14ac:dyDescent="0.55000000000000004">
      <c r="C1299"/>
      <c r="G1299"/>
    </row>
    <row r="1300" spans="3:7" x14ac:dyDescent="0.55000000000000004">
      <c r="C1300"/>
      <c r="G1300"/>
    </row>
    <row r="1301" spans="3:7" x14ac:dyDescent="0.55000000000000004">
      <c r="C1301"/>
      <c r="G1301"/>
    </row>
    <row r="1302" spans="3:7" x14ac:dyDescent="0.55000000000000004">
      <c r="C1302"/>
      <c r="G1302"/>
    </row>
    <row r="1303" spans="3:7" x14ac:dyDescent="0.55000000000000004">
      <c r="C1303"/>
      <c r="G1303"/>
    </row>
    <row r="1304" spans="3:7" x14ac:dyDescent="0.55000000000000004">
      <c r="C1304"/>
      <c r="G1304"/>
    </row>
    <row r="1305" spans="3:7" x14ac:dyDescent="0.55000000000000004">
      <c r="C1305"/>
      <c r="G1305"/>
    </row>
    <row r="1306" spans="3:7" x14ac:dyDescent="0.55000000000000004">
      <c r="C1306"/>
      <c r="G1306"/>
    </row>
    <row r="1307" spans="3:7" x14ac:dyDescent="0.55000000000000004">
      <c r="C1307"/>
      <c r="G1307"/>
    </row>
    <row r="1308" spans="3:7" x14ac:dyDescent="0.55000000000000004">
      <c r="C1308"/>
      <c r="G1308"/>
    </row>
    <row r="1309" spans="3:7" x14ac:dyDescent="0.55000000000000004">
      <c r="C1309"/>
      <c r="G1309"/>
    </row>
    <row r="1310" spans="3:7" x14ac:dyDescent="0.55000000000000004">
      <c r="C1310"/>
      <c r="G1310"/>
    </row>
    <row r="1311" spans="3:7" x14ac:dyDescent="0.55000000000000004">
      <c r="C1311"/>
      <c r="G1311"/>
    </row>
    <row r="1312" spans="3:7" x14ac:dyDescent="0.55000000000000004">
      <c r="C1312"/>
      <c r="G1312"/>
    </row>
    <row r="1313" spans="3:7" x14ac:dyDescent="0.55000000000000004">
      <c r="C1313"/>
      <c r="G1313"/>
    </row>
    <row r="1314" spans="3:7" x14ac:dyDescent="0.55000000000000004">
      <c r="C1314"/>
      <c r="G1314"/>
    </row>
    <row r="1315" spans="3:7" x14ac:dyDescent="0.55000000000000004">
      <c r="C1315"/>
      <c r="G1315"/>
    </row>
    <row r="1316" spans="3:7" x14ac:dyDescent="0.55000000000000004">
      <c r="C1316"/>
      <c r="G1316"/>
    </row>
    <row r="1317" spans="3:7" x14ac:dyDescent="0.55000000000000004">
      <c r="C1317"/>
      <c r="G1317"/>
    </row>
    <row r="1318" spans="3:7" x14ac:dyDescent="0.55000000000000004">
      <c r="C1318"/>
      <c r="G1318"/>
    </row>
    <row r="1319" spans="3:7" x14ac:dyDescent="0.55000000000000004">
      <c r="C1319"/>
      <c r="G1319"/>
    </row>
    <row r="1320" spans="3:7" x14ac:dyDescent="0.55000000000000004">
      <c r="C1320"/>
      <c r="G1320"/>
    </row>
    <row r="1321" spans="3:7" x14ac:dyDescent="0.55000000000000004">
      <c r="C1321"/>
      <c r="G1321"/>
    </row>
    <row r="1322" spans="3:7" x14ac:dyDescent="0.55000000000000004">
      <c r="C1322"/>
      <c r="G1322"/>
    </row>
    <row r="1323" spans="3:7" x14ac:dyDescent="0.55000000000000004">
      <c r="C1323"/>
      <c r="G1323"/>
    </row>
    <row r="1324" spans="3:7" x14ac:dyDescent="0.55000000000000004">
      <c r="C1324"/>
      <c r="G1324"/>
    </row>
    <row r="1325" spans="3:7" x14ac:dyDescent="0.55000000000000004">
      <c r="C1325"/>
      <c r="G1325"/>
    </row>
    <row r="1326" spans="3:7" x14ac:dyDescent="0.55000000000000004">
      <c r="C1326"/>
      <c r="G1326"/>
    </row>
    <row r="1327" spans="3:7" x14ac:dyDescent="0.55000000000000004">
      <c r="C1327"/>
      <c r="G1327"/>
    </row>
    <row r="1328" spans="3:7" x14ac:dyDescent="0.55000000000000004">
      <c r="C1328"/>
      <c r="G1328"/>
    </row>
    <row r="1329" spans="3:7" x14ac:dyDescent="0.55000000000000004">
      <c r="C1329"/>
      <c r="G1329"/>
    </row>
    <row r="1330" spans="3:7" x14ac:dyDescent="0.55000000000000004">
      <c r="C1330"/>
      <c r="G1330"/>
    </row>
    <row r="1331" spans="3:7" x14ac:dyDescent="0.55000000000000004">
      <c r="C1331"/>
      <c r="G1331"/>
    </row>
    <row r="1332" spans="3:7" x14ac:dyDescent="0.55000000000000004">
      <c r="C1332"/>
      <c r="G1332"/>
    </row>
    <row r="1333" spans="3:7" x14ac:dyDescent="0.55000000000000004">
      <c r="C1333"/>
      <c r="G1333"/>
    </row>
    <row r="1334" spans="3:7" x14ac:dyDescent="0.55000000000000004">
      <c r="C1334"/>
      <c r="G1334"/>
    </row>
    <row r="1335" spans="3:7" x14ac:dyDescent="0.55000000000000004">
      <c r="C1335"/>
      <c r="G1335"/>
    </row>
    <row r="1336" spans="3:7" x14ac:dyDescent="0.55000000000000004">
      <c r="C1336"/>
      <c r="G1336"/>
    </row>
    <row r="1337" spans="3:7" x14ac:dyDescent="0.55000000000000004">
      <c r="C1337"/>
      <c r="G1337"/>
    </row>
    <row r="1338" spans="3:7" x14ac:dyDescent="0.55000000000000004">
      <c r="C1338"/>
      <c r="G1338"/>
    </row>
    <row r="1339" spans="3:7" x14ac:dyDescent="0.55000000000000004">
      <c r="C1339"/>
      <c r="G1339"/>
    </row>
    <row r="1340" spans="3:7" x14ac:dyDescent="0.55000000000000004">
      <c r="C1340"/>
      <c r="G1340"/>
    </row>
    <row r="1341" spans="3:7" x14ac:dyDescent="0.55000000000000004">
      <c r="C1341"/>
      <c r="G1341"/>
    </row>
    <row r="1342" spans="3:7" x14ac:dyDescent="0.55000000000000004">
      <c r="C1342"/>
      <c r="G1342"/>
    </row>
    <row r="1343" spans="3:7" x14ac:dyDescent="0.55000000000000004">
      <c r="C1343"/>
      <c r="G1343"/>
    </row>
    <row r="1344" spans="3:7" x14ac:dyDescent="0.55000000000000004">
      <c r="C1344"/>
      <c r="G1344"/>
    </row>
    <row r="1345" spans="3:7" x14ac:dyDescent="0.55000000000000004">
      <c r="C1345"/>
      <c r="G1345"/>
    </row>
    <row r="1346" spans="3:7" x14ac:dyDescent="0.55000000000000004">
      <c r="C1346"/>
      <c r="G1346"/>
    </row>
    <row r="1347" spans="3:7" x14ac:dyDescent="0.55000000000000004">
      <c r="C1347"/>
      <c r="G1347"/>
    </row>
    <row r="1348" spans="3:7" x14ac:dyDescent="0.55000000000000004">
      <c r="C1348"/>
      <c r="G1348"/>
    </row>
    <row r="1349" spans="3:7" x14ac:dyDescent="0.55000000000000004">
      <c r="C1349"/>
      <c r="G1349"/>
    </row>
    <row r="1350" spans="3:7" x14ac:dyDescent="0.55000000000000004">
      <c r="C1350"/>
      <c r="G1350"/>
    </row>
    <row r="1351" spans="3:7" x14ac:dyDescent="0.55000000000000004">
      <c r="C1351"/>
      <c r="G1351"/>
    </row>
    <row r="1352" spans="3:7" x14ac:dyDescent="0.55000000000000004">
      <c r="C1352"/>
      <c r="G1352"/>
    </row>
    <row r="1353" spans="3:7" x14ac:dyDescent="0.55000000000000004">
      <c r="C1353"/>
      <c r="G1353"/>
    </row>
    <row r="1354" spans="3:7" x14ac:dyDescent="0.55000000000000004">
      <c r="C1354"/>
      <c r="G1354"/>
    </row>
    <row r="1355" spans="3:7" x14ac:dyDescent="0.55000000000000004">
      <c r="C1355"/>
      <c r="G1355"/>
    </row>
    <row r="1356" spans="3:7" x14ac:dyDescent="0.55000000000000004">
      <c r="C1356"/>
      <c r="G1356"/>
    </row>
    <row r="1357" spans="3:7" x14ac:dyDescent="0.55000000000000004">
      <c r="C1357"/>
      <c r="G1357"/>
    </row>
    <row r="1358" spans="3:7" x14ac:dyDescent="0.55000000000000004">
      <c r="C1358"/>
      <c r="G1358"/>
    </row>
    <row r="1359" spans="3:7" x14ac:dyDescent="0.55000000000000004">
      <c r="C1359"/>
      <c r="G1359"/>
    </row>
    <row r="1360" spans="3:7" x14ac:dyDescent="0.55000000000000004">
      <c r="C1360"/>
      <c r="G1360"/>
    </row>
    <row r="1361" spans="3:7" x14ac:dyDescent="0.55000000000000004">
      <c r="C1361"/>
      <c r="G1361"/>
    </row>
    <row r="1362" spans="3:7" x14ac:dyDescent="0.55000000000000004">
      <c r="C1362"/>
      <c r="G1362"/>
    </row>
    <row r="1363" spans="3:7" x14ac:dyDescent="0.55000000000000004">
      <c r="C1363"/>
      <c r="G1363"/>
    </row>
    <row r="1364" spans="3:7" x14ac:dyDescent="0.55000000000000004">
      <c r="C1364"/>
      <c r="G1364"/>
    </row>
    <row r="1365" spans="3:7" x14ac:dyDescent="0.55000000000000004">
      <c r="C1365"/>
      <c r="G1365"/>
    </row>
    <row r="1366" spans="3:7" x14ac:dyDescent="0.55000000000000004">
      <c r="C1366"/>
      <c r="G1366"/>
    </row>
    <row r="1367" spans="3:7" x14ac:dyDescent="0.55000000000000004">
      <c r="C1367"/>
      <c r="G1367"/>
    </row>
    <row r="1368" spans="3:7" x14ac:dyDescent="0.55000000000000004">
      <c r="C1368"/>
      <c r="G1368"/>
    </row>
    <row r="1369" spans="3:7" x14ac:dyDescent="0.55000000000000004">
      <c r="C1369"/>
      <c r="G1369"/>
    </row>
    <row r="1370" spans="3:7" x14ac:dyDescent="0.55000000000000004">
      <c r="C1370"/>
      <c r="G1370"/>
    </row>
    <row r="1371" spans="3:7" x14ac:dyDescent="0.55000000000000004">
      <c r="C1371"/>
      <c r="G1371"/>
    </row>
    <row r="1372" spans="3:7" x14ac:dyDescent="0.55000000000000004">
      <c r="C1372"/>
      <c r="G1372"/>
    </row>
    <row r="1373" spans="3:7" x14ac:dyDescent="0.55000000000000004">
      <c r="C1373"/>
      <c r="G1373"/>
    </row>
    <row r="1374" spans="3:7" x14ac:dyDescent="0.55000000000000004">
      <c r="C1374"/>
      <c r="G1374"/>
    </row>
    <row r="1375" spans="3:7" x14ac:dyDescent="0.55000000000000004">
      <c r="C1375"/>
      <c r="G1375"/>
    </row>
    <row r="1376" spans="3:7" x14ac:dyDescent="0.55000000000000004">
      <c r="C1376"/>
      <c r="G1376"/>
    </row>
    <row r="1377" spans="3:7" x14ac:dyDescent="0.55000000000000004">
      <c r="C1377"/>
      <c r="G1377"/>
    </row>
    <row r="1378" spans="3:7" x14ac:dyDescent="0.55000000000000004">
      <c r="C1378"/>
      <c r="G1378"/>
    </row>
    <row r="1379" spans="3:7" x14ac:dyDescent="0.55000000000000004">
      <c r="C1379"/>
      <c r="G1379"/>
    </row>
    <row r="1380" spans="3:7" x14ac:dyDescent="0.55000000000000004">
      <c r="C1380"/>
      <c r="G1380"/>
    </row>
    <row r="1381" spans="3:7" x14ac:dyDescent="0.55000000000000004">
      <c r="C1381"/>
      <c r="G1381"/>
    </row>
    <row r="1382" spans="3:7" x14ac:dyDescent="0.55000000000000004">
      <c r="C1382"/>
      <c r="G1382"/>
    </row>
    <row r="1383" spans="3:7" x14ac:dyDescent="0.55000000000000004">
      <c r="C1383"/>
      <c r="G1383"/>
    </row>
    <row r="1384" spans="3:7" x14ac:dyDescent="0.55000000000000004">
      <c r="C1384"/>
      <c r="G1384"/>
    </row>
    <row r="1385" spans="3:7" x14ac:dyDescent="0.55000000000000004">
      <c r="C1385"/>
      <c r="G1385"/>
    </row>
    <row r="1386" spans="3:7" x14ac:dyDescent="0.55000000000000004">
      <c r="C1386"/>
      <c r="G1386"/>
    </row>
    <row r="1387" spans="3:7" x14ac:dyDescent="0.55000000000000004">
      <c r="C1387"/>
      <c r="G1387"/>
    </row>
    <row r="1388" spans="3:7" x14ac:dyDescent="0.55000000000000004">
      <c r="C1388"/>
      <c r="G1388"/>
    </row>
    <row r="1389" spans="3:7" x14ac:dyDescent="0.55000000000000004">
      <c r="C1389"/>
      <c r="G1389"/>
    </row>
    <row r="1390" spans="3:7" x14ac:dyDescent="0.55000000000000004">
      <c r="C1390"/>
      <c r="G1390"/>
    </row>
    <row r="1391" spans="3:7" x14ac:dyDescent="0.55000000000000004">
      <c r="C1391"/>
      <c r="G1391"/>
    </row>
    <row r="1392" spans="3:7" x14ac:dyDescent="0.55000000000000004">
      <c r="C1392"/>
      <c r="G1392"/>
    </row>
    <row r="1393" spans="3:7" x14ac:dyDescent="0.55000000000000004">
      <c r="C1393"/>
      <c r="G1393"/>
    </row>
    <row r="1394" spans="3:7" x14ac:dyDescent="0.55000000000000004">
      <c r="C1394"/>
      <c r="G1394"/>
    </row>
    <row r="1395" spans="3:7" x14ac:dyDescent="0.55000000000000004">
      <c r="C1395"/>
      <c r="G1395"/>
    </row>
    <row r="1396" spans="3:7" x14ac:dyDescent="0.55000000000000004">
      <c r="C1396"/>
      <c r="G1396"/>
    </row>
    <row r="1397" spans="3:7" x14ac:dyDescent="0.55000000000000004">
      <c r="C1397"/>
      <c r="G1397"/>
    </row>
    <row r="1398" spans="3:7" x14ac:dyDescent="0.55000000000000004">
      <c r="C1398"/>
      <c r="G1398"/>
    </row>
    <row r="1399" spans="3:7" x14ac:dyDescent="0.55000000000000004">
      <c r="C1399"/>
      <c r="G1399"/>
    </row>
    <row r="1400" spans="3:7" x14ac:dyDescent="0.55000000000000004">
      <c r="C1400"/>
      <c r="G1400"/>
    </row>
    <row r="1401" spans="3:7" x14ac:dyDescent="0.55000000000000004">
      <c r="C1401"/>
      <c r="G1401"/>
    </row>
    <row r="1402" spans="3:7" x14ac:dyDescent="0.55000000000000004">
      <c r="C1402"/>
      <c r="G1402"/>
    </row>
    <row r="1403" spans="3:7" x14ac:dyDescent="0.55000000000000004">
      <c r="C1403"/>
      <c r="G1403"/>
    </row>
    <row r="1404" spans="3:7" x14ac:dyDescent="0.55000000000000004">
      <c r="C1404"/>
      <c r="G1404"/>
    </row>
    <row r="1405" spans="3:7" x14ac:dyDescent="0.55000000000000004">
      <c r="C1405"/>
      <c r="G1405"/>
    </row>
    <row r="1406" spans="3:7" x14ac:dyDescent="0.55000000000000004">
      <c r="C1406"/>
      <c r="G1406"/>
    </row>
    <row r="1407" spans="3:7" x14ac:dyDescent="0.55000000000000004">
      <c r="C1407"/>
      <c r="G1407"/>
    </row>
    <row r="1408" spans="3:7" x14ac:dyDescent="0.55000000000000004">
      <c r="C1408"/>
      <c r="G1408"/>
    </row>
    <row r="1409" spans="3:7" x14ac:dyDescent="0.55000000000000004">
      <c r="C1409"/>
      <c r="G1409"/>
    </row>
    <row r="1410" spans="3:7" x14ac:dyDescent="0.55000000000000004">
      <c r="C1410"/>
      <c r="G1410"/>
    </row>
    <row r="1411" spans="3:7" x14ac:dyDescent="0.55000000000000004">
      <c r="C1411"/>
      <c r="G1411"/>
    </row>
    <row r="1412" spans="3:7" x14ac:dyDescent="0.55000000000000004">
      <c r="C1412"/>
      <c r="G1412"/>
    </row>
    <row r="1413" spans="3:7" x14ac:dyDescent="0.55000000000000004">
      <c r="C1413"/>
      <c r="G1413"/>
    </row>
    <row r="1414" spans="3:7" x14ac:dyDescent="0.55000000000000004">
      <c r="C1414"/>
      <c r="G1414"/>
    </row>
    <row r="1415" spans="3:7" x14ac:dyDescent="0.55000000000000004">
      <c r="C1415"/>
      <c r="G1415"/>
    </row>
    <row r="1416" spans="3:7" x14ac:dyDescent="0.55000000000000004">
      <c r="C1416"/>
      <c r="G1416"/>
    </row>
    <row r="1417" spans="3:7" x14ac:dyDescent="0.55000000000000004">
      <c r="C1417"/>
      <c r="G1417"/>
    </row>
    <row r="1418" spans="3:7" x14ac:dyDescent="0.55000000000000004">
      <c r="C1418"/>
      <c r="G1418"/>
    </row>
    <row r="1419" spans="3:7" x14ac:dyDescent="0.55000000000000004">
      <c r="C1419"/>
      <c r="G1419"/>
    </row>
    <row r="1420" spans="3:7" x14ac:dyDescent="0.55000000000000004">
      <c r="C1420"/>
      <c r="G1420"/>
    </row>
    <row r="1421" spans="3:7" x14ac:dyDescent="0.55000000000000004">
      <c r="C1421"/>
      <c r="G1421"/>
    </row>
    <row r="1422" spans="3:7" x14ac:dyDescent="0.55000000000000004">
      <c r="C1422"/>
      <c r="G1422"/>
    </row>
    <row r="1423" spans="3:7" x14ac:dyDescent="0.55000000000000004">
      <c r="C1423"/>
      <c r="G1423"/>
    </row>
    <row r="1424" spans="3:7" x14ac:dyDescent="0.55000000000000004">
      <c r="C1424"/>
      <c r="G1424"/>
    </row>
    <row r="1425" spans="3:7" x14ac:dyDescent="0.55000000000000004">
      <c r="C1425"/>
      <c r="G1425"/>
    </row>
    <row r="1426" spans="3:7" x14ac:dyDescent="0.55000000000000004">
      <c r="C1426"/>
      <c r="G1426"/>
    </row>
    <row r="1427" spans="3:7" x14ac:dyDescent="0.55000000000000004">
      <c r="C1427"/>
      <c r="G1427"/>
    </row>
    <row r="1428" spans="3:7" x14ac:dyDescent="0.55000000000000004">
      <c r="C1428"/>
      <c r="G1428"/>
    </row>
    <row r="1429" spans="3:7" x14ac:dyDescent="0.55000000000000004">
      <c r="C1429"/>
      <c r="G1429"/>
    </row>
    <row r="1430" spans="3:7" x14ac:dyDescent="0.55000000000000004">
      <c r="C1430"/>
      <c r="G1430"/>
    </row>
    <row r="1431" spans="3:7" x14ac:dyDescent="0.55000000000000004">
      <c r="C1431"/>
      <c r="G1431"/>
    </row>
    <row r="1432" spans="3:7" x14ac:dyDescent="0.55000000000000004">
      <c r="C1432"/>
      <c r="G1432"/>
    </row>
    <row r="1433" spans="3:7" x14ac:dyDescent="0.55000000000000004">
      <c r="C1433"/>
      <c r="G1433"/>
    </row>
    <row r="1434" spans="3:7" x14ac:dyDescent="0.55000000000000004">
      <c r="C1434"/>
      <c r="G1434"/>
    </row>
    <row r="1435" spans="3:7" x14ac:dyDescent="0.55000000000000004">
      <c r="C1435"/>
      <c r="G1435"/>
    </row>
    <row r="1436" spans="3:7" x14ac:dyDescent="0.55000000000000004">
      <c r="C1436"/>
      <c r="G1436"/>
    </row>
    <row r="1437" spans="3:7" x14ac:dyDescent="0.55000000000000004">
      <c r="C1437"/>
      <c r="G1437"/>
    </row>
    <row r="1438" spans="3:7" x14ac:dyDescent="0.55000000000000004">
      <c r="C1438"/>
      <c r="G1438"/>
    </row>
    <row r="1439" spans="3:7" x14ac:dyDescent="0.55000000000000004">
      <c r="C1439"/>
      <c r="G1439"/>
    </row>
    <row r="1440" spans="3:7" x14ac:dyDescent="0.55000000000000004">
      <c r="C1440"/>
      <c r="G1440"/>
    </row>
    <row r="1441" spans="3:7" x14ac:dyDescent="0.55000000000000004">
      <c r="C1441"/>
      <c r="G1441"/>
    </row>
    <row r="1442" spans="3:7" x14ac:dyDescent="0.55000000000000004">
      <c r="C1442"/>
      <c r="G1442"/>
    </row>
    <row r="1443" spans="3:7" x14ac:dyDescent="0.55000000000000004">
      <c r="C1443"/>
      <c r="G1443"/>
    </row>
    <row r="1444" spans="3:7" x14ac:dyDescent="0.55000000000000004">
      <c r="C1444"/>
      <c r="G1444"/>
    </row>
    <row r="1445" spans="3:7" x14ac:dyDescent="0.55000000000000004">
      <c r="C1445"/>
      <c r="G1445"/>
    </row>
    <row r="1446" spans="3:7" x14ac:dyDescent="0.55000000000000004">
      <c r="C1446"/>
      <c r="G1446"/>
    </row>
    <row r="1447" spans="3:7" x14ac:dyDescent="0.55000000000000004">
      <c r="C1447"/>
      <c r="G1447"/>
    </row>
    <row r="1448" spans="3:7" x14ac:dyDescent="0.55000000000000004">
      <c r="C1448"/>
      <c r="G1448"/>
    </row>
    <row r="1449" spans="3:7" x14ac:dyDescent="0.55000000000000004">
      <c r="C1449"/>
      <c r="G1449"/>
    </row>
    <row r="1450" spans="3:7" x14ac:dyDescent="0.55000000000000004">
      <c r="C1450"/>
      <c r="G1450"/>
    </row>
    <row r="1451" spans="3:7" x14ac:dyDescent="0.55000000000000004">
      <c r="C1451"/>
      <c r="G1451"/>
    </row>
    <row r="1452" spans="3:7" x14ac:dyDescent="0.55000000000000004">
      <c r="C1452"/>
      <c r="G1452"/>
    </row>
    <row r="1453" spans="3:7" x14ac:dyDescent="0.55000000000000004">
      <c r="C1453"/>
      <c r="G1453"/>
    </row>
    <row r="1454" spans="3:7" x14ac:dyDescent="0.55000000000000004">
      <c r="C1454"/>
      <c r="G1454"/>
    </row>
    <row r="1455" spans="3:7" x14ac:dyDescent="0.55000000000000004">
      <c r="C1455"/>
      <c r="G1455"/>
    </row>
    <row r="1456" spans="3:7" x14ac:dyDescent="0.55000000000000004">
      <c r="C1456"/>
      <c r="G1456"/>
    </row>
    <row r="1457" spans="3:7" x14ac:dyDescent="0.55000000000000004">
      <c r="C1457"/>
      <c r="G1457"/>
    </row>
    <row r="1458" spans="3:7" x14ac:dyDescent="0.55000000000000004">
      <c r="C1458"/>
      <c r="G1458"/>
    </row>
    <row r="1459" spans="3:7" x14ac:dyDescent="0.55000000000000004">
      <c r="C1459"/>
      <c r="G1459"/>
    </row>
    <row r="1460" spans="3:7" x14ac:dyDescent="0.55000000000000004">
      <c r="C1460"/>
      <c r="G1460"/>
    </row>
    <row r="1461" spans="3:7" x14ac:dyDescent="0.55000000000000004">
      <c r="C1461"/>
      <c r="G1461"/>
    </row>
    <row r="1462" spans="3:7" x14ac:dyDescent="0.55000000000000004">
      <c r="C1462"/>
      <c r="G1462"/>
    </row>
    <row r="1463" spans="3:7" x14ac:dyDescent="0.55000000000000004">
      <c r="C1463"/>
      <c r="G1463"/>
    </row>
    <row r="1464" spans="3:7" x14ac:dyDescent="0.55000000000000004">
      <c r="C1464"/>
      <c r="G1464"/>
    </row>
    <row r="1465" spans="3:7" x14ac:dyDescent="0.55000000000000004">
      <c r="C1465"/>
      <c r="G1465"/>
    </row>
    <row r="1466" spans="3:7" x14ac:dyDescent="0.55000000000000004">
      <c r="C1466"/>
      <c r="G1466"/>
    </row>
    <row r="1467" spans="3:7" x14ac:dyDescent="0.55000000000000004">
      <c r="C1467"/>
      <c r="G1467"/>
    </row>
    <row r="1468" spans="3:7" x14ac:dyDescent="0.55000000000000004">
      <c r="C1468"/>
      <c r="G1468"/>
    </row>
    <row r="1469" spans="3:7" x14ac:dyDescent="0.55000000000000004">
      <c r="C1469"/>
      <c r="G1469"/>
    </row>
    <row r="1470" spans="3:7" x14ac:dyDescent="0.55000000000000004">
      <c r="C1470"/>
      <c r="G1470"/>
    </row>
    <row r="1471" spans="3:7" x14ac:dyDescent="0.55000000000000004">
      <c r="C1471"/>
      <c r="G1471"/>
    </row>
    <row r="1472" spans="3:7" x14ac:dyDescent="0.55000000000000004">
      <c r="C1472"/>
      <c r="G1472"/>
    </row>
    <row r="1473" spans="3:7" x14ac:dyDescent="0.55000000000000004">
      <c r="C1473"/>
      <c r="G1473"/>
    </row>
    <row r="1474" spans="3:7" x14ac:dyDescent="0.55000000000000004">
      <c r="C1474"/>
      <c r="G1474"/>
    </row>
    <row r="1475" spans="3:7" x14ac:dyDescent="0.55000000000000004">
      <c r="C1475"/>
      <c r="G1475"/>
    </row>
    <row r="1476" spans="3:7" x14ac:dyDescent="0.55000000000000004">
      <c r="C1476"/>
      <c r="G1476"/>
    </row>
    <row r="1477" spans="3:7" x14ac:dyDescent="0.55000000000000004">
      <c r="C1477"/>
      <c r="G1477"/>
    </row>
    <row r="1478" spans="3:7" x14ac:dyDescent="0.55000000000000004">
      <c r="C1478"/>
      <c r="G1478"/>
    </row>
    <row r="1479" spans="3:7" x14ac:dyDescent="0.55000000000000004">
      <c r="C1479"/>
      <c r="G1479"/>
    </row>
    <row r="1480" spans="3:7" x14ac:dyDescent="0.55000000000000004">
      <c r="C1480"/>
      <c r="G1480"/>
    </row>
    <row r="1481" spans="3:7" x14ac:dyDescent="0.55000000000000004">
      <c r="C1481"/>
      <c r="G1481"/>
    </row>
    <row r="1482" spans="3:7" x14ac:dyDescent="0.55000000000000004">
      <c r="C1482"/>
      <c r="G1482"/>
    </row>
    <row r="1483" spans="3:7" x14ac:dyDescent="0.55000000000000004">
      <c r="C1483"/>
      <c r="G1483"/>
    </row>
    <row r="1484" spans="3:7" x14ac:dyDescent="0.55000000000000004">
      <c r="C1484"/>
      <c r="G1484"/>
    </row>
    <row r="1485" spans="3:7" x14ac:dyDescent="0.55000000000000004">
      <c r="C1485"/>
      <c r="G1485"/>
    </row>
    <row r="1486" spans="3:7" x14ac:dyDescent="0.55000000000000004">
      <c r="C1486"/>
      <c r="G1486"/>
    </row>
    <row r="1487" spans="3:7" x14ac:dyDescent="0.55000000000000004">
      <c r="C1487"/>
      <c r="G1487"/>
    </row>
    <row r="1488" spans="3:7" x14ac:dyDescent="0.55000000000000004">
      <c r="C1488"/>
      <c r="G1488"/>
    </row>
    <row r="1489" spans="3:7" x14ac:dyDescent="0.55000000000000004">
      <c r="C1489"/>
      <c r="G1489"/>
    </row>
    <row r="1490" spans="3:7" x14ac:dyDescent="0.55000000000000004">
      <c r="C1490"/>
      <c r="G1490"/>
    </row>
    <row r="1491" spans="3:7" x14ac:dyDescent="0.55000000000000004">
      <c r="C1491"/>
      <c r="G1491"/>
    </row>
    <row r="1492" spans="3:7" x14ac:dyDescent="0.55000000000000004">
      <c r="C1492"/>
      <c r="G1492"/>
    </row>
    <row r="1493" spans="3:7" x14ac:dyDescent="0.55000000000000004">
      <c r="C1493"/>
      <c r="G1493"/>
    </row>
    <row r="1494" spans="3:7" x14ac:dyDescent="0.55000000000000004">
      <c r="C1494"/>
      <c r="G1494"/>
    </row>
    <row r="1495" spans="3:7" x14ac:dyDescent="0.55000000000000004">
      <c r="C1495"/>
      <c r="G1495"/>
    </row>
    <row r="1496" spans="3:7" x14ac:dyDescent="0.55000000000000004">
      <c r="C1496"/>
      <c r="G1496"/>
    </row>
    <row r="1497" spans="3:7" x14ac:dyDescent="0.55000000000000004">
      <c r="C1497"/>
      <c r="G1497"/>
    </row>
    <row r="1498" spans="3:7" x14ac:dyDescent="0.55000000000000004">
      <c r="C1498"/>
      <c r="G1498"/>
    </row>
    <row r="1499" spans="3:7" x14ac:dyDescent="0.55000000000000004">
      <c r="C1499"/>
      <c r="G1499"/>
    </row>
    <row r="1500" spans="3:7" x14ac:dyDescent="0.55000000000000004">
      <c r="C1500"/>
      <c r="G1500"/>
    </row>
    <row r="1501" spans="3:7" x14ac:dyDescent="0.55000000000000004">
      <c r="C1501"/>
      <c r="G1501"/>
    </row>
    <row r="1502" spans="3:7" x14ac:dyDescent="0.55000000000000004">
      <c r="C1502"/>
      <c r="G1502"/>
    </row>
    <row r="1503" spans="3:7" x14ac:dyDescent="0.55000000000000004">
      <c r="C1503"/>
      <c r="G1503"/>
    </row>
    <row r="1504" spans="3:7" x14ac:dyDescent="0.55000000000000004">
      <c r="C1504"/>
      <c r="G1504"/>
    </row>
    <row r="1505" spans="3:7" x14ac:dyDescent="0.55000000000000004">
      <c r="C1505"/>
      <c r="G1505"/>
    </row>
    <row r="1506" spans="3:7" x14ac:dyDescent="0.55000000000000004">
      <c r="C1506"/>
      <c r="G1506"/>
    </row>
    <row r="1507" spans="3:7" x14ac:dyDescent="0.55000000000000004">
      <c r="C1507"/>
      <c r="G1507"/>
    </row>
    <row r="1508" spans="3:7" x14ac:dyDescent="0.55000000000000004">
      <c r="C1508"/>
      <c r="G1508"/>
    </row>
    <row r="1509" spans="3:7" x14ac:dyDescent="0.55000000000000004">
      <c r="C1509"/>
      <c r="G1509"/>
    </row>
    <row r="1510" spans="3:7" x14ac:dyDescent="0.55000000000000004">
      <c r="C1510"/>
      <c r="G1510"/>
    </row>
    <row r="1511" spans="3:7" x14ac:dyDescent="0.55000000000000004">
      <c r="C1511"/>
      <c r="G1511"/>
    </row>
    <row r="1512" spans="3:7" x14ac:dyDescent="0.55000000000000004">
      <c r="C1512"/>
      <c r="G1512"/>
    </row>
    <row r="1513" spans="3:7" x14ac:dyDescent="0.55000000000000004">
      <c r="C1513"/>
      <c r="G1513"/>
    </row>
    <row r="1514" spans="3:7" x14ac:dyDescent="0.55000000000000004">
      <c r="C1514"/>
      <c r="G1514"/>
    </row>
    <row r="1515" spans="3:7" x14ac:dyDescent="0.55000000000000004">
      <c r="C1515"/>
      <c r="G1515"/>
    </row>
    <row r="1516" spans="3:7" x14ac:dyDescent="0.55000000000000004">
      <c r="C1516"/>
      <c r="G1516"/>
    </row>
    <row r="1517" spans="3:7" x14ac:dyDescent="0.55000000000000004">
      <c r="C1517"/>
      <c r="G1517"/>
    </row>
    <row r="1518" spans="3:7" x14ac:dyDescent="0.55000000000000004">
      <c r="C1518"/>
      <c r="G1518"/>
    </row>
    <row r="1519" spans="3:7" x14ac:dyDescent="0.55000000000000004">
      <c r="C1519"/>
      <c r="G1519"/>
    </row>
    <row r="1520" spans="3:7" x14ac:dyDescent="0.55000000000000004">
      <c r="C1520"/>
      <c r="G1520"/>
    </row>
    <row r="1521" spans="3:7" x14ac:dyDescent="0.55000000000000004">
      <c r="C1521"/>
      <c r="G1521"/>
    </row>
    <row r="1522" spans="3:7" x14ac:dyDescent="0.55000000000000004">
      <c r="C1522"/>
      <c r="G1522"/>
    </row>
    <row r="1523" spans="3:7" x14ac:dyDescent="0.55000000000000004">
      <c r="C1523"/>
      <c r="G1523"/>
    </row>
    <row r="1524" spans="3:7" x14ac:dyDescent="0.55000000000000004">
      <c r="C1524"/>
      <c r="G1524"/>
    </row>
    <row r="1525" spans="3:7" x14ac:dyDescent="0.55000000000000004">
      <c r="C1525"/>
      <c r="G1525"/>
    </row>
    <row r="1526" spans="3:7" x14ac:dyDescent="0.55000000000000004">
      <c r="C1526"/>
      <c r="G1526"/>
    </row>
    <row r="1527" spans="3:7" x14ac:dyDescent="0.55000000000000004">
      <c r="C1527"/>
      <c r="G1527"/>
    </row>
    <row r="1528" spans="3:7" x14ac:dyDescent="0.55000000000000004">
      <c r="C1528"/>
      <c r="G1528"/>
    </row>
    <row r="1529" spans="3:7" x14ac:dyDescent="0.55000000000000004">
      <c r="C1529"/>
      <c r="G1529"/>
    </row>
    <row r="1530" spans="3:7" x14ac:dyDescent="0.55000000000000004">
      <c r="C1530"/>
      <c r="G1530"/>
    </row>
    <row r="1531" spans="3:7" x14ac:dyDescent="0.55000000000000004">
      <c r="C1531"/>
      <c r="G1531"/>
    </row>
    <row r="1532" spans="3:7" x14ac:dyDescent="0.55000000000000004">
      <c r="C1532"/>
      <c r="G1532"/>
    </row>
    <row r="1533" spans="3:7" x14ac:dyDescent="0.55000000000000004">
      <c r="C1533"/>
      <c r="G1533"/>
    </row>
    <row r="1534" spans="3:7" x14ac:dyDescent="0.55000000000000004">
      <c r="C1534"/>
      <c r="G1534"/>
    </row>
    <row r="1535" spans="3:7" x14ac:dyDescent="0.55000000000000004">
      <c r="C1535"/>
      <c r="G1535"/>
    </row>
    <row r="1536" spans="3:7" x14ac:dyDescent="0.55000000000000004">
      <c r="C1536"/>
      <c r="G1536"/>
    </row>
    <row r="1537" spans="3:7" x14ac:dyDescent="0.55000000000000004">
      <c r="C1537"/>
      <c r="G1537"/>
    </row>
    <row r="1538" spans="3:7" x14ac:dyDescent="0.55000000000000004">
      <c r="C1538"/>
      <c r="G1538"/>
    </row>
    <row r="1539" spans="3:7" x14ac:dyDescent="0.55000000000000004">
      <c r="C1539"/>
      <c r="G1539"/>
    </row>
    <row r="1540" spans="3:7" x14ac:dyDescent="0.55000000000000004">
      <c r="C1540"/>
      <c r="G1540"/>
    </row>
    <row r="1541" spans="3:7" x14ac:dyDescent="0.55000000000000004">
      <c r="C1541"/>
      <c r="G1541"/>
    </row>
    <row r="1542" spans="3:7" x14ac:dyDescent="0.55000000000000004">
      <c r="C1542"/>
      <c r="G1542"/>
    </row>
    <row r="1543" spans="3:7" x14ac:dyDescent="0.55000000000000004">
      <c r="C1543"/>
      <c r="G1543"/>
    </row>
    <row r="1544" spans="3:7" x14ac:dyDescent="0.55000000000000004">
      <c r="C1544"/>
      <c r="G1544"/>
    </row>
    <row r="1545" spans="3:7" x14ac:dyDescent="0.55000000000000004">
      <c r="C1545"/>
      <c r="G1545"/>
    </row>
    <row r="1546" spans="3:7" x14ac:dyDescent="0.55000000000000004">
      <c r="C1546"/>
      <c r="G1546"/>
    </row>
    <row r="1547" spans="3:7" x14ac:dyDescent="0.55000000000000004">
      <c r="C1547"/>
      <c r="G1547"/>
    </row>
    <row r="1548" spans="3:7" x14ac:dyDescent="0.55000000000000004">
      <c r="C1548"/>
      <c r="G1548"/>
    </row>
    <row r="1549" spans="3:7" x14ac:dyDescent="0.55000000000000004">
      <c r="C1549"/>
      <c r="G1549"/>
    </row>
    <row r="1550" spans="3:7" x14ac:dyDescent="0.55000000000000004">
      <c r="C1550"/>
      <c r="G1550"/>
    </row>
    <row r="1551" spans="3:7" x14ac:dyDescent="0.55000000000000004">
      <c r="C1551"/>
      <c r="G1551"/>
    </row>
    <row r="1552" spans="3:7" x14ac:dyDescent="0.55000000000000004">
      <c r="C1552"/>
      <c r="G1552"/>
    </row>
    <row r="1553" spans="3:7" x14ac:dyDescent="0.55000000000000004">
      <c r="C1553"/>
      <c r="G1553"/>
    </row>
    <row r="1554" spans="3:7" x14ac:dyDescent="0.55000000000000004">
      <c r="C1554"/>
      <c r="G1554"/>
    </row>
    <row r="1555" spans="3:7" x14ac:dyDescent="0.55000000000000004">
      <c r="C1555"/>
      <c r="G1555"/>
    </row>
    <row r="1556" spans="3:7" x14ac:dyDescent="0.55000000000000004">
      <c r="C1556"/>
      <c r="G1556"/>
    </row>
    <row r="1557" spans="3:7" x14ac:dyDescent="0.55000000000000004">
      <c r="C1557"/>
      <c r="G1557"/>
    </row>
    <row r="1558" spans="3:7" x14ac:dyDescent="0.55000000000000004">
      <c r="C1558"/>
      <c r="G1558"/>
    </row>
    <row r="1559" spans="3:7" x14ac:dyDescent="0.55000000000000004">
      <c r="C1559"/>
      <c r="G1559"/>
    </row>
    <row r="1560" spans="3:7" x14ac:dyDescent="0.55000000000000004">
      <c r="C1560"/>
      <c r="G1560"/>
    </row>
    <row r="1561" spans="3:7" x14ac:dyDescent="0.55000000000000004">
      <c r="C1561"/>
      <c r="G1561"/>
    </row>
    <row r="1562" spans="3:7" x14ac:dyDescent="0.55000000000000004">
      <c r="C1562"/>
      <c r="G1562"/>
    </row>
    <row r="1563" spans="3:7" x14ac:dyDescent="0.55000000000000004">
      <c r="C1563"/>
      <c r="G1563"/>
    </row>
    <row r="1564" spans="3:7" x14ac:dyDescent="0.55000000000000004">
      <c r="C1564"/>
      <c r="G1564"/>
    </row>
    <row r="1565" spans="3:7" x14ac:dyDescent="0.55000000000000004">
      <c r="C1565"/>
      <c r="G1565"/>
    </row>
    <row r="1566" spans="3:7" x14ac:dyDescent="0.55000000000000004">
      <c r="C1566"/>
      <c r="G1566"/>
    </row>
    <row r="1567" spans="3:7" x14ac:dyDescent="0.55000000000000004">
      <c r="C1567"/>
      <c r="G1567"/>
    </row>
    <row r="1568" spans="3:7" x14ac:dyDescent="0.55000000000000004">
      <c r="C1568"/>
      <c r="G1568"/>
    </row>
    <row r="1569" spans="3:7" x14ac:dyDescent="0.55000000000000004">
      <c r="C1569"/>
      <c r="G1569"/>
    </row>
    <row r="1570" spans="3:7" x14ac:dyDescent="0.55000000000000004">
      <c r="C1570"/>
      <c r="G1570"/>
    </row>
    <row r="1571" spans="3:7" x14ac:dyDescent="0.55000000000000004">
      <c r="C1571"/>
      <c r="G1571"/>
    </row>
    <row r="1572" spans="3:7" x14ac:dyDescent="0.55000000000000004">
      <c r="C1572"/>
      <c r="G1572"/>
    </row>
    <row r="1573" spans="3:7" x14ac:dyDescent="0.55000000000000004">
      <c r="C1573"/>
      <c r="G1573"/>
    </row>
    <row r="1574" spans="3:7" x14ac:dyDescent="0.55000000000000004">
      <c r="C1574"/>
      <c r="G1574"/>
    </row>
    <row r="1575" spans="3:7" x14ac:dyDescent="0.55000000000000004">
      <c r="C1575"/>
      <c r="G1575"/>
    </row>
    <row r="1576" spans="3:7" x14ac:dyDescent="0.55000000000000004">
      <c r="C1576"/>
      <c r="G1576"/>
    </row>
    <row r="1577" spans="3:7" x14ac:dyDescent="0.55000000000000004">
      <c r="C1577"/>
      <c r="G1577"/>
    </row>
    <row r="1578" spans="3:7" x14ac:dyDescent="0.55000000000000004">
      <c r="C1578"/>
      <c r="G1578"/>
    </row>
    <row r="1579" spans="3:7" x14ac:dyDescent="0.55000000000000004">
      <c r="C1579"/>
      <c r="G1579"/>
    </row>
    <row r="1580" spans="3:7" x14ac:dyDescent="0.55000000000000004">
      <c r="C1580"/>
      <c r="G1580"/>
    </row>
    <row r="1581" spans="3:7" x14ac:dyDescent="0.55000000000000004">
      <c r="C1581"/>
      <c r="G1581"/>
    </row>
    <row r="1582" spans="3:7" x14ac:dyDescent="0.55000000000000004">
      <c r="C1582"/>
      <c r="G1582"/>
    </row>
    <row r="1583" spans="3:7" x14ac:dyDescent="0.55000000000000004">
      <c r="C1583"/>
      <c r="G1583"/>
    </row>
    <row r="1584" spans="3:7" x14ac:dyDescent="0.55000000000000004">
      <c r="C1584"/>
      <c r="G1584"/>
    </row>
    <row r="1585" spans="3:7" x14ac:dyDescent="0.55000000000000004">
      <c r="C1585"/>
      <c r="G1585"/>
    </row>
    <row r="1586" spans="3:7" x14ac:dyDescent="0.55000000000000004">
      <c r="C1586"/>
      <c r="G1586"/>
    </row>
    <row r="1587" spans="3:7" x14ac:dyDescent="0.55000000000000004">
      <c r="C1587"/>
      <c r="G1587"/>
    </row>
    <row r="1588" spans="3:7" x14ac:dyDescent="0.55000000000000004">
      <c r="C1588"/>
      <c r="G1588"/>
    </row>
    <row r="1589" spans="3:7" x14ac:dyDescent="0.55000000000000004">
      <c r="C1589"/>
      <c r="G1589"/>
    </row>
    <row r="1590" spans="3:7" x14ac:dyDescent="0.55000000000000004">
      <c r="C1590"/>
      <c r="G1590"/>
    </row>
    <row r="1591" spans="3:7" x14ac:dyDescent="0.55000000000000004">
      <c r="C1591"/>
      <c r="G1591"/>
    </row>
    <row r="1592" spans="3:7" x14ac:dyDescent="0.55000000000000004">
      <c r="C1592"/>
      <c r="G1592"/>
    </row>
    <row r="1593" spans="3:7" x14ac:dyDescent="0.55000000000000004">
      <c r="C1593"/>
      <c r="G1593"/>
    </row>
    <row r="1594" spans="3:7" x14ac:dyDescent="0.55000000000000004">
      <c r="C1594"/>
      <c r="G1594"/>
    </row>
    <row r="1595" spans="3:7" x14ac:dyDescent="0.55000000000000004">
      <c r="C1595"/>
      <c r="G1595"/>
    </row>
    <row r="1596" spans="3:7" x14ac:dyDescent="0.55000000000000004">
      <c r="C1596"/>
      <c r="G1596"/>
    </row>
    <row r="1597" spans="3:7" x14ac:dyDescent="0.55000000000000004">
      <c r="C1597"/>
      <c r="G1597"/>
    </row>
    <row r="1598" spans="3:7" x14ac:dyDescent="0.55000000000000004">
      <c r="C1598"/>
      <c r="G1598"/>
    </row>
    <row r="1599" spans="3:7" x14ac:dyDescent="0.55000000000000004">
      <c r="C1599"/>
      <c r="G1599"/>
    </row>
    <row r="1600" spans="3:7" x14ac:dyDescent="0.55000000000000004">
      <c r="C1600"/>
      <c r="G1600"/>
    </row>
    <row r="1601" spans="3:7" x14ac:dyDescent="0.55000000000000004">
      <c r="C1601"/>
      <c r="G1601"/>
    </row>
    <row r="1602" spans="3:7" x14ac:dyDescent="0.55000000000000004">
      <c r="C1602"/>
      <c r="G1602"/>
    </row>
    <row r="1603" spans="3:7" x14ac:dyDescent="0.55000000000000004">
      <c r="C1603"/>
      <c r="G1603"/>
    </row>
    <row r="1604" spans="3:7" x14ac:dyDescent="0.55000000000000004">
      <c r="C1604"/>
      <c r="G1604"/>
    </row>
    <row r="1605" spans="3:7" x14ac:dyDescent="0.55000000000000004">
      <c r="C1605"/>
      <c r="G1605"/>
    </row>
    <row r="1606" spans="3:7" x14ac:dyDescent="0.55000000000000004">
      <c r="C1606"/>
      <c r="G1606"/>
    </row>
    <row r="1607" spans="3:7" x14ac:dyDescent="0.55000000000000004">
      <c r="C1607"/>
      <c r="G1607"/>
    </row>
    <row r="1608" spans="3:7" x14ac:dyDescent="0.55000000000000004">
      <c r="C1608"/>
      <c r="G1608"/>
    </row>
    <row r="1609" spans="3:7" x14ac:dyDescent="0.55000000000000004">
      <c r="C1609"/>
      <c r="G1609"/>
    </row>
    <row r="1610" spans="3:7" x14ac:dyDescent="0.55000000000000004">
      <c r="C1610"/>
      <c r="G1610"/>
    </row>
    <row r="1611" spans="3:7" x14ac:dyDescent="0.55000000000000004">
      <c r="C1611"/>
      <c r="G1611"/>
    </row>
    <row r="1612" spans="3:7" x14ac:dyDescent="0.55000000000000004">
      <c r="C1612"/>
      <c r="G1612"/>
    </row>
    <row r="1613" spans="3:7" x14ac:dyDescent="0.55000000000000004">
      <c r="C1613"/>
      <c r="G1613"/>
    </row>
    <row r="1614" spans="3:7" x14ac:dyDescent="0.55000000000000004">
      <c r="C1614"/>
      <c r="G1614"/>
    </row>
    <row r="1615" spans="3:7" x14ac:dyDescent="0.55000000000000004">
      <c r="C1615"/>
      <c r="G1615"/>
    </row>
    <row r="1616" spans="3:7" x14ac:dyDescent="0.55000000000000004">
      <c r="C1616"/>
      <c r="G1616"/>
    </row>
    <row r="1617" spans="3:7" x14ac:dyDescent="0.55000000000000004">
      <c r="C1617"/>
      <c r="G1617"/>
    </row>
    <row r="1618" spans="3:7" x14ac:dyDescent="0.55000000000000004">
      <c r="C1618"/>
      <c r="G1618"/>
    </row>
    <row r="1619" spans="3:7" x14ac:dyDescent="0.55000000000000004">
      <c r="C1619"/>
      <c r="G1619"/>
    </row>
    <row r="1620" spans="3:7" x14ac:dyDescent="0.55000000000000004">
      <c r="C1620"/>
      <c r="G1620"/>
    </row>
    <row r="1621" spans="3:7" x14ac:dyDescent="0.55000000000000004">
      <c r="C1621"/>
      <c r="G1621"/>
    </row>
    <row r="1622" spans="3:7" x14ac:dyDescent="0.55000000000000004">
      <c r="C1622"/>
      <c r="G1622"/>
    </row>
    <row r="1623" spans="3:7" x14ac:dyDescent="0.55000000000000004">
      <c r="C1623"/>
      <c r="G1623"/>
    </row>
    <row r="1624" spans="3:7" x14ac:dyDescent="0.55000000000000004">
      <c r="C1624"/>
      <c r="G1624"/>
    </row>
    <row r="1625" spans="3:7" x14ac:dyDescent="0.55000000000000004">
      <c r="C1625"/>
      <c r="G1625"/>
    </row>
    <row r="1626" spans="3:7" x14ac:dyDescent="0.55000000000000004">
      <c r="C1626"/>
      <c r="G1626"/>
    </row>
    <row r="1627" spans="3:7" x14ac:dyDescent="0.55000000000000004">
      <c r="C1627"/>
      <c r="G1627"/>
    </row>
    <row r="1628" spans="3:7" x14ac:dyDescent="0.55000000000000004">
      <c r="C1628"/>
      <c r="G1628"/>
    </row>
    <row r="1629" spans="3:7" x14ac:dyDescent="0.55000000000000004">
      <c r="C1629"/>
      <c r="G1629"/>
    </row>
    <row r="1630" spans="3:7" x14ac:dyDescent="0.55000000000000004">
      <c r="C1630"/>
      <c r="G1630"/>
    </row>
    <row r="1631" spans="3:7" x14ac:dyDescent="0.55000000000000004">
      <c r="C1631"/>
      <c r="G1631"/>
    </row>
    <row r="1632" spans="3:7" x14ac:dyDescent="0.55000000000000004">
      <c r="C1632"/>
      <c r="G1632"/>
    </row>
    <row r="1633" spans="3:7" x14ac:dyDescent="0.55000000000000004">
      <c r="C1633"/>
      <c r="G1633"/>
    </row>
    <row r="1634" spans="3:7" x14ac:dyDescent="0.55000000000000004">
      <c r="C1634"/>
      <c r="G1634"/>
    </row>
    <row r="1635" spans="3:7" x14ac:dyDescent="0.55000000000000004">
      <c r="C1635"/>
      <c r="G1635"/>
    </row>
    <row r="1636" spans="3:7" x14ac:dyDescent="0.55000000000000004">
      <c r="C1636"/>
      <c r="G1636"/>
    </row>
    <row r="1637" spans="3:7" x14ac:dyDescent="0.55000000000000004">
      <c r="C1637"/>
      <c r="G1637"/>
    </row>
    <row r="1638" spans="3:7" x14ac:dyDescent="0.55000000000000004">
      <c r="C1638"/>
      <c r="G1638"/>
    </row>
    <row r="1639" spans="3:7" x14ac:dyDescent="0.55000000000000004">
      <c r="C1639"/>
      <c r="G1639"/>
    </row>
    <row r="1640" spans="3:7" x14ac:dyDescent="0.55000000000000004">
      <c r="C1640"/>
      <c r="G1640"/>
    </row>
    <row r="1641" spans="3:7" x14ac:dyDescent="0.55000000000000004">
      <c r="C1641"/>
      <c r="G1641"/>
    </row>
    <row r="1642" spans="3:7" x14ac:dyDescent="0.55000000000000004">
      <c r="C1642"/>
      <c r="G1642"/>
    </row>
    <row r="1643" spans="3:7" x14ac:dyDescent="0.55000000000000004">
      <c r="C1643"/>
      <c r="G1643"/>
    </row>
    <row r="1644" spans="3:7" x14ac:dyDescent="0.55000000000000004">
      <c r="C1644"/>
      <c r="G1644"/>
    </row>
    <row r="1645" spans="3:7" x14ac:dyDescent="0.55000000000000004">
      <c r="C1645"/>
      <c r="G1645"/>
    </row>
    <row r="1646" spans="3:7" x14ac:dyDescent="0.55000000000000004">
      <c r="C1646"/>
      <c r="G1646"/>
    </row>
    <row r="1647" spans="3:7" x14ac:dyDescent="0.55000000000000004">
      <c r="C1647"/>
      <c r="G1647"/>
    </row>
    <row r="1648" spans="3:7" x14ac:dyDescent="0.55000000000000004">
      <c r="C1648"/>
      <c r="G1648"/>
    </row>
    <row r="1649" spans="3:7" x14ac:dyDescent="0.55000000000000004">
      <c r="C1649"/>
      <c r="G1649"/>
    </row>
    <row r="1650" spans="3:7" x14ac:dyDescent="0.55000000000000004">
      <c r="C1650"/>
      <c r="G1650"/>
    </row>
    <row r="1651" spans="3:7" x14ac:dyDescent="0.55000000000000004">
      <c r="C1651"/>
      <c r="G1651"/>
    </row>
    <row r="1652" spans="3:7" x14ac:dyDescent="0.55000000000000004">
      <c r="C1652"/>
      <c r="G1652"/>
    </row>
    <row r="1653" spans="3:7" x14ac:dyDescent="0.55000000000000004">
      <c r="C1653"/>
      <c r="G1653"/>
    </row>
    <row r="1654" spans="3:7" x14ac:dyDescent="0.55000000000000004">
      <c r="C1654"/>
      <c r="G1654"/>
    </row>
    <row r="1655" spans="3:7" x14ac:dyDescent="0.55000000000000004">
      <c r="C1655"/>
      <c r="G1655"/>
    </row>
    <row r="1656" spans="3:7" x14ac:dyDescent="0.55000000000000004">
      <c r="C1656"/>
      <c r="G1656"/>
    </row>
    <row r="1657" spans="3:7" x14ac:dyDescent="0.55000000000000004">
      <c r="C1657"/>
      <c r="G1657"/>
    </row>
    <row r="1658" spans="3:7" x14ac:dyDescent="0.55000000000000004">
      <c r="C1658"/>
      <c r="G1658"/>
    </row>
    <row r="1659" spans="3:7" x14ac:dyDescent="0.55000000000000004">
      <c r="C1659"/>
      <c r="G1659"/>
    </row>
    <row r="1660" spans="3:7" x14ac:dyDescent="0.55000000000000004">
      <c r="C1660"/>
      <c r="G1660"/>
    </row>
    <row r="1661" spans="3:7" x14ac:dyDescent="0.55000000000000004">
      <c r="C1661"/>
      <c r="G1661"/>
    </row>
    <row r="1662" spans="3:7" x14ac:dyDescent="0.55000000000000004">
      <c r="C1662"/>
      <c r="G1662"/>
    </row>
    <row r="1663" spans="3:7" x14ac:dyDescent="0.55000000000000004">
      <c r="C1663"/>
      <c r="G1663"/>
    </row>
    <row r="1664" spans="3:7" x14ac:dyDescent="0.55000000000000004">
      <c r="C1664"/>
      <c r="G1664"/>
    </row>
    <row r="1665" spans="3:7" x14ac:dyDescent="0.55000000000000004">
      <c r="C1665"/>
      <c r="G1665"/>
    </row>
    <row r="1666" spans="3:7" x14ac:dyDescent="0.55000000000000004">
      <c r="C1666"/>
      <c r="G1666"/>
    </row>
    <row r="1667" spans="3:7" x14ac:dyDescent="0.55000000000000004">
      <c r="C1667"/>
      <c r="G1667"/>
    </row>
    <row r="1668" spans="3:7" x14ac:dyDescent="0.55000000000000004">
      <c r="C1668"/>
      <c r="G1668"/>
    </row>
    <row r="1669" spans="3:7" x14ac:dyDescent="0.55000000000000004">
      <c r="C1669"/>
      <c r="G1669"/>
    </row>
    <row r="1670" spans="3:7" x14ac:dyDescent="0.55000000000000004">
      <c r="C1670"/>
      <c r="G1670"/>
    </row>
    <row r="1671" spans="3:7" x14ac:dyDescent="0.55000000000000004">
      <c r="C1671"/>
      <c r="G1671"/>
    </row>
    <row r="1672" spans="3:7" x14ac:dyDescent="0.55000000000000004">
      <c r="C1672"/>
      <c r="G1672"/>
    </row>
    <row r="1673" spans="3:7" x14ac:dyDescent="0.55000000000000004">
      <c r="C1673"/>
      <c r="G1673"/>
    </row>
    <row r="1674" spans="3:7" x14ac:dyDescent="0.55000000000000004">
      <c r="C1674"/>
      <c r="G1674"/>
    </row>
    <row r="1675" spans="3:7" x14ac:dyDescent="0.55000000000000004">
      <c r="C1675"/>
      <c r="G1675"/>
    </row>
    <row r="1676" spans="3:7" x14ac:dyDescent="0.55000000000000004">
      <c r="C1676"/>
      <c r="G1676"/>
    </row>
    <row r="1677" spans="3:7" x14ac:dyDescent="0.55000000000000004">
      <c r="C1677"/>
      <c r="G1677"/>
    </row>
    <row r="1678" spans="3:7" x14ac:dyDescent="0.55000000000000004">
      <c r="C1678"/>
      <c r="G1678"/>
    </row>
    <row r="1679" spans="3:7" x14ac:dyDescent="0.55000000000000004">
      <c r="C1679"/>
      <c r="G1679"/>
    </row>
    <row r="1680" spans="3:7" x14ac:dyDescent="0.55000000000000004">
      <c r="C1680"/>
      <c r="G1680"/>
    </row>
    <row r="1681" spans="3:7" x14ac:dyDescent="0.55000000000000004">
      <c r="C1681"/>
      <c r="G1681"/>
    </row>
    <row r="1682" spans="3:7" x14ac:dyDescent="0.55000000000000004">
      <c r="C1682"/>
      <c r="G1682"/>
    </row>
    <row r="1683" spans="3:7" x14ac:dyDescent="0.55000000000000004">
      <c r="C1683"/>
      <c r="G1683"/>
    </row>
    <row r="1684" spans="3:7" x14ac:dyDescent="0.55000000000000004">
      <c r="C1684"/>
      <c r="G1684"/>
    </row>
    <row r="1685" spans="3:7" x14ac:dyDescent="0.55000000000000004">
      <c r="C1685"/>
      <c r="G1685"/>
    </row>
    <row r="1686" spans="3:7" x14ac:dyDescent="0.55000000000000004">
      <c r="C1686"/>
      <c r="G1686"/>
    </row>
    <row r="1687" spans="3:7" x14ac:dyDescent="0.55000000000000004">
      <c r="C1687"/>
      <c r="G1687"/>
    </row>
    <row r="1688" spans="3:7" x14ac:dyDescent="0.55000000000000004">
      <c r="C1688"/>
      <c r="G1688"/>
    </row>
    <row r="1689" spans="3:7" x14ac:dyDescent="0.55000000000000004">
      <c r="C1689"/>
      <c r="G1689"/>
    </row>
    <row r="1690" spans="3:7" x14ac:dyDescent="0.55000000000000004">
      <c r="C1690"/>
      <c r="G1690"/>
    </row>
    <row r="1691" spans="3:7" x14ac:dyDescent="0.55000000000000004">
      <c r="C1691"/>
      <c r="G1691"/>
    </row>
    <row r="1692" spans="3:7" x14ac:dyDescent="0.55000000000000004">
      <c r="C1692"/>
      <c r="G1692"/>
    </row>
    <row r="1693" spans="3:7" x14ac:dyDescent="0.55000000000000004">
      <c r="C1693"/>
      <c r="G1693"/>
    </row>
    <row r="1694" spans="3:7" x14ac:dyDescent="0.55000000000000004">
      <c r="C1694"/>
      <c r="G1694"/>
    </row>
    <row r="1695" spans="3:7" x14ac:dyDescent="0.55000000000000004">
      <c r="C1695"/>
      <c r="G1695"/>
    </row>
    <row r="1696" spans="3:7" x14ac:dyDescent="0.55000000000000004">
      <c r="C1696"/>
      <c r="G1696"/>
    </row>
    <row r="1697" spans="3:7" x14ac:dyDescent="0.55000000000000004">
      <c r="C1697"/>
      <c r="G1697"/>
    </row>
    <row r="1698" spans="3:7" x14ac:dyDescent="0.55000000000000004">
      <c r="C1698"/>
      <c r="G1698"/>
    </row>
    <row r="1699" spans="3:7" x14ac:dyDescent="0.55000000000000004">
      <c r="C1699"/>
      <c r="G1699"/>
    </row>
    <row r="1700" spans="3:7" x14ac:dyDescent="0.55000000000000004">
      <c r="C1700"/>
      <c r="G1700"/>
    </row>
    <row r="1701" spans="3:7" x14ac:dyDescent="0.55000000000000004">
      <c r="C1701"/>
      <c r="G1701"/>
    </row>
    <row r="1702" spans="3:7" x14ac:dyDescent="0.55000000000000004">
      <c r="C1702"/>
      <c r="G1702"/>
    </row>
    <row r="1703" spans="3:7" x14ac:dyDescent="0.55000000000000004">
      <c r="C1703"/>
      <c r="G1703"/>
    </row>
    <row r="1704" spans="3:7" x14ac:dyDescent="0.55000000000000004">
      <c r="C1704"/>
      <c r="G1704"/>
    </row>
    <row r="1705" spans="3:7" x14ac:dyDescent="0.55000000000000004">
      <c r="C1705"/>
      <c r="G1705"/>
    </row>
    <row r="1706" spans="3:7" x14ac:dyDescent="0.55000000000000004">
      <c r="C1706"/>
      <c r="G1706"/>
    </row>
    <row r="1707" spans="3:7" x14ac:dyDescent="0.55000000000000004">
      <c r="C1707"/>
      <c r="G1707"/>
    </row>
    <row r="1708" spans="3:7" x14ac:dyDescent="0.55000000000000004">
      <c r="C1708"/>
      <c r="G1708"/>
    </row>
    <row r="1709" spans="3:7" x14ac:dyDescent="0.55000000000000004">
      <c r="C1709"/>
      <c r="G1709"/>
    </row>
    <row r="1710" spans="3:7" x14ac:dyDescent="0.55000000000000004">
      <c r="C1710"/>
      <c r="G1710"/>
    </row>
    <row r="1711" spans="3:7" x14ac:dyDescent="0.55000000000000004">
      <c r="C1711"/>
      <c r="G1711"/>
    </row>
    <row r="1712" spans="3:7" x14ac:dyDescent="0.55000000000000004">
      <c r="C1712"/>
      <c r="G1712"/>
    </row>
    <row r="1713" spans="3:7" x14ac:dyDescent="0.55000000000000004">
      <c r="C1713"/>
      <c r="G1713"/>
    </row>
    <row r="1714" spans="3:7" x14ac:dyDescent="0.55000000000000004">
      <c r="C1714"/>
      <c r="G1714"/>
    </row>
    <row r="1715" spans="3:7" x14ac:dyDescent="0.55000000000000004">
      <c r="C1715"/>
      <c r="G1715"/>
    </row>
    <row r="1716" spans="3:7" x14ac:dyDescent="0.55000000000000004">
      <c r="C1716"/>
      <c r="G1716"/>
    </row>
    <row r="1717" spans="3:7" x14ac:dyDescent="0.55000000000000004">
      <c r="C1717"/>
      <c r="G1717"/>
    </row>
    <row r="1718" spans="3:7" x14ac:dyDescent="0.55000000000000004">
      <c r="C1718"/>
      <c r="G1718"/>
    </row>
    <row r="1719" spans="3:7" x14ac:dyDescent="0.55000000000000004">
      <c r="C1719"/>
      <c r="G1719"/>
    </row>
    <row r="1720" spans="3:7" x14ac:dyDescent="0.55000000000000004">
      <c r="C1720"/>
      <c r="G1720"/>
    </row>
    <row r="1721" spans="3:7" x14ac:dyDescent="0.55000000000000004">
      <c r="C1721"/>
      <c r="G1721"/>
    </row>
    <row r="1722" spans="3:7" x14ac:dyDescent="0.55000000000000004">
      <c r="C1722"/>
      <c r="G1722"/>
    </row>
    <row r="1723" spans="3:7" x14ac:dyDescent="0.55000000000000004">
      <c r="C1723"/>
      <c r="G1723"/>
    </row>
    <row r="1724" spans="3:7" x14ac:dyDescent="0.55000000000000004">
      <c r="C1724"/>
      <c r="G1724"/>
    </row>
    <row r="1725" spans="3:7" x14ac:dyDescent="0.55000000000000004">
      <c r="C1725"/>
      <c r="G1725"/>
    </row>
    <row r="1726" spans="3:7" x14ac:dyDescent="0.55000000000000004">
      <c r="C1726"/>
      <c r="G1726"/>
    </row>
    <row r="1727" spans="3:7" x14ac:dyDescent="0.55000000000000004">
      <c r="C1727"/>
      <c r="G1727"/>
    </row>
    <row r="1728" spans="3:7" x14ac:dyDescent="0.55000000000000004">
      <c r="C1728"/>
      <c r="G1728"/>
    </row>
    <row r="1729" spans="3:7" x14ac:dyDescent="0.55000000000000004">
      <c r="C1729"/>
      <c r="G1729"/>
    </row>
    <row r="1730" spans="3:7" x14ac:dyDescent="0.55000000000000004">
      <c r="C1730"/>
      <c r="G1730"/>
    </row>
    <row r="1731" spans="3:7" x14ac:dyDescent="0.55000000000000004">
      <c r="C1731"/>
      <c r="G1731"/>
    </row>
    <row r="1732" spans="3:7" x14ac:dyDescent="0.55000000000000004">
      <c r="C1732"/>
      <c r="G1732"/>
    </row>
    <row r="1733" spans="3:7" x14ac:dyDescent="0.55000000000000004">
      <c r="C1733"/>
      <c r="G1733"/>
    </row>
    <row r="1734" spans="3:7" x14ac:dyDescent="0.55000000000000004">
      <c r="C1734"/>
      <c r="G1734"/>
    </row>
    <row r="1735" spans="3:7" x14ac:dyDescent="0.55000000000000004">
      <c r="C1735"/>
      <c r="G1735"/>
    </row>
    <row r="1736" spans="3:7" x14ac:dyDescent="0.55000000000000004">
      <c r="C1736"/>
      <c r="G1736"/>
    </row>
    <row r="1737" spans="3:7" x14ac:dyDescent="0.55000000000000004">
      <c r="C1737"/>
      <c r="G1737"/>
    </row>
    <row r="1738" spans="3:7" x14ac:dyDescent="0.55000000000000004">
      <c r="C1738"/>
      <c r="G1738"/>
    </row>
    <row r="1739" spans="3:7" x14ac:dyDescent="0.55000000000000004">
      <c r="C1739"/>
      <c r="G1739"/>
    </row>
    <row r="1740" spans="3:7" x14ac:dyDescent="0.55000000000000004">
      <c r="C1740"/>
      <c r="G1740"/>
    </row>
    <row r="1741" spans="3:7" x14ac:dyDescent="0.55000000000000004">
      <c r="C1741"/>
      <c r="G1741"/>
    </row>
    <row r="1742" spans="3:7" x14ac:dyDescent="0.55000000000000004">
      <c r="C1742"/>
      <c r="G1742"/>
    </row>
    <row r="1743" spans="3:7" x14ac:dyDescent="0.55000000000000004">
      <c r="C1743"/>
      <c r="G1743"/>
    </row>
    <row r="1744" spans="3:7" x14ac:dyDescent="0.55000000000000004">
      <c r="C1744"/>
      <c r="G1744"/>
    </row>
    <row r="1745" spans="3:7" x14ac:dyDescent="0.55000000000000004">
      <c r="C1745"/>
      <c r="G1745"/>
    </row>
    <row r="1746" spans="3:7" x14ac:dyDescent="0.55000000000000004">
      <c r="C1746"/>
      <c r="G1746"/>
    </row>
    <row r="1747" spans="3:7" x14ac:dyDescent="0.55000000000000004">
      <c r="C1747"/>
      <c r="G1747"/>
    </row>
    <row r="1748" spans="3:7" x14ac:dyDescent="0.55000000000000004">
      <c r="C1748"/>
      <c r="G1748"/>
    </row>
    <row r="1749" spans="3:7" x14ac:dyDescent="0.55000000000000004">
      <c r="C1749"/>
      <c r="G1749"/>
    </row>
    <row r="1750" spans="3:7" x14ac:dyDescent="0.55000000000000004">
      <c r="C1750"/>
      <c r="G1750"/>
    </row>
    <row r="1751" spans="3:7" x14ac:dyDescent="0.55000000000000004">
      <c r="C1751"/>
      <c r="G1751"/>
    </row>
    <row r="1752" spans="3:7" x14ac:dyDescent="0.55000000000000004">
      <c r="C1752"/>
      <c r="G1752"/>
    </row>
    <row r="1753" spans="3:7" x14ac:dyDescent="0.55000000000000004">
      <c r="C1753"/>
      <c r="G1753"/>
    </row>
    <row r="1754" spans="3:7" x14ac:dyDescent="0.55000000000000004">
      <c r="C1754"/>
      <c r="G1754"/>
    </row>
    <row r="1755" spans="3:7" x14ac:dyDescent="0.55000000000000004">
      <c r="C1755"/>
      <c r="G1755"/>
    </row>
    <row r="1756" spans="3:7" x14ac:dyDescent="0.55000000000000004">
      <c r="C1756"/>
      <c r="G1756"/>
    </row>
    <row r="1757" spans="3:7" x14ac:dyDescent="0.55000000000000004">
      <c r="C1757"/>
      <c r="G1757"/>
    </row>
    <row r="1758" spans="3:7" x14ac:dyDescent="0.55000000000000004">
      <c r="C1758"/>
      <c r="G1758"/>
    </row>
    <row r="1759" spans="3:7" x14ac:dyDescent="0.55000000000000004">
      <c r="C1759"/>
      <c r="G1759"/>
    </row>
    <row r="1760" spans="3:7" x14ac:dyDescent="0.55000000000000004">
      <c r="C1760"/>
      <c r="G1760"/>
    </row>
    <row r="1761" spans="3:7" x14ac:dyDescent="0.55000000000000004">
      <c r="C1761"/>
      <c r="G1761"/>
    </row>
    <row r="1762" spans="3:7" x14ac:dyDescent="0.55000000000000004">
      <c r="C1762"/>
      <c r="G1762"/>
    </row>
    <row r="1763" spans="3:7" x14ac:dyDescent="0.55000000000000004">
      <c r="C1763"/>
      <c r="G1763"/>
    </row>
    <row r="1764" spans="3:7" x14ac:dyDescent="0.55000000000000004">
      <c r="C1764"/>
      <c r="G1764"/>
    </row>
    <row r="1765" spans="3:7" x14ac:dyDescent="0.55000000000000004">
      <c r="C1765"/>
      <c r="G1765"/>
    </row>
    <row r="1766" spans="3:7" x14ac:dyDescent="0.55000000000000004">
      <c r="C1766"/>
      <c r="G1766"/>
    </row>
    <row r="1767" spans="3:7" x14ac:dyDescent="0.55000000000000004">
      <c r="C1767"/>
      <c r="G1767"/>
    </row>
    <row r="1768" spans="3:7" x14ac:dyDescent="0.55000000000000004">
      <c r="C1768"/>
      <c r="G1768"/>
    </row>
    <row r="1769" spans="3:7" x14ac:dyDescent="0.55000000000000004">
      <c r="C1769"/>
      <c r="G1769"/>
    </row>
    <row r="1770" spans="3:7" x14ac:dyDescent="0.55000000000000004">
      <c r="C1770"/>
      <c r="G1770"/>
    </row>
    <row r="1771" spans="3:7" x14ac:dyDescent="0.55000000000000004">
      <c r="C1771"/>
      <c r="G1771"/>
    </row>
    <row r="1772" spans="3:7" x14ac:dyDescent="0.55000000000000004">
      <c r="C1772"/>
      <c r="G1772"/>
    </row>
    <row r="1773" spans="3:7" x14ac:dyDescent="0.55000000000000004">
      <c r="C1773"/>
      <c r="G1773"/>
    </row>
    <row r="1774" spans="3:7" x14ac:dyDescent="0.55000000000000004">
      <c r="C1774"/>
      <c r="G1774"/>
    </row>
    <row r="1775" spans="3:7" x14ac:dyDescent="0.55000000000000004">
      <c r="C1775"/>
      <c r="G1775"/>
    </row>
    <row r="1776" spans="3:7" x14ac:dyDescent="0.55000000000000004">
      <c r="C1776"/>
      <c r="G1776"/>
    </row>
    <row r="1777" spans="3:7" x14ac:dyDescent="0.55000000000000004">
      <c r="C1777"/>
      <c r="G1777"/>
    </row>
    <row r="1778" spans="3:7" x14ac:dyDescent="0.55000000000000004">
      <c r="C1778"/>
      <c r="G1778"/>
    </row>
    <row r="1779" spans="3:7" x14ac:dyDescent="0.55000000000000004">
      <c r="C1779"/>
      <c r="G1779"/>
    </row>
    <row r="1780" spans="3:7" x14ac:dyDescent="0.55000000000000004">
      <c r="C1780"/>
      <c r="G1780"/>
    </row>
    <row r="1781" spans="3:7" x14ac:dyDescent="0.55000000000000004">
      <c r="C1781"/>
      <c r="G1781"/>
    </row>
    <row r="1782" spans="3:7" x14ac:dyDescent="0.55000000000000004">
      <c r="C1782"/>
      <c r="G1782"/>
    </row>
    <row r="1783" spans="3:7" x14ac:dyDescent="0.55000000000000004">
      <c r="C1783"/>
      <c r="G1783"/>
    </row>
    <row r="1784" spans="3:7" x14ac:dyDescent="0.55000000000000004">
      <c r="C1784"/>
      <c r="G1784"/>
    </row>
    <row r="1785" spans="3:7" x14ac:dyDescent="0.55000000000000004">
      <c r="C1785"/>
      <c r="G1785"/>
    </row>
    <row r="1786" spans="3:7" x14ac:dyDescent="0.55000000000000004">
      <c r="C1786"/>
      <c r="G1786"/>
    </row>
    <row r="1787" spans="3:7" x14ac:dyDescent="0.55000000000000004">
      <c r="C1787"/>
      <c r="G1787"/>
    </row>
    <row r="1788" spans="3:7" x14ac:dyDescent="0.55000000000000004">
      <c r="C1788"/>
      <c r="G1788"/>
    </row>
    <row r="1789" spans="3:7" x14ac:dyDescent="0.55000000000000004">
      <c r="C1789"/>
      <c r="G1789"/>
    </row>
    <row r="1790" spans="3:7" x14ac:dyDescent="0.55000000000000004">
      <c r="C1790"/>
      <c r="G1790"/>
    </row>
    <row r="1791" spans="3:7" x14ac:dyDescent="0.55000000000000004">
      <c r="C1791"/>
      <c r="G1791"/>
    </row>
    <row r="1792" spans="3:7" x14ac:dyDescent="0.55000000000000004">
      <c r="C1792"/>
      <c r="G1792"/>
    </row>
    <row r="1793" spans="3:7" x14ac:dyDescent="0.55000000000000004">
      <c r="C1793"/>
      <c r="G1793"/>
    </row>
    <row r="1794" spans="3:7" x14ac:dyDescent="0.55000000000000004">
      <c r="C1794"/>
      <c r="G1794"/>
    </row>
    <row r="1795" spans="3:7" x14ac:dyDescent="0.55000000000000004">
      <c r="C1795"/>
      <c r="G1795"/>
    </row>
    <row r="1796" spans="3:7" x14ac:dyDescent="0.55000000000000004">
      <c r="C1796"/>
      <c r="G1796"/>
    </row>
    <row r="1797" spans="3:7" x14ac:dyDescent="0.55000000000000004">
      <c r="C1797"/>
      <c r="G1797"/>
    </row>
    <row r="1798" spans="3:7" x14ac:dyDescent="0.55000000000000004">
      <c r="C1798"/>
      <c r="G1798"/>
    </row>
    <row r="1799" spans="3:7" x14ac:dyDescent="0.55000000000000004">
      <c r="C1799"/>
      <c r="G1799"/>
    </row>
    <row r="1800" spans="3:7" x14ac:dyDescent="0.55000000000000004">
      <c r="C1800"/>
      <c r="G1800"/>
    </row>
    <row r="1801" spans="3:7" x14ac:dyDescent="0.55000000000000004">
      <c r="C1801"/>
      <c r="G1801"/>
    </row>
    <row r="1802" spans="3:7" x14ac:dyDescent="0.55000000000000004">
      <c r="C1802"/>
      <c r="G1802"/>
    </row>
    <row r="1803" spans="3:7" x14ac:dyDescent="0.55000000000000004">
      <c r="C1803"/>
      <c r="G1803"/>
    </row>
    <row r="1804" spans="3:7" x14ac:dyDescent="0.55000000000000004">
      <c r="C1804"/>
      <c r="G1804"/>
    </row>
    <row r="1805" spans="3:7" x14ac:dyDescent="0.55000000000000004">
      <c r="C1805"/>
      <c r="G1805"/>
    </row>
    <row r="1806" spans="3:7" x14ac:dyDescent="0.55000000000000004">
      <c r="C1806"/>
      <c r="G1806"/>
    </row>
    <row r="1807" spans="3:7" x14ac:dyDescent="0.55000000000000004">
      <c r="C1807"/>
      <c r="G1807"/>
    </row>
    <row r="1808" spans="3:7" x14ac:dyDescent="0.55000000000000004">
      <c r="C1808"/>
      <c r="G1808"/>
    </row>
    <row r="1809" spans="3:7" x14ac:dyDescent="0.55000000000000004">
      <c r="C1809"/>
      <c r="G1809"/>
    </row>
    <row r="1810" spans="3:7" x14ac:dyDescent="0.55000000000000004">
      <c r="C1810"/>
      <c r="G1810"/>
    </row>
    <row r="1811" spans="3:7" x14ac:dyDescent="0.55000000000000004">
      <c r="C1811"/>
      <c r="G1811"/>
    </row>
    <row r="1812" spans="3:7" x14ac:dyDescent="0.55000000000000004">
      <c r="C1812"/>
      <c r="G1812"/>
    </row>
    <row r="1813" spans="3:7" x14ac:dyDescent="0.55000000000000004">
      <c r="C1813"/>
      <c r="G1813"/>
    </row>
    <row r="1814" spans="3:7" x14ac:dyDescent="0.55000000000000004">
      <c r="C1814"/>
      <c r="G1814"/>
    </row>
    <row r="1815" spans="3:7" x14ac:dyDescent="0.55000000000000004">
      <c r="C1815"/>
      <c r="G1815"/>
    </row>
    <row r="1816" spans="3:7" x14ac:dyDescent="0.55000000000000004">
      <c r="C1816"/>
      <c r="G1816"/>
    </row>
    <row r="1817" spans="3:7" x14ac:dyDescent="0.55000000000000004">
      <c r="C1817"/>
      <c r="G1817"/>
    </row>
    <row r="1818" spans="3:7" x14ac:dyDescent="0.55000000000000004">
      <c r="C1818"/>
      <c r="G1818"/>
    </row>
    <row r="1819" spans="3:7" x14ac:dyDescent="0.55000000000000004">
      <c r="C1819"/>
      <c r="G1819"/>
    </row>
    <row r="1820" spans="3:7" x14ac:dyDescent="0.55000000000000004">
      <c r="C1820"/>
      <c r="G1820"/>
    </row>
    <row r="1821" spans="3:7" x14ac:dyDescent="0.55000000000000004">
      <c r="C1821"/>
      <c r="G1821"/>
    </row>
    <row r="1822" spans="3:7" x14ac:dyDescent="0.55000000000000004">
      <c r="C1822"/>
      <c r="G1822"/>
    </row>
    <row r="1823" spans="3:7" x14ac:dyDescent="0.55000000000000004">
      <c r="C1823"/>
      <c r="G1823"/>
    </row>
    <row r="1824" spans="3:7" x14ac:dyDescent="0.55000000000000004">
      <c r="C1824"/>
      <c r="G1824"/>
    </row>
    <row r="1825" spans="3:7" x14ac:dyDescent="0.55000000000000004">
      <c r="C1825"/>
      <c r="G1825"/>
    </row>
    <row r="1826" spans="3:7" x14ac:dyDescent="0.55000000000000004">
      <c r="C1826"/>
      <c r="G1826"/>
    </row>
    <row r="1827" spans="3:7" x14ac:dyDescent="0.55000000000000004">
      <c r="C1827"/>
      <c r="G1827"/>
    </row>
    <row r="1828" spans="3:7" x14ac:dyDescent="0.55000000000000004">
      <c r="C1828"/>
      <c r="G1828"/>
    </row>
    <row r="1829" spans="3:7" x14ac:dyDescent="0.55000000000000004">
      <c r="C1829"/>
      <c r="G1829"/>
    </row>
    <row r="1830" spans="3:7" x14ac:dyDescent="0.55000000000000004">
      <c r="C1830"/>
      <c r="G1830"/>
    </row>
    <row r="1831" spans="3:7" x14ac:dyDescent="0.55000000000000004">
      <c r="C1831"/>
      <c r="G1831"/>
    </row>
    <row r="1832" spans="3:7" x14ac:dyDescent="0.55000000000000004">
      <c r="C1832"/>
      <c r="G1832"/>
    </row>
    <row r="1833" spans="3:7" x14ac:dyDescent="0.55000000000000004">
      <c r="C1833"/>
      <c r="G1833"/>
    </row>
    <row r="1834" spans="3:7" x14ac:dyDescent="0.55000000000000004">
      <c r="C1834"/>
      <c r="G1834"/>
    </row>
    <row r="1835" spans="3:7" x14ac:dyDescent="0.55000000000000004">
      <c r="C1835"/>
      <c r="G1835"/>
    </row>
    <row r="1836" spans="3:7" x14ac:dyDescent="0.55000000000000004">
      <c r="C1836"/>
      <c r="G1836"/>
    </row>
    <row r="1837" spans="3:7" x14ac:dyDescent="0.55000000000000004">
      <c r="C1837"/>
      <c r="G1837"/>
    </row>
    <row r="1838" spans="3:7" x14ac:dyDescent="0.55000000000000004">
      <c r="C1838"/>
      <c r="G1838"/>
    </row>
    <row r="1839" spans="3:7" x14ac:dyDescent="0.55000000000000004">
      <c r="C1839"/>
      <c r="G1839"/>
    </row>
    <row r="1840" spans="3:7" x14ac:dyDescent="0.55000000000000004">
      <c r="C1840"/>
      <c r="G1840"/>
    </row>
    <row r="1841" spans="3:7" x14ac:dyDescent="0.55000000000000004">
      <c r="C1841"/>
      <c r="G1841"/>
    </row>
    <row r="1842" spans="3:7" x14ac:dyDescent="0.55000000000000004">
      <c r="C1842"/>
      <c r="G1842"/>
    </row>
    <row r="1843" spans="3:7" x14ac:dyDescent="0.55000000000000004">
      <c r="C1843"/>
      <c r="G1843"/>
    </row>
    <row r="1844" spans="3:7" x14ac:dyDescent="0.55000000000000004">
      <c r="C1844"/>
      <c r="G1844"/>
    </row>
    <row r="1845" spans="3:7" x14ac:dyDescent="0.55000000000000004">
      <c r="C1845"/>
      <c r="G1845"/>
    </row>
    <row r="1846" spans="3:7" x14ac:dyDescent="0.55000000000000004">
      <c r="C1846"/>
      <c r="G1846"/>
    </row>
    <row r="1847" spans="3:7" x14ac:dyDescent="0.55000000000000004">
      <c r="C1847"/>
      <c r="G1847"/>
    </row>
    <row r="1848" spans="3:7" x14ac:dyDescent="0.55000000000000004">
      <c r="C1848"/>
      <c r="G1848"/>
    </row>
    <row r="1849" spans="3:7" x14ac:dyDescent="0.55000000000000004">
      <c r="C1849"/>
      <c r="G1849"/>
    </row>
    <row r="1850" spans="3:7" x14ac:dyDescent="0.55000000000000004">
      <c r="C1850"/>
      <c r="G1850"/>
    </row>
    <row r="1851" spans="3:7" x14ac:dyDescent="0.55000000000000004">
      <c r="C1851"/>
      <c r="G1851"/>
    </row>
    <row r="1852" spans="3:7" x14ac:dyDescent="0.55000000000000004">
      <c r="C1852"/>
      <c r="G1852"/>
    </row>
    <row r="1853" spans="3:7" x14ac:dyDescent="0.55000000000000004">
      <c r="C1853"/>
      <c r="G1853"/>
    </row>
    <row r="1854" spans="3:7" x14ac:dyDescent="0.55000000000000004">
      <c r="C1854"/>
      <c r="G1854"/>
    </row>
    <row r="1855" spans="3:7" x14ac:dyDescent="0.55000000000000004">
      <c r="C1855"/>
      <c r="G1855"/>
    </row>
    <row r="1856" spans="3:7" x14ac:dyDescent="0.55000000000000004">
      <c r="C1856"/>
      <c r="G1856"/>
    </row>
    <row r="1857" spans="3:7" x14ac:dyDescent="0.55000000000000004">
      <c r="C1857"/>
      <c r="G1857"/>
    </row>
    <row r="1858" spans="3:7" x14ac:dyDescent="0.55000000000000004">
      <c r="C1858"/>
      <c r="G1858"/>
    </row>
    <row r="1859" spans="3:7" x14ac:dyDescent="0.55000000000000004">
      <c r="C1859"/>
      <c r="G1859"/>
    </row>
    <row r="1860" spans="3:7" x14ac:dyDescent="0.55000000000000004">
      <c r="C1860"/>
      <c r="G1860"/>
    </row>
    <row r="1861" spans="3:7" x14ac:dyDescent="0.55000000000000004">
      <c r="C1861"/>
      <c r="G1861"/>
    </row>
    <row r="1862" spans="3:7" x14ac:dyDescent="0.55000000000000004">
      <c r="C1862"/>
      <c r="G1862"/>
    </row>
    <row r="1863" spans="3:7" x14ac:dyDescent="0.55000000000000004">
      <c r="C1863"/>
      <c r="G1863"/>
    </row>
    <row r="1864" spans="3:7" x14ac:dyDescent="0.55000000000000004">
      <c r="C1864"/>
      <c r="G1864"/>
    </row>
    <row r="1865" spans="3:7" x14ac:dyDescent="0.55000000000000004">
      <c r="C1865"/>
      <c r="G1865"/>
    </row>
    <row r="1866" spans="3:7" x14ac:dyDescent="0.55000000000000004">
      <c r="C1866"/>
      <c r="G1866"/>
    </row>
    <row r="1867" spans="3:7" x14ac:dyDescent="0.55000000000000004">
      <c r="C1867"/>
      <c r="G1867"/>
    </row>
    <row r="1868" spans="3:7" x14ac:dyDescent="0.55000000000000004">
      <c r="C1868"/>
      <c r="G1868"/>
    </row>
    <row r="1869" spans="3:7" x14ac:dyDescent="0.55000000000000004">
      <c r="C1869"/>
      <c r="G1869"/>
    </row>
    <row r="1870" spans="3:7" x14ac:dyDescent="0.55000000000000004">
      <c r="C1870"/>
      <c r="G1870"/>
    </row>
    <row r="1871" spans="3:7" x14ac:dyDescent="0.55000000000000004">
      <c r="C1871"/>
      <c r="G1871"/>
    </row>
    <row r="1872" spans="3:7" x14ac:dyDescent="0.55000000000000004">
      <c r="C1872"/>
      <c r="G1872"/>
    </row>
    <row r="1873" spans="3:7" x14ac:dyDescent="0.55000000000000004">
      <c r="C1873"/>
      <c r="G1873"/>
    </row>
    <row r="1874" spans="3:7" x14ac:dyDescent="0.55000000000000004">
      <c r="C1874"/>
      <c r="G1874"/>
    </row>
    <row r="1875" spans="3:7" x14ac:dyDescent="0.55000000000000004">
      <c r="C1875"/>
      <c r="G1875"/>
    </row>
    <row r="1876" spans="3:7" x14ac:dyDescent="0.55000000000000004">
      <c r="C1876"/>
      <c r="G1876"/>
    </row>
    <row r="1877" spans="3:7" x14ac:dyDescent="0.55000000000000004">
      <c r="C1877"/>
      <c r="G1877"/>
    </row>
    <row r="1878" spans="3:7" x14ac:dyDescent="0.55000000000000004">
      <c r="C1878"/>
      <c r="G1878"/>
    </row>
    <row r="1879" spans="3:7" x14ac:dyDescent="0.55000000000000004">
      <c r="C1879"/>
      <c r="G1879"/>
    </row>
    <row r="1880" spans="3:7" x14ac:dyDescent="0.55000000000000004">
      <c r="C1880"/>
      <c r="G1880"/>
    </row>
    <row r="1881" spans="3:7" x14ac:dyDescent="0.55000000000000004">
      <c r="C1881"/>
      <c r="G1881"/>
    </row>
    <row r="1882" spans="3:7" x14ac:dyDescent="0.55000000000000004">
      <c r="C1882"/>
      <c r="G1882"/>
    </row>
    <row r="1883" spans="3:7" x14ac:dyDescent="0.55000000000000004">
      <c r="C1883"/>
      <c r="G1883"/>
    </row>
    <row r="1884" spans="3:7" x14ac:dyDescent="0.55000000000000004">
      <c r="C1884"/>
      <c r="G1884"/>
    </row>
    <row r="1885" spans="3:7" x14ac:dyDescent="0.55000000000000004">
      <c r="C1885"/>
      <c r="G1885"/>
    </row>
    <row r="1886" spans="3:7" x14ac:dyDescent="0.55000000000000004">
      <c r="C1886"/>
      <c r="G1886"/>
    </row>
    <row r="1887" spans="3:7" x14ac:dyDescent="0.55000000000000004">
      <c r="C1887"/>
      <c r="G1887"/>
    </row>
    <row r="1888" spans="3:7" x14ac:dyDescent="0.55000000000000004">
      <c r="C1888"/>
      <c r="G1888"/>
    </row>
    <row r="1889" spans="3:7" x14ac:dyDescent="0.55000000000000004">
      <c r="C1889"/>
      <c r="G1889"/>
    </row>
    <row r="1890" spans="3:7" x14ac:dyDescent="0.55000000000000004">
      <c r="C1890"/>
      <c r="G1890"/>
    </row>
    <row r="1891" spans="3:7" x14ac:dyDescent="0.55000000000000004">
      <c r="C1891"/>
      <c r="G1891"/>
    </row>
    <row r="1892" spans="3:7" x14ac:dyDescent="0.55000000000000004">
      <c r="C1892"/>
      <c r="G1892"/>
    </row>
    <row r="1893" spans="3:7" x14ac:dyDescent="0.55000000000000004">
      <c r="C1893"/>
      <c r="G1893"/>
    </row>
    <row r="1894" spans="3:7" x14ac:dyDescent="0.55000000000000004">
      <c r="C1894"/>
      <c r="G1894"/>
    </row>
    <row r="1895" spans="3:7" x14ac:dyDescent="0.55000000000000004">
      <c r="C1895"/>
      <c r="G1895"/>
    </row>
    <row r="1896" spans="3:7" x14ac:dyDescent="0.55000000000000004">
      <c r="C1896"/>
      <c r="G1896"/>
    </row>
    <row r="1897" spans="3:7" x14ac:dyDescent="0.55000000000000004">
      <c r="C1897"/>
      <c r="G1897"/>
    </row>
    <row r="1898" spans="3:7" x14ac:dyDescent="0.55000000000000004">
      <c r="C1898"/>
      <c r="G1898"/>
    </row>
    <row r="1899" spans="3:7" x14ac:dyDescent="0.55000000000000004">
      <c r="C1899"/>
      <c r="G1899"/>
    </row>
    <row r="1900" spans="3:7" x14ac:dyDescent="0.55000000000000004">
      <c r="C1900"/>
      <c r="G1900"/>
    </row>
    <row r="1901" spans="3:7" x14ac:dyDescent="0.55000000000000004">
      <c r="C1901"/>
      <c r="G1901"/>
    </row>
    <row r="1902" spans="3:7" x14ac:dyDescent="0.55000000000000004">
      <c r="C1902"/>
      <c r="G1902"/>
    </row>
    <row r="1903" spans="3:7" x14ac:dyDescent="0.55000000000000004">
      <c r="C1903"/>
      <c r="G1903"/>
    </row>
    <row r="1904" spans="3:7" x14ac:dyDescent="0.55000000000000004">
      <c r="C1904"/>
      <c r="G1904"/>
    </row>
    <row r="1905" spans="3:7" x14ac:dyDescent="0.55000000000000004">
      <c r="C1905"/>
      <c r="G1905"/>
    </row>
    <row r="1906" spans="3:7" x14ac:dyDescent="0.55000000000000004">
      <c r="C1906"/>
      <c r="G1906"/>
    </row>
    <row r="1907" spans="3:7" x14ac:dyDescent="0.55000000000000004">
      <c r="C1907"/>
      <c r="G1907"/>
    </row>
    <row r="1908" spans="3:7" x14ac:dyDescent="0.55000000000000004">
      <c r="C1908"/>
      <c r="G1908"/>
    </row>
    <row r="1909" spans="3:7" x14ac:dyDescent="0.55000000000000004">
      <c r="C1909"/>
      <c r="G1909"/>
    </row>
    <row r="1910" spans="3:7" x14ac:dyDescent="0.55000000000000004">
      <c r="C1910"/>
      <c r="G1910"/>
    </row>
    <row r="1911" spans="3:7" x14ac:dyDescent="0.55000000000000004">
      <c r="C1911"/>
      <c r="G1911"/>
    </row>
    <row r="1912" spans="3:7" x14ac:dyDescent="0.55000000000000004">
      <c r="C1912"/>
      <c r="G1912"/>
    </row>
    <row r="1913" spans="3:7" x14ac:dyDescent="0.55000000000000004">
      <c r="C1913"/>
      <c r="G1913"/>
    </row>
    <row r="1914" spans="3:7" x14ac:dyDescent="0.55000000000000004">
      <c r="C1914"/>
      <c r="G1914"/>
    </row>
    <row r="1915" spans="3:7" x14ac:dyDescent="0.55000000000000004">
      <c r="C1915"/>
      <c r="G1915"/>
    </row>
    <row r="1916" spans="3:7" x14ac:dyDescent="0.55000000000000004">
      <c r="C1916"/>
      <c r="G1916"/>
    </row>
    <row r="1917" spans="3:7" x14ac:dyDescent="0.55000000000000004">
      <c r="C1917"/>
      <c r="G1917"/>
    </row>
    <row r="1918" spans="3:7" x14ac:dyDescent="0.55000000000000004">
      <c r="C1918"/>
      <c r="G1918"/>
    </row>
    <row r="1919" spans="3:7" x14ac:dyDescent="0.55000000000000004">
      <c r="C1919"/>
      <c r="G1919"/>
    </row>
    <row r="1920" spans="3:7" x14ac:dyDescent="0.55000000000000004">
      <c r="C1920"/>
      <c r="G1920"/>
    </row>
    <row r="1921" spans="3:7" x14ac:dyDescent="0.55000000000000004">
      <c r="C1921"/>
      <c r="G1921"/>
    </row>
    <row r="1922" spans="3:7" x14ac:dyDescent="0.55000000000000004">
      <c r="C1922"/>
      <c r="G1922"/>
    </row>
    <row r="1923" spans="3:7" x14ac:dyDescent="0.55000000000000004">
      <c r="C1923"/>
      <c r="G1923"/>
    </row>
    <row r="1924" spans="3:7" x14ac:dyDescent="0.55000000000000004">
      <c r="C1924"/>
      <c r="G1924"/>
    </row>
    <row r="1925" spans="3:7" x14ac:dyDescent="0.55000000000000004">
      <c r="C1925"/>
      <c r="G1925"/>
    </row>
    <row r="1926" spans="3:7" x14ac:dyDescent="0.55000000000000004">
      <c r="C1926"/>
      <c r="G1926"/>
    </row>
    <row r="1927" spans="3:7" x14ac:dyDescent="0.55000000000000004">
      <c r="C1927"/>
      <c r="G1927"/>
    </row>
    <row r="1928" spans="3:7" x14ac:dyDescent="0.55000000000000004">
      <c r="C1928"/>
      <c r="G1928"/>
    </row>
    <row r="1929" spans="3:7" x14ac:dyDescent="0.55000000000000004">
      <c r="C1929"/>
      <c r="G1929"/>
    </row>
    <row r="1930" spans="3:7" x14ac:dyDescent="0.55000000000000004">
      <c r="C1930"/>
      <c r="G1930"/>
    </row>
    <row r="1931" spans="3:7" x14ac:dyDescent="0.55000000000000004">
      <c r="C1931"/>
      <c r="G1931"/>
    </row>
    <row r="1932" spans="3:7" x14ac:dyDescent="0.55000000000000004">
      <c r="C1932"/>
      <c r="G1932"/>
    </row>
    <row r="1933" spans="3:7" x14ac:dyDescent="0.55000000000000004">
      <c r="C1933"/>
      <c r="G1933"/>
    </row>
    <row r="1934" spans="3:7" x14ac:dyDescent="0.55000000000000004">
      <c r="C1934"/>
      <c r="G1934"/>
    </row>
    <row r="1935" spans="3:7" x14ac:dyDescent="0.55000000000000004">
      <c r="C1935"/>
      <c r="G1935"/>
    </row>
    <row r="1936" spans="3:7" x14ac:dyDescent="0.55000000000000004">
      <c r="C1936"/>
      <c r="G1936"/>
    </row>
    <row r="1937" spans="3:7" x14ac:dyDescent="0.55000000000000004">
      <c r="C1937"/>
      <c r="G1937"/>
    </row>
    <row r="1938" spans="3:7" x14ac:dyDescent="0.55000000000000004">
      <c r="C1938"/>
      <c r="G1938"/>
    </row>
    <row r="1939" spans="3:7" x14ac:dyDescent="0.55000000000000004">
      <c r="C1939"/>
      <c r="G1939"/>
    </row>
    <row r="1940" spans="3:7" x14ac:dyDescent="0.55000000000000004">
      <c r="C1940"/>
      <c r="G1940"/>
    </row>
    <row r="1941" spans="3:7" x14ac:dyDescent="0.55000000000000004">
      <c r="C1941"/>
      <c r="G1941"/>
    </row>
    <row r="1942" spans="3:7" x14ac:dyDescent="0.55000000000000004">
      <c r="C1942"/>
      <c r="G1942"/>
    </row>
    <row r="1943" spans="3:7" x14ac:dyDescent="0.55000000000000004">
      <c r="C1943"/>
      <c r="G1943"/>
    </row>
    <row r="1944" spans="3:7" x14ac:dyDescent="0.55000000000000004">
      <c r="C1944"/>
      <c r="G1944"/>
    </row>
    <row r="1945" spans="3:7" x14ac:dyDescent="0.55000000000000004">
      <c r="C1945"/>
      <c r="G1945"/>
    </row>
    <row r="1946" spans="3:7" x14ac:dyDescent="0.55000000000000004">
      <c r="C1946"/>
      <c r="G1946"/>
    </row>
    <row r="1947" spans="3:7" x14ac:dyDescent="0.55000000000000004">
      <c r="C1947"/>
      <c r="G1947"/>
    </row>
    <row r="1948" spans="3:7" x14ac:dyDescent="0.55000000000000004">
      <c r="C1948"/>
      <c r="G1948"/>
    </row>
    <row r="1949" spans="3:7" x14ac:dyDescent="0.55000000000000004">
      <c r="C1949"/>
      <c r="G1949"/>
    </row>
    <row r="1950" spans="3:7" x14ac:dyDescent="0.55000000000000004">
      <c r="C1950"/>
      <c r="G1950"/>
    </row>
    <row r="1951" spans="3:7" x14ac:dyDescent="0.55000000000000004">
      <c r="C1951"/>
      <c r="G1951"/>
    </row>
    <row r="1952" spans="3:7" x14ac:dyDescent="0.55000000000000004">
      <c r="C1952"/>
      <c r="G1952"/>
    </row>
    <row r="1953" spans="3:7" x14ac:dyDescent="0.55000000000000004">
      <c r="C1953"/>
      <c r="G1953"/>
    </row>
    <row r="1954" spans="3:7" x14ac:dyDescent="0.55000000000000004">
      <c r="C1954"/>
      <c r="G1954"/>
    </row>
    <row r="1955" spans="3:7" x14ac:dyDescent="0.55000000000000004">
      <c r="C1955"/>
      <c r="G1955"/>
    </row>
    <row r="1956" spans="3:7" x14ac:dyDescent="0.55000000000000004">
      <c r="C1956"/>
      <c r="G1956"/>
    </row>
    <row r="1957" spans="3:7" x14ac:dyDescent="0.55000000000000004">
      <c r="C1957"/>
      <c r="G1957"/>
    </row>
    <row r="1958" spans="3:7" x14ac:dyDescent="0.55000000000000004">
      <c r="C1958"/>
      <c r="G1958"/>
    </row>
    <row r="1959" spans="3:7" x14ac:dyDescent="0.55000000000000004">
      <c r="C1959"/>
      <c r="G1959"/>
    </row>
    <row r="1960" spans="3:7" x14ac:dyDescent="0.55000000000000004">
      <c r="C1960"/>
      <c r="G1960"/>
    </row>
    <row r="1961" spans="3:7" x14ac:dyDescent="0.55000000000000004">
      <c r="C1961"/>
      <c r="G1961"/>
    </row>
    <row r="1962" spans="3:7" x14ac:dyDescent="0.55000000000000004">
      <c r="C1962"/>
      <c r="G1962"/>
    </row>
    <row r="1963" spans="3:7" x14ac:dyDescent="0.55000000000000004">
      <c r="C1963"/>
      <c r="G1963"/>
    </row>
    <row r="1964" spans="3:7" x14ac:dyDescent="0.55000000000000004">
      <c r="C1964"/>
      <c r="G1964"/>
    </row>
    <row r="1965" spans="3:7" x14ac:dyDescent="0.55000000000000004">
      <c r="C1965"/>
      <c r="G1965"/>
    </row>
    <row r="1966" spans="3:7" x14ac:dyDescent="0.55000000000000004">
      <c r="C1966"/>
      <c r="G1966"/>
    </row>
    <row r="1967" spans="3:7" x14ac:dyDescent="0.55000000000000004">
      <c r="C1967"/>
      <c r="G1967"/>
    </row>
    <row r="1968" spans="3:7" x14ac:dyDescent="0.55000000000000004">
      <c r="C1968"/>
      <c r="G1968"/>
    </row>
    <row r="1969" spans="3:7" x14ac:dyDescent="0.55000000000000004">
      <c r="C1969"/>
      <c r="G1969"/>
    </row>
    <row r="1970" spans="3:7" x14ac:dyDescent="0.55000000000000004">
      <c r="C1970"/>
      <c r="G1970"/>
    </row>
    <row r="1971" spans="3:7" x14ac:dyDescent="0.55000000000000004">
      <c r="C1971"/>
      <c r="G1971"/>
    </row>
    <row r="1972" spans="3:7" x14ac:dyDescent="0.55000000000000004">
      <c r="C1972"/>
      <c r="G1972"/>
    </row>
    <row r="1973" spans="3:7" x14ac:dyDescent="0.55000000000000004">
      <c r="C1973"/>
      <c r="G1973"/>
    </row>
    <row r="1974" spans="3:7" x14ac:dyDescent="0.55000000000000004">
      <c r="C1974"/>
      <c r="G1974"/>
    </row>
    <row r="1975" spans="3:7" x14ac:dyDescent="0.55000000000000004">
      <c r="C1975"/>
      <c r="G1975"/>
    </row>
    <row r="1976" spans="3:7" x14ac:dyDescent="0.55000000000000004">
      <c r="C1976"/>
      <c r="G1976"/>
    </row>
    <row r="1977" spans="3:7" x14ac:dyDescent="0.55000000000000004">
      <c r="C1977"/>
      <c r="G1977"/>
    </row>
    <row r="1978" spans="3:7" x14ac:dyDescent="0.55000000000000004">
      <c r="C1978"/>
      <c r="G1978"/>
    </row>
    <row r="1979" spans="3:7" x14ac:dyDescent="0.55000000000000004">
      <c r="C1979"/>
      <c r="G1979"/>
    </row>
    <row r="1980" spans="3:7" x14ac:dyDescent="0.55000000000000004">
      <c r="C1980"/>
      <c r="G1980"/>
    </row>
    <row r="1981" spans="3:7" x14ac:dyDescent="0.55000000000000004">
      <c r="C1981"/>
      <c r="G1981"/>
    </row>
    <row r="1982" spans="3:7" x14ac:dyDescent="0.55000000000000004">
      <c r="C1982"/>
      <c r="G1982"/>
    </row>
    <row r="1983" spans="3:7" x14ac:dyDescent="0.55000000000000004">
      <c r="C1983"/>
      <c r="G1983"/>
    </row>
    <row r="1984" spans="3:7" x14ac:dyDescent="0.55000000000000004">
      <c r="C1984"/>
      <c r="G1984"/>
    </row>
    <row r="1985" spans="3:7" x14ac:dyDescent="0.55000000000000004">
      <c r="C1985"/>
      <c r="G1985"/>
    </row>
    <row r="1986" spans="3:7" x14ac:dyDescent="0.55000000000000004">
      <c r="C1986"/>
      <c r="G1986"/>
    </row>
    <row r="1987" spans="3:7" x14ac:dyDescent="0.55000000000000004">
      <c r="C1987"/>
      <c r="G1987"/>
    </row>
    <row r="1988" spans="3:7" x14ac:dyDescent="0.55000000000000004">
      <c r="C1988"/>
      <c r="G1988"/>
    </row>
    <row r="1989" spans="3:7" x14ac:dyDescent="0.55000000000000004">
      <c r="C1989"/>
      <c r="G1989"/>
    </row>
    <row r="1990" spans="3:7" x14ac:dyDescent="0.55000000000000004">
      <c r="C1990"/>
      <c r="G1990"/>
    </row>
    <row r="1991" spans="3:7" x14ac:dyDescent="0.55000000000000004">
      <c r="C1991"/>
      <c r="G1991"/>
    </row>
    <row r="1992" spans="3:7" x14ac:dyDescent="0.55000000000000004">
      <c r="C1992"/>
      <c r="G1992"/>
    </row>
    <row r="1993" spans="3:7" x14ac:dyDescent="0.55000000000000004">
      <c r="C1993"/>
      <c r="G1993"/>
    </row>
    <row r="1994" spans="3:7" x14ac:dyDescent="0.55000000000000004">
      <c r="C1994"/>
      <c r="G1994"/>
    </row>
    <row r="1995" spans="3:7" x14ac:dyDescent="0.55000000000000004">
      <c r="C1995"/>
      <c r="G1995"/>
    </row>
    <row r="1996" spans="3:7" x14ac:dyDescent="0.55000000000000004">
      <c r="C1996"/>
      <c r="G1996"/>
    </row>
    <row r="1997" spans="3:7" x14ac:dyDescent="0.55000000000000004">
      <c r="C1997"/>
      <c r="G1997"/>
    </row>
    <row r="1998" spans="3:7" x14ac:dyDescent="0.55000000000000004">
      <c r="C1998"/>
      <c r="G1998"/>
    </row>
    <row r="1999" spans="3:7" x14ac:dyDescent="0.55000000000000004">
      <c r="C1999"/>
      <c r="G1999"/>
    </row>
    <row r="2000" spans="3:7" x14ac:dyDescent="0.55000000000000004">
      <c r="C2000"/>
      <c r="G2000"/>
    </row>
  </sheetData>
  <mergeCells count="94">
    <mergeCell ref="C99:D99"/>
    <mergeCell ref="I142:I145"/>
    <mergeCell ref="G149:H149"/>
    <mergeCell ref="I150:I152"/>
    <mergeCell ref="G156:H156"/>
    <mergeCell ref="G134:H134"/>
    <mergeCell ref="I135:I137"/>
    <mergeCell ref="K105:L105"/>
    <mergeCell ref="M106:M107"/>
    <mergeCell ref="G141:H141"/>
    <mergeCell ref="K111:L111"/>
    <mergeCell ref="I112:I113"/>
    <mergeCell ref="G117:H117"/>
    <mergeCell ref="I118:I123"/>
    <mergeCell ref="G127:H127"/>
    <mergeCell ref="I128:I130"/>
    <mergeCell ref="K99:L99"/>
    <mergeCell ref="M100:M101"/>
    <mergeCell ref="I106:I107"/>
    <mergeCell ref="C93:D93"/>
    <mergeCell ref="E94:E95"/>
    <mergeCell ref="I100:I101"/>
    <mergeCell ref="G105:H105"/>
    <mergeCell ref="K93:L93"/>
    <mergeCell ref="M94:M95"/>
    <mergeCell ref="G111:H111"/>
    <mergeCell ref="Q94:Q95"/>
    <mergeCell ref="G99:H99"/>
    <mergeCell ref="O99:P99"/>
    <mergeCell ref="M79:M83"/>
    <mergeCell ref="O78:P78"/>
    <mergeCell ref="Q79:Q83"/>
    <mergeCell ref="C87:D87"/>
    <mergeCell ref="E88:E89"/>
    <mergeCell ref="G87:H87"/>
    <mergeCell ref="I88:I89"/>
    <mergeCell ref="K87:L87"/>
    <mergeCell ref="M88:M89"/>
    <mergeCell ref="O87:P87"/>
    <mergeCell ref="Q88:Q89"/>
    <mergeCell ref="Q67:Q68"/>
    <mergeCell ref="C72:D72"/>
    <mergeCell ref="E73:E74"/>
    <mergeCell ref="G72:H72"/>
    <mergeCell ref="I73:I74"/>
    <mergeCell ref="K72:L72"/>
    <mergeCell ref="M73:M74"/>
    <mergeCell ref="O72:P72"/>
    <mergeCell ref="Q73:Q74"/>
    <mergeCell ref="G56:G58"/>
    <mergeCell ref="M55:N55"/>
    <mergeCell ref="O56:O58"/>
    <mergeCell ref="C60:D60"/>
    <mergeCell ref="E61:E62"/>
    <mergeCell ref="G60:H60"/>
    <mergeCell ref="I61:I62"/>
    <mergeCell ref="K60:L60"/>
    <mergeCell ref="M61:M62"/>
    <mergeCell ref="O60:P60"/>
    <mergeCell ref="K9:K10"/>
    <mergeCell ref="I14:J14"/>
    <mergeCell ref="K15:K17"/>
    <mergeCell ref="I21:J21"/>
    <mergeCell ref="K22:K25"/>
    <mergeCell ref="I29:J29"/>
    <mergeCell ref="K30:K32"/>
    <mergeCell ref="I36:J36"/>
    <mergeCell ref="K37:K40"/>
    <mergeCell ref="I44:J44"/>
    <mergeCell ref="K45:K47"/>
    <mergeCell ref="M49:N49"/>
    <mergeCell ref="O50:O51"/>
    <mergeCell ref="Q61:Q62"/>
    <mergeCell ref="C78:D78"/>
    <mergeCell ref="E79:E83"/>
    <mergeCell ref="G78:H78"/>
    <mergeCell ref="I79:I83"/>
    <mergeCell ref="K78:L78"/>
    <mergeCell ref="C66:D66"/>
    <mergeCell ref="E67:E68"/>
    <mergeCell ref="G66:H66"/>
    <mergeCell ref="I67:I68"/>
    <mergeCell ref="K66:L66"/>
    <mergeCell ref="M67:M68"/>
    <mergeCell ref="O66:P66"/>
    <mergeCell ref="G93:H93"/>
    <mergeCell ref="I94:I95"/>
    <mergeCell ref="O93:P93"/>
    <mergeCell ref="E49:F49"/>
    <mergeCell ref="G50:G51"/>
    <mergeCell ref="E55:F55"/>
    <mergeCell ref="I2:J2"/>
    <mergeCell ref="K3:K4"/>
    <mergeCell ref="I8:J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24"/>
  <sheetViews>
    <sheetView tabSelected="1" zoomScale="120" zoomScaleNormal="120" workbookViewId="0">
      <selection activeCell="D30" sqref="D30"/>
    </sheetView>
  </sheetViews>
  <sheetFormatPr defaultRowHeight="14.4" x14ac:dyDescent="0.55000000000000004"/>
  <cols>
    <col min="2" max="2" width="19.26171875" bestFit="1" customWidth="1"/>
    <col min="3" max="3" width="18.734375" bestFit="1" customWidth="1"/>
    <col min="4" max="4" width="10.47265625" bestFit="1" customWidth="1"/>
    <col min="6" max="6" width="19.26171875" bestFit="1" customWidth="1"/>
    <col min="7" max="7" width="18.734375" bestFit="1" customWidth="1"/>
    <col min="8" max="8" width="10.47265625" bestFit="1" customWidth="1"/>
    <col min="10" max="10" width="19.26171875" bestFit="1" customWidth="1"/>
    <col min="11" max="11" width="18.734375" bestFit="1" customWidth="1"/>
    <col min="12" max="12" width="10.47265625" bestFit="1" customWidth="1"/>
  </cols>
  <sheetData>
    <row r="1" spans="2:12" ht="14.7" thickBot="1" x14ac:dyDescent="0.6"/>
    <row r="2" spans="2:12" ht="15" x14ac:dyDescent="0.55000000000000004">
      <c r="B2" s="87" t="s">
        <v>153</v>
      </c>
      <c r="C2" s="36"/>
      <c r="D2" s="84" t="s">
        <v>7</v>
      </c>
      <c r="F2" s="87" t="s">
        <v>151</v>
      </c>
      <c r="G2" s="36"/>
      <c r="H2" s="84" t="s">
        <v>7</v>
      </c>
      <c r="J2" s="87" t="s">
        <v>165</v>
      </c>
      <c r="K2" s="36"/>
      <c r="L2" s="84" t="s">
        <v>7</v>
      </c>
    </row>
    <row r="3" spans="2:12" x14ac:dyDescent="0.55000000000000004">
      <c r="B3" s="82" t="s">
        <v>29</v>
      </c>
      <c r="C3" s="21" t="s">
        <v>31</v>
      </c>
      <c r="D3" s="85"/>
      <c r="F3" s="82" t="s">
        <v>29</v>
      </c>
      <c r="G3" s="21" t="s">
        <v>31</v>
      </c>
      <c r="H3" s="85"/>
      <c r="J3" s="82" t="s">
        <v>29</v>
      </c>
      <c r="K3" s="21" t="s">
        <v>31</v>
      </c>
      <c r="L3" s="85"/>
    </row>
    <row r="4" spans="2:12" x14ac:dyDescent="0.55000000000000004">
      <c r="B4" s="82" t="s">
        <v>30</v>
      </c>
      <c r="C4" s="21" t="s">
        <v>23</v>
      </c>
      <c r="D4" s="85"/>
      <c r="F4" s="82" t="s">
        <v>30</v>
      </c>
      <c r="G4" s="21" t="s">
        <v>23</v>
      </c>
      <c r="H4" s="85"/>
      <c r="J4" s="82" t="s">
        <v>30</v>
      </c>
      <c r="K4" s="21" t="s">
        <v>23</v>
      </c>
      <c r="L4" s="85"/>
    </row>
    <row r="5" spans="2:12" x14ac:dyDescent="0.55000000000000004">
      <c r="B5" s="82" t="s">
        <v>10</v>
      </c>
      <c r="C5" s="21" t="s">
        <v>11</v>
      </c>
      <c r="D5" s="85"/>
      <c r="F5" s="82" t="s">
        <v>10</v>
      </c>
      <c r="G5" s="21" t="s">
        <v>11</v>
      </c>
      <c r="H5" s="85"/>
      <c r="J5" s="82" t="s">
        <v>10</v>
      </c>
      <c r="K5" s="21" t="s">
        <v>11</v>
      </c>
      <c r="L5" s="85"/>
    </row>
    <row r="6" spans="2:12" x14ac:dyDescent="0.55000000000000004">
      <c r="B6" s="82" t="s">
        <v>12</v>
      </c>
      <c r="C6" s="21" t="s">
        <v>13</v>
      </c>
      <c r="D6" s="85"/>
      <c r="F6" s="82" t="s">
        <v>12</v>
      </c>
      <c r="G6" s="21" t="s">
        <v>13</v>
      </c>
      <c r="H6" s="85"/>
      <c r="J6" s="82" t="s">
        <v>12</v>
      </c>
      <c r="K6" s="21" t="s">
        <v>13</v>
      </c>
      <c r="L6" s="85"/>
    </row>
    <row r="7" spans="2:12" x14ac:dyDescent="0.55000000000000004">
      <c r="B7" s="82" t="s">
        <v>14</v>
      </c>
      <c r="C7" s="21" t="s">
        <v>15</v>
      </c>
      <c r="D7" s="85"/>
      <c r="F7" s="82" t="s">
        <v>14</v>
      </c>
      <c r="G7" s="21" t="s">
        <v>15</v>
      </c>
      <c r="H7" s="85"/>
      <c r="J7" s="82" t="s">
        <v>14</v>
      </c>
      <c r="K7" s="21" t="s">
        <v>15</v>
      </c>
      <c r="L7" s="85"/>
    </row>
    <row r="8" spans="2:12" ht="14.7" thickBot="1" x14ac:dyDescent="0.6">
      <c r="B8" s="83" t="s">
        <v>32</v>
      </c>
      <c r="C8" s="88" t="s">
        <v>26</v>
      </c>
      <c r="D8" s="86"/>
      <c r="F8" s="83" t="s">
        <v>32</v>
      </c>
      <c r="G8" s="88" t="s">
        <v>26</v>
      </c>
      <c r="H8" s="86"/>
      <c r="J8" s="83" t="s">
        <v>32</v>
      </c>
      <c r="K8" s="88" t="s">
        <v>26</v>
      </c>
      <c r="L8" s="86"/>
    </row>
    <row r="9" spans="2:12" ht="14.7" thickBot="1" x14ac:dyDescent="0.6"/>
    <row r="10" spans="2:12" ht="15" x14ac:dyDescent="0.55000000000000004">
      <c r="B10" s="87" t="s">
        <v>164</v>
      </c>
      <c r="C10" s="36"/>
      <c r="D10" s="84" t="s">
        <v>7</v>
      </c>
      <c r="F10" s="87" t="s">
        <v>201</v>
      </c>
      <c r="G10" s="36"/>
      <c r="H10" s="84" t="s">
        <v>7</v>
      </c>
      <c r="J10" s="87" t="s">
        <v>176</v>
      </c>
      <c r="K10" s="36"/>
      <c r="L10" s="84" t="s">
        <v>7</v>
      </c>
    </row>
    <row r="11" spans="2:12" x14ac:dyDescent="0.55000000000000004">
      <c r="B11" s="82" t="s">
        <v>29</v>
      </c>
      <c r="C11" s="21" t="s">
        <v>31</v>
      </c>
      <c r="D11" s="85"/>
      <c r="F11" s="82" t="s">
        <v>29</v>
      </c>
      <c r="G11" s="21" t="s">
        <v>31</v>
      </c>
      <c r="H11" s="85"/>
      <c r="J11" s="82" t="s">
        <v>29</v>
      </c>
      <c r="K11" s="21" t="s">
        <v>31</v>
      </c>
      <c r="L11" s="85"/>
    </row>
    <row r="12" spans="2:12" x14ac:dyDescent="0.55000000000000004">
      <c r="B12" s="82" t="s">
        <v>30</v>
      </c>
      <c r="C12" s="21" t="s">
        <v>23</v>
      </c>
      <c r="D12" s="85"/>
      <c r="F12" s="82" t="s">
        <v>30</v>
      </c>
      <c r="G12" s="21" t="s">
        <v>23</v>
      </c>
      <c r="H12" s="85"/>
      <c r="J12" s="82" t="s">
        <v>30</v>
      </c>
      <c r="K12" s="21" t="s">
        <v>23</v>
      </c>
      <c r="L12" s="85"/>
    </row>
    <row r="13" spans="2:12" x14ac:dyDescent="0.55000000000000004">
      <c r="B13" s="82" t="s">
        <v>10</v>
      </c>
      <c r="C13" s="21" t="s">
        <v>11</v>
      </c>
      <c r="D13" s="85"/>
      <c r="F13" s="82" t="s">
        <v>10</v>
      </c>
      <c r="G13" s="21" t="s">
        <v>11</v>
      </c>
      <c r="H13" s="85"/>
      <c r="J13" s="82" t="s">
        <v>10</v>
      </c>
      <c r="K13" s="21" t="s">
        <v>11</v>
      </c>
      <c r="L13" s="85"/>
    </row>
    <row r="14" spans="2:12" x14ac:dyDescent="0.55000000000000004">
      <c r="B14" s="82" t="s">
        <v>12</v>
      </c>
      <c r="C14" s="21" t="s">
        <v>13</v>
      </c>
      <c r="D14" s="85"/>
      <c r="F14" s="82" t="s">
        <v>12</v>
      </c>
      <c r="G14" s="21" t="s">
        <v>13</v>
      </c>
      <c r="H14" s="85"/>
      <c r="J14" s="82" t="s">
        <v>12</v>
      </c>
      <c r="K14" s="21" t="s">
        <v>13</v>
      </c>
      <c r="L14" s="85"/>
    </row>
    <row r="15" spans="2:12" x14ac:dyDescent="0.55000000000000004">
      <c r="B15" s="82" t="s">
        <v>14</v>
      </c>
      <c r="C15" s="21" t="s">
        <v>15</v>
      </c>
      <c r="D15" s="85"/>
      <c r="F15" s="82" t="s">
        <v>14</v>
      </c>
      <c r="G15" s="21" t="s">
        <v>15</v>
      </c>
      <c r="H15" s="85"/>
      <c r="J15" s="82" t="s">
        <v>14</v>
      </c>
      <c r="K15" s="21" t="s">
        <v>15</v>
      </c>
      <c r="L15" s="85"/>
    </row>
    <row r="16" spans="2:12" ht="14.7" thickBot="1" x14ac:dyDescent="0.6">
      <c r="B16" s="83" t="s">
        <v>32</v>
      </c>
      <c r="C16" s="88" t="s">
        <v>26</v>
      </c>
      <c r="D16" s="86"/>
      <c r="F16" s="83" t="s">
        <v>32</v>
      </c>
      <c r="G16" s="88" t="s">
        <v>26</v>
      </c>
      <c r="H16" s="86"/>
      <c r="J16" s="83" t="s">
        <v>32</v>
      </c>
      <c r="K16" s="88" t="s">
        <v>26</v>
      </c>
      <c r="L16" s="86"/>
    </row>
    <row r="17" spans="2:12" ht="14.7" thickBot="1" x14ac:dyDescent="0.6"/>
    <row r="18" spans="2:12" ht="15" x14ac:dyDescent="0.55000000000000004">
      <c r="B18" s="87" t="s">
        <v>200</v>
      </c>
      <c r="C18" s="36"/>
      <c r="D18" s="84" t="s">
        <v>7</v>
      </c>
      <c r="F18" s="87" t="s">
        <v>174</v>
      </c>
      <c r="G18" s="36"/>
      <c r="H18" s="84" t="s">
        <v>7</v>
      </c>
      <c r="J18" s="87" t="s">
        <v>203</v>
      </c>
      <c r="K18" s="36"/>
      <c r="L18" s="84" t="s">
        <v>7</v>
      </c>
    </row>
    <row r="19" spans="2:12" x14ac:dyDescent="0.55000000000000004">
      <c r="B19" s="82" t="s">
        <v>29</v>
      </c>
      <c r="C19" s="21" t="s">
        <v>31</v>
      </c>
      <c r="D19" s="85"/>
      <c r="F19" s="82" t="s">
        <v>29</v>
      </c>
      <c r="G19" s="21" t="s">
        <v>31</v>
      </c>
      <c r="H19" s="85"/>
      <c r="J19" s="82" t="s">
        <v>29</v>
      </c>
      <c r="K19" s="21" t="s">
        <v>31</v>
      </c>
      <c r="L19" s="85"/>
    </row>
    <row r="20" spans="2:12" x14ac:dyDescent="0.55000000000000004">
      <c r="B20" s="82" t="s">
        <v>30</v>
      </c>
      <c r="C20" s="21" t="s">
        <v>23</v>
      </c>
      <c r="D20" s="85"/>
      <c r="F20" s="82" t="s">
        <v>30</v>
      </c>
      <c r="G20" s="21" t="s">
        <v>23</v>
      </c>
      <c r="H20" s="85"/>
      <c r="J20" s="82" t="s">
        <v>30</v>
      </c>
      <c r="K20" s="21" t="s">
        <v>23</v>
      </c>
      <c r="L20" s="85"/>
    </row>
    <row r="21" spans="2:12" x14ac:dyDescent="0.55000000000000004">
      <c r="B21" s="82" t="s">
        <v>10</v>
      </c>
      <c r="C21" s="21" t="s">
        <v>11</v>
      </c>
      <c r="D21" s="85"/>
      <c r="F21" s="82" t="s">
        <v>10</v>
      </c>
      <c r="G21" s="21" t="s">
        <v>11</v>
      </c>
      <c r="H21" s="85"/>
      <c r="J21" s="82" t="s">
        <v>10</v>
      </c>
      <c r="K21" s="21" t="s">
        <v>11</v>
      </c>
      <c r="L21" s="85"/>
    </row>
    <row r="22" spans="2:12" x14ac:dyDescent="0.55000000000000004">
      <c r="B22" s="82" t="s">
        <v>12</v>
      </c>
      <c r="C22" s="21" t="s">
        <v>13</v>
      </c>
      <c r="D22" s="85"/>
      <c r="F22" s="82" t="s">
        <v>12</v>
      </c>
      <c r="G22" s="21" t="s">
        <v>13</v>
      </c>
      <c r="H22" s="85"/>
      <c r="J22" s="82" t="s">
        <v>12</v>
      </c>
      <c r="K22" s="21" t="s">
        <v>13</v>
      </c>
      <c r="L22" s="85"/>
    </row>
    <row r="23" spans="2:12" x14ac:dyDescent="0.55000000000000004">
      <c r="B23" s="82" t="s">
        <v>14</v>
      </c>
      <c r="C23" s="21" t="s">
        <v>15</v>
      </c>
      <c r="D23" s="85"/>
      <c r="F23" s="82" t="s">
        <v>14</v>
      </c>
      <c r="G23" s="21" t="s">
        <v>15</v>
      </c>
      <c r="H23" s="85"/>
      <c r="J23" s="82" t="s">
        <v>14</v>
      </c>
      <c r="K23" s="21" t="s">
        <v>15</v>
      </c>
      <c r="L23" s="85"/>
    </row>
    <row r="24" spans="2:12" ht="14.7" thickBot="1" x14ac:dyDescent="0.6">
      <c r="B24" s="83" t="s">
        <v>32</v>
      </c>
      <c r="C24" s="88" t="s">
        <v>26</v>
      </c>
      <c r="D24" s="86"/>
      <c r="F24" s="83" t="s">
        <v>32</v>
      </c>
      <c r="G24" s="88" t="s">
        <v>26</v>
      </c>
      <c r="H24" s="86"/>
      <c r="J24" s="83" t="s">
        <v>32</v>
      </c>
      <c r="K24" s="88" t="s">
        <v>26</v>
      </c>
      <c r="L24" s="86"/>
    </row>
  </sheetData>
  <mergeCells count="18">
    <mergeCell ref="L11:L16"/>
    <mergeCell ref="B18:C18"/>
    <mergeCell ref="D19:D24"/>
    <mergeCell ref="F18:G18"/>
    <mergeCell ref="H19:H24"/>
    <mergeCell ref="J18:K18"/>
    <mergeCell ref="L19:L24"/>
    <mergeCell ref="B10:C10"/>
    <mergeCell ref="D11:D16"/>
    <mergeCell ref="F10:G10"/>
    <mergeCell ref="H11:H16"/>
    <mergeCell ref="J10:K10"/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4c8e7f9b-eac5-4ae2-b2ae-e40caed85104"/>
    <ds:schemaRef ds:uri="http://purl.org/dc/elements/1.1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cc16eacc-26c8-4df3-9d75-d6f43556ca3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BuildingBlocks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Trujillo, Anji</cp:lastModifiedBy>
  <cp:lastPrinted>2022-04-26T16:17:11Z</cp:lastPrinted>
  <dcterms:created xsi:type="dcterms:W3CDTF">2021-02-05T21:39:59Z</dcterms:created>
  <dcterms:modified xsi:type="dcterms:W3CDTF">2022-06-21T15:55:07Z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