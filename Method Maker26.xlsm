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860" yWindow="1860" windowWidth="21600" windowHeight="11385" firstSheet="1" activeTab="3"/>
  </bookViews>
  <sheets>
    <sheet name="___Dropdown values" sheetId="4" state="hidden" r:id="rId1"/>
    <sheet name="Building Blocks" sheetId="1" r:id="rId2"/>
    <sheet name="Method" sheetId="54" r:id="rId3"/>
    <sheet name="Worklist" sheetId="3" r:id="rId4"/>
    <sheet name="RunLog" sheetId="65" r:id="rId5"/>
    <sheet name="TestLog" sheetId="64" r:id="rId6"/>
    <sheet name="PrepList" sheetId="63" r:id="rId7"/>
  </sheet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 l="1"/>
  <c r="J3" i="3" l="1"/>
  <c r="K3" i="3" s="1"/>
  <c r="H3" i="3"/>
  <c r="J5" i="3"/>
  <c r="K5" i="3" s="1"/>
  <c r="H5" i="3"/>
  <c r="J4" i="3"/>
  <c r="K4" i="3" s="1"/>
  <c r="H4" i="3"/>
  <c r="A5" i="3"/>
  <c r="D5" i="3" s="1"/>
  <c r="A4" i="3"/>
  <c r="D4" i="3" s="1"/>
  <c r="B5" i="3" l="1"/>
  <c r="B4" i="3"/>
  <c r="E109" i="54"/>
  <c r="E93" i="54"/>
  <c r="E86" i="54"/>
  <c r="K2" i="3"/>
  <c r="H2" i="3"/>
  <c r="E77" i="54" l="1"/>
  <c r="E76" i="54"/>
  <c r="E75" i="54"/>
  <c r="E61" i="54"/>
  <c r="E27" i="54"/>
  <c r="E25" i="54"/>
  <c r="E18" i="54"/>
  <c r="E14" i="54"/>
  <c r="E13" i="54"/>
  <c r="A3" i="3"/>
  <c r="B3" i="3" s="1"/>
  <c r="D3" i="3" l="1"/>
  <c r="A2" i="3" l="1"/>
  <c r="D2" i="3" l="1"/>
  <c r="B2" i="3"/>
</calcChain>
</file>

<file path=xl/sharedStrings.xml><?xml version="1.0" encoding="utf-8"?>
<sst xmlns="http://schemas.openxmlformats.org/spreadsheetml/2006/main" count="1863" uniqueCount="378">
  <si>
    <t>Liquid Transfer</t>
  </si>
  <si>
    <t>Name</t>
  </si>
  <si>
    <t>Plate</t>
  </si>
  <si>
    <t>Diluent</t>
  </si>
  <si>
    <t>Split Plate</t>
  </si>
  <si>
    <t>Desalt</t>
  </si>
  <si>
    <t>Starting Concentration (mg/mL)</t>
  </si>
  <si>
    <t>Target Concentration (mg/mL)</t>
  </si>
  <si>
    <t>Start Method Below</t>
  </si>
  <si>
    <t>Time (min)</t>
  </si>
  <si>
    <t>Target Volume (uL)</t>
  </si>
  <si>
    <t>Volume (uL)</t>
  </si>
  <si>
    <t>Temp (C)</t>
  </si>
  <si>
    <t>Sample</t>
  </si>
  <si>
    <t>Enzyme</t>
  </si>
  <si>
    <t>Comments</t>
  </si>
  <si>
    <t>Dilute</t>
  </si>
  <si>
    <t>Description</t>
  </si>
  <si>
    <t>Concentration</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</si>
  <si>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</si>
  <si>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</si>
  <si>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</si>
  <si>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</si>
  <si>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</si>
  <si>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</si>
  <si>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</si>
  <si>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</si>
  <si>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</si>
  <si>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</si>
  <si>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</si>
  <si>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</si>
  <si>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</si>
  <si>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</si>
  <si>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</si>
  <si>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</si>
  <si>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</si>
  <si>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</si>
  <si>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</si>
  <si>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</si>
  <si>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</si>
  <si>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</si>
  <si>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</si>
  <si>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</si>
  <si>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</si>
  <si>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</si>
  <si>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</si>
  <si>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</si>
  <si>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</si>
  <si>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</si>
  <si>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</si>
  <si>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</si>
  <si>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</si>
  <si>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</si>
  <si>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</si>
  <si>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</si>
  <si>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</si>
  <si>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</si>
  <si>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</si>
  <si>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</si>
  <si>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</si>
  <si>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</si>
  <si>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</si>
  <si>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</si>
  <si>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</si>
  <si>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</si>
  <si>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</si>
  <si>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SizeX:100</t>
  </si>
  <si>
    <t>SizeX:100,SizeX:100</t>
  </si>
  <si>
    <t>Pressure Difference (mTorr)</t>
  </si>
  <si>
    <t>Desalting Concentration</t>
  </si>
  <si>
    <t>``</t>
  </si>
  <si>
    <t>Aliquot</t>
  </si>
  <si>
    <t>Start Position</t>
  </si>
  <si>
    <t>Starting Position</t>
  </si>
  <si>
    <t>Sample Start Position</t>
  </si>
  <si>
    <t>Plate Start Position (A1)</t>
  </si>
  <si>
    <t>Pool</t>
  </si>
  <si>
    <t>Pathways</t>
  </si>
  <si>
    <t>Actions</t>
  </si>
  <si>
    <t>Modifiers</t>
  </si>
  <si>
    <t>Aspirate Location</t>
  </si>
  <si>
    <t>Dispense Location</t>
  </si>
  <si>
    <t>Sample Location</t>
  </si>
  <si>
    <t>Vacuum Plate</t>
  </si>
  <si>
    <t>Normal</t>
  </si>
  <si>
    <t>Vacuum Options</t>
  </si>
  <si>
    <t>Low</t>
  </si>
  <si>
    <t>High</t>
  </si>
  <si>
    <t>Manual (Remove validation then enter custom value)</t>
  </si>
  <si>
    <t>Vacuum Plates</t>
  </si>
  <si>
    <t>0.45um Self Poured ProA Plate</t>
  </si>
  <si>
    <t>Pre Vacuum Wait (min)</t>
  </si>
  <si>
    <t>Vacuum Time (min)</t>
  </si>
  <si>
    <t>Preload Liquid</t>
  </si>
  <si>
    <t>Volume</t>
  </si>
  <si>
    <t>Denaturation</t>
  </si>
  <si>
    <t>7M GnHCl, 100mM Tris pH 8.3, 5mM L-Met</t>
  </si>
  <si>
    <t>This is used to force the Denaturant into the Denaturant loading position. The actual step will be skipped because the pipetting volume is 0uL</t>
  </si>
  <si>
    <t>150mM TCEP in 7M GnHCl, 100mM Tris pH 8.3, 5mM L-Met</t>
  </si>
  <si>
    <t>150mM IAA in 7M GnHCl, 100mM Tris pH 8.3, 5mM L-Met</t>
  </si>
  <si>
    <t>Desalting</t>
  </si>
  <si>
    <t>Digestion</t>
  </si>
  <si>
    <t>50mM Tris pH 7.9</t>
  </si>
  <si>
    <t>Hamilton Desalting Finished</t>
  </si>
  <si>
    <t>Desalting Complete. Please measure concentrations in the Desalting plate then enter the concentrations in the Desalting Concentration column in the worklist. Finally, hit OK after placing the Desalting plate back on deck.</t>
  </si>
  <si>
    <t>8M GnHCl</t>
  </si>
  <si>
    <t>Max Source Volume (uL)</t>
  </si>
  <si>
    <t>1mg/mL LysC in water</t>
  </si>
  <si>
    <t>Final</t>
  </si>
  <si>
    <t>_55min</t>
  </si>
  <si>
    <t>Do 55 minute incubation?</t>
  </si>
  <si>
    <t xml:space="preserve">This set of samples will be a 55 minute digestion. </t>
  </si>
  <si>
    <t>1.1M</t>
  </si>
  <si>
    <t>0.9M</t>
  </si>
  <si>
    <t>Water</t>
  </si>
  <si>
    <t>Post Desalting Denaturant Concentration</t>
  </si>
  <si>
    <t>Water Volume</t>
  </si>
  <si>
    <t>GnHCl Volume</t>
  </si>
  <si>
    <t>[Heater]</t>
  </si>
  <si>
    <t>[Start Heat]</t>
  </si>
  <si>
    <t>[ID]</t>
  </si>
  <si>
    <t>[Temp]</t>
  </si>
  <si>
    <t>Step Title: Plate</t>
  </si>
  <si>
    <t>Excel Location (Row,Col): (7,3)</t>
  </si>
  <si>
    <t>Name: Denaturation</t>
  </si>
  <si>
    <t>Type: 96 Well PCR Plate</t>
  </si>
  <si>
    <t>Test</t>
  </si>
  <si>
    <t>Step Title: Aliquot</t>
  </si>
  <si>
    <t>Excel Location (Row,Col): (11,3)</t>
  </si>
  <si>
    <t>Source: Sample</t>
  </si>
  <si>
    <t xml:space="preserve">Aspirate Location: Sample Location (Worklist Column) </t>
  </si>
  <si>
    <t>Start Position: Sample Start Position</t>
  </si>
  <si>
    <t>Step Title: Liquid Transfer</t>
  </si>
  <si>
    <t>Excel Location (Row,Col): (16,3)</t>
  </si>
  <si>
    <t>Source: 7M GnHCl, 100mM Tris pH 8.3, 5mM L-Met</t>
  </si>
  <si>
    <t>Liquid Type: Denaturant</t>
  </si>
  <si>
    <t>Storage Condition: Ambient</t>
  </si>
  <si>
    <t>Volume (uL): 0.0</t>
  </si>
  <si>
    <t>Mix?: Yes</t>
  </si>
  <si>
    <t>[StatusUpdate]</t>
  </si>
  <si>
    <t>[AppendText]</t>
  </si>
  <si>
    <t>[Message]</t>
  </si>
  <si>
    <t xml:space="preserve">Transfering 0.0 uL of Denaturant to Denaturation plate </t>
  </si>
  <si>
    <t>##4.0##</t>
  </si>
  <si>
    <t>Number of sequences is zero so no liquid transfer will actually occur.</t>
  </si>
  <si>
    <t>Step Title: Dilute</t>
  </si>
  <si>
    <t>Excel Location (Row,Col): (23,3)</t>
  </si>
  <si>
    <t>Diluent: 7M GnHCl, 100mM Tris pH 8.3, 5mM L-Met</t>
  </si>
  <si>
    <t xml:space="preserve">Starting Concentration (mg/mL): Concentration (Worklist Column) </t>
  </si>
  <si>
    <t>Target Concentration (mg/mL): 1.0</t>
  </si>
  <si>
    <t>Target Volume (uL): 100.0</t>
  </si>
  <si>
    <t>Max Source Volume (uL): 100.0</t>
  </si>
  <si>
    <t>Transfering 100.0 uL of sample to Denaturation plate</t>
  </si>
  <si>
    <t>##5.0##</t>
  </si>
  <si>
    <t xml:space="preserve">Transfering </t>
  </si>
  <si>
    <t xml:space="preserve"> uL of General Reagent to Denaturation plate </t>
  </si>
  <si>
    <t>[Pipette]</t>
  </si>
  <si>
    <t>[Transfer]</t>
  </si>
  <si>
    <t>[Destination]</t>
  </si>
  <si>
    <t>[DestinationPosition]</t>
  </si>
  <si>
    <t>[Source]</t>
  </si>
  <si>
    <t>[SourcePosition]</t>
  </si>
  <si>
    <t>[TransferVolume]</t>
  </si>
  <si>
    <t>[DestinationHeight]</t>
  </si>
  <si>
    <t>[Total]</t>
  </si>
  <si>
    <t>[Mix]</t>
  </si>
  <si>
    <t>##5.1##</t>
  </si>
  <si>
    <t>##5.2##</t>
  </si>
  <si>
    <t>Excel Location (Row,Col): (31,3)</t>
  </si>
  <si>
    <t>Source: 150mM TCEP in 7M GnHCl, 100mM Tris pH 8.3, 5mM L-Met</t>
  </si>
  <si>
    <t>Liquid Type: Reductant</t>
  </si>
  <si>
    <t>Volume (uL): 4.0</t>
  </si>
  <si>
    <t xml:space="preserve">Transfering 4.0 uL of Reductant to Denaturation plate </t>
  </si>
  <si>
    <t>##6.0##</t>
  </si>
  <si>
    <t>##6.1##</t>
  </si>
  <si>
    <t>Step Title: Incubate</t>
  </si>
  <si>
    <t>Excel Location (Row,Col): (38,3)</t>
  </si>
  <si>
    <t>Temp (C): 30.0</t>
  </si>
  <si>
    <t>Time (min): 30.0</t>
  </si>
  <si>
    <t>Shake (rpm): 0.0</t>
  </si>
  <si>
    <t>Incubate at 30.0 C for 30.0 min</t>
  </si>
  <si>
    <t>##7.0##</t>
  </si>
  <si>
    <t>[Timer]</t>
  </si>
  <si>
    <t>[Start]</t>
  </si>
  <si>
    <t>[Time]</t>
  </si>
  <si>
    <t>##7.1##</t>
  </si>
  <si>
    <t>[Wait]</t>
  </si>
  <si>
    <t>##7.2##</t>
  </si>
  <si>
    <t>[Stop Heat]</t>
  </si>
  <si>
    <t>Excel Location (Row,Col): (43,3)</t>
  </si>
  <si>
    <t>Source: 150mM IAA in 7M GnHCl, 100mM Tris pH 8.3, 5mM L-Met</t>
  </si>
  <si>
    <t>Liquid Type: Alkylant</t>
  </si>
  <si>
    <t>Volume (uL): 6.0</t>
  </si>
  <si>
    <t xml:space="preserve">Transfering 6.0 uL of Alkylant to Denaturation plate </t>
  </si>
  <si>
    <t>##8.0##</t>
  </si>
  <si>
    <t>##8.1##</t>
  </si>
  <si>
    <t>Excel Location (Row,Col): (50,3)</t>
  </si>
  <si>
    <t>Temp (C): 25.0</t>
  </si>
  <si>
    <t>Incubate at 25.0 C for 30.0 min</t>
  </si>
  <si>
    <t>##9.0##</t>
  </si>
  <si>
    <t>Performing Desalting Equilibration</t>
  </si>
  <si>
    <t>[Desalt]</t>
  </si>
  <si>
    <t>[Equilibrate]</t>
  </si>
  <si>
    <t>##9.1##</t>
  </si>
  <si>
    <t>Performing Desalting Equilibration and Desalting Samples</t>
  </si>
  <si>
    <t>##9.2##</t>
  </si>
  <si>
    <t>##9.3##</t>
  </si>
  <si>
    <t>Excel Location (Row,Col): (55,3)</t>
  </si>
  <si>
    <t>Name: Desalting</t>
  </si>
  <si>
    <t>Step Title: Desalt</t>
  </si>
  <si>
    <t>Excel Location (Row,Col): (59,3)</t>
  </si>
  <si>
    <t>Source: Denaturation</t>
  </si>
  <si>
    <t>Equilibration Buffer: 50mM Tris pH 7.9</t>
  </si>
  <si>
    <t>Type: SizeX:100</t>
  </si>
  <si>
    <t>Equilibration already performed. Skipping Equilibration</t>
  </si>
  <si>
    <t>##11.0##</t>
  </si>
  <si>
    <t>[Process]</t>
  </si>
  <si>
    <t>##11.1##</t>
  </si>
  <si>
    <t>Excel Location (Row,Col): (64,3)</t>
  </si>
  <si>
    <t>Name: Digestion</t>
  </si>
  <si>
    <t>Step Title: Notify</t>
  </si>
  <si>
    <t>Excel Location (Row,Col): (68,3)</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</si>
  <si>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</si>
  <si>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</si>
  <si>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</si>
  <si>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[Notify]</t>
  </si>
  <si>
    <t>[SendMessage]</t>
  </si>
  <si>
    <t>[Subject]</t>
  </si>
  <si>
    <t>##13.1##</t>
  </si>
  <si>
    <t>Excel Location (Row,Col): (73,3)</t>
  </si>
  <si>
    <t>Source: Desalting</t>
  </si>
  <si>
    <t>Diluent: 50mM Tris pH 7.9</t>
  </si>
  <si>
    <t xml:space="preserve">Starting Concentration (mg/mL): Desalting Concentration (Worklist Column) </t>
  </si>
  <si>
    <t>Target Concentration (mg/mL): 0.5</t>
  </si>
  <si>
    <t>Max Source Volume (uL): 70.0</t>
  </si>
  <si>
    <t>Transfering 100.0 uL of sample to Digestion plate</t>
  </si>
  <si>
    <t>##14.0##</t>
  </si>
  <si>
    <t xml:space="preserve"> uL of General Reagent to Digestion plate </t>
  </si>
  <si>
    <t>##14.1##</t>
  </si>
  <si>
    <t>Excel Location (Row,Col): (81,3)</t>
  </si>
  <si>
    <t>Source: 8M GnHCl</t>
  </si>
  <si>
    <t xml:space="preserve">Volume (uL): GnHCl Volume (Worklist Column) </t>
  </si>
  <si>
    <t xml:space="preserve">Transfering GnHCl Volume uL of Denaturant to Digestion plate </t>
  </si>
  <si>
    <t>##15.0##</t>
  </si>
  <si>
    <t>##15.1##</t>
  </si>
  <si>
    <t>Excel Location (Row,Col): (88,3)</t>
  </si>
  <si>
    <t>Source: Water</t>
  </si>
  <si>
    <t>Liquid Type: Buffer/Diluent</t>
  </si>
  <si>
    <t xml:space="preserve">Volume (uL): Water Volume (Worklist Column) </t>
  </si>
  <si>
    <t xml:space="preserve">Transfering Water Volume uL of Buffer/Diluent to Digestion plate </t>
  </si>
  <si>
    <t>##16.0##</t>
  </si>
  <si>
    <t>##16.1##</t>
  </si>
  <si>
    <t>Excel Location (Row,Col): (95,3)</t>
  </si>
  <si>
    <t>Source: 1mg/mL LysC in water</t>
  </si>
  <si>
    <t>Liquid Type: Enzyme</t>
  </si>
  <si>
    <t>Storage Condition: Cold</t>
  </si>
  <si>
    <t>Volume (uL): 5.0</t>
  </si>
  <si>
    <t xml:space="preserve">Transfering 5.0 uL of Enzyme to Digestion plate </t>
  </si>
  <si>
    <t>##17.0##</t>
  </si>
  <si>
    <t>##17.1##</t>
  </si>
  <si>
    <t>Excel Location (Row,Col): (102,3)</t>
  </si>
  <si>
    <t>Time (min): 55.0</t>
  </si>
  <si>
    <t>Incubate at 30.0 C for 55.0 min</t>
  </si>
  <si>
    <t>##18.0##</t>
  </si>
  <si>
    <t>##18.1##</t>
  </si>
  <si>
    <t>##18.2##</t>
  </si>
  <si>
    <t>Step Title: Split Plate</t>
  </si>
  <si>
    <t>Excel Location (Row,Col): (107,3)</t>
  </si>
  <si>
    <t xml:space="preserve">Plate Choice: _55min (Worklist Column) </t>
  </si>
  <si>
    <t>Plate Name 1: Final</t>
  </si>
  <si>
    <t>Plate Name 2: Digestion</t>
  </si>
  <si>
    <t>Excel Location (Row,Col): (116,5)</t>
  </si>
  <si>
    <t>Source: Digestion</t>
  </si>
  <si>
    <t>Liquid Type: Plate</t>
  </si>
  <si>
    <t>Volume (uL): 120.0</t>
  </si>
  <si>
    <t>Mix?: No</t>
  </si>
  <si>
    <t xml:space="preserve">Transfering 120.0 uL of Plate to Final plate </t>
  </si>
  <si>
    <t>##20.0##</t>
  </si>
  <si>
    <t>##20.1##</t>
  </si>
  <si>
    <t>Excel Location (Row,Col): (116,1)</t>
  </si>
  <si>
    <t>Time (min): 10.0</t>
  </si>
  <si>
    <t>Incubate at 30.0 C for 10.0 min</t>
  </si>
  <si>
    <t>##21.0##</t>
  </si>
  <si>
    <t>Excel Location (Row,Col): (123,5)</t>
  </si>
  <si>
    <t>Liquid Type: Quench</t>
  </si>
  <si>
    <t>Volume (uL): 2.0</t>
  </si>
  <si>
    <t xml:space="preserve">Transfering 2.0 uL of Quench to Final plate </t>
  </si>
  <si>
    <t>##22.0##</t>
  </si>
  <si>
    <t>##22.1##</t>
  </si>
  <si>
    <t>Step Title: Finish</t>
  </si>
  <si>
    <t>Excel Location (Row,Col): (130,5)</t>
  </si>
  <si>
    <t>Final plate deactivated</t>
  </si>
  <si>
    <t>##23.1##</t>
  </si>
  <si>
    <t>##23.2##</t>
  </si>
  <si>
    <t>Excel Location (Row,Col): (121,1)</t>
  </si>
  <si>
    <t>Name: Final</t>
  </si>
  <si>
    <t>Excel Location (Row,Col): (125,1)</t>
  </si>
  <si>
    <t>##25.0##</t>
  </si>
  <si>
    <t>##25.1##</t>
  </si>
  <si>
    <t>Excel Location (Row,Col): (132,1)</t>
  </si>
  <si>
    <t>##26.0##</t>
  </si>
  <si>
    <t>##26.1##</t>
  </si>
  <si>
    <t>Excel Location (Row,Col): (139,1)</t>
  </si>
  <si>
    <t>BCMA_PRM_HamiltonRobustness_High</t>
  </si>
  <si>
    <t>Boco_HamiltonRobustness_High</t>
  </si>
  <si>
    <t>BCMA_PRM_DigestionRobustnessLow</t>
  </si>
  <si>
    <t>Boco_DigestionRobustnessLow</t>
  </si>
  <si>
    <t>[90.0, 90.0, 90.0, 90.0]</t>
  </si>
  <si>
    <t>[10.0, 10.0, 10.0, 10.0]</t>
  </si>
  <si>
    <t>[100.0, 100.0, 100.0, 100.0]</t>
  </si>
  <si>
    <t>[0, 0, 0, 0]</t>
  </si>
  <si>
    <t>Sample: 200uL Biorad 96 Well PCR Plate</t>
  </si>
  <si>
    <t>A1: 20.0uL</t>
  </si>
  <si>
    <t>A2: 20.0uL</t>
  </si>
  <si>
    <t>A3: 20.0uL</t>
  </si>
  <si>
    <t>A4: 20.0uL</t>
  </si>
  <si>
    <t>15mL Centrifuge Tube</t>
  </si>
  <si>
    <t>Minimum Volume: 860.0uL</t>
  </si>
  <si>
    <t>Reagent</t>
  </si>
  <si>
    <t>Reagent Lot</t>
  </si>
  <si>
    <t>Reagent Volume</t>
  </si>
  <si>
    <t>Diluent Lot</t>
  </si>
  <si>
    <t>Diluent Volume</t>
  </si>
  <si>
    <t>Minimum Volume: 560.0uL</t>
  </si>
  <si>
    <t>200mL Reagent Trough</t>
  </si>
  <si>
    <t>Minimum Volume: 10400.0uL</t>
  </si>
  <si>
    <t>Hamilton 1.5mL FlipTube</t>
  </si>
  <si>
    <t>Minimum Volume: 170.0uL</t>
  </si>
  <si>
    <t>Minimum Volume: 158.0uL</t>
  </si>
  <si>
    <t>Minimum Volume: 174.0uL</t>
  </si>
  <si>
    <t>Minimum Volume: 166.0uL</t>
  </si>
  <si>
    <t>60mL Reagent Reservior</t>
  </si>
  <si>
    <t>Minimum Volume: 2520.0uL</t>
  </si>
  <si>
    <t>10% TFA</t>
  </si>
  <si>
    <t>Source: 10% TFA</t>
  </si>
  <si>
    <t>Carrier14_Pos3_96WellPCRPlate200uL_1mLChannel</t>
  </si>
  <si>
    <t>C1</t>
  </si>
  <si>
    <t>Carrier38_Pos3_96WellPCRPlate200uL_1mLChannel</t>
  </si>
  <si>
    <t>F7</t>
  </si>
  <si>
    <t>[Transport]</t>
  </si>
  <si>
    <t>[Move]</t>
  </si>
  <si>
    <t>_HHS1_96WellPCRPlate200uL</t>
  </si>
  <si>
    <t>[Open]</t>
  </si>
  <si>
    <t>[Close]</t>
  </si>
  <si>
    <t>[Grip]</t>
  </si>
  <si>
    <t>[Eject]</t>
  </si>
  <si>
    <t>[Check]</t>
  </si>
  <si>
    <t>Lid1_Home</t>
  </si>
  <si>
    <t>_HHS1_Lid_200uL</t>
  </si>
  <si>
    <t>##7.3##</t>
  </si>
  <si>
    <t>##7.4##</t>
  </si>
  <si>
    <t>##7.6##</t>
  </si>
  <si>
    <t>##7.7##</t>
  </si>
  <si>
    <t>F4</t>
  </si>
  <si>
    <t>_HHS2_96WellPCRPlate200uL</t>
  </si>
  <si>
    <t>_HHS2_Lid_200uL</t>
  </si>
  <si>
    <t>##9.4##</t>
  </si>
  <si>
    <t>##9.5##</t>
  </si>
  <si>
    <t>##9.7##</t>
  </si>
  <si>
    <t>##9.8##</t>
  </si>
  <si>
    <t>Volume is out of range for Position [28]. Performing automatic correction to upper and lower limits. (Source,Diluent): 0 &gt; (70.42253521126761,29.577464788732385) &gt; 70.0</t>
  </si>
  <si>
    <t>Carrier14_Pos4_96WellPCRPlate200uL_1mLChannel</t>
  </si>
  <si>
    <t>Carrier38_Pos5_96WellPCRPlate1200uL_1mLChannel</t>
  </si>
  <si>
    <t>T4</t>
  </si>
  <si>
    <t>##14.2##</t>
  </si>
  <si>
    <t>C2</t>
  </si>
  <si>
    <t>R1</t>
  </si>
  <si>
    <t>E1</t>
  </si>
  <si>
    <t>##18.3##</t>
  </si>
  <si>
    <t>##18.4##</t>
  </si>
  <si>
    <t>##18.6##</t>
  </si>
  <si>
    <t>##18.7##</t>
  </si>
  <si>
    <t>Carrier14_Pos5_96WellPCRPlate200uL_1mLChannel</t>
  </si>
  <si>
    <t>##21.1##</t>
  </si>
  <si>
    <t>##21.2##</t>
  </si>
  <si>
    <t>F1</t>
  </si>
  <si>
    <t>##23.4##</t>
  </si>
  <si>
    <t>##23.5##</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</si>
</sst>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11"/>
      <color rgb="FF000000"/>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8">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bgColor indexed="64"/>
      </patternFill>
    </fill>
  </fills>
  <borders count="2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style="medium">
        <color indexed="64"/>
      </top>
      <bottom style="medium">
        <color indexed="64"/>
      </bottom>
      <diagonal/>
    </border>
  </borders>
  <cellStyleXfs count="1">
    <xf numFmtId="0" fontId="0" fillId="0" borderId="0"/>
  </cellStyleXfs>
  <cellXfs count="155">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0" fillId="2" borderId="3" xfId="0" applyFill="1" applyBorder="1" applyAlignment="1">
      <alignment horizontal="center" vertical="center"/>
    </xf>
    <xf numFmtId="0" fontId="0" fillId="2" borderId="5"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0" borderId="6" xfId="0" applyBorder="1" applyAlignment="1">
      <alignment wrapText="1"/>
    </xf>
    <xf numFmtId="0" fontId="0" fillId="0" borderId="4" xfId="0" applyBorder="1" applyAlignment="1">
      <alignment wrapText="1"/>
    </xf>
    <xf numFmtId="0" fontId="1" fillId="3" borderId="9" xfId="0" applyFont="1" applyFill="1" applyBorder="1" applyAlignment="1">
      <alignment horizontal="center"/>
    </xf>
    <xf numFmtId="0" fontId="0" fillId="0" borderId="0" xfId="0" applyBorder="1"/>
    <xf numFmtId="0" fontId="1" fillId="2" borderId="9"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3" borderId="21" xfId="0" applyFont="1" applyFill="1" applyBorder="1" applyAlignment="1">
      <alignment vertical="center" wrapText="1"/>
    </xf>
    <xf numFmtId="0" fontId="0" fillId="0" borderId="4" xfId="0" applyBorder="1" applyAlignment="1">
      <alignment horizontal="center"/>
    </xf>
    <xf numFmtId="0" fontId="0" fillId="0" borderId="0" xfId="0" applyAlignment="1">
      <alignment horizontal="center" vertical="center" wrapText="1"/>
    </xf>
    <xf numFmtId="0" fontId="0" fillId="0" borderId="0" xfId="0" applyFill="1" applyBorder="1"/>
    <xf numFmtId="0" fontId="0" fillId="0" borderId="0" xfId="0" applyFont="1" applyBorder="1" applyAlignment="1">
      <alignment horizontal="center" vertical="center" wrapText="1"/>
    </xf>
    <xf numFmtId="0" fontId="0" fillId="7" borderId="6" xfId="0" applyFill="1" applyBorder="1" applyAlignment="1">
      <alignment horizontal="center"/>
    </xf>
    <xf numFmtId="0" fontId="0" fillId="7" borderId="4" xfId="0" applyFill="1"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4" fillId="0" borderId="0" xfId="0" applyFont="1"/>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5"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0" fillId="0" borderId="8" xfId="0" applyBorder="1" applyAlignment="1">
      <alignment horizontal="center"/>
    </xf>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3" fillId="0" borderId="1" xfId="0" applyFont="1" applyBorder="1" applyAlignment="1">
      <alignment horizontal="center" vertical="center"/>
    </xf>
    <xf numFmtId="0" fontId="3" fillId="0" borderId="19"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6"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0" borderId="8" xfId="0" applyFont="1" applyBorder="1" applyAlignment="1">
      <alignment horizontal="center"/>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2" xfId="0" applyFill="1" applyBorder="1" applyAlignment="1">
      <alignment horizontal="center" vertical="center" wrapText="1"/>
    </xf>
    <xf numFmtId="0" fontId="0" fillId="4" borderId="14" xfId="0" applyFill="1" applyBorder="1" applyAlignment="1">
      <alignment horizontal="center" vertical="center" wrapText="1"/>
    </xf>
    <xf numFmtId="0" fontId="0" fillId="4" borderId="22" xfId="0" applyFill="1" applyBorder="1" applyAlignment="1">
      <alignment horizontal="center" vertical="center" wrapText="1"/>
    </xf>
    <xf numFmtId="0" fontId="0" fillId="4" borderId="7"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5" fillId="0" borderId="24" xfId="0" applyFont="1" applyBorder="1" applyAlignment="1">
      <alignment horizontal="center"/>
    </xf>
    <xf numFmtId="0" fontId="5" fillId="0" borderId="23" xfId="0" applyFont="1" applyBorder="1" applyAlignment="1">
      <alignment horizontal="center"/>
    </xf>
    <xf numFmtId="0" fontId="5" fillId="0" borderId="26" xfId="0" applyFont="1" applyBorder="1" applyAlignment="1">
      <alignment horizontal="center"/>
    </xf>
    <xf numFmtId="0" fontId="6" fillId="0" borderId="24" xfId="0" applyFont="1" applyBorder="1" applyAlignment="1">
      <alignment horizontal="center"/>
    </xf>
    <xf numFmtId="0" fontId="6" fillId="0" borderId="23" xfId="0" applyFont="1" applyBorder="1" applyAlignment="1">
      <alignment horizontal="center"/>
    </xf>
    <xf numFmtId="0" fontId="6" fillId="0" borderId="26" xfId="0" applyFont="1" applyBorder="1" applyAlignment="1">
      <alignment horizontal="center"/>
    </xf>
    <xf numFmtId="0" fontId="7" fillId="0" borderId="24" xfId="0" applyFont="1" applyBorder="1" applyAlignment="1">
      <alignment horizontal="center"/>
    </xf>
    <xf numFmtId="0" fontId="7" fillId="0" borderId="23" xfId="0" applyFont="1" applyBorder="1" applyAlignment="1">
      <alignment horizontal="center"/>
    </xf>
    <xf numFmtId="0" fontId="7" fillId="0" borderId="26" xfId="0" applyFont="1" applyBorder="1" applyAlignment="1">
      <alignment horizontal="center"/>
    </xf>
    <xf numFmtId="0" fontId="0" fillId="0" borderId="16" xfId="0" applyBorder="1"/>
    <xf numFmtId="0" fontId="0" fillId="0" borderId="17" xfId="0" applyBorder="1"/>
    <xf numFmtId="0" fontId="0" fillId="0" borderId="25" xfId="0" applyBorder="1"/>
    <xf numFmtId="0" fontId="0" fillId="0" borderId="0" xfId="0" applyBorder="1"/>
    <xf numFmtId="0" fontId="0" fillId="0" borderId="13" xfId="0" applyBorder="1"/>
    <xf numFmtId="0" fontId="0" fillId="0" borderId="8" xfId="0" applyBorder="1"/>
    <xf numFmtId="0" fontId="0" fillId="0" borderId="18" xfId="0" applyBorder="1"/>
    <xf numFmtId="0" fontId="0" fillId="0" borderId="22" xfId="0" applyBorder="1"/>
    <xf numFmtId="0" fontId="0" fillId="0" borderId="7" xfId="0" applyBorder="1"/>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27650" name="Button 2" hidden="1">
              <a:extLst>
                <a:ext uri="{63B3BB69-23CF-44E3-9099-C40C66FF867C}">
                  <a14:compatExt spid="_x0000_s2765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L25"/>
  <sheetViews>
    <sheetView topLeftCell="A10" workbookViewId="0">
      <selection activeCell="D25" sqref="D25"/>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37" t="s">
        <v>30</v>
      </c>
      <c r="C3" s="37"/>
      <c r="D3" s="37" t="s">
        <v>52</v>
      </c>
      <c r="F3" s="68" t="s">
        <v>25</v>
      </c>
      <c r="G3" s="68"/>
      <c r="H3" s="68"/>
      <c r="I3" s="68"/>
      <c r="J3" s="68"/>
      <c r="K3" s="68"/>
      <c r="L3" s="68"/>
    </row>
    <row r="4" spans="2:12" x14ac:dyDescent="0.25">
      <c r="B4" t="s">
        <v>33</v>
      </c>
      <c r="D4" s="40" t="s">
        <v>66</v>
      </c>
      <c r="F4" s="37" t="s">
        <v>0</v>
      </c>
      <c r="G4" s="37" t="s">
        <v>16</v>
      </c>
      <c r="H4" s="37" t="s">
        <v>5</v>
      </c>
      <c r="I4" s="37" t="s">
        <v>20</v>
      </c>
      <c r="J4" s="37" t="s">
        <v>45</v>
      </c>
      <c r="K4" s="37" t="s">
        <v>38</v>
      </c>
      <c r="L4" s="37" t="s">
        <v>54</v>
      </c>
    </row>
    <row r="5" spans="2:12" x14ac:dyDescent="0.25">
      <c r="B5" t="s">
        <v>55</v>
      </c>
      <c r="D5" s="40" t="s">
        <v>67</v>
      </c>
      <c r="F5" t="s">
        <v>0</v>
      </c>
      <c r="G5" t="s">
        <v>16</v>
      </c>
      <c r="H5" t="s">
        <v>5</v>
      </c>
      <c r="I5" t="s">
        <v>20</v>
      </c>
      <c r="J5" t="s">
        <v>45</v>
      </c>
      <c r="K5" t="s">
        <v>38</v>
      </c>
      <c r="L5" t="s">
        <v>54</v>
      </c>
    </row>
    <row r="6" spans="2:12" x14ac:dyDescent="0.25">
      <c r="B6" t="s">
        <v>31</v>
      </c>
      <c r="D6" s="40"/>
      <c r="F6" t="s">
        <v>26</v>
      </c>
      <c r="G6" t="s">
        <v>27</v>
      </c>
      <c r="H6" t="s">
        <v>28</v>
      </c>
      <c r="I6" t="s">
        <v>29</v>
      </c>
      <c r="J6" t="s">
        <v>46</v>
      </c>
      <c r="K6" t="s">
        <v>39</v>
      </c>
      <c r="L6" t="s">
        <v>56</v>
      </c>
    </row>
    <row r="7" spans="2:12" x14ac:dyDescent="0.25">
      <c r="B7" t="s">
        <v>57</v>
      </c>
      <c r="D7" s="40"/>
    </row>
    <row r="9" spans="2:12" x14ac:dyDescent="0.25">
      <c r="B9" s="37" t="s">
        <v>53</v>
      </c>
      <c r="D9" s="34" t="s">
        <v>49</v>
      </c>
    </row>
    <row r="10" spans="2:12" x14ac:dyDescent="0.25">
      <c r="B10" t="s">
        <v>60</v>
      </c>
      <c r="D10" s="24" t="s">
        <v>41</v>
      </c>
    </row>
    <row r="11" spans="2:12" x14ac:dyDescent="0.25">
      <c r="B11" t="s">
        <v>61</v>
      </c>
      <c r="D11" s="24" t="s">
        <v>42</v>
      </c>
    </row>
    <row r="12" spans="2:12" x14ac:dyDescent="0.25">
      <c r="B12" t="s">
        <v>62</v>
      </c>
    </row>
    <row r="13" spans="2:12" x14ac:dyDescent="0.25">
      <c r="B13" t="s">
        <v>63</v>
      </c>
      <c r="D13" s="37" t="s">
        <v>73</v>
      </c>
    </row>
    <row r="14" spans="2:12" x14ac:dyDescent="0.25">
      <c r="B14" t="s">
        <v>64</v>
      </c>
      <c r="D14" t="s">
        <v>74</v>
      </c>
    </row>
    <row r="15" spans="2:12" x14ac:dyDescent="0.25">
      <c r="B15" t="s">
        <v>65</v>
      </c>
      <c r="D15" t="s">
        <v>75</v>
      </c>
    </row>
    <row r="16" spans="2:12" x14ac:dyDescent="0.25">
      <c r="B16" t="s">
        <v>14</v>
      </c>
    </row>
    <row r="17" spans="2:4" x14ac:dyDescent="0.25">
      <c r="B17" t="s">
        <v>2</v>
      </c>
    </row>
    <row r="18" spans="2:4" x14ac:dyDescent="0.25">
      <c r="D18" s="37" t="s">
        <v>85</v>
      </c>
    </row>
    <row r="19" spans="2:4" x14ac:dyDescent="0.25">
      <c r="B19" s="37" t="s">
        <v>51</v>
      </c>
      <c r="D19" t="s">
        <v>86</v>
      </c>
    </row>
    <row r="20" spans="2:4" x14ac:dyDescent="0.25">
      <c r="B20" t="s">
        <v>58</v>
      </c>
      <c r="D20" t="s">
        <v>84</v>
      </c>
    </row>
    <row r="21" spans="2:4" x14ac:dyDescent="0.25">
      <c r="B21" t="s">
        <v>59</v>
      </c>
      <c r="D21" t="s">
        <v>87</v>
      </c>
    </row>
    <row r="22" spans="2:4" x14ac:dyDescent="0.25">
      <c r="D22" t="s">
        <v>88</v>
      </c>
    </row>
    <row r="24" spans="2:4" x14ac:dyDescent="0.25">
      <c r="D24" s="37" t="s">
        <v>89</v>
      </c>
    </row>
    <row r="25" spans="2:4" x14ac:dyDescent="0.25">
      <c r="D25" t="s">
        <v>90</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M40"/>
  <sheetViews>
    <sheetView zoomScale="80" zoomScaleNormal="80" workbookViewId="0">
      <selection activeCell="H7" sqref="H7"/>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101" t="s">
        <v>77</v>
      </c>
      <c r="D2" s="102"/>
      <c r="E2" s="103"/>
      <c r="G2" s="107" t="s">
        <v>78</v>
      </c>
      <c r="H2" s="108"/>
      <c r="I2" s="109"/>
      <c r="K2" s="107" t="s">
        <v>79</v>
      </c>
      <c r="L2" s="108"/>
      <c r="M2" s="109"/>
    </row>
    <row r="3" spans="3:13" ht="15.75" thickBot="1" x14ac:dyDescent="0.3">
      <c r="C3" s="104"/>
      <c r="D3" s="105"/>
      <c r="E3" s="106"/>
      <c r="G3" s="110"/>
      <c r="H3" s="111"/>
      <c r="I3" s="112"/>
      <c r="K3" s="110"/>
      <c r="L3" s="111"/>
      <c r="M3" s="112"/>
    </row>
    <row r="4" spans="3:13" ht="15.75" thickBot="1" x14ac:dyDescent="0.3"/>
    <row r="5" spans="3:13" x14ac:dyDescent="0.25">
      <c r="C5" s="83" t="s">
        <v>2</v>
      </c>
      <c r="D5" s="84"/>
      <c r="E5" s="41" t="s">
        <v>15</v>
      </c>
      <c r="G5" s="120" t="s">
        <v>0</v>
      </c>
      <c r="H5" s="121"/>
      <c r="I5" s="29" t="s">
        <v>15</v>
      </c>
      <c r="K5" s="81" t="s">
        <v>71</v>
      </c>
      <c r="L5" s="82"/>
      <c r="M5" s="45" t="s">
        <v>15</v>
      </c>
    </row>
    <row r="6" spans="3:13" x14ac:dyDescent="0.25">
      <c r="C6" s="30" t="s">
        <v>1</v>
      </c>
      <c r="D6" s="33"/>
      <c r="E6" s="94"/>
      <c r="G6" s="3" t="s">
        <v>37</v>
      </c>
      <c r="H6" s="13"/>
      <c r="I6" s="72"/>
      <c r="K6" s="5" t="s">
        <v>37</v>
      </c>
      <c r="L6" s="20"/>
      <c r="M6" s="78"/>
    </row>
    <row r="7" spans="3:13" ht="15.75" thickBot="1" x14ac:dyDescent="0.3">
      <c r="C7" s="42" t="s">
        <v>24</v>
      </c>
      <c r="D7" s="32"/>
      <c r="E7" s="95"/>
      <c r="G7" s="3" t="s">
        <v>53</v>
      </c>
      <c r="H7" s="13"/>
      <c r="I7" s="73"/>
      <c r="K7" s="5" t="s">
        <v>80</v>
      </c>
      <c r="L7" s="20"/>
      <c r="M7" s="79"/>
    </row>
    <row r="8" spans="3:13" ht="15.75" thickBot="1" x14ac:dyDescent="0.3">
      <c r="G8" s="3" t="s">
        <v>51</v>
      </c>
      <c r="H8" s="13"/>
      <c r="I8" s="73"/>
      <c r="K8" s="6" t="s">
        <v>72</v>
      </c>
      <c r="L8" s="21" t="s">
        <v>74</v>
      </c>
      <c r="M8" s="80"/>
    </row>
    <row r="9" spans="3:13" ht="15.75" thickBot="1" x14ac:dyDescent="0.3">
      <c r="C9" s="115" t="s">
        <v>4</v>
      </c>
      <c r="D9" s="116"/>
      <c r="E9" s="25" t="s">
        <v>15</v>
      </c>
      <c r="G9" s="3" t="s">
        <v>11</v>
      </c>
      <c r="H9" s="13"/>
      <c r="I9" s="73"/>
    </row>
    <row r="10" spans="3:13" ht="15.75" thickBot="1" x14ac:dyDescent="0.3">
      <c r="C10" s="9" t="s">
        <v>23</v>
      </c>
      <c r="D10" s="18"/>
      <c r="E10" s="117"/>
      <c r="G10" s="4" t="s">
        <v>40</v>
      </c>
      <c r="H10" s="14" t="s">
        <v>41</v>
      </c>
      <c r="I10" s="74"/>
      <c r="K10" s="81" t="s">
        <v>76</v>
      </c>
      <c r="L10" s="82"/>
      <c r="M10" s="45" t="s">
        <v>15</v>
      </c>
    </row>
    <row r="11" spans="3:13" ht="15.75" thickBot="1" x14ac:dyDescent="0.3">
      <c r="C11" s="9" t="s">
        <v>34</v>
      </c>
      <c r="D11" s="18"/>
      <c r="E11" s="118"/>
      <c r="K11" s="5" t="s">
        <v>37</v>
      </c>
      <c r="L11" s="20"/>
      <c r="M11" s="78"/>
    </row>
    <row r="12" spans="3:13" ht="15.75" thickBot="1" x14ac:dyDescent="0.3">
      <c r="C12" s="10" t="s">
        <v>35</v>
      </c>
      <c r="D12" s="19"/>
      <c r="E12" s="119"/>
      <c r="G12" s="113" t="s">
        <v>16</v>
      </c>
      <c r="H12" s="114"/>
      <c r="I12" s="26" t="s">
        <v>15</v>
      </c>
      <c r="K12" s="5" t="s">
        <v>81</v>
      </c>
      <c r="L12" s="20"/>
      <c r="M12" s="79"/>
    </row>
    <row r="13" spans="3:13" ht="15.75" thickBot="1" x14ac:dyDescent="0.3">
      <c r="G13" s="7" t="s">
        <v>37</v>
      </c>
      <c r="H13" s="15"/>
      <c r="I13" s="75"/>
      <c r="K13" s="6" t="s">
        <v>72</v>
      </c>
      <c r="L13" s="21" t="s">
        <v>74</v>
      </c>
      <c r="M13" s="80"/>
    </row>
    <row r="14" spans="3:13" ht="15.75" thickBot="1" x14ac:dyDescent="0.3">
      <c r="C14" s="83" t="s">
        <v>50</v>
      </c>
      <c r="D14" s="84"/>
      <c r="E14" s="38" t="s">
        <v>15</v>
      </c>
      <c r="G14" s="7" t="s">
        <v>3</v>
      </c>
      <c r="H14" s="15"/>
      <c r="I14" s="76"/>
    </row>
    <row r="15" spans="3:13" x14ac:dyDescent="0.25">
      <c r="C15" s="85"/>
      <c r="D15" s="86"/>
      <c r="E15" s="94"/>
      <c r="G15" s="7" t="s">
        <v>6</v>
      </c>
      <c r="H15" s="15"/>
      <c r="I15" s="76"/>
      <c r="K15" s="81" t="s">
        <v>93</v>
      </c>
      <c r="L15" s="82"/>
      <c r="M15" s="45" t="s">
        <v>15</v>
      </c>
    </row>
    <row r="16" spans="3:13" ht="15.75" thickBot="1" x14ac:dyDescent="0.3">
      <c r="C16" s="87"/>
      <c r="D16" s="88"/>
      <c r="E16" s="95"/>
      <c r="G16" s="7" t="s">
        <v>7</v>
      </c>
      <c r="H16" s="15"/>
      <c r="I16" s="76"/>
      <c r="K16" s="6" t="s">
        <v>94</v>
      </c>
      <c r="L16" s="21"/>
      <c r="M16" s="51"/>
    </row>
    <row r="17" spans="7:9" ht="15.75" thickBot="1" x14ac:dyDescent="0.3">
      <c r="G17" s="8" t="s">
        <v>10</v>
      </c>
      <c r="H17" s="16"/>
      <c r="I17" s="77"/>
    </row>
    <row r="18" spans="7:9" ht="15.75" thickBot="1" x14ac:dyDescent="0.3"/>
    <row r="19" spans="7:9" x14ac:dyDescent="0.25">
      <c r="G19" s="89" t="s">
        <v>38</v>
      </c>
      <c r="H19" s="90"/>
      <c r="I19" s="28" t="s">
        <v>15</v>
      </c>
    </row>
    <row r="20" spans="7:9" x14ac:dyDescent="0.25">
      <c r="G20" s="11" t="s">
        <v>12</v>
      </c>
      <c r="H20" s="22"/>
      <c r="I20" s="91"/>
    </row>
    <row r="21" spans="7:9" x14ac:dyDescent="0.25">
      <c r="G21" s="11" t="s">
        <v>9</v>
      </c>
      <c r="H21" s="22"/>
      <c r="I21" s="92"/>
    </row>
    <row r="22" spans="7:9" ht="15.75" thickBot="1" x14ac:dyDescent="0.3">
      <c r="G22" s="12" t="s">
        <v>19</v>
      </c>
      <c r="H22" s="23"/>
      <c r="I22" s="93"/>
    </row>
    <row r="23" spans="7:9" ht="15.75" thickBot="1" x14ac:dyDescent="0.3"/>
    <row r="24" spans="7:9" x14ac:dyDescent="0.25">
      <c r="G24" s="81" t="s">
        <v>5</v>
      </c>
      <c r="H24" s="82"/>
      <c r="I24" s="27" t="s">
        <v>15</v>
      </c>
    </row>
    <row r="25" spans="7:9" x14ac:dyDescent="0.25">
      <c r="G25" s="5" t="s">
        <v>37</v>
      </c>
      <c r="H25" s="20"/>
      <c r="I25" s="78"/>
    </row>
    <row r="26" spans="7:9" x14ac:dyDescent="0.25">
      <c r="G26" s="5" t="s">
        <v>36</v>
      </c>
      <c r="H26" s="20"/>
      <c r="I26" s="79"/>
    </row>
    <row r="27" spans="7:9" ht="15.75" thickBot="1" x14ac:dyDescent="0.3">
      <c r="G27" s="6" t="s">
        <v>24</v>
      </c>
      <c r="H27" s="21"/>
      <c r="I27" s="80"/>
    </row>
    <row r="28" spans="7:9" ht="15.75" thickBot="1" x14ac:dyDescent="0.3">
      <c r="G28" s="37"/>
    </row>
    <row r="29" spans="7:9" x14ac:dyDescent="0.25">
      <c r="G29" s="96" t="s">
        <v>43</v>
      </c>
      <c r="H29" s="97"/>
      <c r="I29" s="47" t="s">
        <v>15</v>
      </c>
    </row>
    <row r="30" spans="7:9" x14ac:dyDescent="0.25">
      <c r="G30" s="35" t="s">
        <v>37</v>
      </c>
      <c r="H30" s="48"/>
      <c r="I30" s="98"/>
    </row>
    <row r="31" spans="7:9" x14ac:dyDescent="0.25">
      <c r="G31" s="35" t="s">
        <v>11</v>
      </c>
      <c r="H31" s="49"/>
      <c r="I31" s="99"/>
    </row>
    <row r="32" spans="7:9" x14ac:dyDescent="0.25">
      <c r="G32" s="35" t="s">
        <v>83</v>
      </c>
      <c r="H32" s="49"/>
      <c r="I32" s="99"/>
    </row>
    <row r="33" spans="7:9" x14ac:dyDescent="0.25">
      <c r="G33" s="35" t="s">
        <v>91</v>
      </c>
      <c r="H33" s="49"/>
      <c r="I33" s="99"/>
    </row>
    <row r="34" spans="7:9" x14ac:dyDescent="0.25">
      <c r="G34" s="35" t="s">
        <v>68</v>
      </c>
      <c r="H34" s="49" t="s">
        <v>84</v>
      </c>
      <c r="I34" s="99"/>
    </row>
    <row r="35" spans="7:9" ht="15.75" thickBot="1" x14ac:dyDescent="0.3">
      <c r="G35" s="36" t="s">
        <v>92</v>
      </c>
      <c r="H35" s="50"/>
      <c r="I35" s="100"/>
    </row>
    <row r="36" spans="7:9" ht="15.75" thickBot="1" x14ac:dyDescent="0.3"/>
    <row r="37" spans="7:9" x14ac:dyDescent="0.25">
      <c r="G37" s="83" t="s">
        <v>20</v>
      </c>
      <c r="H37" s="84"/>
      <c r="I37" s="39" t="s">
        <v>15</v>
      </c>
    </row>
    <row r="38" spans="7:9" x14ac:dyDescent="0.25">
      <c r="G38" s="30" t="s">
        <v>48</v>
      </c>
      <c r="H38" s="31"/>
      <c r="I38" s="69"/>
    </row>
    <row r="39" spans="7:9" x14ac:dyDescent="0.25">
      <c r="G39" s="30" t="s">
        <v>21</v>
      </c>
      <c r="H39" s="44"/>
      <c r="I39" s="70"/>
    </row>
    <row r="40" spans="7:9" ht="15.75" thickBot="1" x14ac:dyDescent="0.3">
      <c r="G40" s="1" t="s">
        <v>22</v>
      </c>
      <c r="H40" s="43"/>
      <c r="I40" s="71"/>
    </row>
  </sheetData>
  <mergeCells count="27">
    <mergeCell ref="K5:L5"/>
    <mergeCell ref="M6:M8"/>
    <mergeCell ref="K10:L10"/>
    <mergeCell ref="M11:M13"/>
    <mergeCell ref="C2:E3"/>
    <mergeCell ref="G2:I3"/>
    <mergeCell ref="K2:M3"/>
    <mergeCell ref="C5:D5"/>
    <mergeCell ref="G12:H12"/>
    <mergeCell ref="C9:D9"/>
    <mergeCell ref="E10:E12"/>
    <mergeCell ref="G5:H5"/>
    <mergeCell ref="E6:E7"/>
    <mergeCell ref="C14:D14"/>
    <mergeCell ref="C15:D16"/>
    <mergeCell ref="G19:H19"/>
    <mergeCell ref="I20:I22"/>
    <mergeCell ref="G37:H37"/>
    <mergeCell ref="E15:E16"/>
    <mergeCell ref="G24:H24"/>
    <mergeCell ref="G29:H29"/>
    <mergeCell ref="I30:I35"/>
    <mergeCell ref="I38:I40"/>
    <mergeCell ref="I6:I10"/>
    <mergeCell ref="I13:I17"/>
    <mergeCell ref="I25:I27"/>
    <mergeCell ref="K15:L15"/>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allowBlank="1" showInputMessage="1" showErrorMessage="1">
          <x14:formula1>
            <xm:f>'___Dropdown values'!$B$20:$B$21</xm:f>
          </x14:formula1>
          <xm:sqref>H8</xm:sqref>
        </x14:dataValidation>
        <x14:dataValidation type="list" allowBlank="1" showInputMessage="1" showErrorMessage="1">
          <x14:formula1>
            <xm:f>'___Dropdown values'!$H$5:$H$6</xm:f>
          </x14:formula1>
          <xm:sqref>G24:H24</xm:sqref>
        </x14:dataValidation>
        <x14:dataValidation type="list" allowBlank="1" showInputMessage="1" showErrorMessage="1">
          <x14:formula1>
            <xm:f>'___Dropdown values'!$I$5:$I$6</xm:f>
          </x14:formula1>
          <xm:sqref>G37:H37</xm:sqref>
        </x14:dataValidation>
        <x14:dataValidation type="list" allowBlank="1" showInputMessage="1" showErrorMessage="1">
          <x14:formula1>
            <xm:f>'___Dropdown values'!$K$5:$K$6</xm:f>
          </x14:formula1>
          <xm:sqref>G19:H19</xm:sqref>
        </x14:dataValidation>
        <x14:dataValidation type="list" allowBlank="1" showInputMessage="1" showErrorMessage="1">
          <x14:formula1>
            <xm:f>'___Dropdown values'!$D$10:$D$11</xm:f>
          </x14:formula1>
          <xm:sqref>H10 H38</xm:sqref>
        </x14:dataValidation>
        <x14:dataValidation type="list" allowBlank="1" showInputMessage="1" showErrorMessage="1">
          <x14:formula1>
            <xm:f>'___Dropdown values'!$F$5:$F$6</xm:f>
          </x14:formula1>
          <xm:sqref>G5:H5</xm:sqref>
        </x14:dataValidation>
        <x14:dataValidation type="list" allowBlank="1" showInputMessage="1" showErrorMessage="1">
          <x14:formula1>
            <xm:f>'___Dropdown values'!$G$5:$G$6</xm:f>
          </x14:formula1>
          <xm:sqref>G12:H12</xm:sqref>
        </x14:dataValidation>
        <x14:dataValidation type="list" allowBlank="1" showInputMessage="1" showErrorMessage="1">
          <x14:formula1>
            <xm:f>'___Dropdown values'!$B$10:$B$17</xm:f>
          </x14:formula1>
          <xm:sqref>H7</xm:sqref>
        </x14:dataValidation>
        <x14:dataValidation type="list" allowBlank="1" showInputMessage="1" showErrorMessage="1">
          <x14:formula1>
            <xm:f>'___Dropdown values'!$D$4:$D$5</xm:f>
          </x14:formula1>
          <xm:sqref>H27</xm:sqref>
        </x14:dataValidation>
        <x14:dataValidation type="list" allowBlank="1" showInputMessage="1" showErrorMessage="1">
          <x14:formula1>
            <xm:f>'___Dropdown values'!$B$4:$B$7</xm:f>
          </x14:formula1>
          <xm:sqref>D7</xm:sqref>
        </x14:dataValidation>
        <x14:dataValidation type="list" allowBlank="1" showInputMessage="1" showErrorMessage="1">
          <x14:formula1>
            <xm:f>'___Dropdown values'!$D$14:$D$15</xm:f>
          </x14:formula1>
          <xm:sqref>L8 L13</xm:sqref>
        </x14:dataValidation>
        <x14:dataValidation type="list" allowBlank="1" showInputMessage="1" showErrorMessage="1">
          <x14:formula1>
            <xm:f>'___Dropdown values'!$D$25</xm:f>
          </x14:formula1>
          <xm:sqref>H32:H33</xm:sqref>
        </x14:dataValidation>
        <x14:dataValidation type="list" allowBlank="1" showInputMessage="1" showErrorMessage="1">
          <x14:formula1>
            <xm:f>'___Dropdown values'!$D$19:$D$22</xm:f>
          </x14:formula1>
          <xm:sqref>H34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142"/>
  <sheetViews>
    <sheetView zoomScale="80" zoomScaleNormal="80" workbookViewId="0">
      <selection activeCell="E148" sqref="E148"/>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customWidth="1"/>
    <col min="9" max="9" width="28" customWidth="1"/>
    <col min="10" max="10" width="13.42578125" customWidth="1"/>
    <col min="14" max="14" width="9.5703125" style="46" customWidth="1"/>
    <col min="15" max="15" width="9.140625" style="46"/>
  </cols>
  <sheetData>
    <row r="1" spans="4:15" ht="15.75" thickBot="1" x14ac:dyDescent="0.3"/>
    <row r="2" spans="4:15" x14ac:dyDescent="0.25">
      <c r="D2" s="83" t="s">
        <v>2</v>
      </c>
      <c r="E2" s="84"/>
      <c r="F2" s="41" t="s">
        <v>15</v>
      </c>
    </row>
    <row r="3" spans="4:15" x14ac:dyDescent="0.25">
      <c r="D3" s="30" t="s">
        <v>1</v>
      </c>
      <c r="E3" s="33" t="s">
        <v>13</v>
      </c>
      <c r="F3" s="94" t="s">
        <v>44</v>
      </c>
    </row>
    <row r="4" spans="4:15" ht="15.75" thickBot="1" x14ac:dyDescent="0.3">
      <c r="D4" s="1" t="s">
        <v>24</v>
      </c>
      <c r="E4" s="17" t="s">
        <v>33</v>
      </c>
      <c r="F4" s="95"/>
    </row>
    <row r="6" spans="4:15" s="2" customFormat="1" ht="15.75" thickBot="1" x14ac:dyDescent="0.3">
      <c r="D6" s="122" t="s">
        <v>8</v>
      </c>
      <c r="E6" s="122"/>
    </row>
    <row r="7" spans="4:15" ht="15.75" thickBot="1" x14ac:dyDescent="0.3">
      <c r="D7" s="46"/>
      <c r="E7" s="46"/>
      <c r="N7"/>
      <c r="O7"/>
    </row>
    <row r="8" spans="4:15" x14ac:dyDescent="0.25">
      <c r="D8" s="83" t="s">
        <v>2</v>
      </c>
      <c r="E8" s="84"/>
      <c r="F8" s="41" t="s">
        <v>15</v>
      </c>
      <c r="N8"/>
      <c r="O8"/>
    </row>
    <row r="9" spans="4:15" x14ac:dyDescent="0.25">
      <c r="D9" s="30" t="s">
        <v>1</v>
      </c>
      <c r="E9" s="52" t="s">
        <v>95</v>
      </c>
      <c r="F9" s="123"/>
      <c r="N9"/>
      <c r="O9"/>
    </row>
    <row r="10" spans="4:15" ht="15.75" thickBot="1" x14ac:dyDescent="0.3">
      <c r="D10" s="1" t="s">
        <v>24</v>
      </c>
      <c r="E10" s="17" t="s">
        <v>33</v>
      </c>
      <c r="F10" s="124"/>
      <c r="N10"/>
      <c r="O10"/>
    </row>
    <row r="11" spans="4:15" ht="15.75" thickBot="1" x14ac:dyDescent="0.3">
      <c r="E11" s="40"/>
      <c r="F11" s="53"/>
      <c r="N11"/>
      <c r="O11"/>
    </row>
    <row r="12" spans="4:15" x14ac:dyDescent="0.25">
      <c r="D12" s="81" t="s">
        <v>71</v>
      </c>
      <c r="E12" s="82"/>
      <c r="F12" s="45" t="s">
        <v>15</v>
      </c>
      <c r="N12"/>
      <c r="O12"/>
    </row>
    <row r="13" spans="4:15" x14ac:dyDescent="0.25">
      <c r="D13" s="5" t="s">
        <v>37</v>
      </c>
      <c r="E13" s="20" t="str">
        <f>E3</f>
        <v>Sample</v>
      </c>
      <c r="F13" s="125"/>
      <c r="N13"/>
      <c r="O13"/>
    </row>
    <row r="14" spans="4:15" x14ac:dyDescent="0.25">
      <c r="D14" s="5" t="s">
        <v>80</v>
      </c>
      <c r="E14" s="20" t="str">
        <f>Worklist!D1</f>
        <v>Sample Location</v>
      </c>
      <c r="F14" s="126"/>
      <c r="N14"/>
      <c r="O14"/>
    </row>
    <row r="15" spans="4:15" ht="15.75" thickBot="1" x14ac:dyDescent="0.3">
      <c r="D15" s="6" t="s">
        <v>72</v>
      </c>
      <c r="E15" s="21" t="s">
        <v>74</v>
      </c>
      <c r="F15" s="127"/>
      <c r="N15"/>
      <c r="O15"/>
    </row>
    <row r="16" spans="4:15" ht="15.75" thickBot="1" x14ac:dyDescent="0.3">
      <c r="N16"/>
      <c r="O16"/>
    </row>
    <row r="17" spans="1:15" x14ac:dyDescent="0.25">
      <c r="D17" s="120" t="s">
        <v>0</v>
      </c>
      <c r="E17" s="121"/>
      <c r="F17" s="29" t="s">
        <v>15</v>
      </c>
      <c r="N17"/>
      <c r="O17"/>
    </row>
    <row r="18" spans="1:15" x14ac:dyDescent="0.25">
      <c r="A18" t="s">
        <v>70</v>
      </c>
      <c r="D18" s="3" t="s">
        <v>37</v>
      </c>
      <c r="E18" s="13" t="str">
        <f>E26</f>
        <v>7M GnHCl, 100mM Tris pH 8.3, 5mM L-Met</v>
      </c>
      <c r="F18" s="128" t="s">
        <v>97</v>
      </c>
      <c r="N18"/>
      <c r="O18"/>
    </row>
    <row r="19" spans="1:15" x14ac:dyDescent="0.25">
      <c r="D19" s="3" t="s">
        <v>53</v>
      </c>
      <c r="E19" s="13" t="s">
        <v>65</v>
      </c>
      <c r="F19" s="129"/>
      <c r="N19"/>
      <c r="O19"/>
    </row>
    <row r="20" spans="1:15" x14ac:dyDescent="0.25">
      <c r="D20" s="3" t="s">
        <v>51</v>
      </c>
      <c r="E20" s="13" t="s">
        <v>58</v>
      </c>
      <c r="F20" s="129"/>
      <c r="N20"/>
      <c r="O20"/>
    </row>
    <row r="21" spans="1:15" x14ac:dyDescent="0.25">
      <c r="D21" s="3" t="s">
        <v>11</v>
      </c>
      <c r="E21" s="13">
        <v>0</v>
      </c>
      <c r="F21" s="129"/>
      <c r="N21"/>
      <c r="O21"/>
    </row>
    <row r="22" spans="1:15" ht="15.75" thickBot="1" x14ac:dyDescent="0.3">
      <c r="D22" s="4" t="s">
        <v>40</v>
      </c>
      <c r="E22" s="14" t="s">
        <v>41</v>
      </c>
      <c r="F22" s="130"/>
      <c r="N22"/>
      <c r="O22"/>
    </row>
    <row r="23" spans="1:15" ht="15.75" thickBot="1" x14ac:dyDescent="0.3">
      <c r="N23"/>
      <c r="O23"/>
    </row>
    <row r="24" spans="1:15" x14ac:dyDescent="0.25">
      <c r="D24" s="113" t="s">
        <v>16</v>
      </c>
      <c r="E24" s="114"/>
      <c r="F24" s="26" t="s">
        <v>15</v>
      </c>
      <c r="N24"/>
      <c r="O24"/>
    </row>
    <row r="25" spans="1:15" x14ac:dyDescent="0.25">
      <c r="D25" s="7" t="s">
        <v>37</v>
      </c>
      <c r="E25" s="15" t="str">
        <f>E3</f>
        <v>Sample</v>
      </c>
      <c r="F25" s="131"/>
      <c r="N25"/>
      <c r="O25"/>
    </row>
    <row r="26" spans="1:15" x14ac:dyDescent="0.25">
      <c r="D26" s="7" t="s">
        <v>3</v>
      </c>
      <c r="E26" s="15" t="s">
        <v>96</v>
      </c>
      <c r="F26" s="132"/>
      <c r="N26"/>
      <c r="O26"/>
    </row>
    <row r="27" spans="1:15" x14ac:dyDescent="0.25">
      <c r="D27" s="7" t="s">
        <v>6</v>
      </c>
      <c r="E27" s="15" t="str">
        <f>Worklist!E1</f>
        <v>Concentration</v>
      </c>
      <c r="F27" s="132"/>
      <c r="N27"/>
      <c r="O27"/>
    </row>
    <row r="28" spans="1:15" x14ac:dyDescent="0.25">
      <c r="D28" s="7" t="s">
        <v>7</v>
      </c>
      <c r="E28" s="15">
        <v>1</v>
      </c>
      <c r="F28" s="132"/>
      <c r="N28"/>
      <c r="O28"/>
    </row>
    <row r="29" spans="1:15" x14ac:dyDescent="0.25">
      <c r="D29" s="7" t="s">
        <v>10</v>
      </c>
      <c r="E29" s="15">
        <v>100</v>
      </c>
      <c r="F29" s="132"/>
      <c r="N29"/>
      <c r="O29"/>
    </row>
    <row r="30" spans="1:15" ht="15.75" thickBot="1" x14ac:dyDescent="0.3">
      <c r="D30" s="8" t="s">
        <v>106</v>
      </c>
      <c r="E30" s="16">
        <v>100</v>
      </c>
      <c r="F30" s="133"/>
      <c r="N30"/>
      <c r="O30"/>
    </row>
    <row r="31" spans="1:15" ht="15.75" thickBot="1" x14ac:dyDescent="0.3">
      <c r="D31" s="46"/>
      <c r="E31" s="46"/>
      <c r="N31"/>
      <c r="O31"/>
    </row>
    <row r="32" spans="1:15" x14ac:dyDescent="0.25">
      <c r="D32" s="120" t="s">
        <v>0</v>
      </c>
      <c r="E32" s="121"/>
      <c r="F32" s="29" t="s">
        <v>15</v>
      </c>
      <c r="N32"/>
      <c r="O32"/>
    </row>
    <row r="33" spans="4:15" x14ac:dyDescent="0.25">
      <c r="D33" s="3" t="s">
        <v>37</v>
      </c>
      <c r="E33" s="13" t="s">
        <v>98</v>
      </c>
      <c r="F33" s="128"/>
      <c r="N33"/>
      <c r="O33"/>
    </row>
    <row r="34" spans="4:15" x14ac:dyDescent="0.25">
      <c r="D34" s="3" t="s">
        <v>53</v>
      </c>
      <c r="E34" s="13" t="s">
        <v>61</v>
      </c>
      <c r="F34" s="129"/>
      <c r="N34"/>
      <c r="O34"/>
    </row>
    <row r="35" spans="4:15" x14ac:dyDescent="0.25">
      <c r="D35" s="3" t="s">
        <v>51</v>
      </c>
      <c r="E35" s="13" t="s">
        <v>58</v>
      </c>
      <c r="F35" s="129"/>
      <c r="N35"/>
      <c r="O35"/>
    </row>
    <row r="36" spans="4:15" x14ac:dyDescent="0.25">
      <c r="D36" s="3" t="s">
        <v>11</v>
      </c>
      <c r="E36" s="13">
        <v>4</v>
      </c>
      <c r="F36" s="129"/>
      <c r="N36"/>
      <c r="O36"/>
    </row>
    <row r="37" spans="4:15" ht="15.75" thickBot="1" x14ac:dyDescent="0.3">
      <c r="D37" s="4" t="s">
        <v>40</v>
      </c>
      <c r="E37" s="14" t="s">
        <v>41</v>
      </c>
      <c r="F37" s="130"/>
      <c r="N37"/>
      <c r="O37"/>
    </row>
    <row r="38" spans="4:15" ht="15.75" thickBot="1" x14ac:dyDescent="0.3">
      <c r="N38"/>
      <c r="O38"/>
    </row>
    <row r="39" spans="4:15" x14ac:dyDescent="0.25">
      <c r="D39" s="89" t="s">
        <v>38</v>
      </c>
      <c r="E39" s="90"/>
      <c r="F39" s="28" t="s">
        <v>15</v>
      </c>
      <c r="N39"/>
      <c r="O39"/>
    </row>
    <row r="40" spans="4:15" x14ac:dyDescent="0.25">
      <c r="D40" s="11" t="s">
        <v>12</v>
      </c>
      <c r="E40" s="22">
        <v>30</v>
      </c>
      <c r="F40" s="134"/>
      <c r="N40"/>
      <c r="O40"/>
    </row>
    <row r="41" spans="4:15" x14ac:dyDescent="0.25">
      <c r="D41" s="11" t="s">
        <v>9</v>
      </c>
      <c r="E41" s="22">
        <v>30</v>
      </c>
      <c r="F41" s="135"/>
      <c r="N41"/>
      <c r="O41"/>
    </row>
    <row r="42" spans="4:15" ht="15.75" thickBot="1" x14ac:dyDescent="0.3">
      <c r="D42" s="12" t="s">
        <v>19</v>
      </c>
      <c r="E42" s="23">
        <v>0</v>
      </c>
      <c r="F42" s="136"/>
      <c r="N42"/>
      <c r="O42"/>
    </row>
    <row r="43" spans="4:15" ht="15.75" thickBot="1" x14ac:dyDescent="0.3">
      <c r="N43"/>
      <c r="O43"/>
    </row>
    <row r="44" spans="4:15" x14ac:dyDescent="0.25">
      <c r="D44" s="120" t="s">
        <v>0</v>
      </c>
      <c r="E44" s="121"/>
      <c r="F44" s="29" t="s">
        <v>15</v>
      </c>
      <c r="N44"/>
      <c r="O44"/>
    </row>
    <row r="45" spans="4:15" x14ac:dyDescent="0.25">
      <c r="D45" s="3" t="s">
        <v>37</v>
      </c>
      <c r="E45" s="13" t="s">
        <v>99</v>
      </c>
      <c r="F45" s="128"/>
      <c r="N45"/>
      <c r="O45"/>
    </row>
    <row r="46" spans="4:15" x14ac:dyDescent="0.25">
      <c r="D46" s="3" t="s">
        <v>53</v>
      </c>
      <c r="E46" s="13" t="s">
        <v>62</v>
      </c>
      <c r="F46" s="129"/>
      <c r="N46"/>
      <c r="O46"/>
    </row>
    <row r="47" spans="4:15" x14ac:dyDescent="0.25">
      <c r="D47" s="3" t="s">
        <v>51</v>
      </c>
      <c r="E47" s="13" t="s">
        <v>58</v>
      </c>
      <c r="F47" s="129"/>
      <c r="N47"/>
      <c r="O47"/>
    </row>
    <row r="48" spans="4:15" x14ac:dyDescent="0.25">
      <c r="D48" s="3" t="s">
        <v>11</v>
      </c>
      <c r="E48" s="13">
        <v>6</v>
      </c>
      <c r="F48" s="129"/>
      <c r="N48"/>
      <c r="O48"/>
    </row>
    <row r="49" spans="4:15" ht="15.75" thickBot="1" x14ac:dyDescent="0.3">
      <c r="D49" s="4" t="s">
        <v>40</v>
      </c>
      <c r="E49" s="14" t="s">
        <v>41</v>
      </c>
      <c r="F49" s="130"/>
      <c r="N49"/>
      <c r="O49"/>
    </row>
    <row r="50" spans="4:15" ht="15.75" thickBot="1" x14ac:dyDescent="0.3">
      <c r="N50"/>
      <c r="O50"/>
    </row>
    <row r="51" spans="4:15" x14ac:dyDescent="0.25">
      <c r="D51" s="89" t="s">
        <v>38</v>
      </c>
      <c r="E51" s="90"/>
      <c r="F51" s="28" t="s">
        <v>15</v>
      </c>
      <c r="N51"/>
      <c r="O51"/>
    </row>
    <row r="52" spans="4:15" x14ac:dyDescent="0.25">
      <c r="D52" s="11" t="s">
        <v>12</v>
      </c>
      <c r="E52" s="22">
        <v>25</v>
      </c>
      <c r="F52" s="134"/>
      <c r="N52"/>
      <c r="O52"/>
    </row>
    <row r="53" spans="4:15" x14ac:dyDescent="0.25">
      <c r="D53" s="11" t="s">
        <v>9</v>
      </c>
      <c r="E53" s="22">
        <v>30</v>
      </c>
      <c r="F53" s="135"/>
      <c r="N53"/>
      <c r="O53"/>
    </row>
    <row r="54" spans="4:15" ht="15.75" thickBot="1" x14ac:dyDescent="0.3">
      <c r="D54" s="12" t="s">
        <v>19</v>
      </c>
      <c r="E54" s="23">
        <v>0</v>
      </c>
      <c r="F54" s="136"/>
      <c r="N54"/>
      <c r="O54"/>
    </row>
    <row r="55" spans="4:15" ht="15.75" thickBot="1" x14ac:dyDescent="0.3">
      <c r="D55" s="46"/>
      <c r="E55" s="46"/>
      <c r="N55"/>
      <c r="O55"/>
    </row>
    <row r="56" spans="4:15" x14ac:dyDescent="0.25">
      <c r="D56" s="83" t="s">
        <v>2</v>
      </c>
      <c r="E56" s="84"/>
      <c r="F56" s="41" t="s">
        <v>15</v>
      </c>
      <c r="N56"/>
      <c r="O56"/>
    </row>
    <row r="57" spans="4:15" x14ac:dyDescent="0.25">
      <c r="D57" s="30" t="s">
        <v>1</v>
      </c>
      <c r="E57" s="52" t="s">
        <v>100</v>
      </c>
      <c r="F57" s="123"/>
      <c r="N57"/>
      <c r="O57"/>
    </row>
    <row r="58" spans="4:15" ht="15.75" thickBot="1" x14ac:dyDescent="0.3">
      <c r="D58" s="1" t="s">
        <v>24</v>
      </c>
      <c r="E58" s="32" t="s">
        <v>33</v>
      </c>
      <c r="F58" s="124"/>
      <c r="N58"/>
      <c r="O58"/>
    </row>
    <row r="59" spans="4:15" ht="15.75" thickBot="1" x14ac:dyDescent="0.3">
      <c r="N59"/>
      <c r="O59"/>
    </row>
    <row r="60" spans="4:15" x14ac:dyDescent="0.25">
      <c r="D60" s="81" t="s">
        <v>5</v>
      </c>
      <c r="E60" s="82"/>
      <c r="F60" s="45" t="s">
        <v>15</v>
      </c>
      <c r="N60"/>
      <c r="O60"/>
    </row>
    <row r="61" spans="4:15" x14ac:dyDescent="0.25">
      <c r="D61" s="5" t="s">
        <v>37</v>
      </c>
      <c r="E61" s="20" t="str">
        <f>E9</f>
        <v>Denaturation</v>
      </c>
      <c r="F61" s="125"/>
      <c r="N61"/>
      <c r="O61"/>
    </row>
    <row r="62" spans="4:15" x14ac:dyDescent="0.25">
      <c r="D62" s="5" t="s">
        <v>36</v>
      </c>
      <c r="E62" s="20" t="s">
        <v>102</v>
      </c>
      <c r="F62" s="126"/>
      <c r="N62"/>
      <c r="O62"/>
    </row>
    <row r="63" spans="4:15" ht="15.75" thickBot="1" x14ac:dyDescent="0.3">
      <c r="D63" s="6" t="s">
        <v>24</v>
      </c>
      <c r="E63" s="21" t="s">
        <v>66</v>
      </c>
      <c r="F63" s="127"/>
      <c r="N63"/>
      <c r="O63"/>
    </row>
    <row r="64" spans="4:15" ht="15.75" thickBot="1" x14ac:dyDescent="0.3">
      <c r="N64"/>
      <c r="O64"/>
    </row>
    <row r="65" spans="4:15" x14ac:dyDescent="0.25">
      <c r="D65" s="83" t="s">
        <v>2</v>
      </c>
      <c r="E65" s="84"/>
      <c r="F65" s="41" t="s">
        <v>15</v>
      </c>
      <c r="N65"/>
      <c r="O65"/>
    </row>
    <row r="66" spans="4:15" x14ac:dyDescent="0.25">
      <c r="D66" s="30" t="s">
        <v>1</v>
      </c>
      <c r="E66" s="52" t="s">
        <v>101</v>
      </c>
      <c r="F66" s="123"/>
      <c r="N66"/>
      <c r="O66"/>
    </row>
    <row r="67" spans="4:15" ht="15.75" thickBot="1" x14ac:dyDescent="0.3">
      <c r="D67" s="1" t="s">
        <v>24</v>
      </c>
      <c r="E67" s="32" t="s">
        <v>33</v>
      </c>
      <c r="F67" s="124"/>
      <c r="N67"/>
      <c r="O67"/>
    </row>
    <row r="68" spans="4:15" ht="15.75" thickBot="1" x14ac:dyDescent="0.3">
      <c r="D68" s="46"/>
      <c r="E68" s="46"/>
      <c r="N68"/>
      <c r="O68"/>
    </row>
    <row r="69" spans="4:15" x14ac:dyDescent="0.25">
      <c r="D69" s="83" t="s">
        <v>20</v>
      </c>
      <c r="E69" s="84"/>
      <c r="F69" s="39" t="s">
        <v>15</v>
      </c>
      <c r="N69"/>
      <c r="O69"/>
    </row>
    <row r="70" spans="4:15" x14ac:dyDescent="0.25">
      <c r="D70" s="30" t="s">
        <v>48</v>
      </c>
      <c r="E70" s="31" t="s">
        <v>41</v>
      </c>
      <c r="F70" s="69"/>
      <c r="N70"/>
      <c r="O70"/>
    </row>
    <row r="71" spans="4:15" x14ac:dyDescent="0.25">
      <c r="D71" s="30" t="s">
        <v>21</v>
      </c>
      <c r="E71" s="44" t="s">
        <v>103</v>
      </c>
      <c r="F71" s="70"/>
      <c r="N71"/>
      <c r="O71"/>
    </row>
    <row r="72" spans="4:15" ht="60.75" thickBot="1" x14ac:dyDescent="0.3">
      <c r="D72" s="1" t="s">
        <v>22</v>
      </c>
      <c r="E72" s="43" t="s">
        <v>104</v>
      </c>
      <c r="F72" s="71"/>
      <c r="N72"/>
      <c r="O72"/>
    </row>
    <row r="73" spans="4:15" ht="15.75" thickBot="1" x14ac:dyDescent="0.3">
      <c r="D73" s="46"/>
      <c r="E73" s="46"/>
      <c r="N73"/>
      <c r="O73"/>
    </row>
    <row r="74" spans="4:15" x14ac:dyDescent="0.25">
      <c r="D74" s="113" t="s">
        <v>16</v>
      </c>
      <c r="E74" s="114"/>
      <c r="F74" s="26" t="s">
        <v>15</v>
      </c>
      <c r="N74"/>
      <c r="O74"/>
    </row>
    <row r="75" spans="4:15" x14ac:dyDescent="0.25">
      <c r="D75" s="7" t="s">
        <v>37</v>
      </c>
      <c r="E75" s="15" t="str">
        <f>E57</f>
        <v>Desalting</v>
      </c>
      <c r="F75" s="131"/>
      <c r="N75"/>
      <c r="O75"/>
    </row>
    <row r="76" spans="4:15" x14ac:dyDescent="0.25">
      <c r="D76" s="7" t="s">
        <v>3</v>
      </c>
      <c r="E76" s="15" t="str">
        <f>E62</f>
        <v>50mM Tris pH 7.9</v>
      </c>
      <c r="F76" s="132"/>
      <c r="N76"/>
      <c r="O76"/>
    </row>
    <row r="77" spans="4:15" x14ac:dyDescent="0.25">
      <c r="D77" s="7" t="s">
        <v>6</v>
      </c>
      <c r="E77" s="15" t="str">
        <f>Worklist!F1</f>
        <v>Desalting Concentration</v>
      </c>
      <c r="F77" s="132"/>
      <c r="N77"/>
      <c r="O77"/>
    </row>
    <row r="78" spans="4:15" x14ac:dyDescent="0.25">
      <c r="D78" s="7" t="s">
        <v>7</v>
      </c>
      <c r="E78" s="15">
        <v>0.5</v>
      </c>
      <c r="F78" s="132"/>
      <c r="N78"/>
      <c r="O78"/>
    </row>
    <row r="79" spans="4:15" x14ac:dyDescent="0.25">
      <c r="D79" s="7" t="s">
        <v>10</v>
      </c>
      <c r="E79" s="15">
        <v>100</v>
      </c>
      <c r="F79" s="132"/>
      <c r="N79"/>
      <c r="O79"/>
    </row>
    <row r="80" spans="4:15" ht="15.75" thickBot="1" x14ac:dyDescent="0.3">
      <c r="D80" s="8" t="s">
        <v>106</v>
      </c>
      <c r="E80" s="16">
        <v>70</v>
      </c>
      <c r="F80" s="133"/>
      <c r="N80"/>
      <c r="O80"/>
    </row>
    <row r="81" spans="4:15" ht="15.75" thickBot="1" x14ac:dyDescent="0.3"/>
    <row r="82" spans="4:15" x14ac:dyDescent="0.25">
      <c r="D82" s="120" t="s">
        <v>0</v>
      </c>
      <c r="E82" s="121"/>
      <c r="F82" s="29" t="s">
        <v>15</v>
      </c>
    </row>
    <row r="83" spans="4:15" x14ac:dyDescent="0.25">
      <c r="D83" s="3" t="s">
        <v>37</v>
      </c>
      <c r="E83" s="13" t="s">
        <v>105</v>
      </c>
      <c r="F83" s="128"/>
    </row>
    <row r="84" spans="4:15" x14ac:dyDescent="0.25">
      <c r="D84" s="3" t="s">
        <v>53</v>
      </c>
      <c r="E84" s="13" t="s">
        <v>65</v>
      </c>
      <c r="F84" s="129"/>
    </row>
    <row r="85" spans="4:15" x14ac:dyDescent="0.25">
      <c r="D85" s="3" t="s">
        <v>51</v>
      </c>
      <c r="E85" s="13" t="s">
        <v>58</v>
      </c>
      <c r="F85" s="129"/>
    </row>
    <row r="86" spans="4:15" x14ac:dyDescent="0.25">
      <c r="D86" s="3" t="s">
        <v>11</v>
      </c>
      <c r="E86" s="13" t="str">
        <f>Worklist!J1</f>
        <v>GnHCl Volume</v>
      </c>
      <c r="F86" s="129"/>
    </row>
    <row r="87" spans="4:15" ht="15.75" thickBot="1" x14ac:dyDescent="0.3">
      <c r="D87" s="4" t="s">
        <v>40</v>
      </c>
      <c r="E87" s="14" t="s">
        <v>41</v>
      </c>
      <c r="F87" s="130"/>
    </row>
    <row r="88" spans="4:15" ht="15.75" thickBot="1" x14ac:dyDescent="0.3"/>
    <row r="89" spans="4:15" x14ac:dyDescent="0.25">
      <c r="D89" s="120" t="s">
        <v>0</v>
      </c>
      <c r="E89" s="121"/>
      <c r="F89" s="29" t="s">
        <v>15</v>
      </c>
    </row>
    <row r="90" spans="4:15" x14ac:dyDescent="0.25">
      <c r="D90" s="3" t="s">
        <v>37</v>
      </c>
      <c r="E90" s="13" t="s">
        <v>114</v>
      </c>
      <c r="F90" s="128"/>
    </row>
    <row r="91" spans="4:15" x14ac:dyDescent="0.25">
      <c r="D91" s="3" t="s">
        <v>53</v>
      </c>
      <c r="E91" s="13" t="s">
        <v>64</v>
      </c>
      <c r="F91" s="129"/>
    </row>
    <row r="92" spans="4:15" x14ac:dyDescent="0.25">
      <c r="D92" s="3" t="s">
        <v>51</v>
      </c>
      <c r="E92" s="13" t="s">
        <v>58</v>
      </c>
      <c r="F92" s="129"/>
    </row>
    <row r="93" spans="4:15" x14ac:dyDescent="0.25">
      <c r="D93" s="3" t="s">
        <v>11</v>
      </c>
      <c r="E93" s="13" t="str">
        <f>Worklist!K1</f>
        <v>Water Volume</v>
      </c>
      <c r="F93" s="129"/>
    </row>
    <row r="94" spans="4:15" ht="15.75" thickBot="1" x14ac:dyDescent="0.3">
      <c r="D94" s="4" t="s">
        <v>40</v>
      </c>
      <c r="E94" s="14" t="s">
        <v>41</v>
      </c>
      <c r="F94" s="130"/>
    </row>
    <row r="95" spans="4:15" ht="15.75" thickBot="1" x14ac:dyDescent="0.3"/>
    <row r="96" spans="4:15" x14ac:dyDescent="0.25">
      <c r="D96" s="120" t="s">
        <v>0</v>
      </c>
      <c r="E96" s="121"/>
      <c r="F96" s="29" t="s">
        <v>15</v>
      </c>
      <c r="N96"/>
      <c r="O96"/>
    </row>
    <row r="97" spans="1:15" x14ac:dyDescent="0.25">
      <c r="D97" s="3" t="s">
        <v>37</v>
      </c>
      <c r="E97" s="13" t="s">
        <v>107</v>
      </c>
      <c r="F97" s="128"/>
      <c r="N97"/>
      <c r="O97"/>
    </row>
    <row r="98" spans="1:15" x14ac:dyDescent="0.25">
      <c r="D98" s="3" t="s">
        <v>53</v>
      </c>
      <c r="E98" s="13" t="s">
        <v>14</v>
      </c>
      <c r="F98" s="129"/>
      <c r="N98"/>
      <c r="O98"/>
    </row>
    <row r="99" spans="1:15" x14ac:dyDescent="0.25">
      <c r="D99" s="3" t="s">
        <v>51</v>
      </c>
      <c r="E99" s="13" t="s">
        <v>59</v>
      </c>
      <c r="F99" s="129"/>
      <c r="N99"/>
      <c r="O99"/>
    </row>
    <row r="100" spans="1:15" x14ac:dyDescent="0.25">
      <c r="D100" s="3" t="s">
        <v>11</v>
      </c>
      <c r="E100" s="13">
        <v>5</v>
      </c>
      <c r="F100" s="129"/>
      <c r="N100"/>
      <c r="O100"/>
    </row>
    <row r="101" spans="1:15" ht="15.75" thickBot="1" x14ac:dyDescent="0.3">
      <c r="A101" t="s">
        <v>112</v>
      </c>
      <c r="D101" s="4" t="s">
        <v>40</v>
      </c>
      <c r="E101" s="14" t="s">
        <v>41</v>
      </c>
      <c r="F101" s="130"/>
      <c r="N101"/>
      <c r="O101"/>
    </row>
    <row r="102" spans="1:15" ht="15.75" thickBot="1" x14ac:dyDescent="0.3">
      <c r="A102" t="s">
        <v>113</v>
      </c>
      <c r="D102" s="46"/>
      <c r="E102" s="46"/>
      <c r="N102"/>
      <c r="O102"/>
    </row>
    <row r="103" spans="1:15" x14ac:dyDescent="0.25">
      <c r="D103" s="89" t="s">
        <v>38</v>
      </c>
      <c r="E103" s="90"/>
      <c r="F103" s="28" t="s">
        <v>15</v>
      </c>
      <c r="N103"/>
      <c r="O103"/>
    </row>
    <row r="104" spans="1:15" x14ac:dyDescent="0.25">
      <c r="D104" s="11" t="s">
        <v>12</v>
      </c>
      <c r="E104" s="22">
        <v>30</v>
      </c>
      <c r="F104" s="134"/>
      <c r="N104"/>
      <c r="O104"/>
    </row>
    <row r="105" spans="1:15" x14ac:dyDescent="0.25">
      <c r="D105" s="11" t="s">
        <v>9</v>
      </c>
      <c r="E105" s="22">
        <v>55</v>
      </c>
      <c r="F105" s="135"/>
      <c r="N105"/>
      <c r="O105"/>
    </row>
    <row r="106" spans="1:15" ht="15.75" thickBot="1" x14ac:dyDescent="0.3">
      <c r="D106" s="12" t="s">
        <v>19</v>
      </c>
      <c r="E106" s="23">
        <v>0</v>
      </c>
      <c r="F106" s="136"/>
      <c r="N106"/>
      <c r="O106"/>
    </row>
    <row r="107" spans="1:15" ht="16.5" customHeight="1" thickBot="1" x14ac:dyDescent="0.3">
      <c r="N107"/>
      <c r="O107"/>
    </row>
    <row r="108" spans="1:15" ht="15.75" customHeight="1" x14ac:dyDescent="0.25">
      <c r="D108" s="115" t="s">
        <v>4</v>
      </c>
      <c r="E108" s="116"/>
      <c r="F108" s="25" t="s">
        <v>15</v>
      </c>
      <c r="N108"/>
      <c r="O108"/>
    </row>
    <row r="109" spans="1:15" ht="15.75" customHeight="1" x14ac:dyDescent="0.25">
      <c r="D109" s="9" t="s">
        <v>23</v>
      </c>
      <c r="E109" s="18" t="str">
        <f>Worklist!H1</f>
        <v>_55min</v>
      </c>
      <c r="F109" s="117"/>
      <c r="N109"/>
      <c r="O109"/>
    </row>
    <row r="110" spans="1:15" ht="15.75" customHeight="1" x14ac:dyDescent="0.25">
      <c r="D110" s="9" t="s">
        <v>34</v>
      </c>
      <c r="E110" s="18" t="s">
        <v>108</v>
      </c>
      <c r="F110" s="118"/>
      <c r="N110"/>
      <c r="O110"/>
    </row>
    <row r="111" spans="1:15" ht="15.75" customHeight="1" thickBot="1" x14ac:dyDescent="0.3">
      <c r="D111" s="10" t="s">
        <v>35</v>
      </c>
      <c r="E111" s="19" t="s">
        <v>101</v>
      </c>
      <c r="F111" s="119"/>
      <c r="N111"/>
      <c r="O111"/>
    </row>
    <row r="112" spans="1:15" ht="15.75" customHeight="1" thickBot="1" x14ac:dyDescent="0.3">
      <c r="N112"/>
      <c r="O112"/>
    </row>
    <row r="113" spans="2:15" ht="24.75" customHeight="1" x14ac:dyDescent="0.25">
      <c r="B113" s="83" t="s">
        <v>2</v>
      </c>
      <c r="C113" s="84"/>
      <c r="D113" s="41" t="s">
        <v>15</v>
      </c>
      <c r="F113" s="83" t="s">
        <v>2</v>
      </c>
      <c r="G113" s="84"/>
      <c r="H113" s="41" t="s">
        <v>15</v>
      </c>
      <c r="N113"/>
      <c r="O113"/>
    </row>
    <row r="114" spans="2:15" ht="24.75" customHeight="1" thickBot="1" x14ac:dyDescent="0.3">
      <c r="B114" s="30" t="s">
        <v>1</v>
      </c>
      <c r="C114" s="56" t="s">
        <v>101</v>
      </c>
      <c r="D114" s="94"/>
      <c r="F114" s="30" t="s">
        <v>1</v>
      </c>
      <c r="G114" s="57" t="s">
        <v>108</v>
      </c>
      <c r="H114" s="94" t="s">
        <v>111</v>
      </c>
      <c r="N114"/>
      <c r="O114"/>
    </row>
    <row r="115" spans="2:15" ht="15.75" thickBot="1" x14ac:dyDescent="0.3">
      <c r="B115" s="42" t="s">
        <v>24</v>
      </c>
      <c r="C115" s="32" t="s">
        <v>33</v>
      </c>
      <c r="D115" s="95"/>
      <c r="F115" s="42" t="s">
        <v>24</v>
      </c>
      <c r="G115" s="32" t="s">
        <v>33</v>
      </c>
      <c r="H115" s="95"/>
      <c r="N115"/>
      <c r="O115"/>
    </row>
    <row r="116" spans="2:15" ht="15.75" thickBot="1" x14ac:dyDescent="0.3">
      <c r="F116" s="54"/>
      <c r="G116" s="46"/>
      <c r="H116" s="55"/>
      <c r="N116"/>
      <c r="O116"/>
    </row>
    <row r="117" spans="2:15" x14ac:dyDescent="0.25">
      <c r="B117" s="89" t="s">
        <v>38</v>
      </c>
      <c r="C117" s="90"/>
      <c r="D117" s="28" t="s">
        <v>15</v>
      </c>
      <c r="F117" s="120" t="s">
        <v>0</v>
      </c>
      <c r="G117" s="121"/>
      <c r="H117" s="29" t="s">
        <v>15</v>
      </c>
      <c r="N117"/>
      <c r="O117"/>
    </row>
    <row r="118" spans="2:15" x14ac:dyDescent="0.25">
      <c r="B118" s="11" t="s">
        <v>12</v>
      </c>
      <c r="C118" s="22">
        <v>30</v>
      </c>
      <c r="D118" s="134"/>
      <c r="F118" s="3" t="s">
        <v>37</v>
      </c>
      <c r="G118" s="13" t="s">
        <v>101</v>
      </c>
      <c r="H118" s="128"/>
      <c r="N118"/>
      <c r="O118"/>
    </row>
    <row r="119" spans="2:15" x14ac:dyDescent="0.25">
      <c r="B119" s="11" t="s">
        <v>9</v>
      </c>
      <c r="C119" s="22">
        <v>10</v>
      </c>
      <c r="D119" s="135"/>
      <c r="F119" s="3" t="s">
        <v>53</v>
      </c>
      <c r="G119" s="13" t="s">
        <v>2</v>
      </c>
      <c r="H119" s="129"/>
      <c r="N119"/>
      <c r="O119"/>
    </row>
    <row r="120" spans="2:15" ht="15.75" thickBot="1" x14ac:dyDescent="0.3">
      <c r="B120" s="12" t="s">
        <v>19</v>
      </c>
      <c r="C120" s="23">
        <v>0</v>
      </c>
      <c r="D120" s="136"/>
      <c r="F120" s="3" t="s">
        <v>51</v>
      </c>
      <c r="G120" s="13" t="s">
        <v>58</v>
      </c>
      <c r="H120" s="129"/>
      <c r="N120"/>
      <c r="O120"/>
    </row>
    <row r="121" spans="2:15" ht="15.75" thickBot="1" x14ac:dyDescent="0.3">
      <c r="F121" s="3" t="s">
        <v>11</v>
      </c>
      <c r="G121" s="13">
        <v>120</v>
      </c>
      <c r="H121" s="129"/>
      <c r="N121"/>
      <c r="O121"/>
    </row>
    <row r="122" spans="2:15" ht="15.75" thickBot="1" x14ac:dyDescent="0.3">
      <c r="B122" s="83" t="s">
        <v>2</v>
      </c>
      <c r="C122" s="84"/>
      <c r="D122" s="41" t="s">
        <v>15</v>
      </c>
      <c r="F122" s="4" t="s">
        <v>40</v>
      </c>
      <c r="G122" s="14" t="s">
        <v>42</v>
      </c>
      <c r="H122" s="130"/>
      <c r="N122"/>
      <c r="O122"/>
    </row>
    <row r="123" spans="2:15" ht="15.75" thickBot="1" x14ac:dyDescent="0.3">
      <c r="B123" s="30" t="s">
        <v>1</v>
      </c>
      <c r="C123" s="57" t="s">
        <v>108</v>
      </c>
      <c r="D123" s="94" t="s">
        <v>111</v>
      </c>
      <c r="N123"/>
      <c r="O123"/>
    </row>
    <row r="124" spans="2:15" ht="15.75" thickBot="1" x14ac:dyDescent="0.3">
      <c r="B124" s="42" t="s">
        <v>24</v>
      </c>
      <c r="C124" s="32" t="s">
        <v>33</v>
      </c>
      <c r="D124" s="95"/>
      <c r="F124" s="120" t="s">
        <v>0</v>
      </c>
      <c r="G124" s="121"/>
      <c r="H124" s="29" t="s">
        <v>15</v>
      </c>
      <c r="N124"/>
      <c r="O124"/>
    </row>
    <row r="125" spans="2:15" ht="15.75" thickBot="1" x14ac:dyDescent="0.3">
      <c r="B125" s="54"/>
      <c r="C125" s="46"/>
      <c r="D125" s="55"/>
      <c r="F125" s="3" t="s">
        <v>37</v>
      </c>
      <c r="G125" s="13" t="s">
        <v>333</v>
      </c>
      <c r="H125" s="128"/>
      <c r="N125"/>
      <c r="O125"/>
    </row>
    <row r="126" spans="2:15" x14ac:dyDescent="0.25">
      <c r="B126" s="120" t="s">
        <v>0</v>
      </c>
      <c r="C126" s="121"/>
      <c r="D126" s="29" t="s">
        <v>15</v>
      </c>
      <c r="F126" s="3" t="s">
        <v>53</v>
      </c>
      <c r="G126" s="13" t="s">
        <v>63</v>
      </c>
      <c r="H126" s="129"/>
      <c r="N126"/>
      <c r="O126"/>
    </row>
    <row r="127" spans="2:15" x14ac:dyDescent="0.25">
      <c r="B127" s="3" t="s">
        <v>37</v>
      </c>
      <c r="C127" s="13" t="s">
        <v>101</v>
      </c>
      <c r="D127" s="128"/>
      <c r="F127" s="3" t="s">
        <v>51</v>
      </c>
      <c r="G127" s="13" t="s">
        <v>58</v>
      </c>
      <c r="H127" s="129"/>
      <c r="N127"/>
      <c r="O127"/>
    </row>
    <row r="128" spans="2:15" x14ac:dyDescent="0.25">
      <c r="B128" s="3" t="s">
        <v>53</v>
      </c>
      <c r="C128" s="13" t="s">
        <v>2</v>
      </c>
      <c r="D128" s="129"/>
      <c r="F128" s="3" t="s">
        <v>11</v>
      </c>
      <c r="G128" s="13">
        <v>2</v>
      </c>
      <c r="H128" s="129"/>
      <c r="N128"/>
      <c r="O128"/>
    </row>
    <row r="129" spans="2:15" ht="15.75" thickBot="1" x14ac:dyDescent="0.3">
      <c r="B129" s="3" t="s">
        <v>51</v>
      </c>
      <c r="C129" s="13" t="s">
        <v>58</v>
      </c>
      <c r="D129" s="129"/>
      <c r="F129" s="4" t="s">
        <v>40</v>
      </c>
      <c r="G129" s="14" t="s">
        <v>41</v>
      </c>
      <c r="H129" s="130"/>
      <c r="N129"/>
      <c r="O129"/>
    </row>
    <row r="130" spans="2:15" ht="15.75" thickBot="1" x14ac:dyDescent="0.3">
      <c r="B130" s="3" t="s">
        <v>11</v>
      </c>
      <c r="C130" s="13">
        <v>120</v>
      </c>
      <c r="D130" s="129"/>
      <c r="N130"/>
      <c r="O130"/>
    </row>
    <row r="131" spans="2:15" ht="15.75" thickBot="1" x14ac:dyDescent="0.3">
      <c r="B131" s="4" t="s">
        <v>40</v>
      </c>
      <c r="C131" s="14" t="s">
        <v>42</v>
      </c>
      <c r="D131" s="130"/>
      <c r="F131" s="83" t="s">
        <v>50</v>
      </c>
      <c r="G131" s="84"/>
      <c r="H131" s="41" t="s">
        <v>15</v>
      </c>
      <c r="N131"/>
      <c r="O131"/>
    </row>
    <row r="132" spans="2:15" ht="15.75" thickBot="1" x14ac:dyDescent="0.3">
      <c r="F132" s="85"/>
      <c r="G132" s="86"/>
      <c r="H132" s="94"/>
      <c r="N132"/>
      <c r="O132"/>
    </row>
    <row r="133" spans="2:15" ht="15.75" thickBot="1" x14ac:dyDescent="0.3">
      <c r="B133" s="120" t="s">
        <v>0</v>
      </c>
      <c r="C133" s="121"/>
      <c r="D133" s="29" t="s">
        <v>15</v>
      </c>
      <c r="F133" s="87"/>
      <c r="G133" s="88"/>
      <c r="H133" s="95"/>
      <c r="N133"/>
      <c r="O133"/>
    </row>
    <row r="134" spans="2:15" x14ac:dyDescent="0.25">
      <c r="B134" s="3" t="s">
        <v>37</v>
      </c>
      <c r="C134" s="13" t="s">
        <v>333</v>
      </c>
      <c r="D134" s="128"/>
      <c r="N134"/>
      <c r="O134"/>
    </row>
    <row r="135" spans="2:15" x14ac:dyDescent="0.25">
      <c r="B135" s="3" t="s">
        <v>53</v>
      </c>
      <c r="C135" s="13" t="s">
        <v>63</v>
      </c>
      <c r="D135" s="129"/>
    </row>
    <row r="136" spans="2:15" x14ac:dyDescent="0.25">
      <c r="B136" s="3" t="s">
        <v>51</v>
      </c>
      <c r="C136" s="13" t="s">
        <v>58</v>
      </c>
      <c r="D136" s="129"/>
    </row>
    <row r="137" spans="2:15" x14ac:dyDescent="0.25">
      <c r="B137" s="3" t="s">
        <v>11</v>
      </c>
      <c r="C137" s="13">
        <v>2</v>
      </c>
      <c r="D137" s="129"/>
    </row>
    <row r="138" spans="2:15" ht="15.75" thickBot="1" x14ac:dyDescent="0.3">
      <c r="B138" s="4" t="s">
        <v>40</v>
      </c>
      <c r="C138" s="14" t="s">
        <v>41</v>
      </c>
      <c r="D138" s="130"/>
    </row>
    <row r="139" spans="2:15" ht="15.75" thickBot="1" x14ac:dyDescent="0.3"/>
    <row r="140" spans="2:15" x14ac:dyDescent="0.25">
      <c r="B140" s="83" t="s">
        <v>50</v>
      </c>
      <c r="C140" s="84"/>
      <c r="D140" s="41" t="s">
        <v>15</v>
      </c>
    </row>
    <row r="141" spans="2:15" x14ac:dyDescent="0.25">
      <c r="B141" s="85"/>
      <c r="C141" s="86"/>
      <c r="D141" s="94"/>
    </row>
    <row r="142" spans="2:15" ht="15.75" thickBot="1" x14ac:dyDescent="0.3">
      <c r="B142" s="87"/>
      <c r="C142" s="88"/>
      <c r="D142" s="95"/>
    </row>
  </sheetData>
  <mergeCells count="61">
    <mergeCell ref="B140:C140"/>
    <mergeCell ref="B141:C142"/>
    <mergeCell ref="D141:D142"/>
    <mergeCell ref="F131:G131"/>
    <mergeCell ref="F132:G133"/>
    <mergeCell ref="D134:D138"/>
    <mergeCell ref="H132:H133"/>
    <mergeCell ref="D123:D124"/>
    <mergeCell ref="B126:C126"/>
    <mergeCell ref="D127:D131"/>
    <mergeCell ref="B133:C133"/>
    <mergeCell ref="B113:C113"/>
    <mergeCell ref="F113:G113"/>
    <mergeCell ref="D114:D115"/>
    <mergeCell ref="H114:H115"/>
    <mergeCell ref="B117:C117"/>
    <mergeCell ref="B122:C122"/>
    <mergeCell ref="D82:E82"/>
    <mergeCell ref="F83:F87"/>
    <mergeCell ref="D89:E89"/>
    <mergeCell ref="H125:H129"/>
    <mergeCell ref="F117:G117"/>
    <mergeCell ref="D118:D120"/>
    <mergeCell ref="H118:H122"/>
    <mergeCell ref="D108:E108"/>
    <mergeCell ref="F109:F111"/>
    <mergeCell ref="D96:E96"/>
    <mergeCell ref="F97:F101"/>
    <mergeCell ref="D103:E103"/>
    <mergeCell ref="F104:F106"/>
    <mergeCell ref="F90:F94"/>
    <mergeCell ref="F124:G124"/>
    <mergeCell ref="F66:F67"/>
    <mergeCell ref="D69:E69"/>
    <mergeCell ref="F70:F72"/>
    <mergeCell ref="D74:E74"/>
    <mergeCell ref="F75:F80"/>
    <mergeCell ref="D65:E65"/>
    <mergeCell ref="F33:F37"/>
    <mergeCell ref="D39:E39"/>
    <mergeCell ref="F40:F42"/>
    <mergeCell ref="D44:E44"/>
    <mergeCell ref="F45:F49"/>
    <mergeCell ref="D51:E51"/>
    <mergeCell ref="F52:F54"/>
    <mergeCell ref="D56:E56"/>
    <mergeCell ref="F57:F58"/>
    <mergeCell ref="D60:E60"/>
    <mergeCell ref="F61:F63"/>
    <mergeCell ref="D32:E32"/>
    <mergeCell ref="D2:E2"/>
    <mergeCell ref="F3:F4"/>
    <mergeCell ref="D6:E6"/>
    <mergeCell ref="D8:E8"/>
    <mergeCell ref="F9:F10"/>
    <mergeCell ref="D12:E12"/>
    <mergeCell ref="F13:F15"/>
    <mergeCell ref="D17:E17"/>
    <mergeCell ref="F18:F22"/>
    <mergeCell ref="D24:E24"/>
    <mergeCell ref="F25:F3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27650"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'___Dropdown values'!$B$4:$B$6</xm:f>
          </x14:formula1>
          <xm:sqref>E4</xm:sqref>
        </x14:dataValidation>
        <x14:dataValidation type="list" allowBlank="1" showInputMessage="1" showErrorMessage="1">
          <x14:formula1>
            <xm:f>'___Dropdown values'!$B$10:$B$17</xm:f>
          </x14:formula1>
          <xm:sqref>E84 E91 G119 C128</xm:sqref>
        </x14:dataValidation>
        <x14:dataValidation type="list" allowBlank="1" showInputMessage="1" showErrorMessage="1">
          <x14:formula1>
            <xm:f>'___Dropdown values'!$B$4:$B$7</xm:f>
          </x14:formula1>
          <xm:sqref>C115 G115:G116 C124:C125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tabSelected="1" workbookViewId="0">
      <selection activeCell="D42" sqref="D42"/>
    </sheetView>
  </sheetViews>
  <sheetFormatPr defaultRowHeight="15" x14ac:dyDescent="0.25"/>
  <cols>
    <col min="1" max="1" width="9" bestFit="1" customWidth="1"/>
    <col min="2" max="2" width="20.42578125" customWidth="1"/>
    <col min="3" max="3" width="36.42578125" bestFit="1" customWidth="1"/>
    <col min="4" max="4" width="17" bestFit="1" customWidth="1"/>
    <col min="5" max="5" width="14.5703125" customWidth="1"/>
    <col min="6" max="6" width="22.7109375" bestFit="1" customWidth="1"/>
    <col min="7" max="7" width="24" bestFit="1" customWidth="1"/>
    <col min="8" max="8" width="11.42578125" bestFit="1" customWidth="1"/>
    <col min="9" max="9" width="38" bestFit="1" customWidth="1"/>
    <col min="10" max="10" width="17.85546875" bestFit="1" customWidth="1"/>
  </cols>
  <sheetData>
    <row r="1" spans="1:11" x14ac:dyDescent="0.25">
      <c r="A1" t="s">
        <v>32</v>
      </c>
      <c r="B1" t="s">
        <v>47</v>
      </c>
      <c r="C1" t="s">
        <v>17</v>
      </c>
      <c r="D1" t="s">
        <v>82</v>
      </c>
      <c r="E1" t="s">
        <v>18</v>
      </c>
      <c r="F1" t="s">
        <v>69</v>
      </c>
      <c r="G1" t="s">
        <v>110</v>
      </c>
      <c r="H1" t="s">
        <v>109</v>
      </c>
      <c r="I1" t="s">
        <v>115</v>
      </c>
      <c r="J1" t="s">
        <v>117</v>
      </c>
      <c r="K1" t="s">
        <v>116</v>
      </c>
    </row>
    <row r="2" spans="1:11" x14ac:dyDescent="0.25">
      <c r="A2">
        <f t="shared" ref="A2:A5" si="0">ROW(A1)</f>
        <v>1</v>
      </c>
      <c r="B2">
        <f t="shared" ref="B2" si="1">A2</f>
        <v>1</v>
      </c>
      <c r="C2" s="60" t="s">
        <v>303</v>
      </c>
      <c r="D2">
        <f>A2</f>
        <v>1</v>
      </c>
      <c r="E2">
        <v>10</v>
      </c>
      <c r="F2">
        <v>0.92</v>
      </c>
      <c r="G2" t="s">
        <v>42</v>
      </c>
      <c r="H2" t="str">
        <f>IF(Worklist!G2="Yes",Method!E$110,Method!E$111)</f>
        <v>Digestion</v>
      </c>
      <c r="I2">
        <v>1.1000000000000001</v>
      </c>
      <c r="J2">
        <f>I2*120/8</f>
        <v>16.5</v>
      </c>
      <c r="K2">
        <f>20-J2</f>
        <v>3.5</v>
      </c>
    </row>
    <row r="3" spans="1:11" x14ac:dyDescent="0.25">
      <c r="A3">
        <f t="shared" si="0"/>
        <v>2</v>
      </c>
      <c r="B3">
        <f t="shared" ref="B3" si="2">A3</f>
        <v>2</v>
      </c>
      <c r="C3" s="60" t="s">
        <v>304</v>
      </c>
      <c r="D3">
        <f>A3</f>
        <v>2</v>
      </c>
      <c r="E3">
        <v>10</v>
      </c>
      <c r="F3">
        <v>0.85</v>
      </c>
      <c r="G3" t="s">
        <v>42</v>
      </c>
      <c r="H3" t="str">
        <f>IF(Worklist!G3="Yes",Method!E$110,Method!E$111)</f>
        <v>Digestion</v>
      </c>
      <c r="I3">
        <v>1.1000000000000001</v>
      </c>
      <c r="J3">
        <f>I3*120/8</f>
        <v>16.5</v>
      </c>
      <c r="K3">
        <f>20-J3</f>
        <v>3.5</v>
      </c>
    </row>
    <row r="4" spans="1:11" x14ac:dyDescent="0.25">
      <c r="A4">
        <f t="shared" si="0"/>
        <v>3</v>
      </c>
      <c r="B4">
        <f t="shared" ref="B4:B5" si="3">A4</f>
        <v>3</v>
      </c>
      <c r="C4" s="60" t="s">
        <v>305</v>
      </c>
      <c r="D4">
        <f>A4</f>
        <v>3</v>
      </c>
      <c r="E4">
        <v>10</v>
      </c>
      <c r="F4">
        <v>0.85</v>
      </c>
      <c r="G4" t="s">
        <v>41</v>
      </c>
      <c r="H4" t="str">
        <f>IF(Worklist!G4="Yes",Method!E$110,Method!E$111)</f>
        <v>Final</v>
      </c>
      <c r="I4">
        <v>0.9</v>
      </c>
      <c r="J4">
        <f>I4*120/8</f>
        <v>13.5</v>
      </c>
      <c r="K4">
        <f>20-J4</f>
        <v>6.5</v>
      </c>
    </row>
    <row r="5" spans="1:11" x14ac:dyDescent="0.25">
      <c r="A5">
        <f t="shared" si="0"/>
        <v>4</v>
      </c>
      <c r="B5">
        <f t="shared" si="3"/>
        <v>4</v>
      </c>
      <c r="C5" s="60" t="s">
        <v>306</v>
      </c>
      <c r="D5">
        <f>A5</f>
        <v>4</v>
      </c>
      <c r="E5">
        <v>10</v>
      </c>
      <c r="F5">
        <v>0.71</v>
      </c>
      <c r="G5" t="s">
        <v>41</v>
      </c>
      <c r="H5" t="str">
        <f>IF(Worklist!G5="Yes",Method!E$110,Method!E$111)</f>
        <v>Final</v>
      </c>
      <c r="I5">
        <v>0.9</v>
      </c>
      <c r="J5">
        <f>I5*120/8</f>
        <v>13.5</v>
      </c>
      <c r="K5">
        <f>20-J5</f>
        <v>6.5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799"/>
  <sheetViews>
    <sheetView workbookViewId="0"/>
  </sheetViews>
  <sheetFormatPr defaultRowHeight="15" x14ac:dyDescent="0.25"/>
  <sheetData>
    <row r="3" spans="2:5" x14ac:dyDescent="0.25">
      <c r="D3" t="s">
        <v>118</v>
      </c>
    </row>
    <row r="4" spans="2:5" x14ac:dyDescent="0.25">
      <c r="D4" t="s">
        <v>119</v>
      </c>
    </row>
    <row r="5" spans="2:5" x14ac:dyDescent="0.25">
      <c r="D5" t="s">
        <v>120</v>
      </c>
      <c r="E5">
        <v>1</v>
      </c>
    </row>
    <row r="6" spans="2:5" x14ac:dyDescent="0.25">
      <c r="D6" t="s">
        <v>121</v>
      </c>
      <c r="E6">
        <v>30</v>
      </c>
    </row>
    <row r="11" spans="2:5" x14ac:dyDescent="0.25">
      <c r="B11" t="s">
        <v>122</v>
      </c>
    </row>
    <row r="12" spans="2:5" x14ac:dyDescent="0.25">
      <c r="B12" t="s">
        <v>123</v>
      </c>
    </row>
    <row r="13" spans="2:5" x14ac:dyDescent="0.25">
      <c r="B13" t="s">
        <v>124</v>
      </c>
    </row>
    <row r="14" spans="2:5" x14ac:dyDescent="0.25">
      <c r="B14" t="s">
        <v>125</v>
      </c>
    </row>
    <row r="16" spans="2:5" x14ac:dyDescent="0.25">
      <c r="C16" t="s">
        <v>126</v>
      </c>
    </row>
    <row r="21" spans="2:2" x14ac:dyDescent="0.25">
      <c r="B21" t="s">
        <v>127</v>
      </c>
    </row>
    <row r="22" spans="2:2" x14ac:dyDescent="0.25">
      <c r="B22" t="s">
        <v>128</v>
      </c>
    </row>
    <row r="23" spans="2:2" x14ac:dyDescent="0.25">
      <c r="B23" t="s">
        <v>129</v>
      </c>
    </row>
    <row r="24" spans="2:2" x14ac:dyDescent="0.25">
      <c r="B24" t="s">
        <v>130</v>
      </c>
    </row>
    <row r="25" spans="2:2" x14ac:dyDescent="0.25">
      <c r="B25" t="s">
        <v>131</v>
      </c>
    </row>
    <row r="30" spans="2:2" x14ac:dyDescent="0.25">
      <c r="B30" t="s">
        <v>132</v>
      </c>
    </row>
    <row r="31" spans="2:2" x14ac:dyDescent="0.25">
      <c r="B31" t="s">
        <v>133</v>
      </c>
    </row>
    <row r="32" spans="2:2" x14ac:dyDescent="0.25">
      <c r="B32" t="s">
        <v>134</v>
      </c>
    </row>
    <row r="33" spans="2:5" x14ac:dyDescent="0.25">
      <c r="B33" t="s">
        <v>135</v>
      </c>
    </row>
    <row r="34" spans="2:5" x14ac:dyDescent="0.25">
      <c r="B34" t="s">
        <v>136</v>
      </c>
    </row>
    <row r="35" spans="2:5" x14ac:dyDescent="0.25">
      <c r="B35" t="s">
        <v>137</v>
      </c>
    </row>
    <row r="36" spans="2:5" x14ac:dyDescent="0.25">
      <c r="B36" t="s">
        <v>138</v>
      </c>
    </row>
    <row r="38" spans="2:5" x14ac:dyDescent="0.25">
      <c r="D38" t="s">
        <v>139</v>
      </c>
    </row>
    <row r="39" spans="2:5" x14ac:dyDescent="0.25">
      <c r="D39" t="s">
        <v>140</v>
      </c>
    </row>
    <row r="40" spans="2:5" x14ac:dyDescent="0.25">
      <c r="D40" t="s">
        <v>141</v>
      </c>
      <c r="E40" t="s">
        <v>142</v>
      </c>
    </row>
    <row r="41" spans="2:5" x14ac:dyDescent="0.25">
      <c r="D41" t="s">
        <v>143</v>
      </c>
    </row>
    <row r="42" spans="2:5" x14ac:dyDescent="0.25">
      <c r="C42" t="s">
        <v>144</v>
      </c>
    </row>
    <row r="48" spans="2:5" x14ac:dyDescent="0.25">
      <c r="B48" t="s">
        <v>145</v>
      </c>
    </row>
    <row r="49" spans="2:5" x14ac:dyDescent="0.25">
      <c r="B49" t="s">
        <v>146</v>
      </c>
    </row>
    <row r="50" spans="2:5" x14ac:dyDescent="0.25">
      <c r="B50" t="s">
        <v>129</v>
      </c>
    </row>
    <row r="51" spans="2:5" x14ac:dyDescent="0.25">
      <c r="B51" t="s">
        <v>147</v>
      </c>
    </row>
    <row r="52" spans="2:5" x14ac:dyDescent="0.25">
      <c r="B52" t="s">
        <v>148</v>
      </c>
    </row>
    <row r="53" spans="2:5" x14ac:dyDescent="0.25">
      <c r="B53" t="s">
        <v>149</v>
      </c>
    </row>
    <row r="54" spans="2:5" x14ac:dyDescent="0.25">
      <c r="B54" t="s">
        <v>150</v>
      </c>
    </row>
    <row r="55" spans="2:5" x14ac:dyDescent="0.25">
      <c r="B55" t="s">
        <v>151</v>
      </c>
    </row>
    <row r="57" spans="2:5" x14ac:dyDescent="0.25">
      <c r="D57" t="s">
        <v>139</v>
      </c>
    </row>
    <row r="58" spans="2:5" x14ac:dyDescent="0.25">
      <c r="D58" t="s">
        <v>140</v>
      </c>
    </row>
    <row r="59" spans="2:5" x14ac:dyDescent="0.25">
      <c r="D59" t="s">
        <v>141</v>
      </c>
      <c r="E59" t="s">
        <v>152</v>
      </c>
    </row>
    <row r="60" spans="2:5" x14ac:dyDescent="0.25">
      <c r="D60" t="s">
        <v>153</v>
      </c>
    </row>
    <row r="61" spans="2:5" x14ac:dyDescent="0.25">
      <c r="C61" t="s">
        <v>126</v>
      </c>
    </row>
    <row r="63" spans="2:5" x14ac:dyDescent="0.25">
      <c r="C63" t="s">
        <v>126</v>
      </c>
    </row>
    <row r="65" spans="3:8" x14ac:dyDescent="0.25">
      <c r="D65" t="s">
        <v>156</v>
      </c>
    </row>
    <row r="66" spans="3:8" x14ac:dyDescent="0.25">
      <c r="D66" t="s">
        <v>157</v>
      </c>
    </row>
    <row r="67" spans="3:8" x14ac:dyDescent="0.25">
      <c r="D67" t="s">
        <v>158</v>
      </c>
      <c r="E67" t="s">
        <v>335</v>
      </c>
      <c r="F67" t="s">
        <v>335</v>
      </c>
      <c r="G67" t="s">
        <v>335</v>
      </c>
      <c r="H67" t="s">
        <v>335</v>
      </c>
    </row>
    <row r="68" spans="3:8" x14ac:dyDescent="0.25">
      <c r="D68" t="s">
        <v>159</v>
      </c>
      <c r="E68">
        <v>25</v>
      </c>
      <c r="F68">
        <v>26</v>
      </c>
      <c r="G68">
        <v>27</v>
      </c>
      <c r="H68">
        <v>28</v>
      </c>
    </row>
    <row r="69" spans="3:8" x14ac:dyDescent="0.25">
      <c r="D69" t="s">
        <v>160</v>
      </c>
      <c r="E69" t="s">
        <v>336</v>
      </c>
      <c r="F69" t="s">
        <v>336</v>
      </c>
      <c r="G69" t="s">
        <v>336</v>
      </c>
      <c r="H69" t="s">
        <v>336</v>
      </c>
    </row>
    <row r="70" spans="3:8" x14ac:dyDescent="0.25">
      <c r="D70" t="s">
        <v>161</v>
      </c>
      <c r="E70">
        <v>25</v>
      </c>
      <c r="F70">
        <v>26</v>
      </c>
      <c r="G70">
        <v>27</v>
      </c>
      <c r="H70">
        <v>28</v>
      </c>
    </row>
    <row r="71" spans="3:8" x14ac:dyDescent="0.25">
      <c r="D71" t="s">
        <v>162</v>
      </c>
      <c r="E71">
        <v>90</v>
      </c>
      <c r="F71">
        <v>90</v>
      </c>
      <c r="G71">
        <v>90</v>
      </c>
      <c r="H71">
        <v>90</v>
      </c>
    </row>
    <row r="72" spans="3:8" x14ac:dyDescent="0.25">
      <c r="D72" t="s">
        <v>163</v>
      </c>
      <c r="E72">
        <v>0.01</v>
      </c>
      <c r="F72">
        <v>0.01</v>
      </c>
      <c r="G72">
        <v>0.01</v>
      </c>
      <c r="H72">
        <v>0.01</v>
      </c>
    </row>
    <row r="73" spans="3:8" x14ac:dyDescent="0.25">
      <c r="D73" t="s">
        <v>164</v>
      </c>
      <c r="E73">
        <v>0</v>
      </c>
      <c r="F73">
        <v>0</v>
      </c>
      <c r="G73">
        <v>0</v>
      </c>
      <c r="H73">
        <v>0</v>
      </c>
    </row>
    <row r="74" spans="3:8" x14ac:dyDescent="0.25">
      <c r="D74" t="s">
        <v>165</v>
      </c>
      <c r="E74" t="s">
        <v>42</v>
      </c>
      <c r="F74" t="s">
        <v>42</v>
      </c>
      <c r="G74" t="s">
        <v>42</v>
      </c>
      <c r="H74" t="s">
        <v>42</v>
      </c>
    </row>
    <row r="75" spans="3:8" x14ac:dyDescent="0.25">
      <c r="D75" t="s">
        <v>166</v>
      </c>
    </row>
    <row r="77" spans="3:8" x14ac:dyDescent="0.25">
      <c r="C77" t="s">
        <v>126</v>
      </c>
    </row>
    <row r="79" spans="3:8" x14ac:dyDescent="0.25">
      <c r="D79" t="s">
        <v>156</v>
      </c>
    </row>
    <row r="80" spans="3:8" x14ac:dyDescent="0.25">
      <c r="D80" t="s">
        <v>157</v>
      </c>
    </row>
    <row r="81" spans="2:8" x14ac:dyDescent="0.25">
      <c r="D81" t="s">
        <v>158</v>
      </c>
      <c r="E81" t="s">
        <v>335</v>
      </c>
      <c r="F81" t="s">
        <v>335</v>
      </c>
      <c r="G81" t="s">
        <v>335</v>
      </c>
      <c r="H81" t="s">
        <v>335</v>
      </c>
    </row>
    <row r="82" spans="2:8" x14ac:dyDescent="0.25">
      <c r="D82" t="s">
        <v>159</v>
      </c>
      <c r="E82">
        <v>25</v>
      </c>
      <c r="F82">
        <v>26</v>
      </c>
      <c r="G82">
        <v>27</v>
      </c>
      <c r="H82">
        <v>28</v>
      </c>
    </row>
    <row r="83" spans="2:8" x14ac:dyDescent="0.25">
      <c r="D83" t="s">
        <v>160</v>
      </c>
      <c r="E83" t="s">
        <v>337</v>
      </c>
      <c r="F83" t="s">
        <v>337</v>
      </c>
      <c r="G83" t="s">
        <v>337</v>
      </c>
      <c r="H83" t="s">
        <v>337</v>
      </c>
    </row>
    <row r="84" spans="2:8" x14ac:dyDescent="0.25">
      <c r="D84" t="s">
        <v>161</v>
      </c>
      <c r="E84">
        <v>25</v>
      </c>
      <c r="F84">
        <v>26</v>
      </c>
      <c r="G84">
        <v>27</v>
      </c>
      <c r="H84">
        <v>28</v>
      </c>
    </row>
    <row r="85" spans="2:8" x14ac:dyDescent="0.25">
      <c r="D85" t="s">
        <v>162</v>
      </c>
      <c r="E85">
        <v>10</v>
      </c>
      <c r="F85">
        <v>10</v>
      </c>
      <c r="G85">
        <v>10</v>
      </c>
      <c r="H85">
        <v>10</v>
      </c>
    </row>
    <row r="86" spans="2:8" x14ac:dyDescent="0.25">
      <c r="D86" t="s">
        <v>163</v>
      </c>
      <c r="E86">
        <v>5.46</v>
      </c>
      <c r="F86">
        <v>5.46</v>
      </c>
      <c r="G86">
        <v>5.46</v>
      </c>
      <c r="H86">
        <v>5.46</v>
      </c>
    </row>
    <row r="87" spans="2:8" x14ac:dyDescent="0.25">
      <c r="D87" t="s">
        <v>164</v>
      </c>
      <c r="E87">
        <v>90</v>
      </c>
      <c r="F87">
        <v>90</v>
      </c>
      <c r="G87">
        <v>90</v>
      </c>
      <c r="H87">
        <v>90</v>
      </c>
    </row>
    <row r="88" spans="2:8" x14ac:dyDescent="0.25">
      <c r="D88" t="s">
        <v>165</v>
      </c>
      <c r="E88" t="s">
        <v>41</v>
      </c>
      <c r="F88" t="s">
        <v>41</v>
      </c>
      <c r="G88" t="s">
        <v>41</v>
      </c>
      <c r="H88" t="s">
        <v>41</v>
      </c>
    </row>
    <row r="89" spans="2:8" x14ac:dyDescent="0.25">
      <c r="D89" t="s">
        <v>167</v>
      </c>
    </row>
    <row r="94" spans="2:8" x14ac:dyDescent="0.25">
      <c r="B94" t="s">
        <v>132</v>
      </c>
    </row>
    <row r="95" spans="2:8" x14ac:dyDescent="0.25">
      <c r="B95" t="s">
        <v>168</v>
      </c>
    </row>
    <row r="96" spans="2:8" x14ac:dyDescent="0.25">
      <c r="B96" t="s">
        <v>169</v>
      </c>
    </row>
    <row r="97" spans="2:8" x14ac:dyDescent="0.25">
      <c r="B97" t="s">
        <v>170</v>
      </c>
    </row>
    <row r="98" spans="2:8" x14ac:dyDescent="0.25">
      <c r="B98" t="s">
        <v>136</v>
      </c>
    </row>
    <row r="99" spans="2:8" x14ac:dyDescent="0.25">
      <c r="B99" t="s">
        <v>171</v>
      </c>
    </row>
    <row r="100" spans="2:8" x14ac:dyDescent="0.25">
      <c r="B100" t="s">
        <v>138</v>
      </c>
    </row>
    <row r="102" spans="2:8" x14ac:dyDescent="0.25">
      <c r="D102" t="s">
        <v>139</v>
      </c>
    </row>
    <row r="103" spans="2:8" x14ac:dyDescent="0.25">
      <c r="D103" t="s">
        <v>140</v>
      </c>
    </row>
    <row r="104" spans="2:8" x14ac:dyDescent="0.25">
      <c r="D104" t="s">
        <v>141</v>
      </c>
      <c r="E104" t="s">
        <v>172</v>
      </c>
    </row>
    <row r="105" spans="2:8" x14ac:dyDescent="0.25">
      <c r="D105" t="s">
        <v>173</v>
      </c>
    </row>
    <row r="106" spans="2:8" x14ac:dyDescent="0.25">
      <c r="C106" t="s">
        <v>126</v>
      </c>
    </row>
    <row r="108" spans="2:8" x14ac:dyDescent="0.25">
      <c r="D108" t="s">
        <v>156</v>
      </c>
    </row>
    <row r="109" spans="2:8" x14ac:dyDescent="0.25">
      <c r="D109" t="s">
        <v>157</v>
      </c>
    </row>
    <row r="110" spans="2:8" x14ac:dyDescent="0.25">
      <c r="D110" t="s">
        <v>158</v>
      </c>
      <c r="E110" t="s">
        <v>335</v>
      </c>
      <c r="F110" t="s">
        <v>335</v>
      </c>
      <c r="G110" t="s">
        <v>335</v>
      </c>
      <c r="H110" t="s">
        <v>335</v>
      </c>
    </row>
    <row r="111" spans="2:8" x14ac:dyDescent="0.25">
      <c r="D111" t="s">
        <v>159</v>
      </c>
      <c r="E111">
        <v>25</v>
      </c>
      <c r="F111">
        <v>26</v>
      </c>
      <c r="G111">
        <v>27</v>
      </c>
      <c r="H111">
        <v>28</v>
      </c>
    </row>
    <row r="112" spans="2:8" x14ac:dyDescent="0.25">
      <c r="D112" t="s">
        <v>160</v>
      </c>
      <c r="E112" t="s">
        <v>338</v>
      </c>
      <c r="F112" t="s">
        <v>338</v>
      </c>
      <c r="G112" t="s">
        <v>338</v>
      </c>
      <c r="H112" t="s">
        <v>338</v>
      </c>
    </row>
    <row r="113" spans="2:8" x14ac:dyDescent="0.25">
      <c r="D113" t="s">
        <v>161</v>
      </c>
      <c r="E113">
        <v>25</v>
      </c>
      <c r="F113">
        <v>26</v>
      </c>
      <c r="G113">
        <v>27</v>
      </c>
      <c r="H113">
        <v>28</v>
      </c>
    </row>
    <row r="114" spans="2:8" x14ac:dyDescent="0.25">
      <c r="D114" t="s">
        <v>162</v>
      </c>
      <c r="E114">
        <v>4</v>
      </c>
      <c r="F114">
        <v>4</v>
      </c>
      <c r="G114">
        <v>4</v>
      </c>
      <c r="H114">
        <v>4</v>
      </c>
    </row>
    <row r="115" spans="2:8" x14ac:dyDescent="0.25">
      <c r="D115" t="s">
        <v>163</v>
      </c>
      <c r="E115">
        <v>6.07</v>
      </c>
      <c r="F115">
        <v>6.07</v>
      </c>
      <c r="G115">
        <v>6.07</v>
      </c>
      <c r="H115">
        <v>6.07</v>
      </c>
    </row>
    <row r="116" spans="2:8" x14ac:dyDescent="0.25">
      <c r="D116" t="s">
        <v>164</v>
      </c>
      <c r="E116">
        <v>100</v>
      </c>
      <c r="F116">
        <v>100</v>
      </c>
      <c r="G116">
        <v>100</v>
      </c>
      <c r="H116">
        <v>100</v>
      </c>
    </row>
    <row r="117" spans="2:8" x14ac:dyDescent="0.25">
      <c r="D117" t="s">
        <v>165</v>
      </c>
      <c r="E117" t="s">
        <v>41</v>
      </c>
      <c r="F117" t="s">
        <v>41</v>
      </c>
      <c r="G117" t="s">
        <v>41</v>
      </c>
      <c r="H117" t="s">
        <v>41</v>
      </c>
    </row>
    <row r="118" spans="2:8" x14ac:dyDescent="0.25">
      <c r="D118" t="s">
        <v>174</v>
      </c>
    </row>
    <row r="123" spans="2:8" x14ac:dyDescent="0.25">
      <c r="B123" t="s">
        <v>175</v>
      </c>
    </row>
    <row r="124" spans="2:8" x14ac:dyDescent="0.25">
      <c r="B124" t="s">
        <v>176</v>
      </c>
    </row>
    <row r="125" spans="2:8" x14ac:dyDescent="0.25">
      <c r="B125" t="s">
        <v>177</v>
      </c>
    </row>
    <row r="126" spans="2:8" x14ac:dyDescent="0.25">
      <c r="B126" t="s">
        <v>178</v>
      </c>
    </row>
    <row r="127" spans="2:8" x14ac:dyDescent="0.25">
      <c r="B127" t="s">
        <v>179</v>
      </c>
    </row>
    <row r="129" spans="3:5" x14ac:dyDescent="0.25">
      <c r="C129" t="s">
        <v>126</v>
      </c>
    </row>
    <row r="130" spans="3:5" x14ac:dyDescent="0.25">
      <c r="D130" t="s">
        <v>139</v>
      </c>
    </row>
    <row r="131" spans="3:5" x14ac:dyDescent="0.25">
      <c r="D131" t="s">
        <v>140</v>
      </c>
    </row>
    <row r="132" spans="3:5" x14ac:dyDescent="0.25">
      <c r="D132" t="s">
        <v>141</v>
      </c>
      <c r="E132" t="s">
        <v>180</v>
      </c>
    </row>
    <row r="133" spans="3:5" x14ac:dyDescent="0.25">
      <c r="D133" t="s">
        <v>181</v>
      </c>
    </row>
    <row r="135" spans="3:5" x14ac:dyDescent="0.25">
      <c r="D135" t="s">
        <v>339</v>
      </c>
    </row>
    <row r="136" spans="3:5" x14ac:dyDescent="0.25">
      <c r="D136" t="s">
        <v>340</v>
      </c>
    </row>
    <row r="137" spans="3:5" x14ac:dyDescent="0.25">
      <c r="D137" t="s">
        <v>160</v>
      </c>
      <c r="E137" t="s">
        <v>335</v>
      </c>
    </row>
    <row r="138" spans="3:5" x14ac:dyDescent="0.25">
      <c r="D138" t="s">
        <v>158</v>
      </c>
      <c r="E138" t="s">
        <v>341</v>
      </c>
    </row>
    <row r="139" spans="3:5" x14ac:dyDescent="0.25">
      <c r="D139" t="s">
        <v>342</v>
      </c>
      <c r="E139">
        <v>85</v>
      </c>
    </row>
    <row r="140" spans="3:5" x14ac:dyDescent="0.25">
      <c r="D140" t="s">
        <v>343</v>
      </c>
      <c r="E140">
        <v>75</v>
      </c>
    </row>
    <row r="141" spans="3:5" x14ac:dyDescent="0.25">
      <c r="D141" t="s">
        <v>344</v>
      </c>
      <c r="E141">
        <v>4</v>
      </c>
    </row>
    <row r="142" spans="3:5" x14ac:dyDescent="0.25">
      <c r="D142" t="s">
        <v>345</v>
      </c>
      <c r="E142">
        <v>0</v>
      </c>
    </row>
    <row r="143" spans="3:5" x14ac:dyDescent="0.25">
      <c r="D143" t="s">
        <v>346</v>
      </c>
      <c r="E143">
        <v>0</v>
      </c>
    </row>
    <row r="144" spans="3:5" x14ac:dyDescent="0.25">
      <c r="D144" t="s">
        <v>185</v>
      </c>
    </row>
    <row r="146" spans="4:5" x14ac:dyDescent="0.25">
      <c r="D146" t="s">
        <v>339</v>
      </c>
    </row>
    <row r="147" spans="4:5" x14ac:dyDescent="0.25">
      <c r="D147" t="s">
        <v>340</v>
      </c>
    </row>
    <row r="148" spans="4:5" x14ac:dyDescent="0.25">
      <c r="D148" t="s">
        <v>160</v>
      </c>
      <c r="E148" t="s">
        <v>347</v>
      </c>
    </row>
    <row r="149" spans="4:5" x14ac:dyDescent="0.25">
      <c r="D149" t="s">
        <v>158</v>
      </c>
      <c r="E149" t="s">
        <v>348</v>
      </c>
    </row>
    <row r="150" spans="4:5" x14ac:dyDescent="0.25">
      <c r="D150" t="s">
        <v>342</v>
      </c>
      <c r="E150">
        <v>88</v>
      </c>
    </row>
    <row r="151" spans="4:5" x14ac:dyDescent="0.25">
      <c r="D151" t="s">
        <v>343</v>
      </c>
      <c r="E151">
        <v>81</v>
      </c>
    </row>
    <row r="152" spans="4:5" x14ac:dyDescent="0.25">
      <c r="D152" t="s">
        <v>344</v>
      </c>
      <c r="E152">
        <v>4</v>
      </c>
    </row>
    <row r="153" spans="4:5" x14ac:dyDescent="0.25">
      <c r="D153" t="s">
        <v>345</v>
      </c>
      <c r="E153">
        <v>1</v>
      </c>
    </row>
    <row r="154" spans="4:5" x14ac:dyDescent="0.25">
      <c r="D154" t="s">
        <v>346</v>
      </c>
      <c r="E154">
        <v>0</v>
      </c>
    </row>
    <row r="155" spans="4:5" x14ac:dyDescent="0.25">
      <c r="D155" t="s">
        <v>187</v>
      </c>
    </row>
    <row r="157" spans="4:5" x14ac:dyDescent="0.25">
      <c r="D157" t="s">
        <v>182</v>
      </c>
    </row>
    <row r="158" spans="4:5" x14ac:dyDescent="0.25">
      <c r="D158" t="s">
        <v>183</v>
      </c>
    </row>
    <row r="159" spans="4:5" x14ac:dyDescent="0.25">
      <c r="D159" t="s">
        <v>184</v>
      </c>
      <c r="E159">
        <v>1800</v>
      </c>
    </row>
    <row r="160" spans="4:5" x14ac:dyDescent="0.25">
      <c r="D160" t="s">
        <v>349</v>
      </c>
    </row>
    <row r="162" spans="4:5" x14ac:dyDescent="0.25">
      <c r="D162" t="s">
        <v>182</v>
      </c>
    </row>
    <row r="163" spans="4:5" x14ac:dyDescent="0.25">
      <c r="D163" t="s">
        <v>186</v>
      </c>
    </row>
    <row r="164" spans="4:5" x14ac:dyDescent="0.25">
      <c r="D164" t="s">
        <v>350</v>
      </c>
    </row>
    <row r="166" spans="4:5" x14ac:dyDescent="0.25">
      <c r="D166" t="s">
        <v>118</v>
      </c>
    </row>
    <row r="167" spans="4:5" x14ac:dyDescent="0.25">
      <c r="D167" t="s">
        <v>188</v>
      </c>
    </row>
    <row r="168" spans="4:5" x14ac:dyDescent="0.25">
      <c r="D168" t="s">
        <v>120</v>
      </c>
      <c r="E168">
        <v>1</v>
      </c>
    </row>
    <row r="170" spans="4:5" x14ac:dyDescent="0.25">
      <c r="D170" t="s">
        <v>339</v>
      </c>
    </row>
    <row r="171" spans="4:5" x14ac:dyDescent="0.25">
      <c r="D171" t="s">
        <v>340</v>
      </c>
    </row>
    <row r="172" spans="4:5" x14ac:dyDescent="0.25">
      <c r="D172" t="s">
        <v>160</v>
      </c>
      <c r="E172" t="s">
        <v>348</v>
      </c>
    </row>
    <row r="173" spans="4:5" x14ac:dyDescent="0.25">
      <c r="D173" t="s">
        <v>158</v>
      </c>
      <c r="E173" t="s">
        <v>347</v>
      </c>
    </row>
    <row r="174" spans="4:5" x14ac:dyDescent="0.25">
      <c r="D174" t="s">
        <v>342</v>
      </c>
      <c r="E174">
        <v>88</v>
      </c>
    </row>
    <row r="175" spans="4:5" x14ac:dyDescent="0.25">
      <c r="D175" t="s">
        <v>343</v>
      </c>
      <c r="E175">
        <v>81</v>
      </c>
    </row>
    <row r="176" spans="4:5" x14ac:dyDescent="0.25">
      <c r="D176" t="s">
        <v>344</v>
      </c>
      <c r="E176">
        <v>4</v>
      </c>
    </row>
    <row r="177" spans="4:5" x14ac:dyDescent="0.25">
      <c r="D177" t="s">
        <v>345</v>
      </c>
      <c r="E177">
        <v>0</v>
      </c>
    </row>
    <row r="178" spans="4:5" x14ac:dyDescent="0.25">
      <c r="D178" t="s">
        <v>346</v>
      </c>
      <c r="E178">
        <v>1</v>
      </c>
    </row>
    <row r="179" spans="4:5" x14ac:dyDescent="0.25">
      <c r="D179" t="s">
        <v>351</v>
      </c>
    </row>
    <row r="181" spans="4:5" x14ac:dyDescent="0.25">
      <c r="D181" t="s">
        <v>339</v>
      </c>
    </row>
    <row r="182" spans="4:5" x14ac:dyDescent="0.25">
      <c r="D182" t="s">
        <v>340</v>
      </c>
    </row>
    <row r="183" spans="4:5" x14ac:dyDescent="0.25">
      <c r="D183" t="s">
        <v>160</v>
      </c>
      <c r="E183" t="s">
        <v>341</v>
      </c>
    </row>
    <row r="184" spans="4:5" x14ac:dyDescent="0.25">
      <c r="D184" t="s">
        <v>158</v>
      </c>
      <c r="E184" t="s">
        <v>335</v>
      </c>
    </row>
    <row r="185" spans="4:5" x14ac:dyDescent="0.25">
      <c r="D185" t="s">
        <v>342</v>
      </c>
      <c r="E185">
        <v>85</v>
      </c>
    </row>
    <row r="186" spans="4:5" x14ac:dyDescent="0.25">
      <c r="D186" t="s">
        <v>343</v>
      </c>
      <c r="E186">
        <v>75</v>
      </c>
    </row>
    <row r="187" spans="4:5" x14ac:dyDescent="0.25">
      <c r="D187" t="s">
        <v>344</v>
      </c>
      <c r="E187">
        <v>4</v>
      </c>
    </row>
    <row r="188" spans="4:5" x14ac:dyDescent="0.25">
      <c r="D188" t="s">
        <v>345</v>
      </c>
      <c r="E188">
        <v>1</v>
      </c>
    </row>
    <row r="189" spans="4:5" x14ac:dyDescent="0.25">
      <c r="D189" t="s">
        <v>346</v>
      </c>
      <c r="E189">
        <v>1</v>
      </c>
    </row>
    <row r="190" spans="4:5" x14ac:dyDescent="0.25">
      <c r="D190" t="s">
        <v>352</v>
      </c>
    </row>
    <row r="192" spans="4:5" x14ac:dyDescent="0.25">
      <c r="D192" t="s">
        <v>118</v>
      </c>
    </row>
    <row r="193" spans="2:5" x14ac:dyDescent="0.25">
      <c r="D193" t="s">
        <v>119</v>
      </c>
    </row>
    <row r="194" spans="2:5" x14ac:dyDescent="0.25">
      <c r="D194" t="s">
        <v>120</v>
      </c>
      <c r="E194">
        <v>2</v>
      </c>
    </row>
    <row r="195" spans="2:5" x14ac:dyDescent="0.25">
      <c r="D195" t="s">
        <v>121</v>
      </c>
      <c r="E195">
        <v>25</v>
      </c>
    </row>
    <row r="200" spans="2:5" x14ac:dyDescent="0.25">
      <c r="B200" t="s">
        <v>132</v>
      </c>
    </row>
    <row r="201" spans="2:5" x14ac:dyDescent="0.25">
      <c r="B201" t="s">
        <v>189</v>
      </c>
    </row>
    <row r="202" spans="2:5" x14ac:dyDescent="0.25">
      <c r="B202" t="s">
        <v>190</v>
      </c>
    </row>
    <row r="203" spans="2:5" x14ac:dyDescent="0.25">
      <c r="B203" t="s">
        <v>191</v>
      </c>
    </row>
    <row r="204" spans="2:5" x14ac:dyDescent="0.25">
      <c r="B204" t="s">
        <v>136</v>
      </c>
    </row>
    <row r="205" spans="2:5" x14ac:dyDescent="0.25">
      <c r="B205" t="s">
        <v>192</v>
      </c>
    </row>
    <row r="206" spans="2:5" x14ac:dyDescent="0.25">
      <c r="B206" t="s">
        <v>138</v>
      </c>
    </row>
    <row r="208" spans="2:5" x14ac:dyDescent="0.25">
      <c r="D208" t="s">
        <v>139</v>
      </c>
    </row>
    <row r="209" spans="3:8" x14ac:dyDescent="0.25">
      <c r="D209" t="s">
        <v>140</v>
      </c>
    </row>
    <row r="210" spans="3:8" x14ac:dyDescent="0.25">
      <c r="D210" t="s">
        <v>141</v>
      </c>
      <c r="E210" t="s">
        <v>193</v>
      </c>
    </row>
    <row r="211" spans="3:8" x14ac:dyDescent="0.25">
      <c r="D211" t="s">
        <v>194</v>
      </c>
    </row>
    <row r="212" spans="3:8" x14ac:dyDescent="0.25">
      <c r="C212" t="s">
        <v>126</v>
      </c>
    </row>
    <row r="214" spans="3:8" x14ac:dyDescent="0.25">
      <c r="D214" t="s">
        <v>156</v>
      </c>
    </row>
    <row r="215" spans="3:8" x14ac:dyDescent="0.25">
      <c r="D215" t="s">
        <v>157</v>
      </c>
    </row>
    <row r="216" spans="3:8" x14ac:dyDescent="0.25">
      <c r="D216" t="s">
        <v>158</v>
      </c>
      <c r="E216" t="s">
        <v>335</v>
      </c>
      <c r="F216" t="s">
        <v>335</v>
      </c>
      <c r="G216" t="s">
        <v>335</v>
      </c>
      <c r="H216" t="s">
        <v>335</v>
      </c>
    </row>
    <row r="217" spans="3:8" x14ac:dyDescent="0.25">
      <c r="D217" t="s">
        <v>159</v>
      </c>
      <c r="E217">
        <v>25</v>
      </c>
      <c r="F217">
        <v>26</v>
      </c>
      <c r="G217">
        <v>27</v>
      </c>
      <c r="H217">
        <v>28</v>
      </c>
    </row>
    <row r="218" spans="3:8" x14ac:dyDescent="0.25">
      <c r="D218" t="s">
        <v>160</v>
      </c>
      <c r="E218" t="s">
        <v>353</v>
      </c>
      <c r="F218" t="s">
        <v>353</v>
      </c>
      <c r="G218" t="s">
        <v>353</v>
      </c>
      <c r="H218" t="s">
        <v>353</v>
      </c>
    </row>
    <row r="219" spans="3:8" x14ac:dyDescent="0.25">
      <c r="D219" t="s">
        <v>161</v>
      </c>
      <c r="E219">
        <v>25</v>
      </c>
      <c r="F219">
        <v>26</v>
      </c>
      <c r="G219">
        <v>27</v>
      </c>
      <c r="H219">
        <v>28</v>
      </c>
    </row>
    <row r="220" spans="3:8" x14ac:dyDescent="0.25">
      <c r="D220" t="s">
        <v>162</v>
      </c>
      <c r="E220">
        <v>6</v>
      </c>
      <c r="F220">
        <v>6</v>
      </c>
      <c r="G220">
        <v>6</v>
      </c>
      <c r="H220">
        <v>6</v>
      </c>
    </row>
    <row r="221" spans="3:8" x14ac:dyDescent="0.25">
      <c r="D221" t="s">
        <v>163</v>
      </c>
      <c r="E221">
        <v>6.31</v>
      </c>
      <c r="F221">
        <v>6.31</v>
      </c>
      <c r="G221">
        <v>6.31</v>
      </c>
      <c r="H221">
        <v>6.31</v>
      </c>
    </row>
    <row r="222" spans="3:8" x14ac:dyDescent="0.25">
      <c r="D222" t="s">
        <v>164</v>
      </c>
      <c r="E222">
        <v>104</v>
      </c>
      <c r="F222">
        <v>104</v>
      </c>
      <c r="G222">
        <v>104</v>
      </c>
      <c r="H222">
        <v>104</v>
      </c>
    </row>
    <row r="223" spans="3:8" x14ac:dyDescent="0.25">
      <c r="D223" t="s">
        <v>165</v>
      </c>
      <c r="E223" t="s">
        <v>41</v>
      </c>
      <c r="F223" t="s">
        <v>41</v>
      </c>
      <c r="G223" t="s">
        <v>41</v>
      </c>
      <c r="H223" t="s">
        <v>41</v>
      </c>
    </row>
    <row r="224" spans="3:8" x14ac:dyDescent="0.25">
      <c r="D224" t="s">
        <v>195</v>
      </c>
    </row>
    <row r="229" spans="2:5" x14ac:dyDescent="0.25">
      <c r="B229" t="s">
        <v>175</v>
      </c>
    </row>
    <row r="230" spans="2:5" x14ac:dyDescent="0.25">
      <c r="B230" t="s">
        <v>196</v>
      </c>
    </row>
    <row r="231" spans="2:5" x14ac:dyDescent="0.25">
      <c r="B231" t="s">
        <v>197</v>
      </c>
    </row>
    <row r="232" spans="2:5" x14ac:dyDescent="0.25">
      <c r="B232" t="s">
        <v>178</v>
      </c>
    </row>
    <row r="233" spans="2:5" x14ac:dyDescent="0.25">
      <c r="B233" t="s">
        <v>179</v>
      </c>
    </row>
    <row r="235" spans="2:5" x14ac:dyDescent="0.25">
      <c r="C235" t="s">
        <v>126</v>
      </c>
    </row>
    <row r="236" spans="2:5" x14ac:dyDescent="0.25">
      <c r="D236" t="s">
        <v>139</v>
      </c>
    </row>
    <row r="237" spans="2:5" x14ac:dyDescent="0.25">
      <c r="D237" t="s">
        <v>140</v>
      </c>
    </row>
    <row r="238" spans="2:5" x14ac:dyDescent="0.25">
      <c r="D238" t="s">
        <v>141</v>
      </c>
      <c r="E238" t="s">
        <v>198</v>
      </c>
    </row>
    <row r="239" spans="2:5" x14ac:dyDescent="0.25">
      <c r="D239" t="s">
        <v>199</v>
      </c>
    </row>
    <row r="241" spans="4:5" x14ac:dyDescent="0.25">
      <c r="D241" t="s">
        <v>339</v>
      </c>
    </row>
    <row r="242" spans="4:5" x14ac:dyDescent="0.25">
      <c r="D242" t="s">
        <v>340</v>
      </c>
    </row>
    <row r="243" spans="4:5" x14ac:dyDescent="0.25">
      <c r="D243" t="s">
        <v>160</v>
      </c>
      <c r="E243" t="s">
        <v>335</v>
      </c>
    </row>
    <row r="244" spans="4:5" x14ac:dyDescent="0.25">
      <c r="D244" t="s">
        <v>158</v>
      </c>
      <c r="E244" t="s">
        <v>354</v>
      </c>
    </row>
    <row r="245" spans="4:5" x14ac:dyDescent="0.25">
      <c r="D245" t="s">
        <v>342</v>
      </c>
      <c r="E245">
        <v>85</v>
      </c>
    </row>
    <row r="246" spans="4:5" x14ac:dyDescent="0.25">
      <c r="D246" t="s">
        <v>343</v>
      </c>
      <c r="E246">
        <v>75</v>
      </c>
    </row>
    <row r="247" spans="4:5" x14ac:dyDescent="0.25">
      <c r="D247" t="s">
        <v>344</v>
      </c>
      <c r="E247">
        <v>4</v>
      </c>
    </row>
    <row r="248" spans="4:5" x14ac:dyDescent="0.25">
      <c r="D248" t="s">
        <v>345</v>
      </c>
      <c r="E248">
        <v>0</v>
      </c>
    </row>
    <row r="249" spans="4:5" x14ac:dyDescent="0.25">
      <c r="D249" t="s">
        <v>346</v>
      </c>
      <c r="E249">
        <v>0</v>
      </c>
    </row>
    <row r="250" spans="4:5" x14ac:dyDescent="0.25">
      <c r="D250" t="s">
        <v>203</v>
      </c>
    </row>
    <row r="252" spans="4:5" x14ac:dyDescent="0.25">
      <c r="D252" t="s">
        <v>339</v>
      </c>
    </row>
    <row r="253" spans="4:5" x14ac:dyDescent="0.25">
      <c r="D253" t="s">
        <v>340</v>
      </c>
    </row>
    <row r="254" spans="4:5" x14ac:dyDescent="0.25">
      <c r="D254" t="s">
        <v>160</v>
      </c>
      <c r="E254" t="s">
        <v>347</v>
      </c>
    </row>
    <row r="255" spans="4:5" x14ac:dyDescent="0.25">
      <c r="D255" t="s">
        <v>158</v>
      </c>
      <c r="E255" t="s">
        <v>355</v>
      </c>
    </row>
    <row r="256" spans="4:5" x14ac:dyDescent="0.25">
      <c r="D256" t="s">
        <v>342</v>
      </c>
      <c r="E256">
        <v>88</v>
      </c>
    </row>
    <row r="257" spans="3:5" x14ac:dyDescent="0.25">
      <c r="D257" t="s">
        <v>343</v>
      </c>
      <c r="E257">
        <v>81</v>
      </c>
    </row>
    <row r="258" spans="3:5" x14ac:dyDescent="0.25">
      <c r="D258" t="s">
        <v>344</v>
      </c>
      <c r="E258">
        <v>4</v>
      </c>
    </row>
    <row r="259" spans="3:5" x14ac:dyDescent="0.25">
      <c r="D259" t="s">
        <v>345</v>
      </c>
      <c r="E259">
        <v>1</v>
      </c>
    </row>
    <row r="260" spans="3:5" x14ac:dyDescent="0.25">
      <c r="D260" t="s">
        <v>346</v>
      </c>
      <c r="E260">
        <v>0</v>
      </c>
    </row>
    <row r="261" spans="3:5" x14ac:dyDescent="0.25">
      <c r="D261" t="s">
        <v>205</v>
      </c>
    </row>
    <row r="262" spans="3:5" x14ac:dyDescent="0.25">
      <c r="C262" t="s">
        <v>200</v>
      </c>
    </row>
    <row r="264" spans="3:5" x14ac:dyDescent="0.25">
      <c r="D264" t="s">
        <v>201</v>
      </c>
    </row>
    <row r="265" spans="3:5" x14ac:dyDescent="0.25">
      <c r="D265" t="s">
        <v>202</v>
      </c>
    </row>
    <row r="266" spans="3:5" x14ac:dyDescent="0.25">
      <c r="D266" t="s">
        <v>206</v>
      </c>
    </row>
    <row r="268" spans="3:5" x14ac:dyDescent="0.25">
      <c r="D268" t="s">
        <v>182</v>
      </c>
    </row>
    <row r="269" spans="3:5" x14ac:dyDescent="0.25">
      <c r="D269" t="s">
        <v>183</v>
      </c>
    </row>
    <row r="270" spans="3:5" x14ac:dyDescent="0.25">
      <c r="D270" t="s">
        <v>184</v>
      </c>
      <c r="E270">
        <v>1292.3900000000001</v>
      </c>
    </row>
    <row r="271" spans="3:5" x14ac:dyDescent="0.25">
      <c r="D271" t="s">
        <v>356</v>
      </c>
    </row>
    <row r="273" spans="4:5" x14ac:dyDescent="0.25">
      <c r="D273" t="s">
        <v>182</v>
      </c>
    </row>
    <row r="274" spans="4:5" x14ac:dyDescent="0.25">
      <c r="D274" t="s">
        <v>186</v>
      </c>
    </row>
    <row r="275" spans="4:5" x14ac:dyDescent="0.25">
      <c r="D275" t="s">
        <v>357</v>
      </c>
    </row>
    <row r="277" spans="4:5" x14ac:dyDescent="0.25">
      <c r="D277" t="s">
        <v>118</v>
      </c>
    </row>
    <row r="278" spans="4:5" x14ac:dyDescent="0.25">
      <c r="D278" t="s">
        <v>188</v>
      </c>
    </row>
    <row r="279" spans="4:5" x14ac:dyDescent="0.25">
      <c r="D279" t="s">
        <v>120</v>
      </c>
      <c r="E279">
        <v>2</v>
      </c>
    </row>
    <row r="281" spans="4:5" x14ac:dyDescent="0.25">
      <c r="D281" t="s">
        <v>339</v>
      </c>
    </row>
    <row r="282" spans="4:5" x14ac:dyDescent="0.25">
      <c r="D282" t="s">
        <v>340</v>
      </c>
    </row>
    <row r="283" spans="4:5" x14ac:dyDescent="0.25">
      <c r="D283" t="s">
        <v>160</v>
      </c>
      <c r="E283" t="s">
        <v>355</v>
      </c>
    </row>
    <row r="284" spans="4:5" x14ac:dyDescent="0.25">
      <c r="D284" t="s">
        <v>158</v>
      </c>
      <c r="E284" t="s">
        <v>347</v>
      </c>
    </row>
    <row r="285" spans="4:5" x14ac:dyDescent="0.25">
      <c r="D285" t="s">
        <v>342</v>
      </c>
      <c r="E285">
        <v>88</v>
      </c>
    </row>
    <row r="286" spans="4:5" x14ac:dyDescent="0.25">
      <c r="D286" t="s">
        <v>343</v>
      </c>
      <c r="E286">
        <v>81</v>
      </c>
    </row>
    <row r="287" spans="4:5" x14ac:dyDescent="0.25">
      <c r="D287" t="s">
        <v>344</v>
      </c>
      <c r="E287">
        <v>4</v>
      </c>
    </row>
    <row r="288" spans="4:5" x14ac:dyDescent="0.25">
      <c r="D288" t="s">
        <v>345</v>
      </c>
      <c r="E288">
        <v>0</v>
      </c>
    </row>
    <row r="289" spans="4:5" x14ac:dyDescent="0.25">
      <c r="D289" t="s">
        <v>346</v>
      </c>
      <c r="E289">
        <v>1</v>
      </c>
    </row>
    <row r="290" spans="4:5" x14ac:dyDescent="0.25">
      <c r="D290" t="s">
        <v>358</v>
      </c>
    </row>
    <row r="292" spans="4:5" x14ac:dyDescent="0.25">
      <c r="D292" t="s">
        <v>339</v>
      </c>
    </row>
    <row r="293" spans="4:5" x14ac:dyDescent="0.25">
      <c r="D293" t="s">
        <v>340</v>
      </c>
    </row>
    <row r="294" spans="4:5" x14ac:dyDescent="0.25">
      <c r="D294" t="s">
        <v>160</v>
      </c>
      <c r="E294" t="s">
        <v>354</v>
      </c>
    </row>
    <row r="295" spans="4:5" x14ac:dyDescent="0.25">
      <c r="D295" t="s">
        <v>158</v>
      </c>
      <c r="E295" t="s">
        <v>335</v>
      </c>
    </row>
    <row r="296" spans="4:5" x14ac:dyDescent="0.25">
      <c r="D296" t="s">
        <v>342</v>
      </c>
      <c r="E296">
        <v>85</v>
      </c>
    </row>
    <row r="297" spans="4:5" x14ac:dyDescent="0.25">
      <c r="D297" t="s">
        <v>343</v>
      </c>
      <c r="E297">
        <v>75</v>
      </c>
    </row>
    <row r="298" spans="4:5" x14ac:dyDescent="0.25">
      <c r="D298" t="s">
        <v>344</v>
      </c>
      <c r="E298">
        <v>4</v>
      </c>
    </row>
    <row r="299" spans="4:5" x14ac:dyDescent="0.25">
      <c r="D299" t="s">
        <v>345</v>
      </c>
      <c r="E299">
        <v>1</v>
      </c>
    </row>
    <row r="300" spans="4:5" x14ac:dyDescent="0.25">
      <c r="D300" t="s">
        <v>346</v>
      </c>
      <c r="E300">
        <v>1</v>
      </c>
    </row>
    <row r="301" spans="4:5" x14ac:dyDescent="0.25">
      <c r="D301" t="s">
        <v>359</v>
      </c>
    </row>
    <row r="303" spans="4:5" x14ac:dyDescent="0.25">
      <c r="D303" t="s">
        <v>118</v>
      </c>
    </row>
    <row r="304" spans="4:5" x14ac:dyDescent="0.25">
      <c r="D304" t="s">
        <v>119</v>
      </c>
    </row>
    <row r="305" spans="2:5" x14ac:dyDescent="0.25">
      <c r="D305" t="s">
        <v>120</v>
      </c>
      <c r="E305">
        <v>1</v>
      </c>
    </row>
    <row r="306" spans="2:5" x14ac:dyDescent="0.25">
      <c r="D306" t="s">
        <v>121</v>
      </c>
      <c r="E306">
        <v>30</v>
      </c>
    </row>
    <row r="308" spans="2:5" x14ac:dyDescent="0.25">
      <c r="D308" t="s">
        <v>118</v>
      </c>
    </row>
    <row r="309" spans="2:5" x14ac:dyDescent="0.25">
      <c r="D309" t="s">
        <v>119</v>
      </c>
    </row>
    <row r="310" spans="2:5" x14ac:dyDescent="0.25">
      <c r="D310" t="s">
        <v>120</v>
      </c>
      <c r="E310">
        <v>2</v>
      </c>
    </row>
    <row r="311" spans="2:5" x14ac:dyDescent="0.25">
      <c r="D311" t="s">
        <v>121</v>
      </c>
      <c r="E311">
        <v>30</v>
      </c>
    </row>
    <row r="316" spans="2:5" x14ac:dyDescent="0.25">
      <c r="B316" t="s">
        <v>122</v>
      </c>
    </row>
    <row r="317" spans="2:5" x14ac:dyDescent="0.25">
      <c r="B317" t="s">
        <v>207</v>
      </c>
    </row>
    <row r="318" spans="2:5" x14ac:dyDescent="0.25">
      <c r="B318" t="s">
        <v>208</v>
      </c>
    </row>
    <row r="319" spans="2:5" x14ac:dyDescent="0.25">
      <c r="B319" t="s">
        <v>125</v>
      </c>
    </row>
    <row r="325" spans="2:5" x14ac:dyDescent="0.25">
      <c r="B325" t="s">
        <v>209</v>
      </c>
    </row>
    <row r="326" spans="2:5" x14ac:dyDescent="0.25">
      <c r="B326" t="s">
        <v>210</v>
      </c>
    </row>
    <row r="327" spans="2:5" x14ac:dyDescent="0.25">
      <c r="B327" t="s">
        <v>211</v>
      </c>
    </row>
    <row r="328" spans="2:5" x14ac:dyDescent="0.25">
      <c r="B328" t="s">
        <v>212</v>
      </c>
    </row>
    <row r="329" spans="2:5" x14ac:dyDescent="0.25">
      <c r="B329" t="s">
        <v>213</v>
      </c>
    </row>
    <row r="331" spans="2:5" x14ac:dyDescent="0.25">
      <c r="C331" t="s">
        <v>214</v>
      </c>
    </row>
    <row r="332" spans="2:5" x14ac:dyDescent="0.25">
      <c r="D332" t="s">
        <v>139</v>
      </c>
    </row>
    <row r="333" spans="2:5" x14ac:dyDescent="0.25">
      <c r="D333" t="s">
        <v>140</v>
      </c>
    </row>
    <row r="334" spans="2:5" x14ac:dyDescent="0.25">
      <c r="D334" t="s">
        <v>141</v>
      </c>
      <c r="E334" t="s">
        <v>204</v>
      </c>
    </row>
    <row r="335" spans="2:5" x14ac:dyDescent="0.25">
      <c r="D335" t="s">
        <v>215</v>
      </c>
    </row>
    <row r="338" spans="2:4" x14ac:dyDescent="0.25">
      <c r="D338" t="s">
        <v>201</v>
      </c>
    </row>
    <row r="339" spans="2:4" x14ac:dyDescent="0.25">
      <c r="D339" t="s">
        <v>216</v>
      </c>
    </row>
    <row r="340" spans="2:4" x14ac:dyDescent="0.25">
      <c r="D340" t="s">
        <v>217</v>
      </c>
    </row>
    <row r="341" spans="2:4" x14ac:dyDescent="0.25">
      <c r="C341" t="s">
        <v>126</v>
      </c>
    </row>
    <row r="346" spans="2:4" x14ac:dyDescent="0.25">
      <c r="B346" t="s">
        <v>122</v>
      </c>
    </row>
    <row r="347" spans="2:4" x14ac:dyDescent="0.25">
      <c r="B347" t="s">
        <v>218</v>
      </c>
    </row>
    <row r="348" spans="2:4" x14ac:dyDescent="0.25">
      <c r="B348" t="s">
        <v>219</v>
      </c>
    </row>
    <row r="349" spans="2:4" x14ac:dyDescent="0.25">
      <c r="B349" t="s">
        <v>125</v>
      </c>
    </row>
    <row r="351" spans="2:4" x14ac:dyDescent="0.25">
      <c r="C351" t="s">
        <v>126</v>
      </c>
    </row>
    <row r="356" spans="2:5" x14ac:dyDescent="0.25">
      <c r="B356" t="s">
        <v>220</v>
      </c>
    </row>
    <row r="357" spans="2:5" x14ac:dyDescent="0.25">
      <c r="B357" t="s">
        <v>221</v>
      </c>
    </row>
    <row r="358" spans="2:5" x14ac:dyDescent="0.25">
      <c r="B358" t="s">
        <v>222</v>
      </c>
    </row>
    <row r="359" spans="2:5" x14ac:dyDescent="0.25">
      <c r="B359" t="s">
        <v>223</v>
      </c>
    </row>
    <row r="360" spans="2:5" x14ac:dyDescent="0.25">
      <c r="B360" t="s">
        <v>224</v>
      </c>
    </row>
    <row r="362" spans="2:5" x14ac:dyDescent="0.25">
      <c r="C362" t="s">
        <v>126</v>
      </c>
    </row>
    <row r="364" spans="2:5" x14ac:dyDescent="0.25">
      <c r="D364" t="s">
        <v>225</v>
      </c>
    </row>
    <row r="365" spans="2:5" x14ac:dyDescent="0.25">
      <c r="D365" t="s">
        <v>226</v>
      </c>
    </row>
    <row r="366" spans="2:5" x14ac:dyDescent="0.25">
      <c r="D366" t="s">
        <v>186</v>
      </c>
      <c r="E366" t="s">
        <v>41</v>
      </c>
    </row>
    <row r="367" spans="2:5" x14ac:dyDescent="0.25">
      <c r="D367" t="s">
        <v>227</v>
      </c>
      <c r="E367" t="s">
        <v>103</v>
      </c>
    </row>
    <row r="368" spans="2:5" x14ac:dyDescent="0.25">
      <c r="D368" t="s">
        <v>141</v>
      </c>
      <c r="E368" t="s">
        <v>104</v>
      </c>
    </row>
    <row r="369" spans="2:4" x14ac:dyDescent="0.25">
      <c r="D369" t="s">
        <v>228</v>
      </c>
    </row>
    <row r="374" spans="2:4" x14ac:dyDescent="0.25">
      <c r="B374" t="s">
        <v>145</v>
      </c>
    </row>
    <row r="375" spans="2:4" x14ac:dyDescent="0.25">
      <c r="B375" t="s">
        <v>229</v>
      </c>
    </row>
    <row r="376" spans="2:4" x14ac:dyDescent="0.25">
      <c r="B376" t="s">
        <v>230</v>
      </c>
    </row>
    <row r="377" spans="2:4" x14ac:dyDescent="0.25">
      <c r="B377" t="s">
        <v>231</v>
      </c>
    </row>
    <row r="378" spans="2:4" x14ac:dyDescent="0.25">
      <c r="B378" t="s">
        <v>232</v>
      </c>
    </row>
    <row r="379" spans="2:4" x14ac:dyDescent="0.25">
      <c r="B379" t="s">
        <v>233</v>
      </c>
    </row>
    <row r="380" spans="2:4" x14ac:dyDescent="0.25">
      <c r="B380" t="s">
        <v>150</v>
      </c>
    </row>
    <row r="381" spans="2:4" x14ac:dyDescent="0.25">
      <c r="B381" t="s">
        <v>234</v>
      </c>
    </row>
    <row r="383" spans="2:4" x14ac:dyDescent="0.25">
      <c r="D383" t="s">
        <v>139</v>
      </c>
    </row>
    <row r="384" spans="2:4" x14ac:dyDescent="0.25">
      <c r="D384" t="s">
        <v>140</v>
      </c>
    </row>
    <row r="385" spans="3:8" x14ac:dyDescent="0.25">
      <c r="D385" t="s">
        <v>141</v>
      </c>
      <c r="E385" t="s">
        <v>235</v>
      </c>
    </row>
    <row r="386" spans="3:8" x14ac:dyDescent="0.25">
      <c r="D386" t="s">
        <v>236</v>
      </c>
    </row>
    <row r="387" spans="3:8" x14ac:dyDescent="0.25">
      <c r="C387" t="s">
        <v>360</v>
      </c>
    </row>
    <row r="389" spans="3:8" x14ac:dyDescent="0.25">
      <c r="C389" t="s">
        <v>126</v>
      </c>
    </row>
    <row r="391" spans="3:8" x14ac:dyDescent="0.25">
      <c r="D391" t="s">
        <v>156</v>
      </c>
    </row>
    <row r="392" spans="3:8" x14ac:dyDescent="0.25">
      <c r="D392" t="s">
        <v>157</v>
      </c>
    </row>
    <row r="393" spans="3:8" x14ac:dyDescent="0.25">
      <c r="D393" t="s">
        <v>158</v>
      </c>
      <c r="E393" t="s">
        <v>361</v>
      </c>
      <c r="F393" t="s">
        <v>361</v>
      </c>
      <c r="G393" t="s">
        <v>361</v>
      </c>
      <c r="H393" t="s">
        <v>361</v>
      </c>
    </row>
    <row r="394" spans="3:8" x14ac:dyDescent="0.25">
      <c r="D394" t="s">
        <v>159</v>
      </c>
      <c r="E394">
        <v>25</v>
      </c>
      <c r="F394">
        <v>26</v>
      </c>
      <c r="G394">
        <v>27</v>
      </c>
      <c r="H394">
        <v>28</v>
      </c>
    </row>
    <row r="395" spans="3:8" x14ac:dyDescent="0.25">
      <c r="D395" t="s">
        <v>160</v>
      </c>
      <c r="E395" t="s">
        <v>362</v>
      </c>
      <c r="F395" t="s">
        <v>362</v>
      </c>
      <c r="G395" t="s">
        <v>362</v>
      </c>
      <c r="H395" t="s">
        <v>362</v>
      </c>
    </row>
    <row r="396" spans="3:8" x14ac:dyDescent="0.25">
      <c r="D396" t="s">
        <v>161</v>
      </c>
      <c r="E396">
        <v>25</v>
      </c>
      <c r="F396">
        <v>26</v>
      </c>
      <c r="G396">
        <v>27</v>
      </c>
      <c r="H396">
        <v>28</v>
      </c>
    </row>
    <row r="397" spans="3:8" x14ac:dyDescent="0.25">
      <c r="D397" t="s">
        <v>162</v>
      </c>
      <c r="E397">
        <v>54.35</v>
      </c>
      <c r="F397">
        <v>58.82</v>
      </c>
      <c r="G397">
        <v>58.82</v>
      </c>
      <c r="H397">
        <v>70</v>
      </c>
    </row>
    <row r="398" spans="3:8" x14ac:dyDescent="0.25">
      <c r="D398" t="s">
        <v>163</v>
      </c>
      <c r="E398">
        <v>0.01</v>
      </c>
      <c r="F398">
        <v>0.01</v>
      </c>
      <c r="G398">
        <v>0.01</v>
      </c>
      <c r="H398">
        <v>0.01</v>
      </c>
    </row>
    <row r="399" spans="3:8" x14ac:dyDescent="0.25">
      <c r="D399" t="s">
        <v>164</v>
      </c>
      <c r="E399">
        <v>0</v>
      </c>
      <c r="F399">
        <v>0</v>
      </c>
      <c r="G399">
        <v>0</v>
      </c>
      <c r="H399">
        <v>0</v>
      </c>
    </row>
    <row r="400" spans="3:8" x14ac:dyDescent="0.25">
      <c r="D400" t="s">
        <v>165</v>
      </c>
      <c r="E400" t="s">
        <v>42</v>
      </c>
      <c r="F400" t="s">
        <v>42</v>
      </c>
      <c r="G400" t="s">
        <v>42</v>
      </c>
      <c r="H400" t="s">
        <v>42</v>
      </c>
    </row>
    <row r="401" spans="3:8" x14ac:dyDescent="0.25">
      <c r="D401" t="s">
        <v>238</v>
      </c>
    </row>
    <row r="403" spans="3:8" x14ac:dyDescent="0.25">
      <c r="C403" t="s">
        <v>126</v>
      </c>
    </row>
    <row r="405" spans="3:8" x14ac:dyDescent="0.25">
      <c r="D405" t="s">
        <v>156</v>
      </c>
    </row>
    <row r="406" spans="3:8" x14ac:dyDescent="0.25">
      <c r="D406" t="s">
        <v>157</v>
      </c>
    </row>
    <row r="407" spans="3:8" x14ac:dyDescent="0.25">
      <c r="D407" t="s">
        <v>158</v>
      </c>
      <c r="E407" t="s">
        <v>361</v>
      </c>
      <c r="F407" t="s">
        <v>361</v>
      </c>
      <c r="G407" t="s">
        <v>361</v>
      </c>
      <c r="H407" t="s">
        <v>361</v>
      </c>
    </row>
    <row r="408" spans="3:8" x14ac:dyDescent="0.25">
      <c r="D408" t="s">
        <v>159</v>
      </c>
      <c r="E408">
        <v>25</v>
      </c>
      <c r="F408">
        <v>26</v>
      </c>
      <c r="G408">
        <v>27</v>
      </c>
      <c r="H408">
        <v>28</v>
      </c>
    </row>
    <row r="409" spans="3:8" x14ac:dyDescent="0.25">
      <c r="D409" t="s">
        <v>160</v>
      </c>
      <c r="E409" t="s">
        <v>363</v>
      </c>
      <c r="F409" t="s">
        <v>363</v>
      </c>
      <c r="G409" t="s">
        <v>363</v>
      </c>
      <c r="H409" t="s">
        <v>363</v>
      </c>
    </row>
    <row r="410" spans="3:8" x14ac:dyDescent="0.25">
      <c r="D410" t="s">
        <v>161</v>
      </c>
      <c r="E410">
        <v>25</v>
      </c>
      <c r="F410">
        <v>26</v>
      </c>
      <c r="G410">
        <v>27</v>
      </c>
      <c r="H410">
        <v>28</v>
      </c>
    </row>
    <row r="411" spans="3:8" x14ac:dyDescent="0.25">
      <c r="D411" t="s">
        <v>162</v>
      </c>
      <c r="E411">
        <v>45.65</v>
      </c>
      <c r="F411">
        <v>41.18</v>
      </c>
      <c r="G411">
        <v>41.18</v>
      </c>
      <c r="H411">
        <v>30</v>
      </c>
    </row>
    <row r="412" spans="3:8" x14ac:dyDescent="0.25">
      <c r="D412" t="s">
        <v>163</v>
      </c>
      <c r="E412">
        <v>3.3</v>
      </c>
      <c r="F412">
        <v>3.57</v>
      </c>
      <c r="G412">
        <v>3.57</v>
      </c>
      <c r="H412">
        <v>4.25</v>
      </c>
    </row>
    <row r="413" spans="3:8" x14ac:dyDescent="0.25">
      <c r="D413" t="s">
        <v>164</v>
      </c>
      <c r="E413">
        <v>54.35</v>
      </c>
      <c r="F413">
        <v>58.82</v>
      </c>
      <c r="G413">
        <v>58.82</v>
      </c>
      <c r="H413">
        <v>70</v>
      </c>
    </row>
    <row r="414" spans="3:8" x14ac:dyDescent="0.25">
      <c r="D414" t="s">
        <v>165</v>
      </c>
      <c r="E414" t="s">
        <v>41</v>
      </c>
      <c r="F414" t="s">
        <v>41</v>
      </c>
      <c r="G414" t="s">
        <v>41</v>
      </c>
      <c r="H414" t="s">
        <v>41</v>
      </c>
    </row>
    <row r="415" spans="3:8" x14ac:dyDescent="0.25">
      <c r="D415" t="s">
        <v>364</v>
      </c>
    </row>
    <row r="420" spans="2:5" x14ac:dyDescent="0.25">
      <c r="B420" t="s">
        <v>132</v>
      </c>
    </row>
    <row r="421" spans="2:5" x14ac:dyDescent="0.25">
      <c r="B421" t="s">
        <v>239</v>
      </c>
    </row>
    <row r="422" spans="2:5" x14ac:dyDescent="0.25">
      <c r="B422" t="s">
        <v>240</v>
      </c>
    </row>
    <row r="423" spans="2:5" x14ac:dyDescent="0.25">
      <c r="B423" t="s">
        <v>135</v>
      </c>
    </row>
    <row r="424" spans="2:5" x14ac:dyDescent="0.25">
      <c r="B424" t="s">
        <v>136</v>
      </c>
    </row>
    <row r="425" spans="2:5" x14ac:dyDescent="0.25">
      <c r="B425" t="s">
        <v>241</v>
      </c>
    </row>
    <row r="426" spans="2:5" x14ac:dyDescent="0.25">
      <c r="B426" t="s">
        <v>138</v>
      </c>
    </row>
    <row r="428" spans="2:5" x14ac:dyDescent="0.25">
      <c r="D428" t="s">
        <v>139</v>
      </c>
    </row>
    <row r="429" spans="2:5" x14ac:dyDescent="0.25">
      <c r="D429" t="s">
        <v>140</v>
      </c>
    </row>
    <row r="430" spans="2:5" x14ac:dyDescent="0.25">
      <c r="D430" t="s">
        <v>141</v>
      </c>
      <c r="E430" t="s">
        <v>242</v>
      </c>
    </row>
    <row r="431" spans="2:5" x14ac:dyDescent="0.25">
      <c r="D431" t="s">
        <v>243</v>
      </c>
    </row>
    <row r="432" spans="2:5" x14ac:dyDescent="0.25">
      <c r="C432" t="s">
        <v>126</v>
      </c>
    </row>
    <row r="434" spans="4:8" x14ac:dyDescent="0.25">
      <c r="D434" t="s">
        <v>156</v>
      </c>
    </row>
    <row r="435" spans="4:8" x14ac:dyDescent="0.25">
      <c r="D435" t="s">
        <v>157</v>
      </c>
    </row>
    <row r="436" spans="4:8" x14ac:dyDescent="0.25">
      <c r="D436" t="s">
        <v>158</v>
      </c>
      <c r="E436" t="s">
        <v>361</v>
      </c>
      <c r="F436" t="s">
        <v>361</v>
      </c>
      <c r="G436" t="s">
        <v>361</v>
      </c>
      <c r="H436" t="s">
        <v>361</v>
      </c>
    </row>
    <row r="437" spans="4:8" x14ac:dyDescent="0.25">
      <c r="D437" t="s">
        <v>159</v>
      </c>
      <c r="E437">
        <v>25</v>
      </c>
      <c r="F437">
        <v>26</v>
      </c>
      <c r="G437">
        <v>27</v>
      </c>
      <c r="H437">
        <v>28</v>
      </c>
    </row>
    <row r="438" spans="4:8" x14ac:dyDescent="0.25">
      <c r="D438" t="s">
        <v>160</v>
      </c>
      <c r="E438" t="s">
        <v>365</v>
      </c>
      <c r="F438" t="s">
        <v>365</v>
      </c>
      <c r="G438" t="s">
        <v>365</v>
      </c>
      <c r="H438" t="s">
        <v>365</v>
      </c>
    </row>
    <row r="439" spans="4:8" x14ac:dyDescent="0.25">
      <c r="D439" t="s">
        <v>161</v>
      </c>
      <c r="E439">
        <v>25</v>
      </c>
      <c r="F439">
        <v>26</v>
      </c>
      <c r="G439">
        <v>27</v>
      </c>
      <c r="H439">
        <v>28</v>
      </c>
    </row>
    <row r="440" spans="4:8" x14ac:dyDescent="0.25">
      <c r="D440" t="s">
        <v>162</v>
      </c>
      <c r="E440">
        <v>16.5</v>
      </c>
      <c r="F440">
        <v>16.5</v>
      </c>
      <c r="G440">
        <v>13.5</v>
      </c>
      <c r="H440">
        <v>13.5</v>
      </c>
    </row>
    <row r="441" spans="4:8" x14ac:dyDescent="0.25">
      <c r="D441" t="s">
        <v>163</v>
      </c>
      <c r="E441">
        <v>6.07</v>
      </c>
      <c r="F441">
        <v>6.07</v>
      </c>
      <c r="G441">
        <v>6.07</v>
      </c>
      <c r="H441">
        <v>6.07</v>
      </c>
    </row>
    <row r="442" spans="4:8" x14ac:dyDescent="0.25">
      <c r="D442" t="s">
        <v>164</v>
      </c>
      <c r="E442">
        <v>100</v>
      </c>
      <c r="F442">
        <v>100</v>
      </c>
      <c r="G442">
        <v>100</v>
      </c>
      <c r="H442">
        <v>100</v>
      </c>
    </row>
    <row r="443" spans="4:8" x14ac:dyDescent="0.25">
      <c r="D443" t="s">
        <v>165</v>
      </c>
      <c r="E443" t="s">
        <v>41</v>
      </c>
      <c r="F443" t="s">
        <v>41</v>
      </c>
      <c r="G443" t="s">
        <v>41</v>
      </c>
      <c r="H443" t="s">
        <v>41</v>
      </c>
    </row>
    <row r="444" spans="4:8" x14ac:dyDescent="0.25">
      <c r="D444" t="s">
        <v>244</v>
      </c>
    </row>
    <row r="449" spans="2:5" x14ac:dyDescent="0.25">
      <c r="B449" t="s">
        <v>132</v>
      </c>
    </row>
    <row r="450" spans="2:5" x14ac:dyDescent="0.25">
      <c r="B450" t="s">
        <v>245</v>
      </c>
    </row>
    <row r="451" spans="2:5" x14ac:dyDescent="0.25">
      <c r="B451" t="s">
        <v>246</v>
      </c>
    </row>
    <row r="452" spans="2:5" x14ac:dyDescent="0.25">
      <c r="B452" t="s">
        <v>247</v>
      </c>
    </row>
    <row r="453" spans="2:5" x14ac:dyDescent="0.25">
      <c r="B453" t="s">
        <v>136</v>
      </c>
    </row>
    <row r="454" spans="2:5" x14ac:dyDescent="0.25">
      <c r="B454" t="s">
        <v>248</v>
      </c>
    </row>
    <row r="455" spans="2:5" x14ac:dyDescent="0.25">
      <c r="B455" t="s">
        <v>138</v>
      </c>
    </row>
    <row r="457" spans="2:5" x14ac:dyDescent="0.25">
      <c r="D457" t="s">
        <v>139</v>
      </c>
    </row>
    <row r="458" spans="2:5" x14ac:dyDescent="0.25">
      <c r="D458" t="s">
        <v>140</v>
      </c>
    </row>
    <row r="459" spans="2:5" x14ac:dyDescent="0.25">
      <c r="D459" t="s">
        <v>141</v>
      </c>
      <c r="E459" t="s">
        <v>249</v>
      </c>
    </row>
    <row r="460" spans="2:5" x14ac:dyDescent="0.25">
      <c r="D460" t="s">
        <v>250</v>
      </c>
    </row>
    <row r="461" spans="2:5" x14ac:dyDescent="0.25">
      <c r="C461" t="s">
        <v>126</v>
      </c>
    </row>
    <row r="463" spans="2:5" x14ac:dyDescent="0.25">
      <c r="D463" t="s">
        <v>156</v>
      </c>
    </row>
    <row r="464" spans="2:5" x14ac:dyDescent="0.25">
      <c r="D464" t="s">
        <v>157</v>
      </c>
    </row>
    <row r="465" spans="2:8" x14ac:dyDescent="0.25">
      <c r="D465" t="s">
        <v>158</v>
      </c>
      <c r="E465" t="s">
        <v>361</v>
      </c>
      <c r="F465" t="s">
        <v>361</v>
      </c>
      <c r="G465" t="s">
        <v>361</v>
      </c>
      <c r="H465" t="s">
        <v>361</v>
      </c>
    </row>
    <row r="466" spans="2:8" x14ac:dyDescent="0.25">
      <c r="D466" t="s">
        <v>159</v>
      </c>
      <c r="E466">
        <v>25</v>
      </c>
      <c r="F466">
        <v>26</v>
      </c>
      <c r="G466">
        <v>27</v>
      </c>
      <c r="H466">
        <v>28</v>
      </c>
    </row>
    <row r="467" spans="2:8" x14ac:dyDescent="0.25">
      <c r="D467" t="s">
        <v>160</v>
      </c>
      <c r="E467" t="s">
        <v>366</v>
      </c>
      <c r="F467" t="s">
        <v>366</v>
      </c>
      <c r="G467" t="s">
        <v>366</v>
      </c>
      <c r="H467" t="s">
        <v>366</v>
      </c>
    </row>
    <row r="468" spans="2:8" x14ac:dyDescent="0.25">
      <c r="D468" t="s">
        <v>161</v>
      </c>
      <c r="E468">
        <v>25</v>
      </c>
      <c r="F468">
        <v>26</v>
      </c>
      <c r="G468">
        <v>27</v>
      </c>
      <c r="H468">
        <v>28</v>
      </c>
    </row>
    <row r="469" spans="2:8" x14ac:dyDescent="0.25">
      <c r="D469" t="s">
        <v>162</v>
      </c>
      <c r="E469">
        <v>3.5</v>
      </c>
      <c r="F469">
        <v>3.5</v>
      </c>
      <c r="G469">
        <v>6.5</v>
      </c>
      <c r="H469">
        <v>6.5</v>
      </c>
    </row>
    <row r="470" spans="2:8" x14ac:dyDescent="0.25">
      <c r="D470" t="s">
        <v>163</v>
      </c>
      <c r="E470">
        <v>7.07</v>
      </c>
      <c r="F470">
        <v>7.07</v>
      </c>
      <c r="G470">
        <v>6.89</v>
      </c>
      <c r="H470">
        <v>6.89</v>
      </c>
    </row>
    <row r="471" spans="2:8" x14ac:dyDescent="0.25">
      <c r="D471" t="s">
        <v>164</v>
      </c>
      <c r="E471">
        <v>116.5</v>
      </c>
      <c r="F471">
        <v>116.5</v>
      </c>
      <c r="G471">
        <v>113.5</v>
      </c>
      <c r="H471">
        <v>113.5</v>
      </c>
    </row>
    <row r="472" spans="2:8" x14ac:dyDescent="0.25">
      <c r="D472" t="s">
        <v>165</v>
      </c>
      <c r="E472" t="s">
        <v>41</v>
      </c>
      <c r="F472" t="s">
        <v>41</v>
      </c>
      <c r="G472" t="s">
        <v>41</v>
      </c>
      <c r="H472" t="s">
        <v>41</v>
      </c>
    </row>
    <row r="473" spans="2:8" x14ac:dyDescent="0.25">
      <c r="D473" t="s">
        <v>251</v>
      </c>
    </row>
    <row r="478" spans="2:8" x14ac:dyDescent="0.25">
      <c r="B478" t="s">
        <v>132</v>
      </c>
    </row>
    <row r="479" spans="2:8" x14ac:dyDescent="0.25">
      <c r="B479" t="s">
        <v>252</v>
      </c>
    </row>
    <row r="480" spans="2:8" x14ac:dyDescent="0.25">
      <c r="B480" t="s">
        <v>253</v>
      </c>
    </row>
    <row r="481" spans="2:8" x14ac:dyDescent="0.25">
      <c r="B481" t="s">
        <v>254</v>
      </c>
    </row>
    <row r="482" spans="2:8" x14ac:dyDescent="0.25">
      <c r="B482" t="s">
        <v>255</v>
      </c>
    </row>
    <row r="483" spans="2:8" x14ac:dyDescent="0.25">
      <c r="B483" t="s">
        <v>256</v>
      </c>
    </row>
    <row r="484" spans="2:8" x14ac:dyDescent="0.25">
      <c r="B484" t="s">
        <v>138</v>
      </c>
    </row>
    <row r="486" spans="2:8" x14ac:dyDescent="0.25">
      <c r="D486" t="s">
        <v>139</v>
      </c>
    </row>
    <row r="487" spans="2:8" x14ac:dyDescent="0.25">
      <c r="D487" t="s">
        <v>140</v>
      </c>
    </row>
    <row r="488" spans="2:8" x14ac:dyDescent="0.25">
      <c r="D488" t="s">
        <v>141</v>
      </c>
      <c r="E488" t="s">
        <v>257</v>
      </c>
    </row>
    <row r="489" spans="2:8" x14ac:dyDescent="0.25">
      <c r="D489" t="s">
        <v>258</v>
      </c>
    </row>
    <row r="490" spans="2:8" x14ac:dyDescent="0.25">
      <c r="C490" t="s">
        <v>126</v>
      </c>
    </row>
    <row r="492" spans="2:8" x14ac:dyDescent="0.25">
      <c r="D492" t="s">
        <v>156</v>
      </c>
    </row>
    <row r="493" spans="2:8" x14ac:dyDescent="0.25">
      <c r="D493" t="s">
        <v>157</v>
      </c>
    </row>
    <row r="494" spans="2:8" x14ac:dyDescent="0.25">
      <c r="D494" t="s">
        <v>158</v>
      </c>
      <c r="E494" t="s">
        <v>361</v>
      </c>
      <c r="F494" t="s">
        <v>361</v>
      </c>
      <c r="G494" t="s">
        <v>361</v>
      </c>
      <c r="H494" t="s">
        <v>361</v>
      </c>
    </row>
    <row r="495" spans="2:8" x14ac:dyDescent="0.25">
      <c r="D495" t="s">
        <v>159</v>
      </c>
      <c r="E495">
        <v>25</v>
      </c>
      <c r="F495">
        <v>26</v>
      </c>
      <c r="G495">
        <v>27</v>
      </c>
      <c r="H495">
        <v>28</v>
      </c>
    </row>
    <row r="496" spans="2:8" x14ac:dyDescent="0.25">
      <c r="D496" t="s">
        <v>160</v>
      </c>
      <c r="E496" t="s">
        <v>367</v>
      </c>
      <c r="F496" t="s">
        <v>367</v>
      </c>
      <c r="G496" t="s">
        <v>367</v>
      </c>
      <c r="H496" t="s">
        <v>367</v>
      </c>
    </row>
    <row r="497" spans="2:8" x14ac:dyDescent="0.25">
      <c r="D497" t="s">
        <v>161</v>
      </c>
      <c r="E497">
        <v>25</v>
      </c>
      <c r="F497">
        <v>26</v>
      </c>
      <c r="G497">
        <v>27</v>
      </c>
      <c r="H497">
        <v>28</v>
      </c>
    </row>
    <row r="498" spans="2:8" x14ac:dyDescent="0.25">
      <c r="D498" t="s">
        <v>162</v>
      </c>
      <c r="E498">
        <v>5</v>
      </c>
      <c r="F498">
        <v>5</v>
      </c>
      <c r="G498">
        <v>5</v>
      </c>
      <c r="H498">
        <v>5</v>
      </c>
    </row>
    <row r="499" spans="2:8" x14ac:dyDescent="0.25">
      <c r="D499" t="s">
        <v>163</v>
      </c>
      <c r="E499">
        <v>7.28</v>
      </c>
      <c r="F499">
        <v>7.28</v>
      </c>
      <c r="G499">
        <v>7.28</v>
      </c>
      <c r="H499">
        <v>7.28</v>
      </c>
    </row>
    <row r="500" spans="2:8" x14ac:dyDescent="0.25">
      <c r="D500" t="s">
        <v>164</v>
      </c>
      <c r="E500">
        <v>120</v>
      </c>
      <c r="F500">
        <v>120</v>
      </c>
      <c r="G500">
        <v>120</v>
      </c>
      <c r="H500">
        <v>120</v>
      </c>
    </row>
    <row r="501" spans="2:8" x14ac:dyDescent="0.25">
      <c r="D501" t="s">
        <v>165</v>
      </c>
      <c r="E501" t="s">
        <v>41</v>
      </c>
      <c r="F501" t="s">
        <v>41</v>
      </c>
      <c r="G501" t="s">
        <v>41</v>
      </c>
      <c r="H501" t="s">
        <v>41</v>
      </c>
    </row>
    <row r="502" spans="2:8" x14ac:dyDescent="0.25">
      <c r="D502" t="s">
        <v>259</v>
      </c>
    </row>
    <row r="507" spans="2:8" x14ac:dyDescent="0.25">
      <c r="B507" t="s">
        <v>175</v>
      </c>
    </row>
    <row r="508" spans="2:8" x14ac:dyDescent="0.25">
      <c r="B508" t="s">
        <v>260</v>
      </c>
    </row>
    <row r="509" spans="2:8" x14ac:dyDescent="0.25">
      <c r="B509" t="s">
        <v>177</v>
      </c>
    </row>
    <row r="510" spans="2:8" x14ac:dyDescent="0.25">
      <c r="B510" t="s">
        <v>261</v>
      </c>
    </row>
    <row r="511" spans="2:8" x14ac:dyDescent="0.25">
      <c r="B511" t="s">
        <v>179</v>
      </c>
    </row>
    <row r="513" spans="3:5" x14ac:dyDescent="0.25">
      <c r="C513" t="s">
        <v>126</v>
      </c>
    </row>
    <row r="514" spans="3:5" x14ac:dyDescent="0.25">
      <c r="D514" t="s">
        <v>139</v>
      </c>
    </row>
    <row r="515" spans="3:5" x14ac:dyDescent="0.25">
      <c r="D515" t="s">
        <v>140</v>
      </c>
    </row>
    <row r="516" spans="3:5" x14ac:dyDescent="0.25">
      <c r="D516" t="s">
        <v>141</v>
      </c>
      <c r="E516" t="s">
        <v>262</v>
      </c>
    </row>
    <row r="517" spans="3:5" x14ac:dyDescent="0.25">
      <c r="D517" t="s">
        <v>263</v>
      </c>
    </row>
    <row r="519" spans="3:5" x14ac:dyDescent="0.25">
      <c r="D519" t="s">
        <v>339</v>
      </c>
    </row>
    <row r="520" spans="3:5" x14ac:dyDescent="0.25">
      <c r="D520" t="s">
        <v>340</v>
      </c>
    </row>
    <row r="521" spans="3:5" x14ac:dyDescent="0.25">
      <c r="D521" t="s">
        <v>160</v>
      </c>
      <c r="E521" t="s">
        <v>361</v>
      </c>
    </row>
    <row r="522" spans="3:5" x14ac:dyDescent="0.25">
      <c r="D522" t="s">
        <v>158</v>
      </c>
      <c r="E522" t="s">
        <v>341</v>
      </c>
    </row>
    <row r="523" spans="3:5" x14ac:dyDescent="0.25">
      <c r="D523" t="s">
        <v>342</v>
      </c>
      <c r="E523">
        <v>85</v>
      </c>
    </row>
    <row r="524" spans="3:5" x14ac:dyDescent="0.25">
      <c r="D524" t="s">
        <v>343</v>
      </c>
      <c r="E524">
        <v>75</v>
      </c>
    </row>
    <row r="525" spans="3:5" x14ac:dyDescent="0.25">
      <c r="D525" t="s">
        <v>344</v>
      </c>
      <c r="E525">
        <v>4</v>
      </c>
    </row>
    <row r="526" spans="3:5" x14ac:dyDescent="0.25">
      <c r="D526" t="s">
        <v>345</v>
      </c>
      <c r="E526">
        <v>0</v>
      </c>
    </row>
    <row r="527" spans="3:5" x14ac:dyDescent="0.25">
      <c r="D527" t="s">
        <v>346</v>
      </c>
      <c r="E527">
        <v>0</v>
      </c>
    </row>
    <row r="528" spans="3:5" x14ac:dyDescent="0.25">
      <c r="D528" t="s">
        <v>264</v>
      </c>
    </row>
    <row r="530" spans="4:5" x14ac:dyDescent="0.25">
      <c r="D530" t="s">
        <v>339</v>
      </c>
    </row>
    <row r="531" spans="4:5" x14ac:dyDescent="0.25">
      <c r="D531" t="s">
        <v>340</v>
      </c>
    </row>
    <row r="532" spans="4:5" x14ac:dyDescent="0.25">
      <c r="D532" t="s">
        <v>160</v>
      </c>
      <c r="E532" t="s">
        <v>347</v>
      </c>
    </row>
    <row r="533" spans="4:5" x14ac:dyDescent="0.25">
      <c r="D533" t="s">
        <v>158</v>
      </c>
      <c r="E533" t="s">
        <v>348</v>
      </c>
    </row>
    <row r="534" spans="4:5" x14ac:dyDescent="0.25">
      <c r="D534" t="s">
        <v>342</v>
      </c>
      <c r="E534">
        <v>88</v>
      </c>
    </row>
    <row r="535" spans="4:5" x14ac:dyDescent="0.25">
      <c r="D535" t="s">
        <v>343</v>
      </c>
      <c r="E535">
        <v>81</v>
      </c>
    </row>
    <row r="536" spans="4:5" x14ac:dyDescent="0.25">
      <c r="D536" t="s">
        <v>344</v>
      </c>
      <c r="E536">
        <v>4</v>
      </c>
    </row>
    <row r="537" spans="4:5" x14ac:dyDescent="0.25">
      <c r="D537" t="s">
        <v>345</v>
      </c>
      <c r="E537">
        <v>1</v>
      </c>
    </row>
    <row r="538" spans="4:5" x14ac:dyDescent="0.25">
      <c r="D538" t="s">
        <v>346</v>
      </c>
      <c r="E538">
        <v>0</v>
      </c>
    </row>
    <row r="539" spans="4:5" x14ac:dyDescent="0.25">
      <c r="D539" t="s">
        <v>265</v>
      </c>
    </row>
    <row r="541" spans="4:5" x14ac:dyDescent="0.25">
      <c r="D541" t="s">
        <v>182</v>
      </c>
    </row>
    <row r="542" spans="4:5" x14ac:dyDescent="0.25">
      <c r="D542" t="s">
        <v>183</v>
      </c>
    </row>
    <row r="543" spans="4:5" x14ac:dyDescent="0.25">
      <c r="D543" t="s">
        <v>184</v>
      </c>
      <c r="E543">
        <v>3300</v>
      </c>
    </row>
    <row r="544" spans="4:5" x14ac:dyDescent="0.25">
      <c r="D544" t="s">
        <v>368</v>
      </c>
    </row>
    <row r="546" spans="4:5" x14ac:dyDescent="0.25">
      <c r="D546" t="s">
        <v>182</v>
      </c>
    </row>
    <row r="547" spans="4:5" x14ac:dyDescent="0.25">
      <c r="D547" t="s">
        <v>186</v>
      </c>
    </row>
    <row r="548" spans="4:5" x14ac:dyDescent="0.25">
      <c r="D548" t="s">
        <v>369</v>
      </c>
    </row>
    <row r="550" spans="4:5" x14ac:dyDescent="0.25">
      <c r="D550" t="s">
        <v>118</v>
      </c>
    </row>
    <row r="551" spans="4:5" x14ac:dyDescent="0.25">
      <c r="D551" t="s">
        <v>188</v>
      </c>
    </row>
    <row r="552" spans="4:5" x14ac:dyDescent="0.25">
      <c r="D552" t="s">
        <v>120</v>
      </c>
      <c r="E552">
        <v>1</v>
      </c>
    </row>
    <row r="554" spans="4:5" x14ac:dyDescent="0.25">
      <c r="D554" t="s">
        <v>339</v>
      </c>
    </row>
    <row r="555" spans="4:5" x14ac:dyDescent="0.25">
      <c r="D555" t="s">
        <v>340</v>
      </c>
    </row>
    <row r="556" spans="4:5" x14ac:dyDescent="0.25">
      <c r="D556" t="s">
        <v>160</v>
      </c>
      <c r="E556" t="s">
        <v>348</v>
      </c>
    </row>
    <row r="557" spans="4:5" x14ac:dyDescent="0.25">
      <c r="D557" t="s">
        <v>158</v>
      </c>
      <c r="E557" t="s">
        <v>347</v>
      </c>
    </row>
    <row r="558" spans="4:5" x14ac:dyDescent="0.25">
      <c r="D558" t="s">
        <v>342</v>
      </c>
      <c r="E558">
        <v>88</v>
      </c>
    </row>
    <row r="559" spans="4:5" x14ac:dyDescent="0.25">
      <c r="D559" t="s">
        <v>343</v>
      </c>
      <c r="E559">
        <v>81</v>
      </c>
    </row>
    <row r="560" spans="4:5" x14ac:dyDescent="0.25">
      <c r="D560" t="s">
        <v>344</v>
      </c>
      <c r="E560">
        <v>4</v>
      </c>
    </row>
    <row r="561" spans="4:5" x14ac:dyDescent="0.25">
      <c r="D561" t="s">
        <v>345</v>
      </c>
      <c r="E561">
        <v>0</v>
      </c>
    </row>
    <row r="562" spans="4:5" x14ac:dyDescent="0.25">
      <c r="D562" t="s">
        <v>346</v>
      </c>
      <c r="E562">
        <v>1</v>
      </c>
    </row>
    <row r="563" spans="4:5" x14ac:dyDescent="0.25">
      <c r="D563" t="s">
        <v>370</v>
      </c>
    </row>
    <row r="565" spans="4:5" x14ac:dyDescent="0.25">
      <c r="D565" t="s">
        <v>339</v>
      </c>
    </row>
    <row r="566" spans="4:5" x14ac:dyDescent="0.25">
      <c r="D566" t="s">
        <v>340</v>
      </c>
    </row>
    <row r="567" spans="4:5" x14ac:dyDescent="0.25">
      <c r="D567" t="s">
        <v>160</v>
      </c>
      <c r="E567" t="s">
        <v>341</v>
      </c>
    </row>
    <row r="568" spans="4:5" x14ac:dyDescent="0.25">
      <c r="D568" t="s">
        <v>158</v>
      </c>
      <c r="E568" t="s">
        <v>361</v>
      </c>
    </row>
    <row r="569" spans="4:5" x14ac:dyDescent="0.25">
      <c r="D569" t="s">
        <v>342</v>
      </c>
      <c r="E569">
        <v>85</v>
      </c>
    </row>
    <row r="570" spans="4:5" x14ac:dyDescent="0.25">
      <c r="D570" t="s">
        <v>343</v>
      </c>
      <c r="E570">
        <v>75</v>
      </c>
    </row>
    <row r="571" spans="4:5" x14ac:dyDescent="0.25">
      <c r="D571" t="s">
        <v>344</v>
      </c>
      <c r="E571">
        <v>4</v>
      </c>
    </row>
    <row r="572" spans="4:5" x14ac:dyDescent="0.25">
      <c r="D572" t="s">
        <v>345</v>
      </c>
      <c r="E572">
        <v>1</v>
      </c>
    </row>
    <row r="573" spans="4:5" x14ac:dyDescent="0.25">
      <c r="D573" t="s">
        <v>346</v>
      </c>
      <c r="E573">
        <v>1</v>
      </c>
    </row>
    <row r="574" spans="4:5" x14ac:dyDescent="0.25">
      <c r="D574" t="s">
        <v>371</v>
      </c>
    </row>
    <row r="579" spans="2:3" x14ac:dyDescent="0.25">
      <c r="B579" t="s">
        <v>266</v>
      </c>
    </row>
    <row r="580" spans="2:3" x14ac:dyDescent="0.25">
      <c r="B580" t="s">
        <v>267</v>
      </c>
    </row>
    <row r="581" spans="2:3" x14ac:dyDescent="0.25">
      <c r="B581" t="s">
        <v>268</v>
      </c>
    </row>
    <row r="582" spans="2:3" x14ac:dyDescent="0.25">
      <c r="B582" t="s">
        <v>269</v>
      </c>
    </row>
    <row r="583" spans="2:3" x14ac:dyDescent="0.25">
      <c r="B583" t="s">
        <v>270</v>
      </c>
    </row>
    <row r="585" spans="2:3" x14ac:dyDescent="0.25">
      <c r="C585" t="s">
        <v>126</v>
      </c>
    </row>
    <row r="590" spans="2:3" x14ac:dyDescent="0.25">
      <c r="B590" t="s">
        <v>132</v>
      </c>
    </row>
    <row r="591" spans="2:3" x14ac:dyDescent="0.25">
      <c r="B591" t="s">
        <v>271</v>
      </c>
    </row>
    <row r="592" spans="2:3" x14ac:dyDescent="0.25">
      <c r="B592" t="s">
        <v>272</v>
      </c>
    </row>
    <row r="593" spans="2:6" x14ac:dyDescent="0.25">
      <c r="B593" t="s">
        <v>273</v>
      </c>
    </row>
    <row r="594" spans="2:6" x14ac:dyDescent="0.25">
      <c r="B594" t="s">
        <v>136</v>
      </c>
    </row>
    <row r="595" spans="2:6" x14ac:dyDescent="0.25">
      <c r="B595" t="s">
        <v>274</v>
      </c>
    </row>
    <row r="596" spans="2:6" x14ac:dyDescent="0.25">
      <c r="B596" t="s">
        <v>275</v>
      </c>
    </row>
    <row r="598" spans="2:6" x14ac:dyDescent="0.25">
      <c r="D598" t="s">
        <v>139</v>
      </c>
    </row>
    <row r="599" spans="2:6" x14ac:dyDescent="0.25">
      <c r="D599" t="s">
        <v>140</v>
      </c>
    </row>
    <row r="600" spans="2:6" x14ac:dyDescent="0.25">
      <c r="D600" t="s">
        <v>141</v>
      </c>
      <c r="E600" t="s">
        <v>276</v>
      </c>
    </row>
    <row r="601" spans="2:6" x14ac:dyDescent="0.25">
      <c r="D601" t="s">
        <v>277</v>
      </c>
    </row>
    <row r="602" spans="2:6" x14ac:dyDescent="0.25">
      <c r="C602" t="s">
        <v>126</v>
      </c>
    </row>
    <row r="604" spans="2:6" x14ac:dyDescent="0.25">
      <c r="D604" t="s">
        <v>156</v>
      </c>
    </row>
    <row r="605" spans="2:6" x14ac:dyDescent="0.25">
      <c r="D605" t="s">
        <v>157</v>
      </c>
    </row>
    <row r="606" spans="2:6" x14ac:dyDescent="0.25">
      <c r="D606" t="s">
        <v>158</v>
      </c>
      <c r="E606" t="s">
        <v>372</v>
      </c>
      <c r="F606" t="s">
        <v>372</v>
      </c>
    </row>
    <row r="607" spans="2:6" x14ac:dyDescent="0.25">
      <c r="D607" t="s">
        <v>159</v>
      </c>
      <c r="E607">
        <v>27</v>
      </c>
      <c r="F607">
        <v>28</v>
      </c>
    </row>
    <row r="608" spans="2:6" x14ac:dyDescent="0.25">
      <c r="D608" t="s">
        <v>160</v>
      </c>
      <c r="E608" t="s">
        <v>361</v>
      </c>
      <c r="F608" t="s">
        <v>361</v>
      </c>
    </row>
    <row r="609" spans="2:6" x14ac:dyDescent="0.25">
      <c r="D609" t="s">
        <v>161</v>
      </c>
      <c r="E609">
        <v>27</v>
      </c>
      <c r="F609">
        <v>28</v>
      </c>
    </row>
    <row r="610" spans="2:6" x14ac:dyDescent="0.25">
      <c r="D610" t="s">
        <v>162</v>
      </c>
      <c r="E610">
        <v>120</v>
      </c>
      <c r="F610">
        <v>120</v>
      </c>
    </row>
    <row r="611" spans="2:6" x14ac:dyDescent="0.25">
      <c r="D611" t="s">
        <v>163</v>
      </c>
      <c r="E611">
        <v>0.01</v>
      </c>
      <c r="F611">
        <v>0.01</v>
      </c>
    </row>
    <row r="612" spans="2:6" x14ac:dyDescent="0.25">
      <c r="D612" t="s">
        <v>164</v>
      </c>
      <c r="E612">
        <v>0</v>
      </c>
      <c r="F612">
        <v>0</v>
      </c>
    </row>
    <row r="613" spans="2:6" x14ac:dyDescent="0.25">
      <c r="D613" t="s">
        <v>165</v>
      </c>
      <c r="E613" t="s">
        <v>42</v>
      </c>
      <c r="F613" t="s">
        <v>42</v>
      </c>
    </row>
    <row r="614" spans="2:6" x14ac:dyDescent="0.25">
      <c r="D614" t="s">
        <v>278</v>
      </c>
    </row>
    <row r="619" spans="2:6" x14ac:dyDescent="0.25">
      <c r="B619" t="s">
        <v>175</v>
      </c>
    </row>
    <row r="620" spans="2:6" x14ac:dyDescent="0.25">
      <c r="B620" t="s">
        <v>279</v>
      </c>
    </row>
    <row r="621" spans="2:6" x14ac:dyDescent="0.25">
      <c r="B621" t="s">
        <v>177</v>
      </c>
    </row>
    <row r="622" spans="2:6" x14ac:dyDescent="0.25">
      <c r="B622" t="s">
        <v>280</v>
      </c>
    </row>
    <row r="623" spans="2:6" x14ac:dyDescent="0.25">
      <c r="B623" t="s">
        <v>179</v>
      </c>
    </row>
    <row r="625" spans="3:5" x14ac:dyDescent="0.25">
      <c r="C625" t="s">
        <v>126</v>
      </c>
    </row>
    <row r="626" spans="3:5" x14ac:dyDescent="0.25">
      <c r="D626" t="s">
        <v>139</v>
      </c>
    </row>
    <row r="627" spans="3:5" x14ac:dyDescent="0.25">
      <c r="D627" t="s">
        <v>140</v>
      </c>
    </row>
    <row r="628" spans="3:5" x14ac:dyDescent="0.25">
      <c r="D628" t="s">
        <v>141</v>
      </c>
      <c r="E628" t="s">
        <v>281</v>
      </c>
    </row>
    <row r="629" spans="3:5" x14ac:dyDescent="0.25">
      <c r="D629" t="s">
        <v>282</v>
      </c>
    </row>
    <row r="631" spans="3:5" x14ac:dyDescent="0.25">
      <c r="D631" t="s">
        <v>339</v>
      </c>
    </row>
    <row r="632" spans="3:5" x14ac:dyDescent="0.25">
      <c r="D632" t="s">
        <v>340</v>
      </c>
    </row>
    <row r="633" spans="3:5" x14ac:dyDescent="0.25">
      <c r="D633" t="s">
        <v>160</v>
      </c>
      <c r="E633" t="s">
        <v>361</v>
      </c>
    </row>
    <row r="634" spans="3:5" x14ac:dyDescent="0.25">
      <c r="D634" t="s">
        <v>158</v>
      </c>
      <c r="E634" t="s">
        <v>354</v>
      </c>
    </row>
    <row r="635" spans="3:5" x14ac:dyDescent="0.25">
      <c r="D635" t="s">
        <v>342</v>
      </c>
      <c r="E635">
        <v>85</v>
      </c>
    </row>
    <row r="636" spans="3:5" x14ac:dyDescent="0.25">
      <c r="D636" t="s">
        <v>343</v>
      </c>
      <c r="E636">
        <v>75</v>
      </c>
    </row>
    <row r="637" spans="3:5" x14ac:dyDescent="0.25">
      <c r="D637" t="s">
        <v>344</v>
      </c>
      <c r="E637">
        <v>4</v>
      </c>
    </row>
    <row r="638" spans="3:5" x14ac:dyDescent="0.25">
      <c r="D638" t="s">
        <v>345</v>
      </c>
      <c r="E638">
        <v>0</v>
      </c>
    </row>
    <row r="639" spans="3:5" x14ac:dyDescent="0.25">
      <c r="D639" t="s">
        <v>346</v>
      </c>
      <c r="E639">
        <v>0</v>
      </c>
    </row>
    <row r="640" spans="3:5" x14ac:dyDescent="0.25">
      <c r="D640" t="s">
        <v>373</v>
      </c>
    </row>
    <row r="642" spans="2:5" x14ac:dyDescent="0.25">
      <c r="D642" t="s">
        <v>339</v>
      </c>
    </row>
    <row r="643" spans="2:5" x14ac:dyDescent="0.25">
      <c r="D643" t="s">
        <v>340</v>
      </c>
    </row>
    <row r="644" spans="2:5" x14ac:dyDescent="0.25">
      <c r="D644" t="s">
        <v>160</v>
      </c>
      <c r="E644" t="s">
        <v>347</v>
      </c>
    </row>
    <row r="645" spans="2:5" x14ac:dyDescent="0.25">
      <c r="D645" t="s">
        <v>158</v>
      </c>
      <c r="E645" t="s">
        <v>355</v>
      </c>
    </row>
    <row r="646" spans="2:5" x14ac:dyDescent="0.25">
      <c r="D646" t="s">
        <v>342</v>
      </c>
      <c r="E646">
        <v>88</v>
      </c>
    </row>
    <row r="647" spans="2:5" x14ac:dyDescent="0.25">
      <c r="D647" t="s">
        <v>343</v>
      </c>
      <c r="E647">
        <v>81</v>
      </c>
    </row>
    <row r="648" spans="2:5" x14ac:dyDescent="0.25">
      <c r="D648" t="s">
        <v>344</v>
      </c>
      <c r="E648">
        <v>4</v>
      </c>
    </row>
    <row r="649" spans="2:5" x14ac:dyDescent="0.25">
      <c r="D649" t="s">
        <v>345</v>
      </c>
      <c r="E649">
        <v>1</v>
      </c>
    </row>
    <row r="650" spans="2:5" x14ac:dyDescent="0.25">
      <c r="D650" t="s">
        <v>346</v>
      </c>
      <c r="E650">
        <v>0</v>
      </c>
    </row>
    <row r="651" spans="2:5" x14ac:dyDescent="0.25">
      <c r="D651" t="s">
        <v>374</v>
      </c>
    </row>
    <row r="656" spans="2:5" x14ac:dyDescent="0.25">
      <c r="B656" t="s">
        <v>132</v>
      </c>
    </row>
    <row r="657" spans="2:6" x14ac:dyDescent="0.25">
      <c r="B657" t="s">
        <v>283</v>
      </c>
    </row>
    <row r="658" spans="2:6" x14ac:dyDescent="0.25">
      <c r="B658" t="s">
        <v>334</v>
      </c>
    </row>
    <row r="659" spans="2:6" x14ac:dyDescent="0.25">
      <c r="B659" t="s">
        <v>284</v>
      </c>
    </row>
    <row r="660" spans="2:6" x14ac:dyDescent="0.25">
      <c r="B660" t="s">
        <v>136</v>
      </c>
    </row>
    <row r="661" spans="2:6" x14ac:dyDescent="0.25">
      <c r="B661" t="s">
        <v>285</v>
      </c>
    </row>
    <row r="662" spans="2:6" x14ac:dyDescent="0.25">
      <c r="B662" t="s">
        <v>138</v>
      </c>
    </row>
    <row r="664" spans="2:6" x14ac:dyDescent="0.25">
      <c r="D664" t="s">
        <v>139</v>
      </c>
    </row>
    <row r="665" spans="2:6" x14ac:dyDescent="0.25">
      <c r="D665" t="s">
        <v>140</v>
      </c>
    </row>
    <row r="666" spans="2:6" x14ac:dyDescent="0.25">
      <c r="D666" t="s">
        <v>141</v>
      </c>
      <c r="E666" t="s">
        <v>286</v>
      </c>
    </row>
    <row r="667" spans="2:6" x14ac:dyDescent="0.25">
      <c r="D667" t="s">
        <v>287</v>
      </c>
    </row>
    <row r="668" spans="2:6" x14ac:dyDescent="0.25">
      <c r="C668" t="s">
        <v>126</v>
      </c>
    </row>
    <row r="670" spans="2:6" x14ac:dyDescent="0.25">
      <c r="D670" t="s">
        <v>156</v>
      </c>
    </row>
    <row r="671" spans="2:6" x14ac:dyDescent="0.25">
      <c r="D671" t="s">
        <v>157</v>
      </c>
    </row>
    <row r="672" spans="2:6" x14ac:dyDescent="0.25">
      <c r="D672" t="s">
        <v>158</v>
      </c>
      <c r="E672" t="s">
        <v>372</v>
      </c>
      <c r="F672" t="s">
        <v>372</v>
      </c>
    </row>
    <row r="673" spans="2:6" x14ac:dyDescent="0.25">
      <c r="D673" t="s">
        <v>159</v>
      </c>
      <c r="E673">
        <v>27</v>
      </c>
      <c r="F673">
        <v>28</v>
      </c>
    </row>
    <row r="674" spans="2:6" x14ac:dyDescent="0.25">
      <c r="D674" t="s">
        <v>160</v>
      </c>
      <c r="E674" t="s">
        <v>375</v>
      </c>
      <c r="F674" t="s">
        <v>375</v>
      </c>
    </row>
    <row r="675" spans="2:6" x14ac:dyDescent="0.25">
      <c r="D675" t="s">
        <v>161</v>
      </c>
      <c r="E675">
        <v>27</v>
      </c>
      <c r="F675">
        <v>28</v>
      </c>
    </row>
    <row r="676" spans="2:6" x14ac:dyDescent="0.25">
      <c r="D676" t="s">
        <v>162</v>
      </c>
      <c r="E676">
        <v>2</v>
      </c>
      <c r="F676">
        <v>2</v>
      </c>
    </row>
    <row r="677" spans="2:6" x14ac:dyDescent="0.25">
      <c r="D677" t="s">
        <v>163</v>
      </c>
      <c r="E677">
        <v>7.28</v>
      </c>
      <c r="F677">
        <v>7.28</v>
      </c>
    </row>
    <row r="678" spans="2:6" x14ac:dyDescent="0.25">
      <c r="D678" t="s">
        <v>164</v>
      </c>
      <c r="E678">
        <v>120</v>
      </c>
      <c r="F678">
        <v>120</v>
      </c>
    </row>
    <row r="679" spans="2:6" x14ac:dyDescent="0.25">
      <c r="D679" t="s">
        <v>165</v>
      </c>
      <c r="E679" t="s">
        <v>41</v>
      </c>
      <c r="F679" t="s">
        <v>41</v>
      </c>
    </row>
    <row r="680" spans="2:6" x14ac:dyDescent="0.25">
      <c r="D680" t="s">
        <v>288</v>
      </c>
    </row>
    <row r="685" spans="2:6" x14ac:dyDescent="0.25">
      <c r="B685" t="s">
        <v>289</v>
      </c>
    </row>
    <row r="686" spans="2:6" x14ac:dyDescent="0.25">
      <c r="B686" t="s">
        <v>290</v>
      </c>
    </row>
    <row r="688" spans="2:6" x14ac:dyDescent="0.25">
      <c r="C688" t="s">
        <v>291</v>
      </c>
    </row>
    <row r="690" spans="4:5" x14ac:dyDescent="0.25">
      <c r="D690" t="s">
        <v>182</v>
      </c>
    </row>
    <row r="691" spans="4:5" x14ac:dyDescent="0.25">
      <c r="D691" t="s">
        <v>183</v>
      </c>
    </row>
    <row r="692" spans="4:5" x14ac:dyDescent="0.25">
      <c r="D692" t="s">
        <v>184</v>
      </c>
      <c r="E692">
        <v>498.26</v>
      </c>
    </row>
    <row r="693" spans="4:5" x14ac:dyDescent="0.25">
      <c r="D693" t="s">
        <v>292</v>
      </c>
    </row>
    <row r="695" spans="4:5" x14ac:dyDescent="0.25">
      <c r="D695" t="s">
        <v>182</v>
      </c>
    </row>
    <row r="696" spans="4:5" x14ac:dyDescent="0.25">
      <c r="D696" t="s">
        <v>186</v>
      </c>
    </row>
    <row r="697" spans="4:5" x14ac:dyDescent="0.25">
      <c r="D697" t="s">
        <v>293</v>
      </c>
    </row>
    <row r="699" spans="4:5" x14ac:dyDescent="0.25">
      <c r="D699" t="s">
        <v>118</v>
      </c>
    </row>
    <row r="700" spans="4:5" x14ac:dyDescent="0.25">
      <c r="D700" t="s">
        <v>188</v>
      </c>
    </row>
    <row r="701" spans="4:5" x14ac:dyDescent="0.25">
      <c r="D701" t="s">
        <v>120</v>
      </c>
      <c r="E701">
        <v>2</v>
      </c>
    </row>
    <row r="703" spans="4:5" x14ac:dyDescent="0.25">
      <c r="D703" t="s">
        <v>339</v>
      </c>
    </row>
    <row r="704" spans="4:5" x14ac:dyDescent="0.25">
      <c r="D704" t="s">
        <v>340</v>
      </c>
    </row>
    <row r="705" spans="4:5" x14ac:dyDescent="0.25">
      <c r="D705" t="s">
        <v>160</v>
      </c>
      <c r="E705" t="s">
        <v>355</v>
      </c>
    </row>
    <row r="706" spans="4:5" x14ac:dyDescent="0.25">
      <c r="D706" t="s">
        <v>158</v>
      </c>
      <c r="E706" t="s">
        <v>347</v>
      </c>
    </row>
    <row r="707" spans="4:5" x14ac:dyDescent="0.25">
      <c r="D707" t="s">
        <v>342</v>
      </c>
      <c r="E707">
        <v>88</v>
      </c>
    </row>
    <row r="708" spans="4:5" x14ac:dyDescent="0.25">
      <c r="D708" t="s">
        <v>343</v>
      </c>
      <c r="E708">
        <v>81</v>
      </c>
    </row>
    <row r="709" spans="4:5" x14ac:dyDescent="0.25">
      <c r="D709" t="s">
        <v>344</v>
      </c>
      <c r="E709">
        <v>4</v>
      </c>
    </row>
    <row r="710" spans="4:5" x14ac:dyDescent="0.25">
      <c r="D710" t="s">
        <v>345</v>
      </c>
      <c r="E710">
        <v>0</v>
      </c>
    </row>
    <row r="711" spans="4:5" x14ac:dyDescent="0.25">
      <c r="D711" t="s">
        <v>346</v>
      </c>
      <c r="E711">
        <v>1</v>
      </c>
    </row>
    <row r="712" spans="4:5" x14ac:dyDescent="0.25">
      <c r="D712" t="s">
        <v>376</v>
      </c>
    </row>
    <row r="714" spans="4:5" x14ac:dyDescent="0.25">
      <c r="D714" t="s">
        <v>339</v>
      </c>
    </row>
    <row r="715" spans="4:5" x14ac:dyDescent="0.25">
      <c r="D715" t="s">
        <v>340</v>
      </c>
    </row>
    <row r="716" spans="4:5" x14ac:dyDescent="0.25">
      <c r="D716" t="s">
        <v>160</v>
      </c>
      <c r="E716" t="s">
        <v>354</v>
      </c>
    </row>
    <row r="717" spans="4:5" x14ac:dyDescent="0.25">
      <c r="D717" t="s">
        <v>158</v>
      </c>
      <c r="E717" t="s">
        <v>361</v>
      </c>
    </row>
    <row r="718" spans="4:5" x14ac:dyDescent="0.25">
      <c r="D718" t="s">
        <v>342</v>
      </c>
      <c r="E718">
        <v>85</v>
      </c>
    </row>
    <row r="719" spans="4:5" x14ac:dyDescent="0.25">
      <c r="D719" t="s">
        <v>343</v>
      </c>
      <c r="E719">
        <v>75</v>
      </c>
    </row>
    <row r="720" spans="4:5" x14ac:dyDescent="0.25">
      <c r="D720" t="s">
        <v>344</v>
      </c>
      <c r="E720">
        <v>4</v>
      </c>
    </row>
    <row r="721" spans="2:5" x14ac:dyDescent="0.25">
      <c r="D721" t="s">
        <v>345</v>
      </c>
      <c r="E721">
        <v>1</v>
      </c>
    </row>
    <row r="722" spans="2:5" x14ac:dyDescent="0.25">
      <c r="D722" t="s">
        <v>346</v>
      </c>
      <c r="E722">
        <v>1</v>
      </c>
    </row>
    <row r="723" spans="2:5" x14ac:dyDescent="0.25">
      <c r="D723" t="s">
        <v>377</v>
      </c>
    </row>
    <row r="728" spans="2:5" x14ac:dyDescent="0.25">
      <c r="B728" t="s">
        <v>122</v>
      </c>
    </row>
    <row r="729" spans="2:5" x14ac:dyDescent="0.25">
      <c r="B729" t="s">
        <v>294</v>
      </c>
    </row>
    <row r="730" spans="2:5" x14ac:dyDescent="0.25">
      <c r="B730" t="s">
        <v>295</v>
      </c>
    </row>
    <row r="731" spans="2:5" x14ac:dyDescent="0.25">
      <c r="B731" t="s">
        <v>125</v>
      </c>
    </row>
    <row r="733" spans="2:5" x14ac:dyDescent="0.25">
      <c r="C733" t="s">
        <v>126</v>
      </c>
    </row>
    <row r="738" spans="2:5" x14ac:dyDescent="0.25">
      <c r="B738" t="s">
        <v>132</v>
      </c>
    </row>
    <row r="739" spans="2:5" x14ac:dyDescent="0.25">
      <c r="B739" t="s">
        <v>296</v>
      </c>
    </row>
    <row r="740" spans="2:5" x14ac:dyDescent="0.25">
      <c r="B740" t="s">
        <v>272</v>
      </c>
    </row>
    <row r="741" spans="2:5" x14ac:dyDescent="0.25">
      <c r="B741" t="s">
        <v>273</v>
      </c>
    </row>
    <row r="742" spans="2:5" x14ac:dyDescent="0.25">
      <c r="B742" t="s">
        <v>136</v>
      </c>
    </row>
    <row r="743" spans="2:5" x14ac:dyDescent="0.25">
      <c r="B743" t="s">
        <v>274</v>
      </c>
    </row>
    <row r="744" spans="2:5" x14ac:dyDescent="0.25">
      <c r="B744" t="s">
        <v>275</v>
      </c>
    </row>
    <row r="746" spans="2:5" x14ac:dyDescent="0.25">
      <c r="D746" t="s">
        <v>139</v>
      </c>
    </row>
    <row r="747" spans="2:5" x14ac:dyDescent="0.25">
      <c r="D747" t="s">
        <v>140</v>
      </c>
    </row>
    <row r="748" spans="2:5" x14ac:dyDescent="0.25">
      <c r="D748" t="s">
        <v>141</v>
      </c>
      <c r="E748" t="s">
        <v>276</v>
      </c>
    </row>
    <row r="749" spans="2:5" x14ac:dyDescent="0.25">
      <c r="D749" t="s">
        <v>297</v>
      </c>
    </row>
    <row r="750" spans="2:5" x14ac:dyDescent="0.25">
      <c r="C750" t="s">
        <v>126</v>
      </c>
    </row>
    <row r="752" spans="2:5" x14ac:dyDescent="0.25">
      <c r="D752" t="s">
        <v>156</v>
      </c>
    </row>
    <row r="753" spans="2:6" x14ac:dyDescent="0.25">
      <c r="D753" t="s">
        <v>157</v>
      </c>
    </row>
    <row r="754" spans="2:6" x14ac:dyDescent="0.25">
      <c r="D754" t="s">
        <v>158</v>
      </c>
      <c r="E754" t="s">
        <v>372</v>
      </c>
      <c r="F754" t="s">
        <v>372</v>
      </c>
    </row>
    <row r="755" spans="2:6" x14ac:dyDescent="0.25">
      <c r="D755" t="s">
        <v>159</v>
      </c>
      <c r="E755">
        <v>25</v>
      </c>
      <c r="F755">
        <v>26</v>
      </c>
    </row>
    <row r="756" spans="2:6" x14ac:dyDescent="0.25">
      <c r="D756" t="s">
        <v>160</v>
      </c>
      <c r="E756" t="s">
        <v>361</v>
      </c>
      <c r="F756" t="s">
        <v>361</v>
      </c>
    </row>
    <row r="757" spans="2:6" x14ac:dyDescent="0.25">
      <c r="D757" t="s">
        <v>161</v>
      </c>
      <c r="E757">
        <v>25</v>
      </c>
      <c r="F757">
        <v>26</v>
      </c>
    </row>
    <row r="758" spans="2:6" x14ac:dyDescent="0.25">
      <c r="D758" t="s">
        <v>162</v>
      </c>
      <c r="E758">
        <v>120</v>
      </c>
      <c r="F758">
        <v>120</v>
      </c>
    </row>
    <row r="759" spans="2:6" x14ac:dyDescent="0.25">
      <c r="D759" t="s">
        <v>163</v>
      </c>
      <c r="E759">
        <v>0.01</v>
      </c>
      <c r="F759">
        <v>0.01</v>
      </c>
    </row>
    <row r="760" spans="2:6" x14ac:dyDescent="0.25">
      <c r="D760" t="s">
        <v>164</v>
      </c>
      <c r="E760">
        <v>0</v>
      </c>
      <c r="F760">
        <v>0</v>
      </c>
    </row>
    <row r="761" spans="2:6" x14ac:dyDescent="0.25">
      <c r="D761" t="s">
        <v>165</v>
      </c>
      <c r="E761" t="s">
        <v>42</v>
      </c>
      <c r="F761" t="s">
        <v>42</v>
      </c>
    </row>
    <row r="762" spans="2:6" x14ac:dyDescent="0.25">
      <c r="D762" t="s">
        <v>298</v>
      </c>
    </row>
    <row r="767" spans="2:6" x14ac:dyDescent="0.25">
      <c r="B767" t="s">
        <v>132</v>
      </c>
    </row>
    <row r="768" spans="2:6" x14ac:dyDescent="0.25">
      <c r="B768" t="s">
        <v>299</v>
      </c>
    </row>
    <row r="769" spans="2:6" x14ac:dyDescent="0.25">
      <c r="B769" t="s">
        <v>334</v>
      </c>
    </row>
    <row r="770" spans="2:6" x14ac:dyDescent="0.25">
      <c r="B770" t="s">
        <v>284</v>
      </c>
    </row>
    <row r="771" spans="2:6" x14ac:dyDescent="0.25">
      <c r="B771" t="s">
        <v>136</v>
      </c>
    </row>
    <row r="772" spans="2:6" x14ac:dyDescent="0.25">
      <c r="B772" t="s">
        <v>285</v>
      </c>
    </row>
    <row r="773" spans="2:6" x14ac:dyDescent="0.25">
      <c r="B773" t="s">
        <v>138</v>
      </c>
    </row>
    <row r="775" spans="2:6" x14ac:dyDescent="0.25">
      <c r="D775" t="s">
        <v>139</v>
      </c>
    </row>
    <row r="776" spans="2:6" x14ac:dyDescent="0.25">
      <c r="D776" t="s">
        <v>140</v>
      </c>
    </row>
    <row r="777" spans="2:6" x14ac:dyDescent="0.25">
      <c r="D777" t="s">
        <v>141</v>
      </c>
      <c r="E777" t="s">
        <v>286</v>
      </c>
    </row>
    <row r="778" spans="2:6" x14ac:dyDescent="0.25">
      <c r="D778" t="s">
        <v>300</v>
      </c>
    </row>
    <row r="779" spans="2:6" x14ac:dyDescent="0.25">
      <c r="C779" t="s">
        <v>126</v>
      </c>
    </row>
    <row r="781" spans="2:6" x14ac:dyDescent="0.25">
      <c r="D781" t="s">
        <v>156</v>
      </c>
    </row>
    <row r="782" spans="2:6" x14ac:dyDescent="0.25">
      <c r="D782" t="s">
        <v>157</v>
      </c>
    </row>
    <row r="783" spans="2:6" x14ac:dyDescent="0.25">
      <c r="D783" t="s">
        <v>158</v>
      </c>
      <c r="E783" t="s">
        <v>372</v>
      </c>
      <c r="F783" t="s">
        <v>372</v>
      </c>
    </row>
    <row r="784" spans="2:6" x14ac:dyDescent="0.25">
      <c r="D784" t="s">
        <v>159</v>
      </c>
      <c r="E784">
        <v>25</v>
      </c>
      <c r="F784">
        <v>26</v>
      </c>
    </row>
    <row r="785" spans="2:6" x14ac:dyDescent="0.25">
      <c r="D785" t="s">
        <v>160</v>
      </c>
      <c r="E785" t="s">
        <v>375</v>
      </c>
      <c r="F785" t="s">
        <v>375</v>
      </c>
    </row>
    <row r="786" spans="2:6" x14ac:dyDescent="0.25">
      <c r="D786" t="s">
        <v>161</v>
      </c>
      <c r="E786">
        <v>25</v>
      </c>
      <c r="F786">
        <v>26</v>
      </c>
    </row>
    <row r="787" spans="2:6" x14ac:dyDescent="0.25">
      <c r="D787" t="s">
        <v>162</v>
      </c>
      <c r="E787">
        <v>2</v>
      </c>
      <c r="F787">
        <v>2</v>
      </c>
    </row>
    <row r="788" spans="2:6" x14ac:dyDescent="0.25">
      <c r="D788" t="s">
        <v>163</v>
      </c>
      <c r="E788">
        <v>7.28</v>
      </c>
      <c r="F788">
        <v>7.28</v>
      </c>
    </row>
    <row r="789" spans="2:6" x14ac:dyDescent="0.25">
      <c r="D789" t="s">
        <v>164</v>
      </c>
      <c r="E789">
        <v>120</v>
      </c>
      <c r="F789">
        <v>120</v>
      </c>
    </row>
    <row r="790" spans="2:6" x14ac:dyDescent="0.25">
      <c r="D790" t="s">
        <v>165</v>
      </c>
      <c r="E790" t="s">
        <v>41</v>
      </c>
      <c r="F790" t="s">
        <v>41</v>
      </c>
    </row>
    <row r="791" spans="2:6" x14ac:dyDescent="0.25">
      <c r="D791" t="s">
        <v>301</v>
      </c>
    </row>
    <row r="796" spans="2:6" x14ac:dyDescent="0.25">
      <c r="B796" t="s">
        <v>289</v>
      </c>
    </row>
    <row r="797" spans="2:6" x14ac:dyDescent="0.25">
      <c r="B797" t="s">
        <v>302</v>
      </c>
    </row>
    <row r="799" spans="2:6" x14ac:dyDescent="0.25">
      <c r="C799" t="s">
        <v>291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636"/>
  <sheetViews>
    <sheetView topLeftCell="A592" workbookViewId="0"/>
  </sheetViews>
  <sheetFormatPr defaultRowHeight="15" x14ac:dyDescent="0.25"/>
  <sheetData>
    <row r="3" spans="2:5" x14ac:dyDescent="0.25">
      <c r="D3" t="s">
        <v>118</v>
      </c>
    </row>
    <row r="4" spans="2:5" x14ac:dyDescent="0.25">
      <c r="D4" t="s">
        <v>119</v>
      </c>
    </row>
    <row r="5" spans="2:5" x14ac:dyDescent="0.25">
      <c r="D5" t="s">
        <v>120</v>
      </c>
      <c r="E5">
        <v>1</v>
      </c>
    </row>
    <row r="6" spans="2:5" x14ac:dyDescent="0.25">
      <c r="D6" t="s">
        <v>121</v>
      </c>
      <c r="E6">
        <v>30</v>
      </c>
    </row>
    <row r="11" spans="2:5" x14ac:dyDescent="0.25">
      <c r="B11" t="s">
        <v>122</v>
      </c>
    </row>
    <row r="12" spans="2:5" x14ac:dyDescent="0.25">
      <c r="B12" t="s">
        <v>123</v>
      </c>
    </row>
    <row r="13" spans="2:5" x14ac:dyDescent="0.25">
      <c r="B13" t="s">
        <v>124</v>
      </c>
    </row>
    <row r="14" spans="2:5" x14ac:dyDescent="0.25">
      <c r="B14" t="s">
        <v>125</v>
      </c>
    </row>
    <row r="16" spans="2:5" x14ac:dyDescent="0.25">
      <c r="C16" t="s">
        <v>126</v>
      </c>
    </row>
    <row r="21" spans="2:2" x14ac:dyDescent="0.25">
      <c r="B21" t="s">
        <v>127</v>
      </c>
    </row>
    <row r="22" spans="2:2" x14ac:dyDescent="0.25">
      <c r="B22" t="s">
        <v>128</v>
      </c>
    </row>
    <row r="23" spans="2:2" x14ac:dyDescent="0.25">
      <c r="B23" t="s">
        <v>129</v>
      </c>
    </row>
    <row r="24" spans="2:2" x14ac:dyDescent="0.25">
      <c r="B24" t="s">
        <v>130</v>
      </c>
    </row>
    <row r="25" spans="2:2" x14ac:dyDescent="0.25">
      <c r="B25" t="s">
        <v>131</v>
      </c>
    </row>
    <row r="30" spans="2:2" x14ac:dyDescent="0.25">
      <c r="B30" t="s">
        <v>132</v>
      </c>
    </row>
    <row r="31" spans="2:2" x14ac:dyDescent="0.25">
      <c r="B31" t="s">
        <v>133</v>
      </c>
    </row>
    <row r="32" spans="2:2" x14ac:dyDescent="0.25">
      <c r="B32" t="s">
        <v>134</v>
      </c>
    </row>
    <row r="33" spans="2:5" x14ac:dyDescent="0.25">
      <c r="B33" t="s">
        <v>135</v>
      </c>
    </row>
    <row r="34" spans="2:5" x14ac:dyDescent="0.25">
      <c r="B34" t="s">
        <v>136</v>
      </c>
    </row>
    <row r="35" spans="2:5" x14ac:dyDescent="0.25">
      <c r="B35" t="s">
        <v>137</v>
      </c>
    </row>
    <row r="36" spans="2:5" x14ac:dyDescent="0.25">
      <c r="B36" t="s">
        <v>138</v>
      </c>
    </row>
    <row r="38" spans="2:5" x14ac:dyDescent="0.25">
      <c r="D38" t="s">
        <v>139</v>
      </c>
    </row>
    <row r="39" spans="2:5" x14ac:dyDescent="0.25">
      <c r="D39" t="s">
        <v>140</v>
      </c>
    </row>
    <row r="40" spans="2:5" x14ac:dyDescent="0.25">
      <c r="D40" t="s">
        <v>141</v>
      </c>
      <c r="E40" t="s">
        <v>142</v>
      </c>
    </row>
    <row r="41" spans="2:5" x14ac:dyDescent="0.25">
      <c r="D41" t="s">
        <v>143</v>
      </c>
    </row>
    <row r="42" spans="2:5" x14ac:dyDescent="0.25">
      <c r="C42" t="s">
        <v>144</v>
      </c>
    </row>
    <row r="48" spans="2:5" x14ac:dyDescent="0.25">
      <c r="B48" t="s">
        <v>145</v>
      </c>
    </row>
    <row r="49" spans="2:5" x14ac:dyDescent="0.25">
      <c r="B49" t="s">
        <v>146</v>
      </c>
    </row>
    <row r="50" spans="2:5" x14ac:dyDescent="0.25">
      <c r="B50" t="s">
        <v>129</v>
      </c>
    </row>
    <row r="51" spans="2:5" x14ac:dyDescent="0.25">
      <c r="B51" t="s">
        <v>147</v>
      </c>
    </row>
    <row r="52" spans="2:5" x14ac:dyDescent="0.25">
      <c r="B52" t="s">
        <v>148</v>
      </c>
    </row>
    <row r="53" spans="2:5" x14ac:dyDescent="0.25">
      <c r="B53" t="s">
        <v>149</v>
      </c>
    </row>
    <row r="54" spans="2:5" x14ac:dyDescent="0.25">
      <c r="B54" t="s">
        <v>150</v>
      </c>
    </row>
    <row r="55" spans="2:5" x14ac:dyDescent="0.25">
      <c r="B55" t="s">
        <v>151</v>
      </c>
    </row>
    <row r="57" spans="2:5" x14ac:dyDescent="0.25">
      <c r="D57" t="s">
        <v>139</v>
      </c>
    </row>
    <row r="58" spans="2:5" x14ac:dyDescent="0.25">
      <c r="D58" t="s">
        <v>140</v>
      </c>
    </row>
    <row r="59" spans="2:5" x14ac:dyDescent="0.25">
      <c r="D59" t="s">
        <v>141</v>
      </c>
      <c r="E59" t="s">
        <v>152</v>
      </c>
    </row>
    <row r="60" spans="2:5" x14ac:dyDescent="0.25">
      <c r="D60" t="s">
        <v>153</v>
      </c>
    </row>
    <row r="61" spans="2:5" x14ac:dyDescent="0.25">
      <c r="C61" t="s">
        <v>126</v>
      </c>
    </row>
    <row r="63" spans="2:5" x14ac:dyDescent="0.25">
      <c r="D63" t="s">
        <v>139</v>
      </c>
    </row>
    <row r="64" spans="2:5" x14ac:dyDescent="0.25">
      <c r="D64" t="s">
        <v>140</v>
      </c>
    </row>
    <row r="65" spans="3:8" x14ac:dyDescent="0.25">
      <c r="D65" t="s">
        <v>141</v>
      </c>
      <c r="E65" t="s">
        <v>154</v>
      </c>
    </row>
    <row r="66" spans="3:8" x14ac:dyDescent="0.25">
      <c r="D66" t="s">
        <v>307</v>
      </c>
      <c r="E66" t="s">
        <v>155</v>
      </c>
    </row>
    <row r="67" spans="3:8" x14ac:dyDescent="0.25">
      <c r="D67" t="s">
        <v>153</v>
      </c>
    </row>
    <row r="68" spans="3:8" x14ac:dyDescent="0.25">
      <c r="C68" t="s">
        <v>126</v>
      </c>
    </row>
    <row r="70" spans="3:8" x14ac:dyDescent="0.25">
      <c r="D70" t="s">
        <v>156</v>
      </c>
    </row>
    <row r="71" spans="3:8" x14ac:dyDescent="0.25">
      <c r="D71" t="s">
        <v>157</v>
      </c>
    </row>
    <row r="72" spans="3:8" x14ac:dyDescent="0.25">
      <c r="D72" t="s">
        <v>158</v>
      </c>
      <c r="E72" t="s">
        <v>95</v>
      </c>
      <c r="F72" t="s">
        <v>95</v>
      </c>
      <c r="G72" t="s">
        <v>95</v>
      </c>
      <c r="H72" t="s">
        <v>95</v>
      </c>
    </row>
    <row r="73" spans="3:8" x14ac:dyDescent="0.25">
      <c r="D73" t="s">
        <v>159</v>
      </c>
      <c r="E73">
        <v>1</v>
      </c>
      <c r="F73">
        <v>2</v>
      </c>
      <c r="G73">
        <v>3</v>
      </c>
      <c r="H73">
        <v>4</v>
      </c>
    </row>
    <row r="74" spans="3:8" x14ac:dyDescent="0.25">
      <c r="D74" t="s">
        <v>160</v>
      </c>
      <c r="E74" t="s">
        <v>96</v>
      </c>
      <c r="F74" t="s">
        <v>96</v>
      </c>
      <c r="G74" t="s">
        <v>96</v>
      </c>
      <c r="H74" t="s">
        <v>96</v>
      </c>
    </row>
    <row r="75" spans="3:8" x14ac:dyDescent="0.25">
      <c r="D75" t="s">
        <v>161</v>
      </c>
      <c r="E75">
        <v>1</v>
      </c>
      <c r="F75">
        <v>2</v>
      </c>
      <c r="G75">
        <v>3</v>
      </c>
      <c r="H75">
        <v>4</v>
      </c>
    </row>
    <row r="76" spans="3:8" x14ac:dyDescent="0.25">
      <c r="D76" t="s">
        <v>162</v>
      </c>
      <c r="E76">
        <v>90</v>
      </c>
      <c r="F76">
        <v>90</v>
      </c>
      <c r="G76">
        <v>90</v>
      </c>
      <c r="H76">
        <v>90</v>
      </c>
    </row>
    <row r="77" spans="3:8" x14ac:dyDescent="0.25">
      <c r="D77" t="s">
        <v>163</v>
      </c>
      <c r="E77">
        <v>0</v>
      </c>
      <c r="F77">
        <v>0</v>
      </c>
      <c r="G77">
        <v>0</v>
      </c>
      <c r="H77">
        <v>0</v>
      </c>
    </row>
    <row r="78" spans="3:8" x14ac:dyDescent="0.25">
      <c r="D78" t="s">
        <v>164</v>
      </c>
      <c r="E78">
        <v>0</v>
      </c>
      <c r="F78">
        <v>0</v>
      </c>
      <c r="G78">
        <v>0</v>
      </c>
      <c r="H78">
        <v>0</v>
      </c>
    </row>
    <row r="79" spans="3:8" x14ac:dyDescent="0.25">
      <c r="D79" t="s">
        <v>165</v>
      </c>
      <c r="E79" t="s">
        <v>42</v>
      </c>
      <c r="F79" t="s">
        <v>42</v>
      </c>
      <c r="G79" t="s">
        <v>42</v>
      </c>
      <c r="H79" t="s">
        <v>42</v>
      </c>
    </row>
    <row r="80" spans="3:8" x14ac:dyDescent="0.25">
      <c r="D80" t="s">
        <v>166</v>
      </c>
    </row>
    <row r="82" spans="3:8" x14ac:dyDescent="0.25">
      <c r="D82" t="s">
        <v>139</v>
      </c>
    </row>
    <row r="83" spans="3:8" x14ac:dyDescent="0.25">
      <c r="D83" t="s">
        <v>140</v>
      </c>
    </row>
    <row r="84" spans="3:8" x14ac:dyDescent="0.25">
      <c r="D84" t="s">
        <v>141</v>
      </c>
      <c r="E84" t="s">
        <v>154</v>
      </c>
    </row>
    <row r="85" spans="3:8" x14ac:dyDescent="0.25">
      <c r="D85" t="s">
        <v>308</v>
      </c>
      <c r="E85" t="s">
        <v>155</v>
      </c>
    </row>
    <row r="86" spans="3:8" x14ac:dyDescent="0.25">
      <c r="D86" t="s">
        <v>166</v>
      </c>
    </row>
    <row r="87" spans="3:8" x14ac:dyDescent="0.25">
      <c r="C87" t="s">
        <v>126</v>
      </c>
    </row>
    <row r="89" spans="3:8" x14ac:dyDescent="0.25">
      <c r="D89" t="s">
        <v>156</v>
      </c>
    </row>
    <row r="90" spans="3:8" x14ac:dyDescent="0.25">
      <c r="D90" t="s">
        <v>157</v>
      </c>
    </row>
    <row r="91" spans="3:8" x14ac:dyDescent="0.25">
      <c r="D91" t="s">
        <v>158</v>
      </c>
      <c r="E91" t="s">
        <v>95</v>
      </c>
      <c r="F91" t="s">
        <v>95</v>
      </c>
      <c r="G91" t="s">
        <v>95</v>
      </c>
      <c r="H91" t="s">
        <v>95</v>
      </c>
    </row>
    <row r="92" spans="3:8" x14ac:dyDescent="0.25">
      <c r="D92" t="s">
        <v>159</v>
      </c>
      <c r="E92">
        <v>1</v>
      </c>
      <c r="F92">
        <v>2</v>
      </c>
      <c r="G92">
        <v>3</v>
      </c>
      <c r="H92">
        <v>4</v>
      </c>
    </row>
    <row r="93" spans="3:8" x14ac:dyDescent="0.25">
      <c r="D93" t="s">
        <v>160</v>
      </c>
      <c r="E93" t="s">
        <v>13</v>
      </c>
      <c r="F93" t="s">
        <v>13</v>
      </c>
      <c r="G93" t="s">
        <v>13</v>
      </c>
      <c r="H93" t="s">
        <v>13</v>
      </c>
    </row>
    <row r="94" spans="3:8" x14ac:dyDescent="0.25">
      <c r="D94" t="s">
        <v>161</v>
      </c>
      <c r="E94">
        <v>1</v>
      </c>
      <c r="F94">
        <v>2</v>
      </c>
      <c r="G94">
        <v>3</v>
      </c>
      <c r="H94">
        <v>4</v>
      </c>
    </row>
    <row r="95" spans="3:8" x14ac:dyDescent="0.25">
      <c r="D95" t="s">
        <v>162</v>
      </c>
      <c r="E95">
        <v>10</v>
      </c>
      <c r="F95">
        <v>10</v>
      </c>
      <c r="G95">
        <v>10</v>
      </c>
      <c r="H95">
        <v>10</v>
      </c>
    </row>
    <row r="96" spans="3:8" x14ac:dyDescent="0.25">
      <c r="D96" t="s">
        <v>163</v>
      </c>
      <c r="E96">
        <v>0</v>
      </c>
      <c r="F96">
        <v>0</v>
      </c>
      <c r="G96">
        <v>0</v>
      </c>
      <c r="H96">
        <v>0</v>
      </c>
    </row>
    <row r="97" spans="2:8" x14ac:dyDescent="0.25">
      <c r="D97" t="s">
        <v>164</v>
      </c>
      <c r="E97">
        <v>90</v>
      </c>
      <c r="F97">
        <v>90</v>
      </c>
      <c r="G97">
        <v>90</v>
      </c>
      <c r="H97">
        <v>90</v>
      </c>
    </row>
    <row r="98" spans="2:8" x14ac:dyDescent="0.25">
      <c r="D98" t="s">
        <v>165</v>
      </c>
      <c r="E98" t="s">
        <v>41</v>
      </c>
      <c r="F98" t="s">
        <v>41</v>
      </c>
      <c r="G98" t="s">
        <v>41</v>
      </c>
      <c r="H98" t="s">
        <v>41</v>
      </c>
    </row>
    <row r="99" spans="2:8" x14ac:dyDescent="0.25">
      <c r="D99" t="s">
        <v>167</v>
      </c>
    </row>
    <row r="104" spans="2:8" x14ac:dyDescent="0.25">
      <c r="B104" t="s">
        <v>132</v>
      </c>
    </row>
    <row r="105" spans="2:8" x14ac:dyDescent="0.25">
      <c r="B105" t="s">
        <v>168</v>
      </c>
    </row>
    <row r="106" spans="2:8" x14ac:dyDescent="0.25">
      <c r="B106" t="s">
        <v>169</v>
      </c>
    </row>
    <row r="107" spans="2:8" x14ac:dyDescent="0.25">
      <c r="B107" t="s">
        <v>170</v>
      </c>
    </row>
    <row r="108" spans="2:8" x14ac:dyDescent="0.25">
      <c r="B108" t="s">
        <v>136</v>
      </c>
    </row>
    <row r="109" spans="2:8" x14ac:dyDescent="0.25">
      <c r="B109" t="s">
        <v>171</v>
      </c>
    </row>
    <row r="110" spans="2:8" x14ac:dyDescent="0.25">
      <c r="B110" t="s">
        <v>138</v>
      </c>
    </row>
    <row r="112" spans="2:8" x14ac:dyDescent="0.25">
      <c r="D112" t="s">
        <v>139</v>
      </c>
    </row>
    <row r="113" spans="3:8" x14ac:dyDescent="0.25">
      <c r="D113" t="s">
        <v>140</v>
      </c>
    </row>
    <row r="114" spans="3:8" x14ac:dyDescent="0.25">
      <c r="D114" t="s">
        <v>141</v>
      </c>
      <c r="E114" t="s">
        <v>172</v>
      </c>
    </row>
    <row r="115" spans="3:8" x14ac:dyDescent="0.25">
      <c r="D115" t="s">
        <v>173</v>
      </c>
    </row>
    <row r="116" spans="3:8" x14ac:dyDescent="0.25">
      <c r="C116" t="s">
        <v>126</v>
      </c>
    </row>
    <row r="118" spans="3:8" x14ac:dyDescent="0.25">
      <c r="D118" t="s">
        <v>156</v>
      </c>
    </row>
    <row r="119" spans="3:8" x14ac:dyDescent="0.25">
      <c r="D119" t="s">
        <v>157</v>
      </c>
    </row>
    <row r="120" spans="3:8" x14ac:dyDescent="0.25">
      <c r="D120" t="s">
        <v>158</v>
      </c>
      <c r="E120" t="s">
        <v>95</v>
      </c>
      <c r="F120" t="s">
        <v>95</v>
      </c>
      <c r="G120" t="s">
        <v>95</v>
      </c>
      <c r="H120" t="s">
        <v>95</v>
      </c>
    </row>
    <row r="121" spans="3:8" x14ac:dyDescent="0.25">
      <c r="D121" t="s">
        <v>159</v>
      </c>
      <c r="E121">
        <v>1</v>
      </c>
      <c r="F121">
        <v>2</v>
      </c>
      <c r="G121">
        <v>3</v>
      </c>
      <c r="H121">
        <v>4</v>
      </c>
    </row>
    <row r="122" spans="3:8" x14ac:dyDescent="0.25">
      <c r="D122" t="s">
        <v>160</v>
      </c>
      <c r="E122" t="s">
        <v>98</v>
      </c>
      <c r="F122" t="s">
        <v>98</v>
      </c>
      <c r="G122" t="s">
        <v>98</v>
      </c>
      <c r="H122" t="s">
        <v>98</v>
      </c>
    </row>
    <row r="123" spans="3:8" x14ac:dyDescent="0.25">
      <c r="D123" t="s">
        <v>161</v>
      </c>
      <c r="E123">
        <v>1</v>
      </c>
      <c r="F123">
        <v>2</v>
      </c>
      <c r="G123">
        <v>3</v>
      </c>
      <c r="H123">
        <v>4</v>
      </c>
    </row>
    <row r="124" spans="3:8" x14ac:dyDescent="0.25">
      <c r="D124" t="s">
        <v>162</v>
      </c>
      <c r="E124">
        <v>4</v>
      </c>
      <c r="F124">
        <v>4</v>
      </c>
      <c r="G124">
        <v>4</v>
      </c>
      <c r="H124">
        <v>4</v>
      </c>
    </row>
    <row r="125" spans="3:8" x14ac:dyDescent="0.25">
      <c r="D125" t="s">
        <v>163</v>
      </c>
      <c r="E125">
        <v>0</v>
      </c>
      <c r="F125">
        <v>0</v>
      </c>
      <c r="G125">
        <v>0</v>
      </c>
      <c r="H125">
        <v>0</v>
      </c>
    </row>
    <row r="126" spans="3:8" x14ac:dyDescent="0.25">
      <c r="D126" t="s">
        <v>164</v>
      </c>
      <c r="E126">
        <v>100</v>
      </c>
      <c r="F126">
        <v>100</v>
      </c>
      <c r="G126">
        <v>100</v>
      </c>
      <c r="H126">
        <v>100</v>
      </c>
    </row>
    <row r="127" spans="3:8" x14ac:dyDescent="0.25">
      <c r="D127" t="s">
        <v>165</v>
      </c>
      <c r="E127" t="s">
        <v>41</v>
      </c>
      <c r="F127" t="s">
        <v>41</v>
      </c>
      <c r="G127" t="s">
        <v>41</v>
      </c>
      <c r="H127" t="s">
        <v>41</v>
      </c>
    </row>
    <row r="128" spans="3:8" x14ac:dyDescent="0.25">
      <c r="D128" t="s">
        <v>174</v>
      </c>
    </row>
    <row r="133" spans="2:5" x14ac:dyDescent="0.25">
      <c r="B133" t="s">
        <v>175</v>
      </c>
    </row>
    <row r="134" spans="2:5" x14ac:dyDescent="0.25">
      <c r="B134" t="s">
        <v>176</v>
      </c>
    </row>
    <row r="135" spans="2:5" x14ac:dyDescent="0.25">
      <c r="B135" t="s">
        <v>177</v>
      </c>
    </row>
    <row r="136" spans="2:5" x14ac:dyDescent="0.25">
      <c r="B136" t="s">
        <v>178</v>
      </c>
    </row>
    <row r="137" spans="2:5" x14ac:dyDescent="0.25">
      <c r="B137" t="s">
        <v>179</v>
      </c>
    </row>
    <row r="139" spans="2:5" x14ac:dyDescent="0.25">
      <c r="C139" t="s">
        <v>126</v>
      </c>
    </row>
    <row r="140" spans="2:5" x14ac:dyDescent="0.25">
      <c r="D140" t="s">
        <v>139</v>
      </c>
    </row>
    <row r="141" spans="2:5" x14ac:dyDescent="0.25">
      <c r="D141" t="s">
        <v>140</v>
      </c>
    </row>
    <row r="142" spans="2:5" x14ac:dyDescent="0.25">
      <c r="D142" t="s">
        <v>141</v>
      </c>
      <c r="E142" t="s">
        <v>180</v>
      </c>
    </row>
    <row r="143" spans="2:5" x14ac:dyDescent="0.25">
      <c r="D143" t="s">
        <v>181</v>
      </c>
    </row>
    <row r="145" spans="4:5" x14ac:dyDescent="0.25">
      <c r="D145" t="s">
        <v>182</v>
      </c>
    </row>
    <row r="146" spans="4:5" x14ac:dyDescent="0.25">
      <c r="D146" t="s">
        <v>183</v>
      </c>
    </row>
    <row r="147" spans="4:5" x14ac:dyDescent="0.25">
      <c r="D147" t="s">
        <v>184</v>
      </c>
      <c r="E147">
        <v>1800</v>
      </c>
    </row>
    <row r="148" spans="4:5" x14ac:dyDescent="0.25">
      <c r="D148" t="s">
        <v>185</v>
      </c>
    </row>
    <row r="150" spans="4:5" x14ac:dyDescent="0.25">
      <c r="D150" t="s">
        <v>182</v>
      </c>
    </row>
    <row r="151" spans="4:5" x14ac:dyDescent="0.25">
      <c r="D151" t="s">
        <v>186</v>
      </c>
    </row>
    <row r="152" spans="4:5" x14ac:dyDescent="0.25">
      <c r="D152" t="s">
        <v>187</v>
      </c>
    </row>
    <row r="154" spans="4:5" x14ac:dyDescent="0.25">
      <c r="D154" t="s">
        <v>118</v>
      </c>
    </row>
    <row r="155" spans="4:5" x14ac:dyDescent="0.25">
      <c r="D155" t="s">
        <v>188</v>
      </c>
    </row>
    <row r="156" spans="4:5" x14ac:dyDescent="0.25">
      <c r="D156" t="s">
        <v>120</v>
      </c>
      <c r="E156">
        <v>1</v>
      </c>
    </row>
    <row r="158" spans="4:5" x14ac:dyDescent="0.25">
      <c r="D158" t="s">
        <v>118</v>
      </c>
    </row>
    <row r="159" spans="4:5" x14ac:dyDescent="0.25">
      <c r="D159" t="s">
        <v>119</v>
      </c>
    </row>
    <row r="160" spans="4:5" x14ac:dyDescent="0.25">
      <c r="D160" t="s">
        <v>120</v>
      </c>
      <c r="E160">
        <v>2</v>
      </c>
    </row>
    <row r="161" spans="2:5" x14ac:dyDescent="0.25">
      <c r="D161" t="s">
        <v>121</v>
      </c>
      <c r="E161">
        <v>25</v>
      </c>
    </row>
    <row r="166" spans="2:5" x14ac:dyDescent="0.25">
      <c r="B166" t="s">
        <v>132</v>
      </c>
    </row>
    <row r="167" spans="2:5" x14ac:dyDescent="0.25">
      <c r="B167" t="s">
        <v>189</v>
      </c>
    </row>
    <row r="168" spans="2:5" x14ac:dyDescent="0.25">
      <c r="B168" t="s">
        <v>190</v>
      </c>
    </row>
    <row r="169" spans="2:5" x14ac:dyDescent="0.25">
      <c r="B169" t="s">
        <v>191</v>
      </c>
    </row>
    <row r="170" spans="2:5" x14ac:dyDescent="0.25">
      <c r="B170" t="s">
        <v>136</v>
      </c>
    </row>
    <row r="171" spans="2:5" x14ac:dyDescent="0.25">
      <c r="B171" t="s">
        <v>192</v>
      </c>
    </row>
    <row r="172" spans="2:5" x14ac:dyDescent="0.25">
      <c r="B172" t="s">
        <v>138</v>
      </c>
    </row>
    <row r="174" spans="2:5" x14ac:dyDescent="0.25">
      <c r="D174" t="s">
        <v>139</v>
      </c>
    </row>
    <row r="175" spans="2:5" x14ac:dyDescent="0.25">
      <c r="D175" t="s">
        <v>140</v>
      </c>
    </row>
    <row r="176" spans="2:5" x14ac:dyDescent="0.25">
      <c r="D176" t="s">
        <v>141</v>
      </c>
      <c r="E176" t="s">
        <v>193</v>
      </c>
    </row>
    <row r="177" spans="3:8" x14ac:dyDescent="0.25">
      <c r="D177" t="s">
        <v>194</v>
      </c>
    </row>
    <row r="178" spans="3:8" x14ac:dyDescent="0.25">
      <c r="C178" t="s">
        <v>126</v>
      </c>
    </row>
    <row r="180" spans="3:8" x14ac:dyDescent="0.25">
      <c r="D180" t="s">
        <v>156</v>
      </c>
    </row>
    <row r="181" spans="3:8" x14ac:dyDescent="0.25">
      <c r="D181" t="s">
        <v>157</v>
      </c>
    </row>
    <row r="182" spans="3:8" x14ac:dyDescent="0.25">
      <c r="D182" t="s">
        <v>158</v>
      </c>
      <c r="E182" t="s">
        <v>95</v>
      </c>
      <c r="F182" t="s">
        <v>95</v>
      </c>
      <c r="G182" t="s">
        <v>95</v>
      </c>
      <c r="H182" t="s">
        <v>95</v>
      </c>
    </row>
    <row r="183" spans="3:8" x14ac:dyDescent="0.25">
      <c r="D183" t="s">
        <v>159</v>
      </c>
      <c r="E183">
        <v>1</v>
      </c>
      <c r="F183">
        <v>2</v>
      </c>
      <c r="G183">
        <v>3</v>
      </c>
      <c r="H183">
        <v>4</v>
      </c>
    </row>
    <row r="184" spans="3:8" x14ac:dyDescent="0.25">
      <c r="D184" t="s">
        <v>160</v>
      </c>
      <c r="E184" t="s">
        <v>99</v>
      </c>
      <c r="F184" t="s">
        <v>99</v>
      </c>
      <c r="G184" t="s">
        <v>99</v>
      </c>
      <c r="H184" t="s">
        <v>99</v>
      </c>
    </row>
    <row r="185" spans="3:8" x14ac:dyDescent="0.25">
      <c r="D185" t="s">
        <v>161</v>
      </c>
      <c r="E185">
        <v>1</v>
      </c>
      <c r="F185">
        <v>2</v>
      </c>
      <c r="G185">
        <v>3</v>
      </c>
      <c r="H185">
        <v>4</v>
      </c>
    </row>
    <row r="186" spans="3:8" x14ac:dyDescent="0.25">
      <c r="D186" t="s">
        <v>162</v>
      </c>
      <c r="E186">
        <v>6</v>
      </c>
      <c r="F186">
        <v>6</v>
      </c>
      <c r="G186">
        <v>6</v>
      </c>
      <c r="H186">
        <v>6</v>
      </c>
    </row>
    <row r="187" spans="3:8" x14ac:dyDescent="0.25">
      <c r="D187" t="s">
        <v>163</v>
      </c>
      <c r="E187">
        <v>0</v>
      </c>
      <c r="F187">
        <v>0</v>
      </c>
      <c r="G187">
        <v>0</v>
      </c>
      <c r="H187">
        <v>0</v>
      </c>
    </row>
    <row r="188" spans="3:8" x14ac:dyDescent="0.25">
      <c r="D188" t="s">
        <v>164</v>
      </c>
      <c r="E188">
        <v>104</v>
      </c>
      <c r="F188">
        <v>104</v>
      </c>
      <c r="G188">
        <v>104</v>
      </c>
      <c r="H188">
        <v>104</v>
      </c>
    </row>
    <row r="189" spans="3:8" x14ac:dyDescent="0.25">
      <c r="D189" t="s">
        <v>165</v>
      </c>
      <c r="E189" t="s">
        <v>41</v>
      </c>
      <c r="F189" t="s">
        <v>41</v>
      </c>
      <c r="G189" t="s">
        <v>41</v>
      </c>
      <c r="H189" t="s">
        <v>41</v>
      </c>
    </row>
    <row r="190" spans="3:8" x14ac:dyDescent="0.25">
      <c r="D190" t="s">
        <v>195</v>
      </c>
    </row>
    <row r="195" spans="2:5" x14ac:dyDescent="0.25">
      <c r="B195" t="s">
        <v>175</v>
      </c>
    </row>
    <row r="196" spans="2:5" x14ac:dyDescent="0.25">
      <c r="B196" t="s">
        <v>196</v>
      </c>
    </row>
    <row r="197" spans="2:5" x14ac:dyDescent="0.25">
      <c r="B197" t="s">
        <v>197</v>
      </c>
    </row>
    <row r="198" spans="2:5" x14ac:dyDescent="0.25">
      <c r="B198" t="s">
        <v>178</v>
      </c>
    </row>
    <row r="199" spans="2:5" x14ac:dyDescent="0.25">
      <c r="B199" t="s">
        <v>179</v>
      </c>
    </row>
    <row r="201" spans="2:5" x14ac:dyDescent="0.25">
      <c r="C201" t="s">
        <v>126</v>
      </c>
    </row>
    <row r="202" spans="2:5" x14ac:dyDescent="0.25">
      <c r="D202" t="s">
        <v>139</v>
      </c>
    </row>
    <row r="203" spans="2:5" x14ac:dyDescent="0.25">
      <c r="D203" t="s">
        <v>140</v>
      </c>
    </row>
    <row r="204" spans="2:5" x14ac:dyDescent="0.25">
      <c r="D204" t="s">
        <v>141</v>
      </c>
      <c r="E204" t="s">
        <v>198</v>
      </c>
    </row>
    <row r="205" spans="2:5" x14ac:dyDescent="0.25">
      <c r="D205" t="s">
        <v>199</v>
      </c>
    </row>
    <row r="206" spans="2:5" x14ac:dyDescent="0.25">
      <c r="C206" t="s">
        <v>200</v>
      </c>
    </row>
    <row r="208" spans="2:5" x14ac:dyDescent="0.25">
      <c r="D208" t="s">
        <v>201</v>
      </c>
    </row>
    <row r="209" spans="4:5" x14ac:dyDescent="0.25">
      <c r="D209" t="s">
        <v>202</v>
      </c>
    </row>
    <row r="210" spans="4:5" x14ac:dyDescent="0.25">
      <c r="D210" t="s">
        <v>203</v>
      </c>
    </row>
    <row r="211" spans="4:5" x14ac:dyDescent="0.25">
      <c r="D211" t="s">
        <v>139</v>
      </c>
    </row>
    <row r="212" spans="4:5" x14ac:dyDescent="0.25">
      <c r="D212" t="s">
        <v>140</v>
      </c>
    </row>
    <row r="213" spans="4:5" x14ac:dyDescent="0.25">
      <c r="D213" t="s">
        <v>141</v>
      </c>
      <c r="E213" t="s">
        <v>204</v>
      </c>
    </row>
    <row r="214" spans="4:5" x14ac:dyDescent="0.25">
      <c r="D214" t="s">
        <v>203</v>
      </c>
    </row>
    <row r="216" spans="4:5" x14ac:dyDescent="0.25">
      <c r="D216" t="s">
        <v>182</v>
      </c>
    </row>
    <row r="217" spans="4:5" x14ac:dyDescent="0.25">
      <c r="D217" t="s">
        <v>183</v>
      </c>
    </row>
    <row r="218" spans="4:5" x14ac:dyDescent="0.25">
      <c r="D218" t="s">
        <v>184</v>
      </c>
      <c r="E218">
        <v>1799.94</v>
      </c>
    </row>
    <row r="219" spans="4:5" x14ac:dyDescent="0.25">
      <c r="D219" t="s">
        <v>205</v>
      </c>
    </row>
    <row r="221" spans="4:5" x14ac:dyDescent="0.25">
      <c r="D221" t="s">
        <v>182</v>
      </c>
    </row>
    <row r="222" spans="4:5" x14ac:dyDescent="0.25">
      <c r="D222" t="s">
        <v>186</v>
      </c>
    </row>
    <row r="223" spans="4:5" x14ac:dyDescent="0.25">
      <c r="D223" t="s">
        <v>206</v>
      </c>
    </row>
    <row r="225" spans="4:5" x14ac:dyDescent="0.25">
      <c r="D225" t="s">
        <v>118</v>
      </c>
    </row>
    <row r="226" spans="4:5" x14ac:dyDescent="0.25">
      <c r="D226" t="s">
        <v>188</v>
      </c>
    </row>
    <row r="227" spans="4:5" x14ac:dyDescent="0.25">
      <c r="D227" t="s">
        <v>120</v>
      </c>
      <c r="E227">
        <v>2</v>
      </c>
    </row>
    <row r="229" spans="4:5" x14ac:dyDescent="0.25">
      <c r="D229" t="s">
        <v>118</v>
      </c>
    </row>
    <row r="230" spans="4:5" x14ac:dyDescent="0.25">
      <c r="D230" t="s">
        <v>119</v>
      </c>
    </row>
    <row r="231" spans="4:5" x14ac:dyDescent="0.25">
      <c r="D231" t="s">
        <v>120</v>
      </c>
      <c r="E231">
        <v>1</v>
      </c>
    </row>
    <row r="232" spans="4:5" x14ac:dyDescent="0.25">
      <c r="D232" t="s">
        <v>121</v>
      </c>
      <c r="E232">
        <v>30</v>
      </c>
    </row>
    <row r="234" spans="4:5" x14ac:dyDescent="0.25">
      <c r="D234" t="s">
        <v>118</v>
      </c>
    </row>
    <row r="235" spans="4:5" x14ac:dyDescent="0.25">
      <c r="D235" t="s">
        <v>119</v>
      </c>
    </row>
    <row r="236" spans="4:5" x14ac:dyDescent="0.25">
      <c r="D236" t="s">
        <v>120</v>
      </c>
      <c r="E236">
        <v>2</v>
      </c>
    </row>
    <row r="237" spans="4:5" x14ac:dyDescent="0.25">
      <c r="D237" t="s">
        <v>121</v>
      </c>
      <c r="E237">
        <v>30</v>
      </c>
    </row>
    <row r="242" spans="2:2" x14ac:dyDescent="0.25">
      <c r="B242" t="s">
        <v>122</v>
      </c>
    </row>
    <row r="243" spans="2:2" x14ac:dyDescent="0.25">
      <c r="B243" t="s">
        <v>207</v>
      </c>
    </row>
    <row r="244" spans="2:2" x14ac:dyDescent="0.25">
      <c r="B244" t="s">
        <v>208</v>
      </c>
    </row>
    <row r="245" spans="2:2" x14ac:dyDescent="0.25">
      <c r="B245" t="s">
        <v>125</v>
      </c>
    </row>
    <row r="251" spans="2:2" x14ac:dyDescent="0.25">
      <c r="B251" t="s">
        <v>209</v>
      </c>
    </row>
    <row r="252" spans="2:2" x14ac:dyDescent="0.25">
      <c r="B252" t="s">
        <v>210</v>
      </c>
    </row>
    <row r="253" spans="2:2" x14ac:dyDescent="0.25">
      <c r="B253" t="s">
        <v>211</v>
      </c>
    </row>
    <row r="254" spans="2:2" x14ac:dyDescent="0.25">
      <c r="B254" t="s">
        <v>212</v>
      </c>
    </row>
    <row r="255" spans="2:2" x14ac:dyDescent="0.25">
      <c r="B255" t="s">
        <v>213</v>
      </c>
    </row>
    <row r="257" spans="2:5" x14ac:dyDescent="0.25">
      <c r="C257" t="s">
        <v>214</v>
      </c>
    </row>
    <row r="258" spans="2:5" x14ac:dyDescent="0.25">
      <c r="D258" t="s">
        <v>139</v>
      </c>
    </row>
    <row r="259" spans="2:5" x14ac:dyDescent="0.25">
      <c r="D259" t="s">
        <v>140</v>
      </c>
    </row>
    <row r="260" spans="2:5" x14ac:dyDescent="0.25">
      <c r="D260" t="s">
        <v>141</v>
      </c>
      <c r="E260" t="s">
        <v>204</v>
      </c>
    </row>
    <row r="261" spans="2:5" x14ac:dyDescent="0.25">
      <c r="D261" t="s">
        <v>215</v>
      </c>
    </row>
    <row r="264" spans="2:5" x14ac:dyDescent="0.25">
      <c r="D264" t="s">
        <v>201</v>
      </c>
    </row>
    <row r="265" spans="2:5" x14ac:dyDescent="0.25">
      <c r="D265" t="s">
        <v>216</v>
      </c>
    </row>
    <row r="266" spans="2:5" x14ac:dyDescent="0.25">
      <c r="D266" t="s">
        <v>217</v>
      </c>
    </row>
    <row r="267" spans="2:5" x14ac:dyDescent="0.25">
      <c r="C267" t="s">
        <v>126</v>
      </c>
    </row>
    <row r="272" spans="2:5" x14ac:dyDescent="0.25">
      <c r="B272" t="s">
        <v>122</v>
      </c>
    </row>
    <row r="273" spans="2:3" x14ac:dyDescent="0.25">
      <c r="B273" t="s">
        <v>218</v>
      </c>
    </row>
    <row r="274" spans="2:3" x14ac:dyDescent="0.25">
      <c r="B274" t="s">
        <v>219</v>
      </c>
    </row>
    <row r="275" spans="2:3" x14ac:dyDescent="0.25">
      <c r="B275" t="s">
        <v>125</v>
      </c>
    </row>
    <row r="277" spans="2:3" x14ac:dyDescent="0.25">
      <c r="C277" t="s">
        <v>126</v>
      </c>
    </row>
    <row r="282" spans="2:3" x14ac:dyDescent="0.25">
      <c r="B282" t="s">
        <v>220</v>
      </c>
    </row>
    <row r="283" spans="2:3" x14ac:dyDescent="0.25">
      <c r="B283" t="s">
        <v>221</v>
      </c>
    </row>
    <row r="284" spans="2:3" x14ac:dyDescent="0.25">
      <c r="B284" t="s">
        <v>222</v>
      </c>
    </row>
    <row r="285" spans="2:3" x14ac:dyDescent="0.25">
      <c r="B285" t="s">
        <v>223</v>
      </c>
    </row>
    <row r="286" spans="2:3" x14ac:dyDescent="0.25">
      <c r="B286" t="s">
        <v>224</v>
      </c>
    </row>
    <row r="288" spans="2:3" x14ac:dyDescent="0.25">
      <c r="C288" t="s">
        <v>126</v>
      </c>
    </row>
    <row r="290" spans="2:5" x14ac:dyDescent="0.25">
      <c r="D290" t="s">
        <v>225</v>
      </c>
    </row>
    <row r="291" spans="2:5" x14ac:dyDescent="0.25">
      <c r="D291" t="s">
        <v>226</v>
      </c>
    </row>
    <row r="292" spans="2:5" x14ac:dyDescent="0.25">
      <c r="D292" t="s">
        <v>186</v>
      </c>
      <c r="E292" t="s">
        <v>41</v>
      </c>
    </row>
    <row r="293" spans="2:5" x14ac:dyDescent="0.25">
      <c r="D293" t="s">
        <v>227</v>
      </c>
      <c r="E293" t="s">
        <v>103</v>
      </c>
    </row>
    <row r="294" spans="2:5" x14ac:dyDescent="0.25">
      <c r="D294" t="s">
        <v>141</v>
      </c>
      <c r="E294" t="s">
        <v>104</v>
      </c>
    </row>
    <row r="295" spans="2:5" x14ac:dyDescent="0.25">
      <c r="D295" t="s">
        <v>228</v>
      </c>
    </row>
    <row r="300" spans="2:5" x14ac:dyDescent="0.25">
      <c r="B300" t="s">
        <v>145</v>
      </c>
    </row>
    <row r="301" spans="2:5" x14ac:dyDescent="0.25">
      <c r="B301" t="s">
        <v>229</v>
      </c>
    </row>
    <row r="302" spans="2:5" x14ac:dyDescent="0.25">
      <c r="B302" t="s">
        <v>230</v>
      </c>
    </row>
    <row r="303" spans="2:5" x14ac:dyDescent="0.25">
      <c r="B303" t="s">
        <v>231</v>
      </c>
    </row>
    <row r="304" spans="2:5" x14ac:dyDescent="0.25">
      <c r="B304" t="s">
        <v>232</v>
      </c>
    </row>
    <row r="305" spans="2:5" x14ac:dyDescent="0.25">
      <c r="B305" t="s">
        <v>233</v>
      </c>
    </row>
    <row r="306" spans="2:5" x14ac:dyDescent="0.25">
      <c r="B306" t="s">
        <v>150</v>
      </c>
    </row>
    <row r="307" spans="2:5" x14ac:dyDescent="0.25">
      <c r="B307" t="s">
        <v>234</v>
      </c>
    </row>
    <row r="309" spans="2:5" x14ac:dyDescent="0.25">
      <c r="D309" t="s">
        <v>139</v>
      </c>
    </row>
    <row r="310" spans="2:5" x14ac:dyDescent="0.25">
      <c r="D310" t="s">
        <v>140</v>
      </c>
    </row>
    <row r="311" spans="2:5" x14ac:dyDescent="0.25">
      <c r="D311" t="s">
        <v>141</v>
      </c>
      <c r="E311" t="s">
        <v>235</v>
      </c>
    </row>
    <row r="312" spans="2:5" x14ac:dyDescent="0.25">
      <c r="D312" t="s">
        <v>236</v>
      </c>
    </row>
    <row r="313" spans="2:5" x14ac:dyDescent="0.25">
      <c r="C313" t="s">
        <v>126</v>
      </c>
    </row>
    <row r="315" spans="2:5" x14ac:dyDescent="0.25">
      <c r="D315" t="s">
        <v>139</v>
      </c>
    </row>
    <row r="316" spans="2:5" x14ac:dyDescent="0.25">
      <c r="D316" t="s">
        <v>140</v>
      </c>
    </row>
    <row r="317" spans="2:5" x14ac:dyDescent="0.25">
      <c r="D317" t="s">
        <v>141</v>
      </c>
      <c r="E317" t="s">
        <v>154</v>
      </c>
    </row>
    <row r="318" spans="2:5" x14ac:dyDescent="0.25">
      <c r="D318" t="s">
        <v>309</v>
      </c>
      <c r="E318" t="s">
        <v>237</v>
      </c>
    </row>
    <row r="319" spans="2:5" x14ac:dyDescent="0.25">
      <c r="D319" t="s">
        <v>236</v>
      </c>
    </row>
    <row r="320" spans="2:5" x14ac:dyDescent="0.25">
      <c r="C320" t="s">
        <v>126</v>
      </c>
    </row>
    <row r="322" spans="4:8" x14ac:dyDescent="0.25">
      <c r="D322" t="s">
        <v>156</v>
      </c>
    </row>
    <row r="323" spans="4:8" x14ac:dyDescent="0.25">
      <c r="D323" t="s">
        <v>157</v>
      </c>
    </row>
    <row r="324" spans="4:8" x14ac:dyDescent="0.25">
      <c r="D324" t="s">
        <v>158</v>
      </c>
      <c r="E324" t="s">
        <v>101</v>
      </c>
      <c r="F324" t="s">
        <v>101</v>
      </c>
      <c r="G324" t="s">
        <v>101</v>
      </c>
      <c r="H324" t="s">
        <v>101</v>
      </c>
    </row>
    <row r="325" spans="4:8" x14ac:dyDescent="0.25">
      <c r="D325" t="s">
        <v>159</v>
      </c>
      <c r="E325">
        <v>1</v>
      </c>
      <c r="F325">
        <v>2</v>
      </c>
      <c r="G325">
        <v>3</v>
      </c>
      <c r="H325">
        <v>4</v>
      </c>
    </row>
    <row r="326" spans="4:8" x14ac:dyDescent="0.25">
      <c r="D326" t="s">
        <v>160</v>
      </c>
      <c r="E326" t="s">
        <v>102</v>
      </c>
      <c r="F326" t="s">
        <v>102</v>
      </c>
      <c r="G326" t="s">
        <v>102</v>
      </c>
      <c r="H326" t="s">
        <v>102</v>
      </c>
    </row>
    <row r="327" spans="4:8" x14ac:dyDescent="0.25">
      <c r="D327" t="s">
        <v>161</v>
      </c>
      <c r="E327">
        <v>1</v>
      </c>
      <c r="F327">
        <v>2</v>
      </c>
      <c r="G327">
        <v>3</v>
      </c>
      <c r="H327">
        <v>4</v>
      </c>
    </row>
    <row r="328" spans="4:8" x14ac:dyDescent="0.25">
      <c r="D328" t="s">
        <v>162</v>
      </c>
      <c r="E328">
        <v>100</v>
      </c>
      <c r="F328">
        <v>100</v>
      </c>
      <c r="G328">
        <v>100</v>
      </c>
      <c r="H328">
        <v>100</v>
      </c>
    </row>
    <row r="329" spans="4:8" x14ac:dyDescent="0.25">
      <c r="D329" t="s">
        <v>163</v>
      </c>
      <c r="E329">
        <v>0</v>
      </c>
      <c r="F329">
        <v>0</v>
      </c>
      <c r="G329">
        <v>0</v>
      </c>
      <c r="H329">
        <v>0</v>
      </c>
    </row>
    <row r="330" spans="4:8" x14ac:dyDescent="0.25">
      <c r="D330" t="s">
        <v>164</v>
      </c>
      <c r="E330">
        <v>0</v>
      </c>
      <c r="F330">
        <v>0</v>
      </c>
      <c r="G330">
        <v>0</v>
      </c>
      <c r="H330">
        <v>0</v>
      </c>
    </row>
    <row r="331" spans="4:8" x14ac:dyDescent="0.25">
      <c r="D331" t="s">
        <v>165</v>
      </c>
      <c r="E331" t="s">
        <v>42</v>
      </c>
      <c r="F331" t="s">
        <v>42</v>
      </c>
      <c r="G331" t="s">
        <v>42</v>
      </c>
      <c r="H331" t="s">
        <v>42</v>
      </c>
    </row>
    <row r="332" spans="4:8" x14ac:dyDescent="0.25">
      <c r="D332" t="s">
        <v>238</v>
      </c>
    </row>
    <row r="334" spans="4:8" x14ac:dyDescent="0.25">
      <c r="D334" t="s">
        <v>139</v>
      </c>
    </row>
    <row r="335" spans="4:8" x14ac:dyDescent="0.25">
      <c r="D335" t="s">
        <v>140</v>
      </c>
    </row>
    <row r="336" spans="4:8" x14ac:dyDescent="0.25">
      <c r="D336" t="s">
        <v>141</v>
      </c>
      <c r="E336" t="s">
        <v>154</v>
      </c>
    </row>
    <row r="337" spans="2:5" x14ac:dyDescent="0.25">
      <c r="D337" t="s">
        <v>310</v>
      </c>
      <c r="E337" t="s">
        <v>237</v>
      </c>
    </row>
    <row r="338" spans="2:5" x14ac:dyDescent="0.25">
      <c r="D338" t="s">
        <v>238</v>
      </c>
    </row>
    <row r="339" spans="2:5" x14ac:dyDescent="0.25">
      <c r="C339" t="s">
        <v>144</v>
      </c>
    </row>
    <row r="345" spans="2:5" x14ac:dyDescent="0.25">
      <c r="B345" t="s">
        <v>132</v>
      </c>
    </row>
    <row r="346" spans="2:5" x14ac:dyDescent="0.25">
      <c r="B346" t="s">
        <v>239</v>
      </c>
    </row>
    <row r="347" spans="2:5" x14ac:dyDescent="0.25">
      <c r="B347" t="s">
        <v>240</v>
      </c>
    </row>
    <row r="348" spans="2:5" x14ac:dyDescent="0.25">
      <c r="B348" t="s">
        <v>135</v>
      </c>
    </row>
    <row r="349" spans="2:5" x14ac:dyDescent="0.25">
      <c r="B349" t="s">
        <v>136</v>
      </c>
    </row>
    <row r="350" spans="2:5" x14ac:dyDescent="0.25">
      <c r="B350" t="s">
        <v>241</v>
      </c>
    </row>
    <row r="351" spans="2:5" x14ac:dyDescent="0.25">
      <c r="B351" t="s">
        <v>138</v>
      </c>
    </row>
    <row r="353" spans="3:8" x14ac:dyDescent="0.25">
      <c r="D353" t="s">
        <v>139</v>
      </c>
    </row>
    <row r="354" spans="3:8" x14ac:dyDescent="0.25">
      <c r="D354" t="s">
        <v>140</v>
      </c>
    </row>
    <row r="355" spans="3:8" x14ac:dyDescent="0.25">
      <c r="D355" t="s">
        <v>141</v>
      </c>
      <c r="E355" t="s">
        <v>242</v>
      </c>
    </row>
    <row r="356" spans="3:8" x14ac:dyDescent="0.25">
      <c r="D356" t="s">
        <v>243</v>
      </c>
    </row>
    <row r="357" spans="3:8" x14ac:dyDescent="0.25">
      <c r="C357" t="s">
        <v>126</v>
      </c>
    </row>
    <row r="359" spans="3:8" x14ac:dyDescent="0.25">
      <c r="D359" t="s">
        <v>156</v>
      </c>
    </row>
    <row r="360" spans="3:8" x14ac:dyDescent="0.25">
      <c r="D360" t="s">
        <v>157</v>
      </c>
    </row>
    <row r="361" spans="3:8" x14ac:dyDescent="0.25">
      <c r="D361" t="s">
        <v>158</v>
      </c>
      <c r="E361" t="s">
        <v>101</v>
      </c>
      <c r="F361" t="s">
        <v>101</v>
      </c>
      <c r="G361" t="s">
        <v>101</v>
      </c>
      <c r="H361" t="s">
        <v>101</v>
      </c>
    </row>
    <row r="362" spans="3:8" x14ac:dyDescent="0.25">
      <c r="D362" t="s">
        <v>159</v>
      </c>
      <c r="E362">
        <v>1</v>
      </c>
      <c r="F362">
        <v>2</v>
      </c>
      <c r="G362">
        <v>3</v>
      </c>
      <c r="H362">
        <v>4</v>
      </c>
    </row>
    <row r="363" spans="3:8" x14ac:dyDescent="0.25">
      <c r="D363" t="s">
        <v>160</v>
      </c>
      <c r="E363" t="s">
        <v>105</v>
      </c>
      <c r="F363" t="s">
        <v>105</v>
      </c>
      <c r="G363" t="s">
        <v>105</v>
      </c>
      <c r="H363" t="s">
        <v>105</v>
      </c>
    </row>
    <row r="364" spans="3:8" x14ac:dyDescent="0.25">
      <c r="D364" t="s">
        <v>161</v>
      </c>
      <c r="E364">
        <v>1</v>
      </c>
      <c r="F364">
        <v>2</v>
      </c>
      <c r="G364">
        <v>3</v>
      </c>
      <c r="H364">
        <v>4</v>
      </c>
    </row>
    <row r="365" spans="3:8" x14ac:dyDescent="0.25">
      <c r="D365" t="s">
        <v>162</v>
      </c>
      <c r="E365">
        <v>16.5</v>
      </c>
      <c r="F365">
        <v>16.5</v>
      </c>
      <c r="G365">
        <v>13.5</v>
      </c>
      <c r="H365">
        <v>13.5</v>
      </c>
    </row>
    <row r="366" spans="3:8" x14ac:dyDescent="0.25">
      <c r="D366" t="s">
        <v>163</v>
      </c>
      <c r="E366">
        <v>0</v>
      </c>
      <c r="F366">
        <v>0</v>
      </c>
      <c r="G366">
        <v>0</v>
      </c>
      <c r="H366">
        <v>0</v>
      </c>
    </row>
    <row r="367" spans="3:8" x14ac:dyDescent="0.25">
      <c r="D367" t="s">
        <v>164</v>
      </c>
      <c r="E367">
        <v>100</v>
      </c>
      <c r="F367">
        <v>100</v>
      </c>
      <c r="G367">
        <v>100</v>
      </c>
      <c r="H367">
        <v>100</v>
      </c>
    </row>
    <row r="368" spans="3:8" x14ac:dyDescent="0.25">
      <c r="D368" t="s">
        <v>165</v>
      </c>
      <c r="E368" t="s">
        <v>41</v>
      </c>
      <c r="F368" t="s">
        <v>41</v>
      </c>
      <c r="G368" t="s">
        <v>41</v>
      </c>
      <c r="H368" t="s">
        <v>41</v>
      </c>
    </row>
    <row r="369" spans="2:5" x14ac:dyDescent="0.25">
      <c r="D369" t="s">
        <v>244</v>
      </c>
    </row>
    <row r="374" spans="2:5" x14ac:dyDescent="0.25">
      <c r="B374" t="s">
        <v>132</v>
      </c>
    </row>
    <row r="375" spans="2:5" x14ac:dyDescent="0.25">
      <c r="B375" t="s">
        <v>245</v>
      </c>
    </row>
    <row r="376" spans="2:5" x14ac:dyDescent="0.25">
      <c r="B376" t="s">
        <v>246</v>
      </c>
    </row>
    <row r="377" spans="2:5" x14ac:dyDescent="0.25">
      <c r="B377" t="s">
        <v>247</v>
      </c>
    </row>
    <row r="378" spans="2:5" x14ac:dyDescent="0.25">
      <c r="B378" t="s">
        <v>136</v>
      </c>
    </row>
    <row r="379" spans="2:5" x14ac:dyDescent="0.25">
      <c r="B379" t="s">
        <v>248</v>
      </c>
    </row>
    <row r="380" spans="2:5" x14ac:dyDescent="0.25">
      <c r="B380" t="s">
        <v>138</v>
      </c>
    </row>
    <row r="382" spans="2:5" x14ac:dyDescent="0.25">
      <c r="D382" t="s">
        <v>139</v>
      </c>
    </row>
    <row r="383" spans="2:5" x14ac:dyDescent="0.25">
      <c r="D383" t="s">
        <v>140</v>
      </c>
    </row>
    <row r="384" spans="2:5" x14ac:dyDescent="0.25">
      <c r="D384" t="s">
        <v>141</v>
      </c>
      <c r="E384" t="s">
        <v>249</v>
      </c>
    </row>
    <row r="385" spans="3:8" x14ac:dyDescent="0.25">
      <c r="D385" t="s">
        <v>250</v>
      </c>
    </row>
    <row r="386" spans="3:8" x14ac:dyDescent="0.25">
      <c r="C386" t="s">
        <v>126</v>
      </c>
    </row>
    <row r="388" spans="3:8" x14ac:dyDescent="0.25">
      <c r="D388" t="s">
        <v>156</v>
      </c>
    </row>
    <row r="389" spans="3:8" x14ac:dyDescent="0.25">
      <c r="D389" t="s">
        <v>157</v>
      </c>
    </row>
    <row r="390" spans="3:8" x14ac:dyDescent="0.25">
      <c r="D390" t="s">
        <v>158</v>
      </c>
      <c r="E390" t="s">
        <v>101</v>
      </c>
      <c r="F390" t="s">
        <v>101</v>
      </c>
      <c r="G390" t="s">
        <v>101</v>
      </c>
      <c r="H390" t="s">
        <v>101</v>
      </c>
    </row>
    <row r="391" spans="3:8" x14ac:dyDescent="0.25">
      <c r="D391" t="s">
        <v>159</v>
      </c>
      <c r="E391">
        <v>1</v>
      </c>
      <c r="F391">
        <v>2</v>
      </c>
      <c r="G391">
        <v>3</v>
      </c>
      <c r="H391">
        <v>4</v>
      </c>
    </row>
    <row r="392" spans="3:8" x14ac:dyDescent="0.25">
      <c r="D392" t="s">
        <v>160</v>
      </c>
      <c r="E392" t="s">
        <v>114</v>
      </c>
      <c r="F392" t="s">
        <v>114</v>
      </c>
      <c r="G392" t="s">
        <v>114</v>
      </c>
      <c r="H392" t="s">
        <v>114</v>
      </c>
    </row>
    <row r="393" spans="3:8" x14ac:dyDescent="0.25">
      <c r="D393" t="s">
        <v>161</v>
      </c>
      <c r="E393">
        <v>1</v>
      </c>
      <c r="F393">
        <v>2</v>
      </c>
      <c r="G393">
        <v>3</v>
      </c>
      <c r="H393">
        <v>4</v>
      </c>
    </row>
    <row r="394" spans="3:8" x14ac:dyDescent="0.25">
      <c r="D394" t="s">
        <v>162</v>
      </c>
      <c r="E394">
        <v>3.5</v>
      </c>
      <c r="F394">
        <v>3.5</v>
      </c>
      <c r="G394">
        <v>6.5</v>
      </c>
      <c r="H394">
        <v>6.5</v>
      </c>
    </row>
    <row r="395" spans="3:8" x14ac:dyDescent="0.25">
      <c r="D395" t="s">
        <v>163</v>
      </c>
      <c r="E395">
        <v>0</v>
      </c>
      <c r="F395">
        <v>0</v>
      </c>
      <c r="G395">
        <v>0</v>
      </c>
      <c r="H395">
        <v>0</v>
      </c>
    </row>
    <row r="396" spans="3:8" x14ac:dyDescent="0.25">
      <c r="D396" t="s">
        <v>164</v>
      </c>
      <c r="E396">
        <v>116.5</v>
      </c>
      <c r="F396">
        <v>116.5</v>
      </c>
      <c r="G396">
        <v>113.5</v>
      </c>
      <c r="H396">
        <v>113.5</v>
      </c>
    </row>
    <row r="397" spans="3:8" x14ac:dyDescent="0.25">
      <c r="D397" t="s">
        <v>165</v>
      </c>
      <c r="E397" t="s">
        <v>41</v>
      </c>
      <c r="F397" t="s">
        <v>41</v>
      </c>
      <c r="G397" t="s">
        <v>41</v>
      </c>
      <c r="H397" t="s">
        <v>41</v>
      </c>
    </row>
    <row r="398" spans="3:8" x14ac:dyDescent="0.25">
      <c r="D398" t="s">
        <v>251</v>
      </c>
    </row>
    <row r="403" spans="2:5" x14ac:dyDescent="0.25">
      <c r="B403" t="s">
        <v>132</v>
      </c>
    </row>
    <row r="404" spans="2:5" x14ac:dyDescent="0.25">
      <c r="B404" t="s">
        <v>252</v>
      </c>
    </row>
    <row r="405" spans="2:5" x14ac:dyDescent="0.25">
      <c r="B405" t="s">
        <v>253</v>
      </c>
    </row>
    <row r="406" spans="2:5" x14ac:dyDescent="0.25">
      <c r="B406" t="s">
        <v>254</v>
      </c>
    </row>
    <row r="407" spans="2:5" x14ac:dyDescent="0.25">
      <c r="B407" t="s">
        <v>255</v>
      </c>
    </row>
    <row r="408" spans="2:5" x14ac:dyDescent="0.25">
      <c r="B408" t="s">
        <v>256</v>
      </c>
    </row>
    <row r="409" spans="2:5" x14ac:dyDescent="0.25">
      <c r="B409" t="s">
        <v>138</v>
      </c>
    </row>
    <row r="411" spans="2:5" x14ac:dyDescent="0.25">
      <c r="D411" t="s">
        <v>139</v>
      </c>
    </row>
    <row r="412" spans="2:5" x14ac:dyDescent="0.25">
      <c r="D412" t="s">
        <v>140</v>
      </c>
    </row>
    <row r="413" spans="2:5" x14ac:dyDescent="0.25">
      <c r="D413" t="s">
        <v>141</v>
      </c>
      <c r="E413" t="s">
        <v>257</v>
      </c>
    </row>
    <row r="414" spans="2:5" x14ac:dyDescent="0.25">
      <c r="D414" t="s">
        <v>258</v>
      </c>
    </row>
    <row r="415" spans="2:5" x14ac:dyDescent="0.25">
      <c r="C415" t="s">
        <v>126</v>
      </c>
    </row>
    <row r="417" spans="2:8" x14ac:dyDescent="0.25">
      <c r="D417" t="s">
        <v>156</v>
      </c>
    </row>
    <row r="418" spans="2:8" x14ac:dyDescent="0.25">
      <c r="D418" t="s">
        <v>157</v>
      </c>
    </row>
    <row r="419" spans="2:8" x14ac:dyDescent="0.25">
      <c r="D419" t="s">
        <v>158</v>
      </c>
      <c r="E419" t="s">
        <v>101</v>
      </c>
      <c r="F419" t="s">
        <v>101</v>
      </c>
      <c r="G419" t="s">
        <v>101</v>
      </c>
      <c r="H419" t="s">
        <v>101</v>
      </c>
    </row>
    <row r="420" spans="2:8" x14ac:dyDescent="0.25">
      <c r="D420" t="s">
        <v>159</v>
      </c>
      <c r="E420">
        <v>1</v>
      </c>
      <c r="F420">
        <v>2</v>
      </c>
      <c r="G420">
        <v>3</v>
      </c>
      <c r="H420">
        <v>4</v>
      </c>
    </row>
    <row r="421" spans="2:8" x14ac:dyDescent="0.25">
      <c r="D421" t="s">
        <v>160</v>
      </c>
      <c r="E421" t="s">
        <v>107</v>
      </c>
      <c r="F421" t="s">
        <v>107</v>
      </c>
      <c r="G421" t="s">
        <v>107</v>
      </c>
      <c r="H421" t="s">
        <v>107</v>
      </c>
    </row>
    <row r="422" spans="2:8" x14ac:dyDescent="0.25">
      <c r="D422" t="s">
        <v>161</v>
      </c>
      <c r="E422">
        <v>1</v>
      </c>
      <c r="F422">
        <v>2</v>
      </c>
      <c r="G422">
        <v>3</v>
      </c>
      <c r="H422">
        <v>4</v>
      </c>
    </row>
    <row r="423" spans="2:8" x14ac:dyDescent="0.25">
      <c r="D423" t="s">
        <v>162</v>
      </c>
      <c r="E423">
        <v>5</v>
      </c>
      <c r="F423">
        <v>5</v>
      </c>
      <c r="G423">
        <v>5</v>
      </c>
      <c r="H423">
        <v>5</v>
      </c>
    </row>
    <row r="424" spans="2:8" x14ac:dyDescent="0.25">
      <c r="D424" t="s">
        <v>163</v>
      </c>
      <c r="E424">
        <v>0</v>
      </c>
      <c r="F424">
        <v>0</v>
      </c>
      <c r="G424">
        <v>0</v>
      </c>
      <c r="H424">
        <v>0</v>
      </c>
    </row>
    <row r="425" spans="2:8" x14ac:dyDescent="0.25">
      <c r="D425" t="s">
        <v>164</v>
      </c>
      <c r="E425">
        <v>120</v>
      </c>
      <c r="F425">
        <v>120</v>
      </c>
      <c r="G425">
        <v>120</v>
      </c>
      <c r="H425">
        <v>120</v>
      </c>
    </row>
    <row r="426" spans="2:8" x14ac:dyDescent="0.25">
      <c r="D426" t="s">
        <v>165</v>
      </c>
      <c r="E426" t="s">
        <v>41</v>
      </c>
      <c r="F426" t="s">
        <v>41</v>
      </c>
      <c r="G426" t="s">
        <v>41</v>
      </c>
      <c r="H426" t="s">
        <v>41</v>
      </c>
    </row>
    <row r="427" spans="2:8" x14ac:dyDescent="0.25">
      <c r="D427" t="s">
        <v>259</v>
      </c>
    </row>
    <row r="432" spans="2:8" x14ac:dyDescent="0.25">
      <c r="B432" t="s">
        <v>175</v>
      </c>
    </row>
    <row r="433" spans="2:5" x14ac:dyDescent="0.25">
      <c r="B433" t="s">
        <v>260</v>
      </c>
    </row>
    <row r="434" spans="2:5" x14ac:dyDescent="0.25">
      <c r="B434" t="s">
        <v>177</v>
      </c>
    </row>
    <row r="435" spans="2:5" x14ac:dyDescent="0.25">
      <c r="B435" t="s">
        <v>261</v>
      </c>
    </row>
    <row r="436" spans="2:5" x14ac:dyDescent="0.25">
      <c r="B436" t="s">
        <v>179</v>
      </c>
    </row>
    <row r="438" spans="2:5" x14ac:dyDescent="0.25">
      <c r="C438" t="s">
        <v>126</v>
      </c>
    </row>
    <row r="439" spans="2:5" x14ac:dyDescent="0.25">
      <c r="D439" t="s">
        <v>139</v>
      </c>
    </row>
    <row r="440" spans="2:5" x14ac:dyDescent="0.25">
      <c r="D440" t="s">
        <v>140</v>
      </c>
    </row>
    <row r="441" spans="2:5" x14ac:dyDescent="0.25">
      <c r="D441" t="s">
        <v>141</v>
      </c>
      <c r="E441" t="s">
        <v>262</v>
      </c>
    </row>
    <row r="442" spans="2:5" x14ac:dyDescent="0.25">
      <c r="D442" t="s">
        <v>263</v>
      </c>
    </row>
    <row r="444" spans="2:5" x14ac:dyDescent="0.25">
      <c r="D444" t="s">
        <v>182</v>
      </c>
    </row>
    <row r="445" spans="2:5" x14ac:dyDescent="0.25">
      <c r="D445" t="s">
        <v>183</v>
      </c>
    </row>
    <row r="446" spans="2:5" x14ac:dyDescent="0.25">
      <c r="D446" t="s">
        <v>184</v>
      </c>
      <c r="E446">
        <v>3300</v>
      </c>
    </row>
    <row r="447" spans="2:5" x14ac:dyDescent="0.25">
      <c r="D447" t="s">
        <v>264</v>
      </c>
    </row>
    <row r="449" spans="2:5" x14ac:dyDescent="0.25">
      <c r="D449" t="s">
        <v>182</v>
      </c>
    </row>
    <row r="450" spans="2:5" x14ac:dyDescent="0.25">
      <c r="D450" t="s">
        <v>186</v>
      </c>
    </row>
    <row r="451" spans="2:5" x14ac:dyDescent="0.25">
      <c r="D451" t="s">
        <v>265</v>
      </c>
    </row>
    <row r="453" spans="2:5" x14ac:dyDescent="0.25">
      <c r="D453" t="s">
        <v>118</v>
      </c>
    </row>
    <row r="454" spans="2:5" x14ac:dyDescent="0.25">
      <c r="D454" t="s">
        <v>188</v>
      </c>
    </row>
    <row r="455" spans="2:5" x14ac:dyDescent="0.25">
      <c r="D455" t="s">
        <v>120</v>
      </c>
      <c r="E455">
        <v>1</v>
      </c>
    </row>
    <row r="460" spans="2:5" x14ac:dyDescent="0.25">
      <c r="B460" t="s">
        <v>266</v>
      </c>
    </row>
    <row r="461" spans="2:5" x14ac:dyDescent="0.25">
      <c r="B461" t="s">
        <v>267</v>
      </c>
    </row>
    <row r="462" spans="2:5" x14ac:dyDescent="0.25">
      <c r="B462" t="s">
        <v>268</v>
      </c>
    </row>
    <row r="463" spans="2:5" x14ac:dyDescent="0.25">
      <c r="B463" t="s">
        <v>269</v>
      </c>
    </row>
    <row r="464" spans="2:5" x14ac:dyDescent="0.25">
      <c r="B464" t="s">
        <v>270</v>
      </c>
    </row>
    <row r="466" spans="2:4" x14ac:dyDescent="0.25">
      <c r="C466" t="s">
        <v>126</v>
      </c>
    </row>
    <row r="471" spans="2:4" x14ac:dyDescent="0.25">
      <c r="B471" t="s">
        <v>132</v>
      </c>
    </row>
    <row r="472" spans="2:4" x14ac:dyDescent="0.25">
      <c r="B472" t="s">
        <v>271</v>
      </c>
    </row>
    <row r="473" spans="2:4" x14ac:dyDescent="0.25">
      <c r="B473" t="s">
        <v>272</v>
      </c>
    </row>
    <row r="474" spans="2:4" x14ac:dyDescent="0.25">
      <c r="B474" t="s">
        <v>273</v>
      </c>
    </row>
    <row r="475" spans="2:4" x14ac:dyDescent="0.25">
      <c r="B475" t="s">
        <v>136</v>
      </c>
    </row>
    <row r="476" spans="2:4" x14ac:dyDescent="0.25">
      <c r="B476" t="s">
        <v>274</v>
      </c>
    </row>
    <row r="477" spans="2:4" x14ac:dyDescent="0.25">
      <c r="B477" t="s">
        <v>275</v>
      </c>
    </row>
    <row r="479" spans="2:4" x14ac:dyDescent="0.25">
      <c r="D479" t="s">
        <v>139</v>
      </c>
    </row>
    <row r="480" spans="2:4" x14ac:dyDescent="0.25">
      <c r="D480" t="s">
        <v>140</v>
      </c>
    </row>
    <row r="481" spans="3:6" x14ac:dyDescent="0.25">
      <c r="D481" t="s">
        <v>141</v>
      </c>
      <c r="E481" t="s">
        <v>276</v>
      </c>
    </row>
    <row r="482" spans="3:6" x14ac:dyDescent="0.25">
      <c r="D482" t="s">
        <v>277</v>
      </c>
    </row>
    <row r="483" spans="3:6" x14ac:dyDescent="0.25">
      <c r="C483" t="s">
        <v>126</v>
      </c>
    </row>
    <row r="485" spans="3:6" x14ac:dyDescent="0.25">
      <c r="D485" t="s">
        <v>156</v>
      </c>
    </row>
    <row r="486" spans="3:6" x14ac:dyDescent="0.25">
      <c r="D486" t="s">
        <v>157</v>
      </c>
    </row>
    <row r="487" spans="3:6" x14ac:dyDescent="0.25">
      <c r="D487" t="s">
        <v>158</v>
      </c>
      <c r="E487" t="s">
        <v>108</v>
      </c>
      <c r="F487" t="s">
        <v>108</v>
      </c>
    </row>
    <row r="488" spans="3:6" x14ac:dyDescent="0.25">
      <c r="D488" t="s">
        <v>159</v>
      </c>
      <c r="E488">
        <v>3</v>
      </c>
      <c r="F488">
        <v>4</v>
      </c>
    </row>
    <row r="489" spans="3:6" x14ac:dyDescent="0.25">
      <c r="D489" t="s">
        <v>160</v>
      </c>
      <c r="E489" t="s">
        <v>101</v>
      </c>
      <c r="F489" t="s">
        <v>101</v>
      </c>
    </row>
    <row r="490" spans="3:6" x14ac:dyDescent="0.25">
      <c r="D490" t="s">
        <v>161</v>
      </c>
      <c r="E490">
        <v>3</v>
      </c>
      <c r="F490">
        <v>4</v>
      </c>
    </row>
    <row r="491" spans="3:6" x14ac:dyDescent="0.25">
      <c r="D491" t="s">
        <v>162</v>
      </c>
      <c r="E491">
        <v>120</v>
      </c>
      <c r="F491">
        <v>120</v>
      </c>
    </row>
    <row r="492" spans="3:6" x14ac:dyDescent="0.25">
      <c r="D492" t="s">
        <v>163</v>
      </c>
      <c r="E492">
        <v>0</v>
      </c>
      <c r="F492">
        <v>0</v>
      </c>
    </row>
    <row r="493" spans="3:6" x14ac:dyDescent="0.25">
      <c r="D493" t="s">
        <v>164</v>
      </c>
      <c r="E493">
        <v>0</v>
      </c>
      <c r="F493">
        <v>0</v>
      </c>
    </row>
    <row r="494" spans="3:6" x14ac:dyDescent="0.25">
      <c r="D494" t="s">
        <v>165</v>
      </c>
      <c r="E494" t="s">
        <v>42</v>
      </c>
      <c r="F494" t="s">
        <v>42</v>
      </c>
    </row>
    <row r="495" spans="3:6" x14ac:dyDescent="0.25">
      <c r="D495" t="s">
        <v>278</v>
      </c>
    </row>
    <row r="500" spans="2:5" x14ac:dyDescent="0.25">
      <c r="B500" t="s">
        <v>175</v>
      </c>
    </row>
    <row r="501" spans="2:5" x14ac:dyDescent="0.25">
      <c r="B501" t="s">
        <v>279</v>
      </c>
    </row>
    <row r="502" spans="2:5" x14ac:dyDescent="0.25">
      <c r="B502" t="s">
        <v>177</v>
      </c>
    </row>
    <row r="503" spans="2:5" x14ac:dyDescent="0.25">
      <c r="B503" t="s">
        <v>280</v>
      </c>
    </row>
    <row r="504" spans="2:5" x14ac:dyDescent="0.25">
      <c r="B504" t="s">
        <v>179</v>
      </c>
    </row>
    <row r="506" spans="2:5" x14ac:dyDescent="0.25">
      <c r="C506" t="s">
        <v>126</v>
      </c>
    </row>
    <row r="507" spans="2:5" x14ac:dyDescent="0.25">
      <c r="D507" t="s">
        <v>139</v>
      </c>
    </row>
    <row r="508" spans="2:5" x14ac:dyDescent="0.25">
      <c r="D508" t="s">
        <v>140</v>
      </c>
    </row>
    <row r="509" spans="2:5" x14ac:dyDescent="0.25">
      <c r="D509" t="s">
        <v>141</v>
      </c>
      <c r="E509" t="s">
        <v>281</v>
      </c>
    </row>
    <row r="510" spans="2:5" x14ac:dyDescent="0.25">
      <c r="D510" t="s">
        <v>282</v>
      </c>
    </row>
    <row r="515" spans="2:5" x14ac:dyDescent="0.25">
      <c r="B515" t="s">
        <v>132</v>
      </c>
    </row>
    <row r="516" spans="2:5" x14ac:dyDescent="0.25">
      <c r="B516" t="s">
        <v>283</v>
      </c>
    </row>
    <row r="517" spans="2:5" x14ac:dyDescent="0.25">
      <c r="B517" t="s">
        <v>334</v>
      </c>
    </row>
    <row r="518" spans="2:5" x14ac:dyDescent="0.25">
      <c r="B518" t="s">
        <v>284</v>
      </c>
    </row>
    <row r="519" spans="2:5" x14ac:dyDescent="0.25">
      <c r="B519" t="s">
        <v>136</v>
      </c>
    </row>
    <row r="520" spans="2:5" x14ac:dyDescent="0.25">
      <c r="B520" t="s">
        <v>285</v>
      </c>
    </row>
    <row r="521" spans="2:5" x14ac:dyDescent="0.25">
      <c r="B521" t="s">
        <v>138</v>
      </c>
    </row>
    <row r="523" spans="2:5" x14ac:dyDescent="0.25">
      <c r="D523" t="s">
        <v>139</v>
      </c>
    </row>
    <row r="524" spans="2:5" x14ac:dyDescent="0.25">
      <c r="D524" t="s">
        <v>140</v>
      </c>
    </row>
    <row r="525" spans="2:5" x14ac:dyDescent="0.25">
      <c r="D525" t="s">
        <v>141</v>
      </c>
      <c r="E525" t="s">
        <v>286</v>
      </c>
    </row>
    <row r="526" spans="2:5" x14ac:dyDescent="0.25">
      <c r="D526" t="s">
        <v>287</v>
      </c>
    </row>
    <row r="527" spans="2:5" x14ac:dyDescent="0.25">
      <c r="C527" t="s">
        <v>126</v>
      </c>
    </row>
    <row r="529" spans="2:6" x14ac:dyDescent="0.25">
      <c r="D529" t="s">
        <v>156</v>
      </c>
    </row>
    <row r="530" spans="2:6" x14ac:dyDescent="0.25">
      <c r="D530" t="s">
        <v>157</v>
      </c>
    </row>
    <row r="531" spans="2:6" x14ac:dyDescent="0.25">
      <c r="D531" t="s">
        <v>158</v>
      </c>
      <c r="E531" t="s">
        <v>108</v>
      </c>
      <c r="F531" t="s">
        <v>108</v>
      </c>
    </row>
    <row r="532" spans="2:6" x14ac:dyDescent="0.25">
      <c r="D532" t="s">
        <v>159</v>
      </c>
      <c r="E532">
        <v>3</v>
      </c>
      <c r="F532">
        <v>4</v>
      </c>
    </row>
    <row r="533" spans="2:6" x14ac:dyDescent="0.25">
      <c r="D533" t="s">
        <v>160</v>
      </c>
      <c r="E533" t="s">
        <v>333</v>
      </c>
      <c r="F533" t="s">
        <v>333</v>
      </c>
    </row>
    <row r="534" spans="2:6" x14ac:dyDescent="0.25">
      <c r="D534" t="s">
        <v>161</v>
      </c>
      <c r="E534">
        <v>3</v>
      </c>
      <c r="F534">
        <v>4</v>
      </c>
    </row>
    <row r="535" spans="2:6" x14ac:dyDescent="0.25">
      <c r="D535" t="s">
        <v>162</v>
      </c>
      <c r="E535">
        <v>2</v>
      </c>
      <c r="F535">
        <v>2</v>
      </c>
    </row>
    <row r="536" spans="2:6" x14ac:dyDescent="0.25">
      <c r="D536" t="s">
        <v>163</v>
      </c>
      <c r="E536">
        <v>0</v>
      </c>
      <c r="F536">
        <v>0</v>
      </c>
    </row>
    <row r="537" spans="2:6" x14ac:dyDescent="0.25">
      <c r="D537" t="s">
        <v>164</v>
      </c>
      <c r="E537">
        <v>120</v>
      </c>
      <c r="F537">
        <v>120</v>
      </c>
    </row>
    <row r="538" spans="2:6" x14ac:dyDescent="0.25">
      <c r="D538" t="s">
        <v>165</v>
      </c>
      <c r="E538" t="s">
        <v>41</v>
      </c>
      <c r="F538" t="s">
        <v>41</v>
      </c>
    </row>
    <row r="539" spans="2:6" x14ac:dyDescent="0.25">
      <c r="D539" t="s">
        <v>288</v>
      </c>
    </row>
    <row r="544" spans="2:6" x14ac:dyDescent="0.25">
      <c r="B544" t="s">
        <v>289</v>
      </c>
    </row>
    <row r="545" spans="2:5" x14ac:dyDescent="0.25">
      <c r="B545" t="s">
        <v>290</v>
      </c>
    </row>
    <row r="547" spans="2:5" x14ac:dyDescent="0.25">
      <c r="C547" t="s">
        <v>291</v>
      </c>
    </row>
    <row r="549" spans="2:5" x14ac:dyDescent="0.25">
      <c r="D549" t="s">
        <v>182</v>
      </c>
    </row>
    <row r="550" spans="2:5" x14ac:dyDescent="0.25">
      <c r="D550" t="s">
        <v>183</v>
      </c>
    </row>
    <row r="551" spans="2:5" x14ac:dyDescent="0.25">
      <c r="D551" t="s">
        <v>184</v>
      </c>
      <c r="E551">
        <v>599.49</v>
      </c>
    </row>
    <row r="552" spans="2:5" x14ac:dyDescent="0.25">
      <c r="D552" t="s">
        <v>292</v>
      </c>
    </row>
    <row r="554" spans="2:5" x14ac:dyDescent="0.25">
      <c r="D554" t="s">
        <v>182</v>
      </c>
    </row>
    <row r="555" spans="2:5" x14ac:dyDescent="0.25">
      <c r="D555" t="s">
        <v>186</v>
      </c>
    </row>
    <row r="556" spans="2:5" x14ac:dyDescent="0.25">
      <c r="D556" t="s">
        <v>293</v>
      </c>
    </row>
    <row r="558" spans="2:5" x14ac:dyDescent="0.25">
      <c r="D558" t="s">
        <v>118</v>
      </c>
    </row>
    <row r="559" spans="2:5" x14ac:dyDescent="0.25">
      <c r="D559" t="s">
        <v>188</v>
      </c>
    </row>
    <row r="560" spans="2:5" x14ac:dyDescent="0.25">
      <c r="D560" t="s">
        <v>120</v>
      </c>
      <c r="E560">
        <v>2</v>
      </c>
    </row>
    <row r="565" spans="2:3" x14ac:dyDescent="0.25">
      <c r="B565" t="s">
        <v>122</v>
      </c>
    </row>
    <row r="566" spans="2:3" x14ac:dyDescent="0.25">
      <c r="B566" t="s">
        <v>294</v>
      </c>
    </row>
    <row r="567" spans="2:3" x14ac:dyDescent="0.25">
      <c r="B567" t="s">
        <v>295</v>
      </c>
    </row>
    <row r="568" spans="2:3" x14ac:dyDescent="0.25">
      <c r="B568" t="s">
        <v>125</v>
      </c>
    </row>
    <row r="570" spans="2:3" x14ac:dyDescent="0.25">
      <c r="C570" t="s">
        <v>126</v>
      </c>
    </row>
    <row r="575" spans="2:3" x14ac:dyDescent="0.25">
      <c r="B575" t="s">
        <v>132</v>
      </c>
    </row>
    <row r="576" spans="2:3" x14ac:dyDescent="0.25">
      <c r="B576" t="s">
        <v>296</v>
      </c>
    </row>
    <row r="577" spans="2:6" x14ac:dyDescent="0.25">
      <c r="B577" t="s">
        <v>272</v>
      </c>
    </row>
    <row r="578" spans="2:6" x14ac:dyDescent="0.25">
      <c r="B578" t="s">
        <v>273</v>
      </c>
    </row>
    <row r="579" spans="2:6" x14ac:dyDescent="0.25">
      <c r="B579" t="s">
        <v>136</v>
      </c>
    </row>
    <row r="580" spans="2:6" x14ac:dyDescent="0.25">
      <c r="B580" t="s">
        <v>274</v>
      </c>
    </row>
    <row r="581" spans="2:6" x14ac:dyDescent="0.25">
      <c r="B581" t="s">
        <v>275</v>
      </c>
    </row>
    <row r="583" spans="2:6" x14ac:dyDescent="0.25">
      <c r="D583" t="s">
        <v>139</v>
      </c>
    </row>
    <row r="584" spans="2:6" x14ac:dyDescent="0.25">
      <c r="D584" t="s">
        <v>140</v>
      </c>
    </row>
    <row r="585" spans="2:6" x14ac:dyDescent="0.25">
      <c r="D585" t="s">
        <v>141</v>
      </c>
      <c r="E585" t="s">
        <v>276</v>
      </c>
    </row>
    <row r="586" spans="2:6" x14ac:dyDescent="0.25">
      <c r="D586" t="s">
        <v>297</v>
      </c>
    </row>
    <row r="587" spans="2:6" x14ac:dyDescent="0.25">
      <c r="C587" t="s">
        <v>126</v>
      </c>
    </row>
    <row r="589" spans="2:6" x14ac:dyDescent="0.25">
      <c r="D589" t="s">
        <v>156</v>
      </c>
    </row>
    <row r="590" spans="2:6" x14ac:dyDescent="0.25">
      <c r="D590" t="s">
        <v>157</v>
      </c>
    </row>
    <row r="591" spans="2:6" x14ac:dyDescent="0.25">
      <c r="D591" t="s">
        <v>158</v>
      </c>
      <c r="E591" t="s">
        <v>108</v>
      </c>
      <c r="F591" t="s">
        <v>108</v>
      </c>
    </row>
    <row r="592" spans="2:6" x14ac:dyDescent="0.25">
      <c r="D592" t="s">
        <v>159</v>
      </c>
      <c r="E592">
        <v>1</v>
      </c>
      <c r="F592">
        <v>2</v>
      </c>
    </row>
    <row r="593" spans="2:6" x14ac:dyDescent="0.25">
      <c r="D593" t="s">
        <v>160</v>
      </c>
      <c r="E593" t="s">
        <v>101</v>
      </c>
      <c r="F593" t="s">
        <v>101</v>
      </c>
    </row>
    <row r="594" spans="2:6" x14ac:dyDescent="0.25">
      <c r="D594" t="s">
        <v>161</v>
      </c>
      <c r="E594">
        <v>1</v>
      </c>
      <c r="F594">
        <v>2</v>
      </c>
    </row>
    <row r="595" spans="2:6" x14ac:dyDescent="0.25">
      <c r="D595" t="s">
        <v>162</v>
      </c>
      <c r="E595">
        <v>120</v>
      </c>
      <c r="F595">
        <v>120</v>
      </c>
    </row>
    <row r="596" spans="2:6" x14ac:dyDescent="0.25">
      <c r="D596" t="s">
        <v>163</v>
      </c>
      <c r="E596">
        <v>0</v>
      </c>
      <c r="F596">
        <v>0</v>
      </c>
    </row>
    <row r="597" spans="2:6" x14ac:dyDescent="0.25">
      <c r="D597" t="s">
        <v>164</v>
      </c>
      <c r="E597">
        <v>0</v>
      </c>
      <c r="F597">
        <v>0</v>
      </c>
    </row>
    <row r="598" spans="2:6" x14ac:dyDescent="0.25">
      <c r="D598" t="s">
        <v>165</v>
      </c>
      <c r="E598" t="s">
        <v>42</v>
      </c>
      <c r="F598" t="s">
        <v>42</v>
      </c>
    </row>
    <row r="599" spans="2:6" x14ac:dyDescent="0.25">
      <c r="D599" t="s">
        <v>298</v>
      </c>
    </row>
    <row r="604" spans="2:6" x14ac:dyDescent="0.25">
      <c r="B604" t="s">
        <v>132</v>
      </c>
    </row>
    <row r="605" spans="2:6" x14ac:dyDescent="0.25">
      <c r="B605" t="s">
        <v>299</v>
      </c>
    </row>
    <row r="606" spans="2:6" x14ac:dyDescent="0.25">
      <c r="B606" t="s">
        <v>334</v>
      </c>
    </row>
    <row r="607" spans="2:6" x14ac:dyDescent="0.25">
      <c r="B607" t="s">
        <v>284</v>
      </c>
    </row>
    <row r="608" spans="2:6" x14ac:dyDescent="0.25">
      <c r="B608" t="s">
        <v>136</v>
      </c>
    </row>
    <row r="609" spans="2:6" x14ac:dyDescent="0.25">
      <c r="B609" t="s">
        <v>285</v>
      </c>
    </row>
    <row r="610" spans="2:6" x14ac:dyDescent="0.25">
      <c r="B610" t="s">
        <v>138</v>
      </c>
    </row>
    <row r="612" spans="2:6" x14ac:dyDescent="0.25">
      <c r="D612" t="s">
        <v>139</v>
      </c>
    </row>
    <row r="613" spans="2:6" x14ac:dyDescent="0.25">
      <c r="D613" t="s">
        <v>140</v>
      </c>
    </row>
    <row r="614" spans="2:6" x14ac:dyDescent="0.25">
      <c r="D614" t="s">
        <v>141</v>
      </c>
      <c r="E614" t="s">
        <v>286</v>
      </c>
    </row>
    <row r="615" spans="2:6" x14ac:dyDescent="0.25">
      <c r="D615" t="s">
        <v>300</v>
      </c>
    </row>
    <row r="616" spans="2:6" x14ac:dyDescent="0.25">
      <c r="C616" t="s">
        <v>126</v>
      </c>
    </row>
    <row r="618" spans="2:6" x14ac:dyDescent="0.25">
      <c r="D618" t="s">
        <v>156</v>
      </c>
    </row>
    <row r="619" spans="2:6" x14ac:dyDescent="0.25">
      <c r="D619" t="s">
        <v>157</v>
      </c>
    </row>
    <row r="620" spans="2:6" x14ac:dyDescent="0.25">
      <c r="D620" t="s">
        <v>158</v>
      </c>
      <c r="E620" t="s">
        <v>108</v>
      </c>
      <c r="F620" t="s">
        <v>108</v>
      </c>
    </row>
    <row r="621" spans="2:6" x14ac:dyDescent="0.25">
      <c r="D621" t="s">
        <v>159</v>
      </c>
      <c r="E621">
        <v>1</v>
      </c>
      <c r="F621">
        <v>2</v>
      </c>
    </row>
    <row r="622" spans="2:6" x14ac:dyDescent="0.25">
      <c r="D622" t="s">
        <v>160</v>
      </c>
      <c r="E622" t="s">
        <v>333</v>
      </c>
      <c r="F622" t="s">
        <v>333</v>
      </c>
    </row>
    <row r="623" spans="2:6" x14ac:dyDescent="0.25">
      <c r="D623" t="s">
        <v>161</v>
      </c>
      <c r="E623">
        <v>1</v>
      </c>
      <c r="F623">
        <v>2</v>
      </c>
    </row>
    <row r="624" spans="2:6" x14ac:dyDescent="0.25">
      <c r="D624" t="s">
        <v>162</v>
      </c>
      <c r="E624">
        <v>2</v>
      </c>
      <c r="F624">
        <v>2</v>
      </c>
    </row>
    <row r="625" spans="2:6" x14ac:dyDescent="0.25">
      <c r="D625" t="s">
        <v>163</v>
      </c>
      <c r="E625">
        <v>0</v>
      </c>
      <c r="F625">
        <v>0</v>
      </c>
    </row>
    <row r="626" spans="2:6" x14ac:dyDescent="0.25">
      <c r="D626" t="s">
        <v>164</v>
      </c>
      <c r="E626">
        <v>120</v>
      </c>
      <c r="F626">
        <v>120</v>
      </c>
    </row>
    <row r="627" spans="2:6" x14ac:dyDescent="0.25">
      <c r="D627" t="s">
        <v>165</v>
      </c>
      <c r="E627" t="s">
        <v>41</v>
      </c>
      <c r="F627" t="s">
        <v>41</v>
      </c>
    </row>
    <row r="628" spans="2:6" x14ac:dyDescent="0.25">
      <c r="D628" t="s">
        <v>301</v>
      </c>
    </row>
    <row r="633" spans="2:6" x14ac:dyDescent="0.25">
      <c r="B633" t="s">
        <v>289</v>
      </c>
    </row>
    <row r="634" spans="2:6" x14ac:dyDescent="0.25">
      <c r="B634" t="s">
        <v>302</v>
      </c>
    </row>
    <row r="636" spans="2:6" x14ac:dyDescent="0.25">
      <c r="C636" t="s">
        <v>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59"/>
  <sheetViews>
    <sheetView workbookViewId="0">
      <selection activeCell="G13" sqref="G13"/>
    </sheetView>
  </sheetViews>
  <sheetFormatPr defaultRowHeight="15" x14ac:dyDescent="0.25"/>
  <cols>
    <col min="2" max="2" width="9.85546875" bestFit="1" customWidth="1"/>
  </cols>
  <sheetData>
    <row r="1" spans="2:13" ht="15.75" thickBot="1" x14ac:dyDescent="0.3"/>
    <row r="2" spans="2:13" ht="27" thickBot="1" x14ac:dyDescent="0.45">
      <c r="B2" s="137" t="s">
        <v>311</v>
      </c>
      <c r="C2" s="138"/>
      <c r="D2" s="138"/>
      <c r="E2" s="138"/>
      <c r="F2" s="138"/>
      <c r="G2" s="138"/>
      <c r="H2" s="138"/>
      <c r="I2" s="138"/>
      <c r="J2" s="138"/>
      <c r="K2" s="138"/>
      <c r="L2" s="138"/>
      <c r="M2" s="139"/>
    </row>
    <row r="3" spans="2:13" x14ac:dyDescent="0.25">
      <c r="B3" s="61" t="s">
        <v>312</v>
      </c>
      <c r="C3" s="62"/>
      <c r="D3" s="62"/>
      <c r="E3" s="62"/>
      <c r="F3" s="62"/>
      <c r="G3" s="62"/>
      <c r="H3" s="62"/>
      <c r="I3" s="62"/>
      <c r="J3" s="62"/>
      <c r="K3" s="62"/>
      <c r="L3" s="62"/>
      <c r="M3" s="63"/>
    </row>
    <row r="4" spans="2:13" x14ac:dyDescent="0.25">
      <c r="B4" s="64" t="s">
        <v>313</v>
      </c>
      <c r="C4" s="65"/>
      <c r="D4" s="65"/>
      <c r="E4" s="65"/>
      <c r="F4" s="65"/>
      <c r="G4" s="65"/>
      <c r="H4" s="65"/>
      <c r="I4" s="65"/>
      <c r="J4" s="65"/>
      <c r="K4" s="65"/>
      <c r="L4" s="65"/>
      <c r="M4" s="66"/>
    </row>
    <row r="5" spans="2:13" x14ac:dyDescent="0.25">
      <c r="B5" s="64" t="s">
        <v>314</v>
      </c>
      <c r="C5" s="65"/>
      <c r="D5" s="65"/>
      <c r="E5" s="65"/>
      <c r="F5" s="65"/>
      <c r="G5" s="65"/>
      <c r="H5" s="65"/>
      <c r="I5" s="65"/>
      <c r="J5" s="65"/>
      <c r="K5" s="65"/>
      <c r="L5" s="65"/>
      <c r="M5" s="66"/>
    </row>
    <row r="6" spans="2:13" x14ac:dyDescent="0.25">
      <c r="B6" s="64" t="s">
        <v>315</v>
      </c>
      <c r="C6" s="65"/>
      <c r="D6" s="65"/>
      <c r="E6" s="65"/>
      <c r="F6" s="65"/>
      <c r="G6" s="65"/>
      <c r="H6" s="65"/>
      <c r="I6" s="65"/>
      <c r="J6" s="65"/>
      <c r="K6" s="65"/>
      <c r="L6" s="65"/>
      <c r="M6" s="66"/>
    </row>
    <row r="7" spans="2:13" x14ac:dyDescent="0.25">
      <c r="B7" s="64"/>
      <c r="C7" s="65"/>
      <c r="D7" s="65"/>
      <c r="E7" s="65"/>
      <c r="F7" s="65"/>
      <c r="G7" s="65"/>
      <c r="H7" s="65"/>
      <c r="I7" s="65"/>
      <c r="J7" s="65"/>
      <c r="K7" s="65"/>
      <c r="L7" s="65"/>
      <c r="M7" s="66"/>
    </row>
    <row r="8" spans="2:13" x14ac:dyDescent="0.25">
      <c r="B8" s="64"/>
      <c r="C8" s="65"/>
      <c r="D8" s="65"/>
      <c r="E8" s="65"/>
      <c r="F8" s="65"/>
      <c r="G8" s="65"/>
      <c r="H8" s="65"/>
      <c r="I8" s="65"/>
      <c r="J8" s="65"/>
      <c r="K8" s="65"/>
      <c r="L8" s="65"/>
      <c r="M8" s="66"/>
    </row>
    <row r="9" spans="2:13" x14ac:dyDescent="0.25">
      <c r="B9" s="64"/>
      <c r="C9" s="65"/>
      <c r="D9" s="65"/>
      <c r="E9" s="65"/>
      <c r="F9" s="65"/>
      <c r="G9" s="65"/>
      <c r="H9" s="65"/>
      <c r="I9" s="65"/>
      <c r="J9" s="65"/>
      <c r="K9" s="65"/>
      <c r="L9" s="65"/>
      <c r="M9" s="66"/>
    </row>
    <row r="10" spans="2:13" ht="15.75" thickBot="1" x14ac:dyDescent="0.3">
      <c r="B10" s="58"/>
      <c r="C10" s="67"/>
      <c r="D10" s="67"/>
      <c r="E10" s="67"/>
      <c r="F10" s="67"/>
      <c r="G10" s="67"/>
      <c r="H10" s="67"/>
      <c r="I10" s="67"/>
      <c r="J10" s="67"/>
      <c r="K10" s="67"/>
      <c r="L10" s="67"/>
      <c r="M10" s="59"/>
    </row>
    <row r="14" spans="2:13" ht="15.75" thickBot="1" x14ac:dyDescent="0.3"/>
    <row r="15" spans="2:13" ht="19.5" thickBot="1" x14ac:dyDescent="0.35">
      <c r="B15" s="140" t="s">
        <v>96</v>
      </c>
      <c r="C15" s="141"/>
      <c r="D15" s="141"/>
      <c r="E15" s="141"/>
      <c r="F15" s="142"/>
      <c r="I15" s="140" t="s">
        <v>105</v>
      </c>
      <c r="J15" s="141"/>
      <c r="K15" s="141"/>
      <c r="L15" s="141"/>
      <c r="M15" s="142"/>
    </row>
    <row r="16" spans="2:13" ht="16.5" thickBot="1" x14ac:dyDescent="0.3">
      <c r="B16" s="143" t="s">
        <v>316</v>
      </c>
      <c r="C16" s="144"/>
      <c r="D16" s="144"/>
      <c r="E16" s="144"/>
      <c r="F16" s="145"/>
      <c r="I16" s="143" t="s">
        <v>316</v>
      </c>
      <c r="J16" s="144"/>
      <c r="K16" s="144"/>
      <c r="L16" s="144"/>
      <c r="M16" s="145"/>
    </row>
    <row r="17" spans="2:13" ht="16.5" thickBot="1" x14ac:dyDescent="0.3">
      <c r="B17" s="143" t="s">
        <v>317</v>
      </c>
      <c r="C17" s="144"/>
      <c r="D17" s="144"/>
      <c r="E17" s="144"/>
      <c r="F17" s="145"/>
      <c r="I17" s="143" t="s">
        <v>323</v>
      </c>
      <c r="J17" s="144"/>
      <c r="K17" s="144"/>
      <c r="L17" s="144"/>
      <c r="M17" s="145"/>
    </row>
    <row r="18" spans="2:13" x14ac:dyDescent="0.25">
      <c r="B18" s="146" t="s">
        <v>318</v>
      </c>
      <c r="C18" s="147"/>
      <c r="D18" s="147"/>
      <c r="E18" s="147"/>
      <c r="F18" s="152"/>
      <c r="I18" s="146" t="s">
        <v>318</v>
      </c>
      <c r="J18" s="147"/>
      <c r="K18" s="147"/>
      <c r="L18" s="147"/>
      <c r="M18" s="152"/>
    </row>
    <row r="19" spans="2:13" x14ac:dyDescent="0.25">
      <c r="B19" s="148" t="s">
        <v>319</v>
      </c>
      <c r="C19" s="149"/>
      <c r="D19" s="149"/>
      <c r="E19" s="149"/>
      <c r="F19" s="153"/>
      <c r="I19" s="148" t="s">
        <v>319</v>
      </c>
      <c r="J19" s="149"/>
      <c r="K19" s="149"/>
      <c r="L19" s="149"/>
      <c r="M19" s="153"/>
    </row>
    <row r="20" spans="2:13" x14ac:dyDescent="0.25">
      <c r="B20" s="148" t="s">
        <v>320</v>
      </c>
      <c r="C20" s="149"/>
      <c r="D20" s="149"/>
      <c r="E20" s="149"/>
      <c r="F20" s="153"/>
      <c r="I20" s="148" t="s">
        <v>320</v>
      </c>
      <c r="J20" s="149"/>
      <c r="K20" s="149"/>
      <c r="L20" s="149"/>
      <c r="M20" s="153"/>
    </row>
    <row r="21" spans="2:13" x14ac:dyDescent="0.25">
      <c r="B21" s="148" t="s">
        <v>3</v>
      </c>
      <c r="C21" s="149"/>
      <c r="D21" s="149"/>
      <c r="E21" s="149"/>
      <c r="F21" s="153"/>
      <c r="I21" s="148" t="s">
        <v>3</v>
      </c>
      <c r="J21" s="149"/>
      <c r="K21" s="149"/>
      <c r="L21" s="149"/>
      <c r="M21" s="153"/>
    </row>
    <row r="22" spans="2:13" x14ac:dyDescent="0.25">
      <c r="B22" s="148" t="s">
        <v>321</v>
      </c>
      <c r="C22" s="149"/>
      <c r="D22" s="149"/>
      <c r="E22" s="149"/>
      <c r="F22" s="153"/>
      <c r="I22" s="148" t="s">
        <v>321</v>
      </c>
      <c r="J22" s="149"/>
      <c r="K22" s="149"/>
      <c r="L22" s="149"/>
      <c r="M22" s="153"/>
    </row>
    <row r="23" spans="2:13" ht="15.75" thickBot="1" x14ac:dyDescent="0.3">
      <c r="B23" s="150" t="s">
        <v>322</v>
      </c>
      <c r="C23" s="151"/>
      <c r="D23" s="151"/>
      <c r="E23" s="151"/>
      <c r="F23" s="154"/>
      <c r="I23" s="150" t="s">
        <v>322</v>
      </c>
      <c r="J23" s="151"/>
      <c r="K23" s="151"/>
      <c r="L23" s="151"/>
      <c r="M23" s="154"/>
    </row>
    <row r="26" spans="2:13" ht="15.75" thickBot="1" x14ac:dyDescent="0.3"/>
    <row r="27" spans="2:13" ht="19.5" thickBot="1" x14ac:dyDescent="0.35">
      <c r="B27" s="140" t="s">
        <v>102</v>
      </c>
      <c r="C27" s="141"/>
      <c r="D27" s="141"/>
      <c r="E27" s="141"/>
      <c r="F27" s="142"/>
      <c r="I27" s="140" t="s">
        <v>107</v>
      </c>
      <c r="J27" s="141"/>
      <c r="K27" s="141"/>
      <c r="L27" s="141"/>
      <c r="M27" s="142"/>
    </row>
    <row r="28" spans="2:13" ht="16.5" thickBot="1" x14ac:dyDescent="0.3">
      <c r="B28" s="143" t="s">
        <v>324</v>
      </c>
      <c r="C28" s="144"/>
      <c r="D28" s="144"/>
      <c r="E28" s="144"/>
      <c r="F28" s="145"/>
      <c r="I28" s="143" t="s">
        <v>326</v>
      </c>
      <c r="J28" s="144"/>
      <c r="K28" s="144"/>
      <c r="L28" s="144"/>
      <c r="M28" s="145"/>
    </row>
    <row r="29" spans="2:13" ht="16.5" thickBot="1" x14ac:dyDescent="0.3">
      <c r="B29" s="143" t="s">
        <v>325</v>
      </c>
      <c r="C29" s="144"/>
      <c r="D29" s="144"/>
      <c r="E29" s="144"/>
      <c r="F29" s="145"/>
      <c r="I29" s="143" t="s">
        <v>327</v>
      </c>
      <c r="J29" s="144"/>
      <c r="K29" s="144"/>
      <c r="L29" s="144"/>
      <c r="M29" s="145"/>
    </row>
    <row r="30" spans="2:13" x14ac:dyDescent="0.25">
      <c r="B30" s="146" t="s">
        <v>318</v>
      </c>
      <c r="C30" s="147"/>
      <c r="D30" s="147"/>
      <c r="E30" s="147"/>
      <c r="F30" s="152"/>
      <c r="I30" s="146" t="s">
        <v>318</v>
      </c>
      <c r="J30" s="147"/>
      <c r="K30" s="147"/>
      <c r="L30" s="147"/>
      <c r="M30" s="152"/>
    </row>
    <row r="31" spans="2:13" x14ac:dyDescent="0.25">
      <c r="B31" s="148" t="s">
        <v>319</v>
      </c>
      <c r="C31" s="149"/>
      <c r="D31" s="149"/>
      <c r="E31" s="149"/>
      <c r="F31" s="153"/>
      <c r="I31" s="148" t="s">
        <v>319</v>
      </c>
      <c r="J31" s="149"/>
      <c r="K31" s="149"/>
      <c r="L31" s="149"/>
      <c r="M31" s="153"/>
    </row>
    <row r="32" spans="2:13" x14ac:dyDescent="0.25">
      <c r="B32" s="148" t="s">
        <v>320</v>
      </c>
      <c r="C32" s="149"/>
      <c r="D32" s="149"/>
      <c r="E32" s="149"/>
      <c r="F32" s="153"/>
      <c r="I32" s="148" t="s">
        <v>320</v>
      </c>
      <c r="J32" s="149"/>
      <c r="K32" s="149"/>
      <c r="L32" s="149"/>
      <c r="M32" s="153"/>
    </row>
    <row r="33" spans="2:13" x14ac:dyDescent="0.25">
      <c r="B33" s="148" t="s">
        <v>3</v>
      </c>
      <c r="C33" s="149"/>
      <c r="D33" s="149"/>
      <c r="E33" s="149"/>
      <c r="F33" s="153"/>
      <c r="I33" s="148" t="s">
        <v>3</v>
      </c>
      <c r="J33" s="149"/>
      <c r="K33" s="149"/>
      <c r="L33" s="149"/>
      <c r="M33" s="153"/>
    </row>
    <row r="34" spans="2:13" x14ac:dyDescent="0.25">
      <c r="B34" s="148" t="s">
        <v>321</v>
      </c>
      <c r="C34" s="149"/>
      <c r="D34" s="149"/>
      <c r="E34" s="149"/>
      <c r="F34" s="153"/>
      <c r="I34" s="148" t="s">
        <v>321</v>
      </c>
      <c r="J34" s="149"/>
      <c r="K34" s="149"/>
      <c r="L34" s="149"/>
      <c r="M34" s="153"/>
    </row>
    <row r="35" spans="2:13" ht="15.75" thickBot="1" x14ac:dyDescent="0.3">
      <c r="B35" s="150" t="s">
        <v>322</v>
      </c>
      <c r="C35" s="151"/>
      <c r="D35" s="151"/>
      <c r="E35" s="151"/>
      <c r="F35" s="154"/>
      <c r="I35" s="150" t="s">
        <v>322</v>
      </c>
      <c r="J35" s="151"/>
      <c r="K35" s="151"/>
      <c r="L35" s="151"/>
      <c r="M35" s="154"/>
    </row>
    <row r="38" spans="2:13" ht="15.75" thickBot="1" x14ac:dyDescent="0.3"/>
    <row r="39" spans="2:13" ht="19.5" thickBot="1" x14ac:dyDescent="0.35">
      <c r="B39" s="140" t="s">
        <v>333</v>
      </c>
      <c r="C39" s="141"/>
      <c r="D39" s="141"/>
      <c r="E39" s="141"/>
      <c r="F39" s="142"/>
      <c r="I39" s="140" t="s">
        <v>99</v>
      </c>
      <c r="J39" s="141"/>
      <c r="K39" s="141"/>
      <c r="L39" s="141"/>
      <c r="M39" s="142"/>
    </row>
    <row r="40" spans="2:13" ht="16.5" thickBot="1" x14ac:dyDescent="0.3">
      <c r="B40" s="143" t="s">
        <v>326</v>
      </c>
      <c r="C40" s="144"/>
      <c r="D40" s="144"/>
      <c r="E40" s="144"/>
      <c r="F40" s="145"/>
      <c r="I40" s="143" t="s">
        <v>326</v>
      </c>
      <c r="J40" s="144"/>
      <c r="K40" s="144"/>
      <c r="L40" s="144"/>
      <c r="M40" s="145"/>
    </row>
    <row r="41" spans="2:13" ht="16.5" thickBot="1" x14ac:dyDescent="0.3">
      <c r="B41" s="143" t="s">
        <v>328</v>
      </c>
      <c r="C41" s="144"/>
      <c r="D41" s="144"/>
      <c r="E41" s="144"/>
      <c r="F41" s="145"/>
      <c r="I41" s="143" t="s">
        <v>329</v>
      </c>
      <c r="J41" s="144"/>
      <c r="K41" s="144"/>
      <c r="L41" s="144"/>
      <c r="M41" s="145"/>
    </row>
    <row r="42" spans="2:13" x14ac:dyDescent="0.25">
      <c r="B42" s="146" t="s">
        <v>318</v>
      </c>
      <c r="C42" s="147"/>
      <c r="D42" s="147"/>
      <c r="E42" s="147"/>
      <c r="F42" s="152"/>
      <c r="I42" s="146" t="s">
        <v>318</v>
      </c>
      <c r="J42" s="147"/>
      <c r="K42" s="147"/>
      <c r="L42" s="147"/>
      <c r="M42" s="152"/>
    </row>
    <row r="43" spans="2:13" x14ac:dyDescent="0.25">
      <c r="B43" s="148" t="s">
        <v>319</v>
      </c>
      <c r="C43" s="149"/>
      <c r="D43" s="149"/>
      <c r="E43" s="149"/>
      <c r="F43" s="153"/>
      <c r="I43" s="148" t="s">
        <v>319</v>
      </c>
      <c r="J43" s="149"/>
      <c r="K43" s="149"/>
      <c r="L43" s="149"/>
      <c r="M43" s="153"/>
    </row>
    <row r="44" spans="2:13" x14ac:dyDescent="0.25">
      <c r="B44" s="148" t="s">
        <v>320</v>
      </c>
      <c r="C44" s="149"/>
      <c r="D44" s="149"/>
      <c r="E44" s="149"/>
      <c r="F44" s="153"/>
      <c r="I44" s="148" t="s">
        <v>320</v>
      </c>
      <c r="J44" s="149"/>
      <c r="K44" s="149"/>
      <c r="L44" s="149"/>
      <c r="M44" s="153"/>
    </row>
    <row r="45" spans="2:13" x14ac:dyDescent="0.25">
      <c r="B45" s="148" t="s">
        <v>3</v>
      </c>
      <c r="C45" s="149"/>
      <c r="D45" s="149"/>
      <c r="E45" s="149"/>
      <c r="F45" s="153"/>
      <c r="I45" s="148" t="s">
        <v>3</v>
      </c>
      <c r="J45" s="149"/>
      <c r="K45" s="149"/>
      <c r="L45" s="149"/>
      <c r="M45" s="153"/>
    </row>
    <row r="46" spans="2:13" x14ac:dyDescent="0.25">
      <c r="B46" s="148" t="s">
        <v>321</v>
      </c>
      <c r="C46" s="149"/>
      <c r="D46" s="149"/>
      <c r="E46" s="149"/>
      <c r="F46" s="153"/>
      <c r="I46" s="148" t="s">
        <v>321</v>
      </c>
      <c r="J46" s="149"/>
      <c r="K46" s="149"/>
      <c r="L46" s="149"/>
      <c r="M46" s="153"/>
    </row>
    <row r="47" spans="2:13" ht="15.75" thickBot="1" x14ac:dyDescent="0.3">
      <c r="B47" s="150" t="s">
        <v>322</v>
      </c>
      <c r="C47" s="151"/>
      <c r="D47" s="151"/>
      <c r="E47" s="151"/>
      <c r="F47" s="154"/>
      <c r="I47" s="150" t="s">
        <v>322</v>
      </c>
      <c r="J47" s="151"/>
      <c r="K47" s="151"/>
      <c r="L47" s="151"/>
      <c r="M47" s="154"/>
    </row>
    <row r="50" spans="2:13" ht="15.75" thickBot="1" x14ac:dyDescent="0.3"/>
    <row r="51" spans="2:13" ht="19.5" thickBot="1" x14ac:dyDescent="0.35">
      <c r="B51" s="140" t="s">
        <v>98</v>
      </c>
      <c r="C51" s="141"/>
      <c r="D51" s="141"/>
      <c r="E51" s="141"/>
      <c r="F51" s="142"/>
      <c r="I51" s="140" t="s">
        <v>114</v>
      </c>
      <c r="J51" s="141"/>
      <c r="K51" s="141"/>
      <c r="L51" s="141"/>
      <c r="M51" s="142"/>
    </row>
    <row r="52" spans="2:13" ht="16.5" thickBot="1" x14ac:dyDescent="0.3">
      <c r="B52" s="143" t="s">
        <v>326</v>
      </c>
      <c r="C52" s="144"/>
      <c r="D52" s="144"/>
      <c r="E52" s="144"/>
      <c r="F52" s="145"/>
      <c r="I52" s="143" t="s">
        <v>331</v>
      </c>
      <c r="J52" s="144"/>
      <c r="K52" s="144"/>
      <c r="L52" s="144"/>
      <c r="M52" s="145"/>
    </row>
    <row r="53" spans="2:13" ht="16.5" thickBot="1" x14ac:dyDescent="0.3">
      <c r="B53" s="143" t="s">
        <v>330</v>
      </c>
      <c r="C53" s="144"/>
      <c r="D53" s="144"/>
      <c r="E53" s="144"/>
      <c r="F53" s="145"/>
      <c r="I53" s="143" t="s">
        <v>332</v>
      </c>
      <c r="J53" s="144"/>
      <c r="K53" s="144"/>
      <c r="L53" s="144"/>
      <c r="M53" s="145"/>
    </row>
    <row r="54" spans="2:13" x14ac:dyDescent="0.25">
      <c r="B54" s="146" t="s">
        <v>318</v>
      </c>
      <c r="C54" s="147"/>
      <c r="D54" s="147"/>
      <c r="E54" s="147"/>
      <c r="F54" s="152"/>
      <c r="I54" s="146" t="s">
        <v>318</v>
      </c>
      <c r="J54" s="147"/>
      <c r="K54" s="147"/>
      <c r="L54" s="147"/>
      <c r="M54" s="152"/>
    </row>
    <row r="55" spans="2:13" x14ac:dyDescent="0.25">
      <c r="B55" s="148" t="s">
        <v>319</v>
      </c>
      <c r="C55" s="149"/>
      <c r="D55" s="149"/>
      <c r="E55" s="149"/>
      <c r="F55" s="153"/>
      <c r="I55" s="148" t="s">
        <v>319</v>
      </c>
      <c r="J55" s="149"/>
      <c r="K55" s="149"/>
      <c r="L55" s="149"/>
      <c r="M55" s="153"/>
    </row>
    <row r="56" spans="2:13" x14ac:dyDescent="0.25">
      <c r="B56" s="148" t="s">
        <v>320</v>
      </c>
      <c r="C56" s="149"/>
      <c r="D56" s="149"/>
      <c r="E56" s="149"/>
      <c r="F56" s="153"/>
      <c r="I56" s="148" t="s">
        <v>320</v>
      </c>
      <c r="J56" s="149"/>
      <c r="K56" s="149"/>
      <c r="L56" s="149"/>
      <c r="M56" s="153"/>
    </row>
    <row r="57" spans="2:13" x14ac:dyDescent="0.25">
      <c r="B57" s="148" t="s">
        <v>3</v>
      </c>
      <c r="C57" s="149"/>
      <c r="D57" s="149"/>
      <c r="E57" s="149"/>
      <c r="F57" s="153"/>
      <c r="I57" s="148" t="s">
        <v>3</v>
      </c>
      <c r="J57" s="149"/>
      <c r="K57" s="149"/>
      <c r="L57" s="149"/>
      <c r="M57" s="153"/>
    </row>
    <row r="58" spans="2:13" x14ac:dyDescent="0.25">
      <c r="B58" s="148" t="s">
        <v>321</v>
      </c>
      <c r="C58" s="149"/>
      <c r="D58" s="149"/>
      <c r="E58" s="149"/>
      <c r="F58" s="153"/>
      <c r="I58" s="148" t="s">
        <v>321</v>
      </c>
      <c r="J58" s="149"/>
      <c r="K58" s="149"/>
      <c r="L58" s="149"/>
      <c r="M58" s="153"/>
    </row>
    <row r="59" spans="2:13" ht="15.75" thickBot="1" x14ac:dyDescent="0.3">
      <c r="B59" s="150" t="s">
        <v>322</v>
      </c>
      <c r="C59" s="151"/>
      <c r="D59" s="151"/>
      <c r="E59" s="151"/>
      <c r="F59" s="154"/>
      <c r="I59" s="150" t="s">
        <v>322</v>
      </c>
      <c r="J59" s="151"/>
      <c r="K59" s="151"/>
      <c r="L59" s="151"/>
      <c r="M59" s="154"/>
    </row>
  </sheetData>
  <mergeCells count="121">
    <mergeCell ref="K59:M59"/>
    <mergeCell ref="I55:J55"/>
    <mergeCell ref="I56:J56"/>
    <mergeCell ref="I57:J57"/>
    <mergeCell ref="I58:J58"/>
    <mergeCell ref="I59:J59"/>
    <mergeCell ref="K54:M54"/>
    <mergeCell ref="K55:M55"/>
    <mergeCell ref="K56:M56"/>
    <mergeCell ref="K57:M57"/>
    <mergeCell ref="K58:M58"/>
    <mergeCell ref="B56:C56"/>
    <mergeCell ref="B57:C57"/>
    <mergeCell ref="B58:C58"/>
    <mergeCell ref="B59:C59"/>
    <mergeCell ref="D54:F54"/>
    <mergeCell ref="D55:F55"/>
    <mergeCell ref="D56:F56"/>
    <mergeCell ref="D57:F57"/>
    <mergeCell ref="D58:F58"/>
    <mergeCell ref="D59:F59"/>
    <mergeCell ref="B51:F51"/>
    <mergeCell ref="B52:F52"/>
    <mergeCell ref="B53:F53"/>
    <mergeCell ref="B54:C54"/>
    <mergeCell ref="B55:C55"/>
    <mergeCell ref="I51:M51"/>
    <mergeCell ref="I52:M52"/>
    <mergeCell ref="I53:M53"/>
    <mergeCell ref="I54:J54"/>
    <mergeCell ref="I44:J44"/>
    <mergeCell ref="I45:J45"/>
    <mergeCell ref="I46:J46"/>
    <mergeCell ref="I47:J47"/>
    <mergeCell ref="K42:M42"/>
    <mergeCell ref="K43:M43"/>
    <mergeCell ref="K44:M44"/>
    <mergeCell ref="K45:M45"/>
    <mergeCell ref="K46:M46"/>
    <mergeCell ref="K47:M47"/>
    <mergeCell ref="B44:C44"/>
    <mergeCell ref="B45:C45"/>
    <mergeCell ref="B46:C46"/>
    <mergeCell ref="B47:C47"/>
    <mergeCell ref="D42:F42"/>
    <mergeCell ref="D43:F43"/>
    <mergeCell ref="D44:F44"/>
    <mergeCell ref="D45:F45"/>
    <mergeCell ref="D46:F46"/>
    <mergeCell ref="D47:F47"/>
    <mergeCell ref="B39:F39"/>
    <mergeCell ref="B40:F40"/>
    <mergeCell ref="B41:F41"/>
    <mergeCell ref="B42:C42"/>
    <mergeCell ref="B43:C43"/>
    <mergeCell ref="I39:M39"/>
    <mergeCell ref="I40:M40"/>
    <mergeCell ref="I41:M41"/>
    <mergeCell ref="I42:J42"/>
    <mergeCell ref="I43:J43"/>
    <mergeCell ref="I32:J32"/>
    <mergeCell ref="I33:J33"/>
    <mergeCell ref="I34:J34"/>
    <mergeCell ref="I35:J35"/>
    <mergeCell ref="K30:M30"/>
    <mergeCell ref="K31:M31"/>
    <mergeCell ref="K32:M32"/>
    <mergeCell ref="K33:M33"/>
    <mergeCell ref="K34:M34"/>
    <mergeCell ref="K35:M35"/>
    <mergeCell ref="B32:C32"/>
    <mergeCell ref="B33:C33"/>
    <mergeCell ref="B34:C34"/>
    <mergeCell ref="B35:C35"/>
    <mergeCell ref="D30:F30"/>
    <mergeCell ref="D31:F31"/>
    <mergeCell ref="D32:F32"/>
    <mergeCell ref="D33:F33"/>
    <mergeCell ref="D34:F34"/>
    <mergeCell ref="D35:F35"/>
    <mergeCell ref="B27:F27"/>
    <mergeCell ref="B28:F28"/>
    <mergeCell ref="B29:F29"/>
    <mergeCell ref="B30:C30"/>
    <mergeCell ref="B31:C31"/>
    <mergeCell ref="I27:M27"/>
    <mergeCell ref="I28:M28"/>
    <mergeCell ref="I29:M29"/>
    <mergeCell ref="I30:J30"/>
    <mergeCell ref="I31:J31"/>
    <mergeCell ref="I20:J20"/>
    <mergeCell ref="I21:J21"/>
    <mergeCell ref="I22:J22"/>
    <mergeCell ref="I23:J23"/>
    <mergeCell ref="K18:M18"/>
    <mergeCell ref="K19:M19"/>
    <mergeCell ref="K20:M20"/>
    <mergeCell ref="K21:M21"/>
    <mergeCell ref="K22:M22"/>
    <mergeCell ref="K23:M23"/>
    <mergeCell ref="B20:C20"/>
    <mergeCell ref="B21:C21"/>
    <mergeCell ref="B22:C22"/>
    <mergeCell ref="B23:C23"/>
    <mergeCell ref="D18:F18"/>
    <mergeCell ref="D19:F19"/>
    <mergeCell ref="D20:F20"/>
    <mergeCell ref="D21:F21"/>
    <mergeCell ref="D22:F22"/>
    <mergeCell ref="D23:F23"/>
    <mergeCell ref="B2:M2"/>
    <mergeCell ref="B15:F15"/>
    <mergeCell ref="B16:F16"/>
    <mergeCell ref="B17:F17"/>
    <mergeCell ref="B18:C18"/>
    <mergeCell ref="B19:C19"/>
    <mergeCell ref="I15:M15"/>
    <mergeCell ref="I16:M16"/>
    <mergeCell ref="I17:M17"/>
    <mergeCell ref="I18:J18"/>
    <mergeCell ref="I19:J19"/>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792D2-13D9-445F-AE7B-CF179A33399C}">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cc16eacc-26c8-4df3-9d75-d6f43556ca3d"/>
    <ds:schemaRef ds:uri="4c8e7f9b-eac5-4ae2-b2ae-e40caed85104"/>
    <ds:schemaRef ds:uri="http://www.w3.org/XML/1998/namespace"/>
  </ds:schemaRefs>
</ds:datastoreItem>
</file>

<file path=customXml/itemProps2.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___Dropdown values</vt:lpstr>
      <vt:lpstr>Building Blocks</vt:lpstr>
      <vt:lpstr>Method</vt:lpstr>
      <vt:lpstr>Worklist</vt:lpstr>
      <vt:lpstr>RunLog</vt:lpstr>
      <vt:lpstr>TestLog</vt:lpstr>
      <vt:lpstr>PrepList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PDAMI</cp:lastModifiedBy>
  <cp:lastPrinted>2021-08-04T13:49:13Z</cp:lastPrinted>
  <dcterms:created xsi:type="dcterms:W3CDTF">2021-02-05T21:39:59Z</dcterms:created>
  <dcterms:modified xsi:type="dcterms:W3CDTF">2021-11-11T15:07:32Z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