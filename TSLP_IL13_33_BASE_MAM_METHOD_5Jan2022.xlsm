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AF3FE97C-8D6F-4E7F-B578-8F97283F48A8}" xr6:coauthVersionLast="46" xr6:coauthVersionMax="46" xr10:uidLastSave="{00000000-0000-0000-0000-000000000000}"/>
  <bookViews>
    <workbookView xWindow="0" yWindow="0" windowWidth="29040" windowHeight="15600" firstSheet="1" activeTab="4" xr2:uid="{00000000-000D-0000-FFFF-FFFF00000000}"/>
  </bookViews>
  <sheets>
    <sheet name="___Dropdown values" sheetId="4" state="hidden" r:id="rId1"/>
    <sheet name="Building Blocks" sheetId="1" r:id="rId2"/>
    <sheet name="Method" sheetId="2" r:id="rId3"/>
    <sheet name="Worklist" sheetId="3" r:id="rId4"/>
    <sheet name="TestLog" sheetId="2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 i="3" l="1"/>
  <c r="B6" i="3" s="1"/>
  <c r="A5" i="3"/>
  <c r="D5" i="3" s="1"/>
  <c r="A4" i="3"/>
  <c r="D4" i="3" s="1"/>
  <c r="A3" i="3"/>
  <c r="D3" i="3" s="1"/>
  <c r="B3" i="3" l="1"/>
  <c r="D6" i="3"/>
  <c r="B5" i="3"/>
  <c r="B4" i="3"/>
  <c r="E18" i="2"/>
  <c r="E77" i="2" l="1"/>
  <c r="E76" i="2"/>
  <c r="E75" i="2"/>
  <c r="E27" i="2"/>
  <c r="E25" i="2"/>
  <c r="E14" i="2" l="1"/>
  <c r="E13" i="2"/>
  <c r="E61" i="2" l="1"/>
  <c r="A2" i="3" l="1"/>
  <c r="D2" i="3" l="1"/>
  <c r="B2" i="3"/>
</calcChain>
</file>

<file path=xl/sharedStrings.xml><?xml version="1.0" encoding="utf-8"?>
<sst xmlns="http://schemas.openxmlformats.org/spreadsheetml/2006/main" count="823" uniqueCount="265">
  <si>
    <t>Liquid Transfer</t>
  </si>
  <si>
    <t>Name</t>
  </si>
  <si>
    <t>Plate</t>
  </si>
  <si>
    <t>Diluent</t>
  </si>
  <si>
    <t>Split Plate</t>
  </si>
  <si>
    <t>Desalt</t>
  </si>
  <si>
    <t>Starting Concentration (mg/mL)</t>
  </si>
  <si>
    <t>Target Concentration (mg/mL)</t>
  </si>
  <si>
    <t>Start Method Below</t>
  </si>
  <si>
    <t>Time (min)</t>
  </si>
  <si>
    <t>Target Volume (uL)</t>
  </si>
  <si>
    <t>Volume (uL)</t>
  </si>
  <si>
    <t>Temp (C)</t>
  </si>
  <si>
    <t>Sample</t>
  </si>
  <si>
    <t>Enzyme</t>
  </si>
  <si>
    <t>Comments</t>
  </si>
  <si>
    <t>Dilute</t>
  </si>
  <si>
    <t>Description</t>
  </si>
  <si>
    <t>Concentration</t>
  </si>
  <si>
    <t>Shake (rpm)</t>
  </si>
  <si>
    <t>Notify</t>
  </si>
  <si>
    <t>Subject</t>
  </si>
  <si>
    <t>Message</t>
  </si>
  <si>
    <t>Plate Choice</t>
  </si>
  <si>
    <t>Type</t>
  </si>
  <si>
    <t>Building Block Enable Disable Options</t>
  </si>
  <si>
    <t>DISABLED: Liquid Transfer</t>
  </si>
  <si>
    <t>DISABLED: Dilute</t>
  </si>
  <si>
    <t>DISABLED: Desalt</t>
  </si>
  <si>
    <t>DISABLED: Notify</t>
  </si>
  <si>
    <t>Plate Types</t>
  </si>
  <si>
    <t>Waters TRV 48 Well Rack</t>
  </si>
  <si>
    <t>Sample #</t>
  </si>
  <si>
    <t>96 Well PCR Plate</t>
  </si>
  <si>
    <t>Plate Name 1</t>
  </si>
  <si>
    <t>Plate Name 2</t>
  </si>
  <si>
    <t>Equilibration Buffer</t>
  </si>
  <si>
    <t>Source</t>
  </si>
  <si>
    <t>Incubate</t>
  </si>
  <si>
    <t>DISABLED: Incubate</t>
  </si>
  <si>
    <t>Mix?</t>
  </si>
  <si>
    <t>Yes</t>
  </si>
  <si>
    <t>No</t>
  </si>
  <si>
    <t>Vacuum</t>
  </si>
  <si>
    <t>Denaturation</t>
  </si>
  <si>
    <t>This plate is always included. Method workflow requires the samples start in a 96well plate (For Now)</t>
  </si>
  <si>
    <t>Cooler Store</t>
  </si>
  <si>
    <t>DISABLED: Cooler Store</t>
  </si>
  <si>
    <t>_SampleSequence</t>
  </si>
  <si>
    <t>Wait On User</t>
  </si>
  <si>
    <t>Yes / No</t>
  </si>
  <si>
    <t>Finish</t>
  </si>
  <si>
    <t>Storage Condition</t>
  </si>
  <si>
    <t>Desalting Volume</t>
  </si>
  <si>
    <t>Liquid Type</t>
  </si>
  <si>
    <t>Wait</t>
  </si>
  <si>
    <t>Starstedt 56 Well Rack 2mL</t>
  </si>
  <si>
    <t>DISABLED: Wait</t>
  </si>
  <si>
    <t>Starstedt 56 Well Rack 500uL</t>
  </si>
  <si>
    <t>Ambient</t>
  </si>
  <si>
    <t>Cold</t>
  </si>
  <si>
    <t>General Reagent</t>
  </si>
  <si>
    <t>Reductant</t>
  </si>
  <si>
    <t>Alkylant</t>
  </si>
  <si>
    <t>Quench</t>
  </si>
  <si>
    <t>Buffer/Diluent</t>
  </si>
  <si>
    <t>Denaturant</t>
  </si>
  <si>
    <t>Desalting</t>
  </si>
  <si>
    <t>SizeX:100</t>
  </si>
  <si>
    <t>SizeX:100,SizeX:100</t>
  </si>
  <si>
    <t>Pressure Difference (mTorr)</t>
  </si>
  <si>
    <t>Time (sec)</t>
  </si>
  <si>
    <t>Source Plate</t>
  </si>
  <si>
    <t>10% TFA</t>
  </si>
  <si>
    <t>Digestion</t>
  </si>
  <si>
    <t>7M GnHCl, 100mM Tris pH 8.3, 5mM L-Met</t>
  </si>
  <si>
    <t>500mM DTT in 7M GnHCl, 100mM Tris pH 8.3, 5mM L-Met</t>
  </si>
  <si>
    <t>500mM IAA in 7M GnHCl, 100mM Tris pH 8.3, 5mM L-Met</t>
  </si>
  <si>
    <t>50mM Tris pH 7.9, 5mM L-Met</t>
  </si>
  <si>
    <t>Desalting Concentration</t>
  </si>
  <si>
    <t>1mg/mL Trypsin in 50mM Acetic Acid</t>
  </si>
  <si>
    <t>``</t>
  </si>
  <si>
    <t>This is used to force the Denaturant into the Denaturant loading position. The actual step will be skipped because the pipetting volume is 0uL</t>
  </si>
  <si>
    <t>Aliquot</t>
  </si>
  <si>
    <t>Start Position</t>
  </si>
  <si>
    <t>Starting Position</t>
  </si>
  <si>
    <t>Sample Start Position</t>
  </si>
  <si>
    <t>Plate Start Position (A1)</t>
  </si>
  <si>
    <t>Pool</t>
  </si>
  <si>
    <t>Pathways</t>
  </si>
  <si>
    <t>Actions</t>
  </si>
  <si>
    <t>Modifiers</t>
  </si>
  <si>
    <t>Aspirate Location</t>
  </si>
  <si>
    <t>Dispense Location</t>
  </si>
  <si>
    <t>Sample Location</t>
  </si>
  <si>
    <t>Hamilton Desalting Finished</t>
  </si>
  <si>
    <t>Desalting Complete. Please measure concentrations in the Desalting plate then enter the concentrations in the Desalting Concentration column in the worklist. Finally, hit OK after placing the Desalting plate back on deck.</t>
  </si>
  <si>
    <t>Hamilton Run Finished</t>
  </si>
  <si>
    <t>Hamilton Run is Finished. Please remove your samples from the Digestion plate.</t>
  </si>
  <si>
    <t>Max Source Volume (uL)</t>
  </si>
  <si>
    <t>Boco RM</t>
  </si>
  <si>
    <t>TSLP RM</t>
  </si>
  <si>
    <t>TSLP Month_09</t>
  </si>
  <si>
    <t>IL13/IL33 Trispecific RM</t>
  </si>
  <si>
    <t>IL13/IL33 Trispecific Month_09</t>
  </si>
  <si>
    <t>[Module]</t>
  </si>
  <si>
    <t>Heater</t>
  </si>
  <si>
    <t>[Command]</t>
  </si>
  <si>
    <t>Start Heat</t>
  </si>
  <si>
    <t>[ID]</t>
  </si>
  <si>
    <t>[Temp]</t>
  </si>
  <si>
    <t>Step Title: Plate</t>
  </si>
  <si>
    <t>Excel Location (Row,Col): (7,3)</t>
  </si>
  <si>
    <t>Name: Denaturation</t>
  </si>
  <si>
    <t>Type: 96 Well PCR Plate</t>
  </si>
  <si>
    <t>Test</t>
  </si>
  <si>
    <t>Step Title: Aliquot</t>
  </si>
  <si>
    <t>Excel Location (Row,Col): (11,3)</t>
  </si>
  <si>
    <t>Source: Sample</t>
  </si>
  <si>
    <t xml:space="preserve">Aspirate Location: Sample Location (Worklist Column) </t>
  </si>
  <si>
    <t>Start Position: Sample Start Position</t>
  </si>
  <si>
    <t>Step Title: Liquid Transfer</t>
  </si>
  <si>
    <t>Excel Location (Row,Col): (16,3)</t>
  </si>
  <si>
    <t>Source: 7M GnHCl, 100mM Tris pH 8.3, 5mM L-Met</t>
  </si>
  <si>
    <t>Liquid Type: Denaturant</t>
  </si>
  <si>
    <t>Storage Condition: Ambient</t>
  </si>
  <si>
    <t>Volume (uL): 0.0</t>
  </si>
  <si>
    <t>Mix?: Yes</t>
  </si>
  <si>
    <t>StatusUpdate</t>
  </si>
  <si>
    <t>AppendText</t>
  </si>
  <si>
    <t>[Message]</t>
  </si>
  <si>
    <t xml:space="preserve">Transfering 0.0 uL of Denaturant to Denaturation plate </t>
  </si>
  <si>
    <t>##4.0##</t>
  </si>
  <si>
    <t>Number of sequences is zero so no liquid transfer will actually occur.</t>
  </si>
  <si>
    <t>Step Title: Dilute</t>
  </si>
  <si>
    <t>Excel Location (Row,Col): (23,3)</t>
  </si>
  <si>
    <t>Diluent: 7M GnHCl, 100mM Tris pH 8.3, 5mM L-Met</t>
  </si>
  <si>
    <t xml:space="preserve">Starting Concentration (mg/mL): Concentration (Worklist Column) </t>
  </si>
  <si>
    <t>Target Concentration (mg/mL): 1.0</t>
  </si>
  <si>
    <t>Target Volume (uL): 120.0</t>
  </si>
  <si>
    <t>Max Source Volume (uL): 120.0</t>
  </si>
  <si>
    <t>Transfering 120.0 uL of sample to Denaturation plate</t>
  </si>
  <si>
    <t>##5.0##</t>
  </si>
  <si>
    <t xml:space="preserve">Transfering </t>
  </si>
  <si>
    <t>[108.0, 108.0, 108.0, 108.0, 108.0]</t>
  </si>
  <si>
    <t xml:space="preserve"> uL of General Reagent to Denaturation plate </t>
  </si>
  <si>
    <t>Pipette</t>
  </si>
  <si>
    <t>[Destination]</t>
  </si>
  <si>
    <t>[DestinationPosition]</t>
  </si>
  <si>
    <t>[Source]</t>
  </si>
  <si>
    <t>[SourcePosition]</t>
  </si>
  <si>
    <t>[TransferVolume]</t>
  </si>
  <si>
    <t>[CurrentDestinationVolume]</t>
  </si>
  <si>
    <t>[Mix]</t>
  </si>
  <si>
    <t>[TipSequence]</t>
  </si>
  <si>
    <t>50Seq, 300Seq, 50</t>
  </si>
  <si>
    <t>[LiquidClass]</t>
  </si>
  <si>
    <t>Pipette,Desalting,Pipette,MagneticBeads</t>
  </si>
  <si>
    <t>##5.1##</t>
  </si>
  <si>
    <t>[12.0, 12.0, 12.0, 12.0, 12.0]</t>
  </si>
  <si>
    <t>##5.2##</t>
  </si>
  <si>
    <t>Excel Location (Row,Col): (31,3)</t>
  </si>
  <si>
    <t>Source: 500mM DTT in 7M GnHCl, 100mM Tris pH 8.3, 5mM L-Met</t>
  </si>
  <si>
    <t>Liquid Type: Reductant</t>
  </si>
  <si>
    <t>Volume (uL): 2.4</t>
  </si>
  <si>
    <t xml:space="preserve">Transfering 2.4 uL of Reductant to Denaturation plate </t>
  </si>
  <si>
    <t>##6.0##</t>
  </si>
  <si>
    <t>##6.1##</t>
  </si>
  <si>
    <t>Step Title: Incubate</t>
  </si>
  <si>
    <t>Excel Location (Row,Col): (38,3)</t>
  </si>
  <si>
    <t>Temp (C): 30.0</t>
  </si>
  <si>
    <t>Time (min): 30.0</t>
  </si>
  <si>
    <t>Shake (rpm): 0.0</t>
  </si>
  <si>
    <t>Incubate at 30.0 C for 30.0 min</t>
  </si>
  <si>
    <t>##7.0##</t>
  </si>
  <si>
    <t>Timer</t>
  </si>
  <si>
    <t>Start</t>
  </si>
  <si>
    <t>[Time]</t>
  </si>
  <si>
    <t>##7.1##</t>
  </si>
  <si>
    <t>Wai</t>
  </si>
  <si>
    <t>##7.2##</t>
  </si>
  <si>
    <t>Stop Heat</t>
  </si>
  <si>
    <t>Excel Location (Row,Col): (43,3)</t>
  </si>
  <si>
    <t>Source: 500mM IAA in 7M GnHCl, 100mM Tris pH 8.3, 5mM L-Met</t>
  </si>
  <si>
    <t>Liquid Type: Alkylant</t>
  </si>
  <si>
    <t>Volume (uL): 6.0</t>
  </si>
  <si>
    <t xml:space="preserve">Transfering 6.0 uL of Alkylant to Denaturation plate </t>
  </si>
  <si>
    <t>##8.0##</t>
  </si>
  <si>
    <t>##8.1##</t>
  </si>
  <si>
    <t>Excel Location (Row,Col): (50,3)</t>
  </si>
  <si>
    <t>Temp (C): 25.0</t>
  </si>
  <si>
    <t>Incubate at 25.0 C for 30.0 min</t>
  </si>
  <si>
    <t>##9.0##</t>
  </si>
  <si>
    <t>Performing Desalting Equilibration</t>
  </si>
  <si>
    <t>Equilibrat</t>
  </si>
  <si>
    <t>##9.1##</t>
  </si>
  <si>
    <t>Performing Desalting Equilibration and Desalting Samples</t>
  </si>
  <si>
    <t>##9.2##</t>
  </si>
  <si>
    <t>##9.3##</t>
  </si>
  <si>
    <t>Excel Location (Row,Col): (55,3)</t>
  </si>
  <si>
    <t>Name: Desalting</t>
  </si>
  <si>
    <t>Step Title: Desalt</t>
  </si>
  <si>
    <t>Excel Location (Row,Col): (59,3)</t>
  </si>
  <si>
    <t>Source: Denaturation</t>
  </si>
  <si>
    <t>Equilibration Buffer: 50mM Tris pH 7.9, 5mM L-Met</t>
  </si>
  <si>
    <t>Type: SizeX:100</t>
  </si>
  <si>
    <t>Equilibration already performed. Skipping Equilibration</t>
  </si>
  <si>
    <t>##11.0##</t>
  </si>
  <si>
    <t>Proces</t>
  </si>
  <si>
    <t>##11.1##</t>
  </si>
  <si>
    <t>Excel Location (Row,Col): (64,3)</t>
  </si>
  <si>
    <t>Name: Digestion</t>
  </si>
  <si>
    <t>Step Title: Notify</t>
  </si>
  <si>
    <t>Excel Location (Row,Col): (68,3)</t>
  </si>
  <si>
    <t>Wait On User: Yes</t>
  </si>
  <si>
    <t>Subject: Hamilton Desalting Finished</t>
  </si>
  <si>
    <t>Message: Desalting Complete. Please measure concentrations in the Desalting plate then enter the concentrations in the Desalting Concentration column in the worklist. Finally, hit OK after placing the Desalting plate back on deck.</t>
  </si>
  <si>
    <t>PreRun</t>
  </si>
  <si>
    <t>SendMessage</t>
  </si>
  <si>
    <t>[Wait]</t>
  </si>
  <si>
    <t>[Subject]</t>
  </si>
  <si>
    <t>##13.1##</t>
  </si>
  <si>
    <t>Excel Location (Row,Col): (73,3)</t>
  </si>
  <si>
    <t>Source: Desalting</t>
  </si>
  <si>
    <t>Diluent: 50mM Tris pH 7.9, 5mM L-Met</t>
  </si>
  <si>
    <t xml:space="preserve">Starting Concentration (mg/mL): Desalting Concentration (Worklist Column) </t>
  </si>
  <si>
    <t>Target Concentration (mg/mL): 0.5</t>
  </si>
  <si>
    <t>Target Volume (uL): 100.0</t>
  </si>
  <si>
    <t>Max Source Volume (uL): 70.0</t>
  </si>
  <si>
    <t>Transfering 100.0 uL of sample to Digestion plate</t>
  </si>
  <si>
    <t>##14.0##</t>
  </si>
  <si>
    <t>[100.0, 100.0, 100.0, 100.0, 100.0]</t>
  </si>
  <si>
    <t xml:space="preserve"> uL of General Reagent to Digestion plate </t>
  </si>
  <si>
    <t>##14.1##</t>
  </si>
  <si>
    <t>[0, 0, 0, 0, 0]</t>
  </si>
  <si>
    <t>Excel Location (Row,Col): (81,3)</t>
  </si>
  <si>
    <t>Source: 1mg/mL Trypsin in 50mM Acetic Acid</t>
  </si>
  <si>
    <t>Liquid Type: Enzyme</t>
  </si>
  <si>
    <t>Storage Condition: Cold</t>
  </si>
  <si>
    <t>Volume (uL): 5.0</t>
  </si>
  <si>
    <t xml:space="preserve">Transfering 5.0 uL of Enzyme to Digestion plate </t>
  </si>
  <si>
    <t>##15.0##</t>
  </si>
  <si>
    <t>##15.1##</t>
  </si>
  <si>
    <t>Excel Location (Row,Col): (88,3)</t>
  </si>
  <si>
    <t>Temp (C): 37.0</t>
  </si>
  <si>
    <t>Time (min): 60.0</t>
  </si>
  <si>
    <t>Incubate at 37.0 C for 60.0 min</t>
  </si>
  <si>
    <t>##16.0##</t>
  </si>
  <si>
    <t>##16.1##</t>
  </si>
  <si>
    <t>##16.2##</t>
  </si>
  <si>
    <t>Excel Location (Row,Col): (93,3)</t>
  </si>
  <si>
    <t>Source: 10% TFA</t>
  </si>
  <si>
    <t>Liquid Type: Quench</t>
  </si>
  <si>
    <t>Volume (uL): 2.0</t>
  </si>
  <si>
    <t xml:space="preserve">Transfering 2.0 uL of Quench to Digestion plate </t>
  </si>
  <si>
    <t>##17.0##</t>
  </si>
  <si>
    <t>##17.1##</t>
  </si>
  <si>
    <t>Excel Location (Row,Col): (100,3)</t>
  </si>
  <si>
    <t>Subject: Hamilton Run Finished</t>
  </si>
  <si>
    <t>Message: Hamilton Run is Finished. Please remove your samples from the Digestion plate.</t>
  </si>
  <si>
    <t>##18.1##</t>
  </si>
  <si>
    <t>Step Title: Finish</t>
  </si>
  <si>
    <t>Excel Location (Row,Col): (105,3)</t>
  </si>
  <si>
    <t>Digestion plate deactivated</t>
  </si>
  <si>
    <t>TransferLiquid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</si>
</sst>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8"/>
      <color rgb="FF000000"/>
      <name val="Calibri"/>
      <family val="2"/>
    </font>
    <font>
      <b/>
      <sz val="20"/>
      <color theme="1"/>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5" tint="0.39997558519241921"/>
        <bgColor indexed="64"/>
      </patternFill>
    </fill>
  </fills>
  <borders count="29">
    <border>
      <left/>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diagonal/>
    </border>
  </borders>
  <cellStyleXfs count="1">
    <xf numFmtId="0" fontId="0" fillId="0" borderId="0"/>
  </cellStyleXfs>
  <cellXfs count="120">
    <xf numFmtId="0" fontId="0" fillId="0" borderId="0" xfId="0"/>
    <xf numFmtId="0" fontId="0" fillId="0" borderId="5" xfId="0" applyBorder="1"/>
    <xf numFmtId="0" fontId="0" fillId="0" borderId="8" xfId="0" applyBorder="1"/>
    <xf numFmtId="0" fontId="0" fillId="2" borderId="3" xfId="0" applyFill="1" applyBorder="1"/>
    <xf numFmtId="0" fontId="0" fillId="2" borderId="5" xfId="0" applyFill="1" applyBorder="1"/>
    <xf numFmtId="0" fontId="0" fillId="3" borderId="3" xfId="0" applyFill="1" applyBorder="1"/>
    <xf numFmtId="0" fontId="0" fillId="3" borderId="5" xfId="0" applyFill="1" applyBorder="1"/>
    <xf numFmtId="0" fontId="0" fillId="4" borderId="3" xfId="0" applyFill="1" applyBorder="1"/>
    <xf numFmtId="0" fontId="0" fillId="4" borderId="5" xfId="0" applyFill="1" applyBorder="1"/>
    <xf numFmtId="0" fontId="0" fillId="5" borderId="3" xfId="0" applyFill="1" applyBorder="1"/>
    <xf numFmtId="0" fontId="0" fillId="5" borderId="5" xfId="0" applyFill="1" applyBorder="1"/>
    <xf numFmtId="0" fontId="0" fillId="6" borderId="3" xfId="0" applyFill="1" applyBorder="1"/>
    <xf numFmtId="0" fontId="0" fillId="6" borderId="5" xfId="0" applyFill="1" applyBorder="1"/>
    <xf numFmtId="0" fontId="0" fillId="2" borderId="4" xfId="0" applyFill="1" applyBorder="1" applyAlignment="1">
      <alignment horizontal="center"/>
    </xf>
    <xf numFmtId="0" fontId="0" fillId="2" borderId="6" xfId="0" applyFill="1" applyBorder="1" applyAlignment="1">
      <alignment horizontal="center"/>
    </xf>
    <xf numFmtId="0" fontId="0" fillId="4" borderId="4" xfId="0" applyFill="1" applyBorder="1" applyAlignment="1">
      <alignment horizontal="center"/>
    </xf>
    <xf numFmtId="0" fontId="0" fillId="4" borderId="6" xfId="0" applyFill="1" applyBorder="1" applyAlignment="1">
      <alignment horizontal="center"/>
    </xf>
    <xf numFmtId="0" fontId="0" fillId="0" borderId="6" xfId="0" applyBorder="1" applyAlignment="1">
      <alignment horizontal="center"/>
    </xf>
    <xf numFmtId="0" fontId="0" fillId="5" borderId="4" xfId="0" applyFill="1" applyBorder="1" applyAlignment="1">
      <alignment horizontal="center"/>
    </xf>
    <xf numFmtId="0" fontId="0" fillId="5" borderId="6" xfId="0" applyFill="1" applyBorder="1" applyAlignment="1">
      <alignment horizontal="center"/>
    </xf>
    <xf numFmtId="0" fontId="0" fillId="3" borderId="4"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6" xfId="0" applyFill="1" applyBorder="1" applyAlignment="1">
      <alignment horizontal="center"/>
    </xf>
    <xf numFmtId="0" fontId="0" fillId="0" borderId="0" xfId="0" applyBorder="1"/>
    <xf numFmtId="0" fontId="1" fillId="5" borderId="9" xfId="0" applyFont="1" applyFill="1" applyBorder="1" applyAlignment="1">
      <alignment horizontal="center"/>
    </xf>
    <xf numFmtId="0" fontId="1" fillId="3" borderId="9" xfId="0" applyFont="1" applyFill="1" applyBorder="1" applyAlignment="1">
      <alignment horizontal="center"/>
    </xf>
    <xf numFmtId="0" fontId="1" fillId="6" borderId="9" xfId="0" applyFont="1" applyFill="1" applyBorder="1" applyAlignment="1">
      <alignment horizontal="center"/>
    </xf>
    <xf numFmtId="0" fontId="1" fillId="2" borderId="9" xfId="0" applyFont="1" applyFill="1" applyBorder="1" applyAlignment="1">
      <alignment horizontal="center"/>
    </xf>
    <xf numFmtId="0" fontId="1" fillId="0" borderId="9" xfId="0" applyFont="1" applyBorder="1" applyAlignment="1">
      <alignment horizontal="center"/>
    </xf>
    <xf numFmtId="0" fontId="0" fillId="0" borderId="3" xfId="0" applyBorder="1"/>
    <xf numFmtId="0" fontId="0" fillId="0" borderId="4" xfId="0" applyBorder="1"/>
    <xf numFmtId="0" fontId="0" fillId="0" borderId="6" xfId="0" applyBorder="1"/>
    <xf numFmtId="0" fontId="0" fillId="0" borderId="4" xfId="0" applyFont="1" applyBorder="1" applyAlignment="1">
      <alignment horizontal="center"/>
    </xf>
    <xf numFmtId="0" fontId="1" fillId="0" borderId="0" xfId="0" applyFont="1" applyBorder="1"/>
    <xf numFmtId="0" fontId="1" fillId="2" borderId="14" xfId="0" applyFont="1" applyFill="1" applyBorder="1" applyAlignment="1">
      <alignment horizontal="center" vertical="center"/>
    </xf>
    <xf numFmtId="0" fontId="0" fillId="2" borderId="3" xfId="0" applyFill="1" applyBorder="1" applyAlignment="1">
      <alignment horizontal="center" vertical="center"/>
    </xf>
    <xf numFmtId="0" fontId="0" fillId="2" borderId="16" xfId="0" applyFill="1"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1" fillId="0" borderId="0" xfId="0" applyFont="1"/>
    <xf numFmtId="0" fontId="1" fillId="0" borderId="9" xfId="0" applyFont="1" applyBorder="1" applyAlignment="1">
      <alignment horizontal="center"/>
    </xf>
    <xf numFmtId="0" fontId="1" fillId="0" borderId="9" xfId="0" applyFont="1" applyBorder="1" applyAlignment="1">
      <alignment horizontal="center" vertical="center"/>
    </xf>
    <xf numFmtId="0" fontId="0" fillId="0" borderId="0" xfId="0" applyAlignment="1">
      <alignment horizontal="center"/>
    </xf>
    <xf numFmtId="0" fontId="1" fillId="0" borderId="9" xfId="0" applyFont="1" applyBorder="1" applyAlignment="1">
      <alignment horizontal="center"/>
    </xf>
    <xf numFmtId="0" fontId="0" fillId="0" borderId="5" xfId="0" applyFill="1" applyBorder="1"/>
    <xf numFmtId="0" fontId="0" fillId="2" borderId="20" xfId="0" applyFont="1" applyFill="1" applyBorder="1" applyAlignment="1">
      <alignment horizontal="center" vertical="center"/>
    </xf>
    <xf numFmtId="0" fontId="0" fillId="2" borderId="21" xfId="0" applyFont="1" applyFill="1" applyBorder="1" applyAlignment="1">
      <alignment horizontal="center" vertical="center"/>
    </xf>
    <xf numFmtId="0" fontId="0" fillId="0" borderId="6" xfId="0" applyBorder="1" applyAlignment="1">
      <alignment wrapText="1"/>
    </xf>
    <xf numFmtId="0" fontId="0" fillId="0" borderId="4" xfId="0" applyBorder="1" applyAlignment="1">
      <alignment wrapText="1"/>
    </xf>
    <xf numFmtId="0" fontId="1" fillId="0" borderId="9" xfId="0" applyFont="1" applyBorder="1" applyAlignment="1">
      <alignment horizontal="center"/>
    </xf>
    <xf numFmtId="0" fontId="1" fillId="2" borderId="9" xfId="0" applyFont="1" applyFill="1" applyBorder="1" applyAlignment="1">
      <alignment horizontal="center"/>
    </xf>
    <xf numFmtId="0" fontId="1" fillId="3" borderId="9" xfId="0" applyFont="1" applyFill="1" applyBorder="1" applyAlignment="1">
      <alignment horizontal="center"/>
    </xf>
    <xf numFmtId="0" fontId="1" fillId="4" borderId="9" xfId="0" applyFont="1" applyFill="1" applyBorder="1" applyAlignment="1">
      <alignment horizontal="center"/>
    </xf>
    <xf numFmtId="0" fontId="1" fillId="6" borderId="9" xfId="0" applyFont="1" applyFill="1" applyBorder="1" applyAlignment="1">
      <alignment horizontal="center"/>
    </xf>
    <xf numFmtId="0" fontId="0" fillId="0" borderId="0" xfId="0" applyBorder="1" applyAlignment="1">
      <alignment horizontal="center"/>
    </xf>
    <xf numFmtId="0" fontId="0" fillId="0" borderId="0" xfId="0" applyBorder="1"/>
    <xf numFmtId="0" fontId="0" fillId="0" borderId="0" xfId="0" applyFill="1" applyBorder="1"/>
    <xf numFmtId="0" fontId="0" fillId="0" borderId="0" xfId="0" applyFont="1" applyBorder="1" applyAlignment="1">
      <alignment horizontal="center" vertical="center" wrapText="1"/>
    </xf>
    <xf numFmtId="0" fontId="0" fillId="0" borderId="0" xfId="0" applyBorder="1"/>
    <xf numFmtId="0" fontId="1" fillId="0" borderId="0" xfId="0" applyFont="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0" fillId="3" borderId="10" xfId="0" applyFont="1" applyFill="1" applyBorder="1" applyAlignment="1">
      <alignment horizontal="center" vertical="center" wrapText="1"/>
    </xf>
    <xf numFmtId="0" fontId="0" fillId="3" borderId="11" xfId="0" applyFont="1" applyFill="1" applyBorder="1" applyAlignment="1">
      <alignment horizontal="center" vertical="center" wrapText="1"/>
    </xf>
    <xf numFmtId="0" fontId="0" fillId="3" borderId="12" xfId="0" applyFont="1" applyFill="1" applyBorder="1" applyAlignment="1">
      <alignment horizontal="center" vertical="center" wrapText="1"/>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26" xfId="0" applyFont="1" applyBorder="1" applyAlignment="1">
      <alignment horizontal="center" vertical="center"/>
    </xf>
    <xf numFmtId="0" fontId="3" fillId="0" borderId="6"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3" fillId="0" borderId="13" xfId="0" applyFont="1" applyBorder="1" applyAlignment="1">
      <alignment horizontal="center" vertical="center"/>
    </xf>
    <xf numFmtId="0" fontId="3" fillId="0" borderId="8" xfId="0" applyFont="1" applyBorder="1" applyAlignment="1">
      <alignment horizontal="center" vertical="center"/>
    </xf>
    <xf numFmtId="0" fontId="3" fillId="0" borderId="7" xfId="0" applyFont="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xf>
    <xf numFmtId="0" fontId="1" fillId="4" borderId="27" xfId="0" applyFont="1" applyFill="1" applyBorder="1" applyAlignment="1">
      <alignment horizontal="center"/>
    </xf>
    <xf numFmtId="0" fontId="1" fillId="4" borderId="9"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0" fillId="5" borderId="10" xfId="0" applyFont="1" applyFill="1" applyBorder="1" applyAlignment="1">
      <alignment horizontal="center" vertical="center" wrapText="1"/>
    </xf>
    <xf numFmtId="0" fontId="0" fillId="5" borderId="11" xfId="0" applyFont="1" applyFill="1" applyBorder="1" applyAlignment="1">
      <alignment horizontal="center" vertical="center" wrapText="1"/>
    </xf>
    <xf numFmtId="0" fontId="0" fillId="5" borderId="12" xfId="0" applyFont="1" applyFill="1" applyBorder="1" applyAlignment="1">
      <alignment horizontal="center" vertical="center" wrapText="1"/>
    </xf>
    <xf numFmtId="0" fontId="1" fillId="2" borderId="1" xfId="0" applyFont="1" applyFill="1" applyBorder="1" applyAlignment="1">
      <alignment horizontal="center"/>
    </xf>
    <xf numFmtId="0" fontId="1" fillId="2" borderId="2" xfId="0" applyFont="1" applyFill="1" applyBorder="1" applyAlignment="1">
      <alignment horizontal="center"/>
    </xf>
    <xf numFmtId="0" fontId="0" fillId="0" borderId="10" xfId="0" applyFont="1" applyBorder="1" applyAlignment="1">
      <alignment horizontal="center" vertical="center" wrapText="1"/>
    </xf>
    <xf numFmtId="0" fontId="0" fillId="0" borderId="12" xfId="0" applyFont="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2" borderId="10" xfId="0" applyFont="1" applyFill="1" applyBorder="1" applyAlignment="1">
      <alignment horizontal="center" vertical="center" wrapText="1"/>
    </xf>
    <xf numFmtId="0" fontId="0" fillId="2" borderId="11" xfId="0" applyFont="1" applyFill="1" applyBorder="1" applyAlignment="1">
      <alignment horizontal="center" vertical="center" wrapText="1"/>
    </xf>
    <xf numFmtId="0" fontId="0" fillId="2" borderId="12" xfId="0" applyFont="1" applyFill="1" applyBorder="1" applyAlignment="1">
      <alignment horizontal="center" vertical="center" wrapText="1"/>
    </xf>
    <xf numFmtId="0" fontId="0" fillId="0" borderId="19" xfId="0" applyBorder="1" applyAlignment="1">
      <alignment horizontal="center"/>
    </xf>
    <xf numFmtId="0" fontId="0" fillId="0" borderId="18" xfId="0" applyBorder="1" applyAlignment="1">
      <alignment horizontal="center"/>
    </xf>
    <xf numFmtId="0" fontId="0" fillId="0" borderId="13" xfId="0" applyBorder="1" applyAlignment="1">
      <alignment horizontal="center"/>
    </xf>
    <xf numFmtId="0" fontId="0" fillId="0" borderId="7" xfId="0"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2" borderId="1" xfId="0" applyFont="1" applyFill="1" applyBorder="1" applyAlignment="1">
      <alignment horizontal="center" vertical="center"/>
    </xf>
    <xf numFmtId="0" fontId="1" fillId="2" borderId="15" xfId="0" applyFont="1" applyFill="1" applyBorder="1" applyAlignment="1">
      <alignment horizontal="center" vertical="center"/>
    </xf>
    <xf numFmtId="0" fontId="0" fillId="6" borderId="10" xfId="0" applyFont="1" applyFill="1" applyBorder="1" applyAlignment="1">
      <alignment horizontal="center" vertical="center" wrapText="1"/>
    </xf>
    <xf numFmtId="0" fontId="0" fillId="6" borderId="11" xfId="0" applyFont="1" applyFill="1" applyBorder="1" applyAlignment="1">
      <alignment horizontal="center" vertical="center" wrapText="1"/>
    </xf>
    <xf numFmtId="0" fontId="0" fillId="6" borderId="12" xfId="0" applyFont="1" applyFill="1" applyBorder="1" applyAlignment="1">
      <alignment horizontal="center" vertical="center" wrapText="1"/>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0" fontId="1" fillId="4" borderId="1" xfId="0" applyFont="1" applyFill="1" applyBorder="1" applyAlignment="1">
      <alignment horizontal="center"/>
    </xf>
    <xf numFmtId="0" fontId="1" fillId="4" borderId="2" xfId="0" applyFont="1" applyFill="1" applyBorder="1" applyAlignment="1">
      <alignment horizontal="center"/>
    </xf>
    <xf numFmtId="0" fontId="0" fillId="4" borderId="18" xfId="0" applyFill="1" applyBorder="1" applyAlignment="1">
      <alignment horizontal="center" vertical="center" wrapText="1"/>
    </xf>
    <xf numFmtId="0" fontId="0" fillId="4" borderId="28" xfId="0" applyFill="1" applyBorder="1" applyAlignment="1">
      <alignment horizontal="center" vertical="center" wrapText="1"/>
    </xf>
    <xf numFmtId="0" fontId="0" fillId="4" borderId="7" xfId="0" applyFill="1" applyBorder="1" applyAlignment="1">
      <alignment horizontal="center" vertical="center" wrapText="1"/>
    </xf>
    <xf numFmtId="0" fontId="1" fillId="0" borderId="8" xfId="0" applyFont="1" applyBorder="1" applyAlignment="1">
      <alignment horizontal="center"/>
    </xf>
  </cellXfs>
  <cellStyles count="1">
    <cellStyle name="Normal" xfId="0" builtinId="0"/>
  </cellStyles>
  <dxfs count="2">
    <dxf>
      <fill>
        <patternFill>
          <bgColor rgb="FFFF0000"/>
        </patternFill>
      </fill>
    </dxf>
    <dxf>
      <fill>
        <patternFill>
          <bgColor rgb="FFFF0000"/>
        </patternFill>
      </fill>
    </dxf>
  </dxfs>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123825</xdr:rowOff>
        </xdr:from>
        <xdr:to>
          <xdr:col>1</xdr:col>
          <xdr:colOff>971550</xdr:colOff>
          <xdr:row>5</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Test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6</xdr:row>
          <xdr:rowOff>66675</xdr:rowOff>
        </xdr:from>
        <xdr:to>
          <xdr:col>1</xdr:col>
          <xdr:colOff>962025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cs typeface="Calibri"/>
                </a:rPr>
                <a:t>Generate Prep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L21"/>
  <sheetViews>
    <sheetView workbookViewId="0">
      <selection activeCell="D14" sqref="D14"/>
    </sheetView>
  </sheetViews>
  <sheetFormatPr defaultRowHeight="15" x14ac:dyDescent="0.25"/>
  <cols>
    <col min="2" max="2" width="26.42578125" bestFit="1" customWidth="1"/>
    <col min="3" max="3" width="12" customWidth="1"/>
    <col min="4" max="4" width="26.42578125" customWidth="1"/>
    <col min="6" max="6" width="24" bestFit="1" customWidth="1"/>
    <col min="7" max="7" width="16" bestFit="1" customWidth="1"/>
    <col min="8" max="9" width="16.140625" bestFit="1" customWidth="1"/>
    <col min="10" max="10" width="21.85546875" bestFit="1" customWidth="1"/>
    <col min="11" max="11" width="20.5703125" bestFit="1" customWidth="1"/>
    <col min="13" max="13" width="11.7109375" bestFit="1" customWidth="1"/>
  </cols>
  <sheetData>
    <row r="3" spans="2:12" x14ac:dyDescent="0.25">
      <c r="B3" s="40" t="s">
        <v>30</v>
      </c>
      <c r="C3" s="40"/>
      <c r="D3" s="40" t="s">
        <v>53</v>
      </c>
      <c r="F3" s="60" t="s">
        <v>25</v>
      </c>
      <c r="G3" s="60"/>
      <c r="H3" s="60"/>
      <c r="I3" s="60"/>
      <c r="J3" s="60"/>
      <c r="K3" s="60"/>
      <c r="L3" s="60"/>
    </row>
    <row r="4" spans="2:12" x14ac:dyDescent="0.25">
      <c r="B4" t="s">
        <v>33</v>
      </c>
      <c r="D4" s="43" t="s">
        <v>68</v>
      </c>
      <c r="F4" s="40" t="s">
        <v>0</v>
      </c>
      <c r="G4" s="40" t="s">
        <v>16</v>
      </c>
      <c r="H4" s="40" t="s">
        <v>5</v>
      </c>
      <c r="I4" s="40" t="s">
        <v>20</v>
      </c>
      <c r="J4" s="40" t="s">
        <v>46</v>
      </c>
      <c r="K4" s="40" t="s">
        <v>38</v>
      </c>
      <c r="L4" s="40" t="s">
        <v>55</v>
      </c>
    </row>
    <row r="5" spans="2:12" x14ac:dyDescent="0.25">
      <c r="B5" t="s">
        <v>56</v>
      </c>
      <c r="D5" s="43" t="s">
        <v>69</v>
      </c>
      <c r="F5" t="s">
        <v>0</v>
      </c>
      <c r="G5" t="s">
        <v>16</v>
      </c>
      <c r="H5" t="s">
        <v>5</v>
      </c>
      <c r="I5" t="s">
        <v>20</v>
      </c>
      <c r="J5" t="s">
        <v>46</v>
      </c>
      <c r="K5" t="s">
        <v>38</v>
      </c>
      <c r="L5" t="s">
        <v>55</v>
      </c>
    </row>
    <row r="6" spans="2:12" x14ac:dyDescent="0.25">
      <c r="B6" t="s">
        <v>31</v>
      </c>
      <c r="D6" s="43"/>
      <c r="F6" t="s">
        <v>26</v>
      </c>
      <c r="G6" t="s">
        <v>27</v>
      </c>
      <c r="H6" t="s">
        <v>28</v>
      </c>
      <c r="I6" t="s">
        <v>29</v>
      </c>
      <c r="J6" t="s">
        <v>47</v>
      </c>
      <c r="K6" t="s">
        <v>39</v>
      </c>
      <c r="L6" t="s">
        <v>57</v>
      </c>
    </row>
    <row r="7" spans="2:12" x14ac:dyDescent="0.25">
      <c r="B7" t="s">
        <v>58</v>
      </c>
      <c r="D7" s="43"/>
    </row>
    <row r="9" spans="2:12" x14ac:dyDescent="0.25">
      <c r="B9" s="40" t="s">
        <v>54</v>
      </c>
      <c r="D9" s="34" t="s">
        <v>50</v>
      </c>
    </row>
    <row r="10" spans="2:12" x14ac:dyDescent="0.25">
      <c r="B10" t="s">
        <v>61</v>
      </c>
      <c r="D10" s="24" t="s">
        <v>41</v>
      </c>
    </row>
    <row r="11" spans="2:12" x14ac:dyDescent="0.25">
      <c r="B11" t="s">
        <v>62</v>
      </c>
      <c r="D11" s="24" t="s">
        <v>42</v>
      </c>
    </row>
    <row r="12" spans="2:12" x14ac:dyDescent="0.25">
      <c r="B12" t="s">
        <v>63</v>
      </c>
    </row>
    <row r="13" spans="2:12" x14ac:dyDescent="0.25">
      <c r="B13" t="s">
        <v>64</v>
      </c>
      <c r="D13" s="40" t="s">
        <v>85</v>
      </c>
    </row>
    <row r="14" spans="2:12" x14ac:dyDescent="0.25">
      <c r="B14" t="s">
        <v>65</v>
      </c>
      <c r="D14" t="s">
        <v>86</v>
      </c>
    </row>
    <row r="15" spans="2:12" x14ac:dyDescent="0.25">
      <c r="B15" t="s">
        <v>66</v>
      </c>
      <c r="D15" t="s">
        <v>87</v>
      </c>
    </row>
    <row r="16" spans="2:12" x14ac:dyDescent="0.25">
      <c r="B16" t="s">
        <v>14</v>
      </c>
    </row>
    <row r="17" spans="2:2" x14ac:dyDescent="0.25">
      <c r="B17" t="s">
        <v>2</v>
      </c>
    </row>
    <row r="19" spans="2:2" x14ac:dyDescent="0.25">
      <c r="B19" s="40" t="s">
        <v>52</v>
      </c>
    </row>
    <row r="20" spans="2:2" x14ac:dyDescent="0.25">
      <c r="B20" t="s">
        <v>59</v>
      </c>
    </row>
    <row r="21" spans="2:2" x14ac:dyDescent="0.25">
      <c r="B21" t="s">
        <v>60</v>
      </c>
    </row>
  </sheetData>
  <mergeCells count="1">
    <mergeCell ref="F3:L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C1:M38"/>
  <sheetViews>
    <sheetView zoomScale="80" zoomScaleNormal="80" workbookViewId="0">
      <selection activeCell="G12" sqref="G12:I18"/>
    </sheetView>
  </sheetViews>
  <sheetFormatPr defaultRowHeight="15" x14ac:dyDescent="0.25"/>
  <cols>
    <col min="2" max="2" width="9.42578125" customWidth="1"/>
    <col min="3" max="3" width="29.42578125" bestFit="1" customWidth="1"/>
    <col min="4" max="4" width="22.140625" customWidth="1"/>
    <col min="5" max="5" width="12.85546875" customWidth="1"/>
    <col min="6" max="6" width="19.28515625" customWidth="1"/>
    <col min="7" max="7" width="32.140625" bestFit="1" customWidth="1"/>
    <col min="8" max="8" width="29.42578125" bestFit="1" customWidth="1"/>
    <col min="9" max="9" width="29.42578125" customWidth="1"/>
    <col min="10" max="10" width="17" customWidth="1"/>
    <col min="11" max="11" width="25.140625" customWidth="1"/>
    <col min="12" max="12" width="22.42578125" bestFit="1" customWidth="1"/>
    <col min="13" max="13" width="13.5703125" customWidth="1"/>
    <col min="15" max="15" width="12.85546875" bestFit="1" customWidth="1"/>
    <col min="16" max="17" width="14.42578125" customWidth="1"/>
    <col min="18" max="18" width="15.5703125" customWidth="1"/>
    <col min="20" max="20" width="14" customWidth="1"/>
    <col min="21" max="21" width="14.140625" customWidth="1"/>
    <col min="23" max="23" width="13" customWidth="1"/>
    <col min="24" max="24" width="11" customWidth="1"/>
  </cols>
  <sheetData>
    <row r="1" spans="3:13" ht="15.75" thickBot="1" x14ac:dyDescent="0.3"/>
    <row r="2" spans="3:13" x14ac:dyDescent="0.25">
      <c r="C2" s="66" t="s">
        <v>89</v>
      </c>
      <c r="D2" s="67"/>
      <c r="E2" s="68"/>
      <c r="G2" s="72" t="s">
        <v>90</v>
      </c>
      <c r="H2" s="73"/>
      <c r="I2" s="74"/>
      <c r="K2" s="72" t="s">
        <v>91</v>
      </c>
      <c r="L2" s="73"/>
      <c r="M2" s="74"/>
    </row>
    <row r="3" spans="3:13" ht="15.75" thickBot="1" x14ac:dyDescent="0.3">
      <c r="C3" s="69"/>
      <c r="D3" s="70"/>
      <c r="E3" s="71"/>
      <c r="G3" s="75"/>
      <c r="H3" s="76"/>
      <c r="I3" s="77"/>
      <c r="K3" s="75"/>
      <c r="L3" s="76"/>
      <c r="M3" s="77"/>
    </row>
    <row r="4" spans="3:13" ht="15.75" thickBot="1" x14ac:dyDescent="0.3"/>
    <row r="5" spans="3:13" x14ac:dyDescent="0.25">
      <c r="C5" s="78" t="s">
        <v>2</v>
      </c>
      <c r="D5" s="79"/>
      <c r="E5" s="44" t="s">
        <v>15</v>
      </c>
      <c r="G5" s="87" t="s">
        <v>0</v>
      </c>
      <c r="H5" s="88"/>
      <c r="I5" s="28" t="s">
        <v>15</v>
      </c>
      <c r="K5" s="61" t="s">
        <v>83</v>
      </c>
      <c r="L5" s="62"/>
      <c r="M5" s="52" t="s">
        <v>15</v>
      </c>
    </row>
    <row r="6" spans="3:13" x14ac:dyDescent="0.25">
      <c r="C6" s="30" t="s">
        <v>1</v>
      </c>
      <c r="D6" s="33"/>
      <c r="E6" s="89"/>
      <c r="G6" s="3" t="s">
        <v>37</v>
      </c>
      <c r="H6" s="13"/>
      <c r="I6" s="97"/>
      <c r="K6" s="5" t="s">
        <v>37</v>
      </c>
      <c r="L6" s="20"/>
      <c r="M6" s="63"/>
    </row>
    <row r="7" spans="3:13" ht="15.75" thickBot="1" x14ac:dyDescent="0.3">
      <c r="C7" s="45" t="s">
        <v>24</v>
      </c>
      <c r="D7" s="32"/>
      <c r="E7" s="90"/>
      <c r="G7" s="3" t="s">
        <v>54</v>
      </c>
      <c r="H7" s="13"/>
      <c r="I7" s="98"/>
      <c r="K7" s="5" t="s">
        <v>92</v>
      </c>
      <c r="L7" s="20"/>
      <c r="M7" s="64"/>
    </row>
    <row r="8" spans="3:13" ht="15.75" thickBot="1" x14ac:dyDescent="0.3">
      <c r="G8" s="3" t="s">
        <v>52</v>
      </c>
      <c r="H8" s="13"/>
      <c r="I8" s="98"/>
      <c r="K8" s="6" t="s">
        <v>84</v>
      </c>
      <c r="L8" s="21" t="s">
        <v>86</v>
      </c>
      <c r="M8" s="65"/>
    </row>
    <row r="9" spans="3:13" ht="15.75" thickBot="1" x14ac:dyDescent="0.3">
      <c r="C9" s="82" t="s">
        <v>4</v>
      </c>
      <c r="D9" s="83"/>
      <c r="E9" s="25" t="s">
        <v>15</v>
      </c>
      <c r="G9" s="3" t="s">
        <v>11</v>
      </c>
      <c r="H9" s="13"/>
      <c r="I9" s="98"/>
    </row>
    <row r="10" spans="3:13" ht="15.75" thickBot="1" x14ac:dyDescent="0.3">
      <c r="C10" s="9" t="s">
        <v>23</v>
      </c>
      <c r="D10" s="18"/>
      <c r="E10" s="84"/>
      <c r="G10" s="4" t="s">
        <v>40</v>
      </c>
      <c r="H10" s="14" t="s">
        <v>41</v>
      </c>
      <c r="I10" s="99"/>
      <c r="K10" s="61" t="s">
        <v>88</v>
      </c>
      <c r="L10" s="62"/>
      <c r="M10" s="52" t="s">
        <v>15</v>
      </c>
    </row>
    <row r="11" spans="3:13" ht="15.75" thickBot="1" x14ac:dyDescent="0.3">
      <c r="C11" s="9" t="s">
        <v>34</v>
      </c>
      <c r="D11" s="18"/>
      <c r="E11" s="85"/>
      <c r="K11" s="5" t="s">
        <v>37</v>
      </c>
      <c r="L11" s="20"/>
      <c r="M11" s="63"/>
    </row>
    <row r="12" spans="3:13" ht="15.75" thickBot="1" x14ac:dyDescent="0.3">
      <c r="C12" s="10" t="s">
        <v>35</v>
      </c>
      <c r="D12" s="19"/>
      <c r="E12" s="86"/>
      <c r="G12" s="80" t="s">
        <v>16</v>
      </c>
      <c r="H12" s="81"/>
      <c r="I12" s="53" t="s">
        <v>15</v>
      </c>
      <c r="K12" s="5" t="s">
        <v>93</v>
      </c>
      <c r="L12" s="20"/>
      <c r="M12" s="64"/>
    </row>
    <row r="13" spans="3:13" ht="15.75" thickBot="1" x14ac:dyDescent="0.3">
      <c r="G13" s="7" t="s">
        <v>37</v>
      </c>
      <c r="H13" s="15"/>
      <c r="I13" s="91"/>
      <c r="K13" s="6" t="s">
        <v>84</v>
      </c>
      <c r="L13" s="21" t="s">
        <v>86</v>
      </c>
      <c r="M13" s="65"/>
    </row>
    <row r="14" spans="3:13" x14ac:dyDescent="0.25">
      <c r="C14" s="78" t="s">
        <v>51</v>
      </c>
      <c r="D14" s="79"/>
      <c r="E14" s="41" t="s">
        <v>15</v>
      </c>
      <c r="G14" s="7" t="s">
        <v>3</v>
      </c>
      <c r="H14" s="15"/>
      <c r="I14" s="92"/>
    </row>
    <row r="15" spans="3:13" x14ac:dyDescent="0.25">
      <c r="C15" s="100"/>
      <c r="D15" s="101"/>
      <c r="E15" s="89"/>
      <c r="G15" s="7" t="s">
        <v>6</v>
      </c>
      <c r="H15" s="15"/>
      <c r="I15" s="92"/>
    </row>
    <row r="16" spans="3:13" ht="15.75" thickBot="1" x14ac:dyDescent="0.3">
      <c r="C16" s="102"/>
      <c r="D16" s="103"/>
      <c r="E16" s="90"/>
      <c r="G16" s="7" t="s">
        <v>7</v>
      </c>
      <c r="H16" s="15"/>
      <c r="I16" s="92"/>
    </row>
    <row r="17" spans="7:9" x14ac:dyDescent="0.25">
      <c r="G17" s="7" t="s">
        <v>10</v>
      </c>
      <c r="H17" s="15"/>
      <c r="I17" s="92"/>
    </row>
    <row r="18" spans="7:9" ht="15.75" thickBot="1" x14ac:dyDescent="0.3">
      <c r="G18" s="8" t="s">
        <v>99</v>
      </c>
      <c r="H18" s="16"/>
      <c r="I18" s="93"/>
    </row>
    <row r="19" spans="7:9" ht="15.75" thickBot="1" x14ac:dyDescent="0.3"/>
    <row r="20" spans="7:9" x14ac:dyDescent="0.25">
      <c r="G20" s="104" t="s">
        <v>38</v>
      </c>
      <c r="H20" s="105"/>
      <c r="I20" s="27" t="s">
        <v>15</v>
      </c>
    </row>
    <row r="21" spans="7:9" x14ac:dyDescent="0.25">
      <c r="G21" s="11" t="s">
        <v>12</v>
      </c>
      <c r="H21" s="22"/>
      <c r="I21" s="108"/>
    </row>
    <row r="22" spans="7:9" x14ac:dyDescent="0.25">
      <c r="G22" s="11" t="s">
        <v>9</v>
      </c>
      <c r="H22" s="22"/>
      <c r="I22" s="109"/>
    </row>
    <row r="23" spans="7:9" ht="15.75" thickBot="1" x14ac:dyDescent="0.3">
      <c r="G23" s="12" t="s">
        <v>19</v>
      </c>
      <c r="H23" s="23"/>
      <c r="I23" s="110"/>
    </row>
    <row r="24" spans="7:9" ht="15.75" thickBot="1" x14ac:dyDescent="0.3"/>
    <row r="25" spans="7:9" x14ac:dyDescent="0.25">
      <c r="G25" s="61" t="s">
        <v>5</v>
      </c>
      <c r="H25" s="62"/>
      <c r="I25" s="26" t="s">
        <v>15</v>
      </c>
    </row>
    <row r="26" spans="7:9" x14ac:dyDescent="0.25">
      <c r="G26" s="5" t="s">
        <v>37</v>
      </c>
      <c r="H26" s="20"/>
      <c r="I26" s="63"/>
    </row>
    <row r="27" spans="7:9" x14ac:dyDescent="0.25">
      <c r="G27" s="5" t="s">
        <v>36</v>
      </c>
      <c r="H27" s="20"/>
      <c r="I27" s="64"/>
    </row>
    <row r="28" spans="7:9" ht="15.75" thickBot="1" x14ac:dyDescent="0.3">
      <c r="G28" s="6" t="s">
        <v>24</v>
      </c>
      <c r="H28" s="21"/>
      <c r="I28" s="65"/>
    </row>
    <row r="29" spans="7:9" ht="15.75" thickBot="1" x14ac:dyDescent="0.3"/>
    <row r="30" spans="7:9" x14ac:dyDescent="0.25">
      <c r="G30" s="106" t="s">
        <v>43</v>
      </c>
      <c r="H30" s="107"/>
      <c r="I30" s="35" t="s">
        <v>15</v>
      </c>
    </row>
    <row r="31" spans="7:9" x14ac:dyDescent="0.25">
      <c r="G31" s="46" t="s">
        <v>72</v>
      </c>
      <c r="H31" s="47"/>
      <c r="I31" s="111"/>
    </row>
    <row r="32" spans="7:9" x14ac:dyDescent="0.25">
      <c r="G32" s="36" t="s">
        <v>70</v>
      </c>
      <c r="H32" s="37"/>
      <c r="I32" s="112"/>
    </row>
    <row r="33" spans="7:9" ht="15.75" thickBot="1" x14ac:dyDescent="0.3">
      <c r="G33" s="38" t="s">
        <v>71</v>
      </c>
      <c r="H33" s="39"/>
      <c r="I33" s="113"/>
    </row>
    <row r="34" spans="7:9" ht="15.75" thickBot="1" x14ac:dyDescent="0.3"/>
    <row r="35" spans="7:9" x14ac:dyDescent="0.25">
      <c r="G35" s="78" t="s">
        <v>20</v>
      </c>
      <c r="H35" s="79"/>
      <c r="I35" s="42" t="s">
        <v>15</v>
      </c>
    </row>
    <row r="36" spans="7:9" x14ac:dyDescent="0.25">
      <c r="G36" s="30" t="s">
        <v>49</v>
      </c>
      <c r="H36" s="31"/>
      <c r="I36" s="94"/>
    </row>
    <row r="37" spans="7:9" x14ac:dyDescent="0.25">
      <c r="G37" s="30" t="s">
        <v>21</v>
      </c>
      <c r="H37" s="49"/>
      <c r="I37" s="95"/>
    </row>
    <row r="38" spans="7:9" ht="15.75" thickBot="1" x14ac:dyDescent="0.3">
      <c r="G38" s="1" t="s">
        <v>22</v>
      </c>
      <c r="H38" s="48"/>
      <c r="I38" s="96"/>
    </row>
  </sheetData>
  <mergeCells count="26">
    <mergeCell ref="I36:I38"/>
    <mergeCell ref="I6:I10"/>
    <mergeCell ref="I26:I28"/>
    <mergeCell ref="C14:D14"/>
    <mergeCell ref="C15:D16"/>
    <mergeCell ref="G20:H20"/>
    <mergeCell ref="G30:H30"/>
    <mergeCell ref="I21:I23"/>
    <mergeCell ref="G35:H35"/>
    <mergeCell ref="I31:I33"/>
    <mergeCell ref="E15:E16"/>
    <mergeCell ref="G25:H25"/>
    <mergeCell ref="K5:L5"/>
    <mergeCell ref="M6:M8"/>
    <mergeCell ref="K10:L10"/>
    <mergeCell ref="M11:M13"/>
    <mergeCell ref="C2:E3"/>
    <mergeCell ref="G2:I3"/>
    <mergeCell ref="K2:M3"/>
    <mergeCell ref="C5:D5"/>
    <mergeCell ref="G12:H12"/>
    <mergeCell ref="C9:D9"/>
    <mergeCell ref="E10:E12"/>
    <mergeCell ref="G5:H5"/>
    <mergeCell ref="E6:E7"/>
    <mergeCell ref="I13:I18"/>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100-000000000000}">
          <x14:formula1>
            <xm:f>'___Dropdown values'!$B$20:$B$21</xm:f>
          </x14:formula1>
          <xm:sqref>H8</xm:sqref>
        </x14:dataValidation>
        <x14:dataValidation type="list" allowBlank="1" showInputMessage="1" showErrorMessage="1" xr:uid="{00000000-0002-0000-0100-000001000000}">
          <x14:formula1>
            <xm:f>'___Dropdown values'!$H$5:$H$6</xm:f>
          </x14:formula1>
          <xm:sqref>G25:H25</xm:sqref>
        </x14:dataValidation>
        <x14:dataValidation type="list" allowBlank="1" showInputMessage="1" showErrorMessage="1" xr:uid="{00000000-0002-0000-0100-000002000000}">
          <x14:formula1>
            <xm:f>'___Dropdown values'!$I$5:$I$6</xm:f>
          </x14:formula1>
          <xm:sqref>G35:H35</xm:sqref>
        </x14:dataValidation>
        <x14:dataValidation type="list" allowBlank="1" showInputMessage="1" showErrorMessage="1" xr:uid="{00000000-0002-0000-0100-000003000000}">
          <x14:formula1>
            <xm:f>'___Dropdown values'!$K$5:$K$6</xm:f>
          </x14:formula1>
          <xm:sqref>G20:H20</xm:sqref>
        </x14:dataValidation>
        <x14:dataValidation type="list" allowBlank="1" showInputMessage="1" showErrorMessage="1" xr:uid="{00000000-0002-0000-0100-000004000000}">
          <x14:formula1>
            <xm:f>'___Dropdown values'!$D$10:$D$11</xm:f>
          </x14:formula1>
          <xm:sqref>H10 H36</xm:sqref>
        </x14:dataValidation>
        <x14:dataValidation type="list" allowBlank="1" showInputMessage="1" showErrorMessage="1" xr:uid="{00000000-0002-0000-0100-000005000000}">
          <x14:formula1>
            <xm:f>'___Dropdown values'!$F$5:$F$6</xm:f>
          </x14:formula1>
          <xm:sqref>G5:H5</xm:sqref>
        </x14:dataValidation>
        <x14:dataValidation type="list" allowBlank="1" showInputMessage="1" showErrorMessage="1" xr:uid="{00000000-0002-0000-0100-000006000000}">
          <x14:formula1>
            <xm:f>'___Dropdown values'!$B$10:$B$17</xm:f>
          </x14:formula1>
          <xm:sqref>H7</xm:sqref>
        </x14:dataValidation>
        <x14:dataValidation type="list" allowBlank="1" showInputMessage="1" showErrorMessage="1" xr:uid="{00000000-0002-0000-0100-000007000000}">
          <x14:formula1>
            <xm:f>'___Dropdown values'!$D$4:$D$5</xm:f>
          </x14:formula1>
          <xm:sqref>H28</xm:sqref>
        </x14:dataValidation>
        <x14:dataValidation type="list" allowBlank="1" showInputMessage="1" showErrorMessage="1" xr:uid="{00000000-0002-0000-0100-000008000000}">
          <x14:formula1>
            <xm:f>'___Dropdown values'!$B$4:$B$7</xm:f>
          </x14:formula1>
          <xm:sqref>D7</xm:sqref>
        </x14:dataValidation>
        <x14:dataValidation type="list" allowBlank="1" showInputMessage="1" showErrorMessage="1" xr:uid="{00000000-0002-0000-0100-000009000000}">
          <x14:formula1>
            <xm:f>'___Dropdown values'!$D$14:$D$15</xm:f>
          </x14:formula1>
          <xm:sqref>L8 L13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111"/>
  <sheetViews>
    <sheetView zoomScale="90" zoomScaleNormal="90" workbookViewId="0">
      <selection activeCell="D12" sqref="D12:E12"/>
    </sheetView>
  </sheetViews>
  <sheetFormatPr defaultRowHeight="15" x14ac:dyDescent="0.25"/>
  <cols>
    <col min="1" max="1" width="19.28515625" customWidth="1"/>
    <col min="2" max="2" width="16.42578125" customWidth="1"/>
    <col min="3" max="3" width="43" bestFit="1" customWidth="1"/>
    <col min="4" max="4" width="31.140625" bestFit="1" customWidth="1"/>
    <col min="5" max="5" width="52.42578125" bestFit="1" customWidth="1"/>
    <col min="6" max="6" width="55.140625" customWidth="1"/>
    <col min="7" max="7" width="43" bestFit="1" customWidth="1"/>
    <col min="8" max="8" width="18.85546875" bestFit="1" customWidth="1"/>
    <col min="9" max="9" width="28" bestFit="1" customWidth="1"/>
    <col min="10" max="10" width="13.42578125" bestFit="1" customWidth="1"/>
    <col min="14" max="14" width="9.5703125" style="24" customWidth="1"/>
    <col min="15" max="15" width="9.140625" style="24"/>
  </cols>
  <sheetData>
    <row r="1" spans="4:15" ht="15.75" thickBot="1" x14ac:dyDescent="0.3"/>
    <row r="2" spans="4:15" x14ac:dyDescent="0.25">
      <c r="D2" s="78" t="s">
        <v>2</v>
      </c>
      <c r="E2" s="79"/>
      <c r="F2" s="29" t="s">
        <v>15</v>
      </c>
    </row>
    <row r="3" spans="4:15" x14ac:dyDescent="0.25">
      <c r="D3" s="30" t="s">
        <v>1</v>
      </c>
      <c r="E3" s="33" t="s">
        <v>13</v>
      </c>
      <c r="F3" s="89" t="s">
        <v>45</v>
      </c>
    </row>
    <row r="4" spans="4:15" ht="15.75" thickBot="1" x14ac:dyDescent="0.3">
      <c r="D4" s="1" t="s">
        <v>24</v>
      </c>
      <c r="E4" s="17" t="s">
        <v>33</v>
      </c>
      <c r="F4" s="90"/>
    </row>
    <row r="6" spans="4:15" s="2" customFormat="1" ht="15.75" thickBot="1" x14ac:dyDescent="0.3">
      <c r="D6" s="119" t="s">
        <v>8</v>
      </c>
      <c r="E6" s="119"/>
    </row>
    <row r="7" spans="4:15" ht="15.75" thickBot="1" x14ac:dyDescent="0.3">
      <c r="I7" s="24"/>
      <c r="J7" s="24"/>
      <c r="N7"/>
      <c r="O7"/>
    </row>
    <row r="8" spans="4:15" x14ac:dyDescent="0.25">
      <c r="D8" s="78" t="s">
        <v>2</v>
      </c>
      <c r="E8" s="79"/>
      <c r="F8" s="50" t="s">
        <v>15</v>
      </c>
      <c r="I8" s="24"/>
      <c r="J8" s="24"/>
      <c r="N8"/>
      <c r="O8"/>
    </row>
    <row r="9" spans="4:15" x14ac:dyDescent="0.25">
      <c r="D9" s="30" t="s">
        <v>1</v>
      </c>
      <c r="E9" s="33" t="s">
        <v>44</v>
      </c>
      <c r="F9" s="89"/>
      <c r="I9" s="24"/>
      <c r="J9" s="24"/>
      <c r="N9"/>
      <c r="O9"/>
    </row>
    <row r="10" spans="4:15" ht="15.75" thickBot="1" x14ac:dyDescent="0.3">
      <c r="D10" s="45" t="s">
        <v>24</v>
      </c>
      <c r="E10" s="17" t="s">
        <v>33</v>
      </c>
      <c r="F10" s="90"/>
      <c r="I10" s="24"/>
      <c r="J10" s="24"/>
      <c r="N10"/>
      <c r="O10"/>
    </row>
    <row r="11" spans="4:15" ht="15.75" thickBot="1" x14ac:dyDescent="0.3">
      <c r="D11" s="57"/>
      <c r="E11" s="55"/>
      <c r="F11" s="58"/>
      <c r="I11" s="56"/>
      <c r="J11" s="56"/>
      <c r="N11"/>
      <c r="O11"/>
    </row>
    <row r="12" spans="4:15" x14ac:dyDescent="0.25">
      <c r="D12" s="61" t="s">
        <v>83</v>
      </c>
      <c r="E12" s="62"/>
      <c r="F12" s="52" t="s">
        <v>15</v>
      </c>
      <c r="I12" s="56"/>
      <c r="J12" s="56"/>
      <c r="N12"/>
      <c r="O12"/>
    </row>
    <row r="13" spans="4:15" x14ac:dyDescent="0.25">
      <c r="D13" s="5" t="s">
        <v>37</v>
      </c>
      <c r="E13" s="20" t="str">
        <f>E3</f>
        <v>Sample</v>
      </c>
      <c r="F13" s="63"/>
      <c r="I13" s="56"/>
      <c r="J13" s="56"/>
      <c r="N13"/>
      <c r="O13"/>
    </row>
    <row r="14" spans="4:15" x14ac:dyDescent="0.25">
      <c r="D14" s="5" t="s">
        <v>92</v>
      </c>
      <c r="E14" s="20" t="str">
        <f>Worklist!D1</f>
        <v>Sample Location</v>
      </c>
      <c r="F14" s="64"/>
      <c r="I14" s="56"/>
      <c r="J14" s="56"/>
      <c r="N14"/>
      <c r="O14"/>
    </row>
    <row r="15" spans="4:15" ht="15.75" thickBot="1" x14ac:dyDescent="0.3">
      <c r="D15" s="6" t="s">
        <v>84</v>
      </c>
      <c r="E15" s="21" t="s">
        <v>86</v>
      </c>
      <c r="F15" s="65"/>
      <c r="I15" s="56"/>
      <c r="J15" s="56"/>
      <c r="N15"/>
      <c r="O15"/>
    </row>
    <row r="16" spans="4:15" ht="15.75" thickBot="1" x14ac:dyDescent="0.3">
      <c r="D16" s="24"/>
      <c r="E16" s="24"/>
      <c r="N16"/>
      <c r="O16"/>
    </row>
    <row r="17" spans="1:15" x14ac:dyDescent="0.25">
      <c r="D17" s="87" t="s">
        <v>0</v>
      </c>
      <c r="E17" s="88"/>
      <c r="F17" s="51" t="s">
        <v>15</v>
      </c>
      <c r="N17"/>
      <c r="O17"/>
    </row>
    <row r="18" spans="1:15" x14ac:dyDescent="0.25">
      <c r="A18" t="s">
        <v>81</v>
      </c>
      <c r="D18" s="3" t="s">
        <v>37</v>
      </c>
      <c r="E18" s="13" t="str">
        <f>E26</f>
        <v>7M GnHCl, 100mM Tris pH 8.3, 5mM L-Met</v>
      </c>
      <c r="F18" s="97" t="s">
        <v>82</v>
      </c>
      <c r="N18"/>
      <c r="O18"/>
    </row>
    <row r="19" spans="1:15" x14ac:dyDescent="0.25">
      <c r="D19" s="3" t="s">
        <v>54</v>
      </c>
      <c r="E19" s="13" t="s">
        <v>66</v>
      </c>
      <c r="F19" s="98"/>
      <c r="N19"/>
      <c r="O19"/>
    </row>
    <row r="20" spans="1:15" x14ac:dyDescent="0.25">
      <c r="D20" s="3" t="s">
        <v>52</v>
      </c>
      <c r="E20" s="13" t="s">
        <v>59</v>
      </c>
      <c r="F20" s="98"/>
      <c r="G20" s="24"/>
      <c r="N20"/>
      <c r="O20"/>
    </row>
    <row r="21" spans="1:15" x14ac:dyDescent="0.25">
      <c r="D21" s="3" t="s">
        <v>11</v>
      </c>
      <c r="E21" s="13">
        <v>0</v>
      </c>
      <c r="F21" s="98"/>
      <c r="G21" s="24"/>
      <c r="N21"/>
      <c r="O21"/>
    </row>
    <row r="22" spans="1:15" ht="15.75" thickBot="1" x14ac:dyDescent="0.3">
      <c r="D22" s="4" t="s">
        <v>40</v>
      </c>
      <c r="E22" s="14" t="s">
        <v>41</v>
      </c>
      <c r="F22" s="99"/>
      <c r="G22" s="24"/>
      <c r="N22"/>
      <c r="O22"/>
    </row>
    <row r="23" spans="1:15" ht="15.75" thickBot="1" x14ac:dyDescent="0.3">
      <c r="D23" s="24"/>
      <c r="E23" s="24"/>
      <c r="G23" s="24"/>
      <c r="N23"/>
      <c r="O23"/>
    </row>
    <row r="24" spans="1:15" x14ac:dyDescent="0.25">
      <c r="D24" s="114" t="s">
        <v>16</v>
      </c>
      <c r="E24" s="115"/>
      <c r="F24" s="53" t="s">
        <v>15</v>
      </c>
      <c r="N24"/>
      <c r="O24"/>
    </row>
    <row r="25" spans="1:15" x14ac:dyDescent="0.25">
      <c r="D25" s="7" t="s">
        <v>37</v>
      </c>
      <c r="E25" s="15" t="str">
        <f>E3</f>
        <v>Sample</v>
      </c>
      <c r="F25" s="116"/>
      <c r="N25"/>
      <c r="O25"/>
    </row>
    <row r="26" spans="1:15" x14ac:dyDescent="0.25">
      <c r="D26" s="7" t="s">
        <v>3</v>
      </c>
      <c r="E26" s="15" t="s">
        <v>75</v>
      </c>
      <c r="F26" s="117"/>
      <c r="N26"/>
      <c r="O26"/>
    </row>
    <row r="27" spans="1:15" x14ac:dyDescent="0.25">
      <c r="D27" s="7" t="s">
        <v>6</v>
      </c>
      <c r="E27" s="15" t="str">
        <f>Worklist!E1</f>
        <v>Concentration</v>
      </c>
      <c r="F27" s="117"/>
      <c r="N27"/>
      <c r="O27"/>
    </row>
    <row r="28" spans="1:15" x14ac:dyDescent="0.25">
      <c r="D28" s="7" t="s">
        <v>7</v>
      </c>
      <c r="E28" s="15">
        <v>1</v>
      </c>
      <c r="F28" s="117"/>
      <c r="N28"/>
      <c r="O28"/>
    </row>
    <row r="29" spans="1:15" x14ac:dyDescent="0.25">
      <c r="D29" s="7" t="s">
        <v>10</v>
      </c>
      <c r="E29" s="15">
        <v>120</v>
      </c>
      <c r="F29" s="117"/>
      <c r="N29"/>
      <c r="O29"/>
    </row>
    <row r="30" spans="1:15" ht="15.75" thickBot="1" x14ac:dyDescent="0.3">
      <c r="D30" s="8" t="s">
        <v>99</v>
      </c>
      <c r="E30" s="16">
        <v>120</v>
      </c>
      <c r="F30" s="118"/>
      <c r="J30" s="24"/>
      <c r="N30"/>
      <c r="O30"/>
    </row>
    <row r="31" spans="1:15" ht="15.75" thickBot="1" x14ac:dyDescent="0.3">
      <c r="F31" s="59"/>
      <c r="I31" s="59"/>
      <c r="J31" s="59"/>
      <c r="N31"/>
      <c r="O31"/>
    </row>
    <row r="32" spans="1:15" x14ac:dyDescent="0.25">
      <c r="D32" s="87" t="s">
        <v>0</v>
      </c>
      <c r="E32" s="88"/>
      <c r="F32" s="51" t="s">
        <v>15</v>
      </c>
      <c r="I32" s="24"/>
      <c r="J32" s="24"/>
      <c r="N32"/>
      <c r="O32"/>
    </row>
    <row r="33" spans="4:15" x14ac:dyDescent="0.25">
      <c r="D33" s="3" t="s">
        <v>37</v>
      </c>
      <c r="E33" s="13" t="s">
        <v>76</v>
      </c>
      <c r="F33" s="97"/>
      <c r="I33" s="24"/>
      <c r="J33" s="24"/>
      <c r="N33"/>
      <c r="O33"/>
    </row>
    <row r="34" spans="4:15" x14ac:dyDescent="0.25">
      <c r="D34" s="3" t="s">
        <v>54</v>
      </c>
      <c r="E34" s="13" t="s">
        <v>62</v>
      </c>
      <c r="F34" s="98"/>
      <c r="I34" s="24"/>
      <c r="J34" s="24"/>
      <c r="N34"/>
      <c r="O34"/>
    </row>
    <row r="35" spans="4:15" x14ac:dyDescent="0.25">
      <c r="D35" s="3" t="s">
        <v>52</v>
      </c>
      <c r="E35" s="13" t="s">
        <v>59</v>
      </c>
      <c r="F35" s="98"/>
      <c r="I35" s="24"/>
      <c r="J35" s="24"/>
      <c r="N35"/>
      <c r="O35"/>
    </row>
    <row r="36" spans="4:15" x14ac:dyDescent="0.25">
      <c r="D36" s="3" t="s">
        <v>11</v>
      </c>
      <c r="E36" s="13">
        <v>2.4</v>
      </c>
      <c r="F36" s="98"/>
      <c r="I36" s="24"/>
      <c r="J36" s="24"/>
      <c r="N36"/>
      <c r="O36"/>
    </row>
    <row r="37" spans="4:15" ht="15.75" thickBot="1" x14ac:dyDescent="0.3">
      <c r="D37" s="4" t="s">
        <v>40</v>
      </c>
      <c r="E37" s="14" t="s">
        <v>41</v>
      </c>
      <c r="F37" s="99"/>
      <c r="I37" s="24"/>
      <c r="J37" s="24"/>
      <c r="N37"/>
      <c r="O37"/>
    </row>
    <row r="38" spans="4:15" ht="15.75" thickBot="1" x14ac:dyDescent="0.3">
      <c r="I38" s="24"/>
      <c r="J38" s="24"/>
      <c r="N38"/>
      <c r="O38"/>
    </row>
    <row r="39" spans="4:15" x14ac:dyDescent="0.25">
      <c r="D39" s="104" t="s">
        <v>38</v>
      </c>
      <c r="E39" s="105"/>
      <c r="F39" s="54" t="s">
        <v>15</v>
      </c>
      <c r="I39" s="24"/>
      <c r="J39" s="24"/>
      <c r="N39"/>
      <c r="O39"/>
    </row>
    <row r="40" spans="4:15" x14ac:dyDescent="0.25">
      <c r="D40" s="11" t="s">
        <v>12</v>
      </c>
      <c r="E40" s="22">
        <v>30</v>
      </c>
      <c r="F40" s="108"/>
      <c r="I40" s="24"/>
      <c r="J40" s="24"/>
      <c r="N40"/>
      <c r="O40"/>
    </row>
    <row r="41" spans="4:15" x14ac:dyDescent="0.25">
      <c r="D41" s="11" t="s">
        <v>9</v>
      </c>
      <c r="E41" s="22">
        <v>30</v>
      </c>
      <c r="F41" s="109"/>
      <c r="I41" s="24"/>
      <c r="J41" s="24"/>
      <c r="N41"/>
      <c r="O41"/>
    </row>
    <row r="42" spans="4:15" ht="15.75" thickBot="1" x14ac:dyDescent="0.3">
      <c r="D42" s="12" t="s">
        <v>19</v>
      </c>
      <c r="E42" s="23">
        <v>0</v>
      </c>
      <c r="F42" s="110"/>
      <c r="I42" s="24"/>
      <c r="J42" s="24"/>
      <c r="N42"/>
      <c r="O42"/>
    </row>
    <row r="43" spans="4:15" ht="15.75" thickBot="1" x14ac:dyDescent="0.3">
      <c r="I43" s="24"/>
      <c r="J43" s="24"/>
      <c r="N43"/>
      <c r="O43"/>
    </row>
    <row r="44" spans="4:15" x14ac:dyDescent="0.25">
      <c r="D44" s="87" t="s">
        <v>0</v>
      </c>
      <c r="E44" s="88"/>
      <c r="F44" s="51" t="s">
        <v>15</v>
      </c>
      <c r="I44" s="24"/>
      <c r="J44" s="24"/>
      <c r="N44"/>
      <c r="O44"/>
    </row>
    <row r="45" spans="4:15" x14ac:dyDescent="0.25">
      <c r="D45" s="3" t="s">
        <v>37</v>
      </c>
      <c r="E45" s="13" t="s">
        <v>77</v>
      </c>
      <c r="F45" s="97"/>
      <c r="I45" s="24"/>
      <c r="J45" s="24"/>
      <c r="N45"/>
      <c r="O45"/>
    </row>
    <row r="46" spans="4:15" x14ac:dyDescent="0.25">
      <c r="D46" s="3" t="s">
        <v>54</v>
      </c>
      <c r="E46" s="13" t="s">
        <v>63</v>
      </c>
      <c r="F46" s="98"/>
      <c r="I46" s="24"/>
      <c r="J46" s="24"/>
      <c r="N46"/>
      <c r="O46"/>
    </row>
    <row r="47" spans="4:15" x14ac:dyDescent="0.25">
      <c r="D47" s="3" t="s">
        <v>52</v>
      </c>
      <c r="E47" s="13" t="s">
        <v>59</v>
      </c>
      <c r="F47" s="98"/>
      <c r="I47" s="24"/>
      <c r="J47" s="24"/>
      <c r="N47"/>
      <c r="O47"/>
    </row>
    <row r="48" spans="4:15" x14ac:dyDescent="0.25">
      <c r="D48" s="3" t="s">
        <v>11</v>
      </c>
      <c r="E48" s="13">
        <v>6</v>
      </c>
      <c r="F48" s="98"/>
      <c r="I48" s="24"/>
      <c r="J48" s="24"/>
      <c r="N48"/>
      <c r="O48"/>
    </row>
    <row r="49" spans="4:15" ht="15.75" thickBot="1" x14ac:dyDescent="0.3">
      <c r="D49" s="4" t="s">
        <v>40</v>
      </c>
      <c r="E49" s="14" t="s">
        <v>41</v>
      </c>
      <c r="F49" s="99"/>
      <c r="I49" s="24"/>
      <c r="J49" s="24"/>
      <c r="N49"/>
      <c r="O49"/>
    </row>
    <row r="50" spans="4:15" ht="15.75" thickBot="1" x14ac:dyDescent="0.3">
      <c r="I50" s="24"/>
      <c r="J50" s="24"/>
      <c r="N50"/>
      <c r="O50"/>
    </row>
    <row r="51" spans="4:15" x14ac:dyDescent="0.25">
      <c r="D51" s="104" t="s">
        <v>38</v>
      </c>
      <c r="E51" s="105"/>
      <c r="F51" s="54" t="s">
        <v>15</v>
      </c>
      <c r="I51" s="24"/>
      <c r="J51" s="24"/>
      <c r="N51"/>
      <c r="O51"/>
    </row>
    <row r="52" spans="4:15" x14ac:dyDescent="0.25">
      <c r="D52" s="11" t="s">
        <v>12</v>
      </c>
      <c r="E52" s="22">
        <v>25</v>
      </c>
      <c r="F52" s="108"/>
      <c r="I52" s="24"/>
      <c r="J52" s="24"/>
      <c r="N52"/>
      <c r="O52"/>
    </row>
    <row r="53" spans="4:15" x14ac:dyDescent="0.25">
      <c r="D53" s="11" t="s">
        <v>9</v>
      </c>
      <c r="E53" s="22">
        <v>30</v>
      </c>
      <c r="F53" s="109"/>
      <c r="I53" s="24"/>
      <c r="J53" s="24"/>
      <c r="N53"/>
      <c r="O53"/>
    </row>
    <row r="54" spans="4:15" ht="15.75" thickBot="1" x14ac:dyDescent="0.3">
      <c r="D54" s="12" t="s">
        <v>19</v>
      </c>
      <c r="E54" s="23">
        <v>0</v>
      </c>
      <c r="F54" s="110"/>
      <c r="I54" s="24"/>
      <c r="J54" s="24"/>
      <c r="N54"/>
      <c r="O54"/>
    </row>
    <row r="55" spans="4:15" ht="15.75" thickBot="1" x14ac:dyDescent="0.3">
      <c r="I55" s="24"/>
      <c r="J55" s="24"/>
      <c r="N55"/>
      <c r="O55"/>
    </row>
    <row r="56" spans="4:15" x14ac:dyDescent="0.25">
      <c r="D56" s="78" t="s">
        <v>2</v>
      </c>
      <c r="E56" s="79"/>
      <c r="F56" s="50" t="s">
        <v>15</v>
      </c>
      <c r="I56" s="24"/>
      <c r="J56" s="24"/>
      <c r="N56"/>
      <c r="O56"/>
    </row>
    <row r="57" spans="4:15" x14ac:dyDescent="0.25">
      <c r="D57" s="30" t="s">
        <v>1</v>
      </c>
      <c r="E57" s="33" t="s">
        <v>67</v>
      </c>
      <c r="F57" s="89"/>
      <c r="I57" s="24"/>
      <c r="J57" s="24"/>
      <c r="N57"/>
      <c r="O57"/>
    </row>
    <row r="58" spans="4:15" ht="15.75" thickBot="1" x14ac:dyDescent="0.3">
      <c r="D58" s="45" t="s">
        <v>24</v>
      </c>
      <c r="E58" s="32" t="s">
        <v>33</v>
      </c>
      <c r="F58" s="90"/>
      <c r="I58" s="24"/>
      <c r="J58" s="24"/>
      <c r="N58"/>
      <c r="O58"/>
    </row>
    <row r="59" spans="4:15" ht="15.75" thickBot="1" x14ac:dyDescent="0.3">
      <c r="I59" s="24"/>
      <c r="J59" s="24"/>
      <c r="N59"/>
      <c r="O59"/>
    </row>
    <row r="60" spans="4:15" x14ac:dyDescent="0.25">
      <c r="D60" s="61" t="s">
        <v>5</v>
      </c>
      <c r="E60" s="62"/>
      <c r="F60" s="52" t="s">
        <v>15</v>
      </c>
      <c r="I60" s="24"/>
      <c r="J60" s="24"/>
      <c r="N60"/>
      <c r="O60"/>
    </row>
    <row r="61" spans="4:15" x14ac:dyDescent="0.25">
      <c r="D61" s="5" t="s">
        <v>37</v>
      </c>
      <c r="E61" s="20" t="str">
        <f>E9</f>
        <v>Denaturation</v>
      </c>
      <c r="F61" s="63"/>
      <c r="I61" s="24"/>
      <c r="J61" s="24"/>
      <c r="N61"/>
      <c r="O61"/>
    </row>
    <row r="62" spans="4:15" x14ac:dyDescent="0.25">
      <c r="D62" s="5" t="s">
        <v>36</v>
      </c>
      <c r="E62" s="20" t="s">
        <v>78</v>
      </c>
      <c r="F62" s="64"/>
      <c r="I62" s="24"/>
      <c r="J62" s="24"/>
      <c r="N62"/>
      <c r="O62"/>
    </row>
    <row r="63" spans="4:15" ht="15.75" thickBot="1" x14ac:dyDescent="0.3">
      <c r="D63" s="6" t="s">
        <v>24</v>
      </c>
      <c r="E63" s="21" t="s">
        <v>68</v>
      </c>
      <c r="F63" s="65"/>
      <c r="I63" s="24"/>
      <c r="J63" s="24"/>
      <c r="N63"/>
      <c r="O63"/>
    </row>
    <row r="64" spans="4:15" ht="15.75" thickBot="1" x14ac:dyDescent="0.3">
      <c r="I64" s="24"/>
      <c r="J64" s="24"/>
      <c r="N64"/>
      <c r="O64"/>
    </row>
    <row r="65" spans="4:15" x14ac:dyDescent="0.25">
      <c r="D65" s="78" t="s">
        <v>2</v>
      </c>
      <c r="E65" s="79"/>
      <c r="F65" s="50" t="s">
        <v>15</v>
      </c>
      <c r="I65" s="24"/>
      <c r="J65" s="24"/>
      <c r="N65"/>
      <c r="O65"/>
    </row>
    <row r="66" spans="4:15" x14ac:dyDescent="0.25">
      <c r="D66" s="30" t="s">
        <v>1</v>
      </c>
      <c r="E66" s="33" t="s">
        <v>74</v>
      </c>
      <c r="F66" s="89"/>
      <c r="I66" s="24"/>
      <c r="J66" s="24"/>
      <c r="N66"/>
      <c r="O66"/>
    </row>
    <row r="67" spans="4:15" ht="15.75" thickBot="1" x14ac:dyDescent="0.3">
      <c r="D67" s="45" t="s">
        <v>24</v>
      </c>
      <c r="E67" s="32" t="s">
        <v>33</v>
      </c>
      <c r="F67" s="90"/>
      <c r="I67" s="24"/>
      <c r="J67" s="24"/>
      <c r="N67"/>
      <c r="O67"/>
    </row>
    <row r="68" spans="4:15" ht="15.75" thickBot="1" x14ac:dyDescent="0.3">
      <c r="I68" s="24"/>
      <c r="J68" s="24"/>
      <c r="N68"/>
      <c r="O68"/>
    </row>
    <row r="69" spans="4:15" x14ac:dyDescent="0.25">
      <c r="D69" s="78" t="s">
        <v>20</v>
      </c>
      <c r="E69" s="79"/>
      <c r="F69" s="42" t="s">
        <v>15</v>
      </c>
      <c r="I69" s="59"/>
      <c r="J69" s="59"/>
      <c r="N69"/>
      <c r="O69"/>
    </row>
    <row r="70" spans="4:15" x14ac:dyDescent="0.25">
      <c r="D70" s="30" t="s">
        <v>49</v>
      </c>
      <c r="E70" s="31" t="s">
        <v>41</v>
      </c>
      <c r="F70" s="94"/>
      <c r="I70" s="59"/>
      <c r="J70" s="59"/>
      <c r="N70"/>
      <c r="O70"/>
    </row>
    <row r="71" spans="4:15" x14ac:dyDescent="0.25">
      <c r="D71" s="30" t="s">
        <v>21</v>
      </c>
      <c r="E71" s="49" t="s">
        <v>95</v>
      </c>
      <c r="F71" s="95"/>
      <c r="I71" s="59"/>
      <c r="J71" s="59"/>
      <c r="N71"/>
      <c r="O71"/>
    </row>
    <row r="72" spans="4:15" ht="60.75" thickBot="1" x14ac:dyDescent="0.3">
      <c r="D72" s="1" t="s">
        <v>22</v>
      </c>
      <c r="E72" s="48" t="s">
        <v>96</v>
      </c>
      <c r="F72" s="96"/>
      <c r="I72" s="59"/>
      <c r="J72" s="59"/>
      <c r="N72"/>
      <c r="O72"/>
    </row>
    <row r="73" spans="4:15" ht="15.75" thickBot="1" x14ac:dyDescent="0.3">
      <c r="I73" s="59"/>
      <c r="J73" s="59"/>
      <c r="N73"/>
      <c r="O73"/>
    </row>
    <row r="74" spans="4:15" x14ac:dyDescent="0.25">
      <c r="D74" s="114" t="s">
        <v>16</v>
      </c>
      <c r="E74" s="115"/>
      <c r="F74" s="53" t="s">
        <v>15</v>
      </c>
      <c r="G74" s="24"/>
      <c r="N74"/>
      <c r="O74"/>
    </row>
    <row r="75" spans="4:15" x14ac:dyDescent="0.25">
      <c r="D75" s="7" t="s">
        <v>37</v>
      </c>
      <c r="E75" s="15" t="str">
        <f>E57</f>
        <v>Desalting</v>
      </c>
      <c r="F75" s="116"/>
      <c r="G75" s="24"/>
      <c r="N75"/>
      <c r="O75"/>
    </row>
    <row r="76" spans="4:15" x14ac:dyDescent="0.25">
      <c r="D76" s="7" t="s">
        <v>3</v>
      </c>
      <c r="E76" s="15" t="str">
        <f>E62</f>
        <v>50mM Tris pH 7.9, 5mM L-Met</v>
      </c>
      <c r="F76" s="117"/>
      <c r="G76" s="24"/>
      <c r="N76"/>
      <c r="O76"/>
    </row>
    <row r="77" spans="4:15" x14ac:dyDescent="0.25">
      <c r="D77" s="7" t="s">
        <v>6</v>
      </c>
      <c r="E77" s="15" t="str">
        <f>Worklist!F1</f>
        <v>Desalting Concentration</v>
      </c>
      <c r="F77" s="117"/>
      <c r="G77" s="24"/>
      <c r="N77"/>
      <c r="O77"/>
    </row>
    <row r="78" spans="4:15" x14ac:dyDescent="0.25">
      <c r="D78" s="7" t="s">
        <v>7</v>
      </c>
      <c r="E78" s="15">
        <v>0.5</v>
      </c>
      <c r="F78" s="117"/>
      <c r="G78" s="24"/>
      <c r="N78"/>
      <c r="O78"/>
    </row>
    <row r="79" spans="4:15" x14ac:dyDescent="0.25">
      <c r="D79" s="7" t="s">
        <v>10</v>
      </c>
      <c r="E79" s="15">
        <v>100</v>
      </c>
      <c r="F79" s="117"/>
      <c r="G79" s="24"/>
      <c r="N79"/>
      <c r="O79"/>
    </row>
    <row r="80" spans="4:15" ht="15.75" thickBot="1" x14ac:dyDescent="0.3">
      <c r="D80" s="8" t="s">
        <v>99</v>
      </c>
      <c r="E80" s="16">
        <v>70</v>
      </c>
      <c r="F80" s="118"/>
      <c r="G80" s="24"/>
      <c r="N80"/>
      <c r="O80"/>
    </row>
    <row r="81" spans="4:15" ht="15.75" thickBot="1" x14ac:dyDescent="0.3">
      <c r="I81" s="59"/>
      <c r="J81" s="59"/>
      <c r="N81"/>
      <c r="O81"/>
    </row>
    <row r="82" spans="4:15" x14ac:dyDescent="0.25">
      <c r="D82" s="87" t="s">
        <v>0</v>
      </c>
      <c r="E82" s="88"/>
      <c r="F82" s="51" t="s">
        <v>15</v>
      </c>
      <c r="I82" s="24"/>
      <c r="J82" s="24"/>
      <c r="N82"/>
      <c r="O82"/>
    </row>
    <row r="83" spans="4:15" x14ac:dyDescent="0.25">
      <c r="D83" s="3" t="s">
        <v>37</v>
      </c>
      <c r="E83" s="13" t="s">
        <v>80</v>
      </c>
      <c r="F83" s="97"/>
      <c r="I83" s="24"/>
      <c r="J83" s="24"/>
      <c r="N83"/>
      <c r="O83"/>
    </row>
    <row r="84" spans="4:15" x14ac:dyDescent="0.25">
      <c r="D84" s="3" t="s">
        <v>54</v>
      </c>
      <c r="E84" s="13" t="s">
        <v>14</v>
      </c>
      <c r="F84" s="98"/>
      <c r="I84" s="24"/>
      <c r="J84" s="24"/>
      <c r="N84"/>
      <c r="O84"/>
    </row>
    <row r="85" spans="4:15" x14ac:dyDescent="0.25">
      <c r="D85" s="3" t="s">
        <v>52</v>
      </c>
      <c r="E85" s="13" t="s">
        <v>60</v>
      </c>
      <c r="F85" s="98"/>
      <c r="I85" s="24"/>
      <c r="J85" s="24"/>
      <c r="N85"/>
      <c r="O85"/>
    </row>
    <row r="86" spans="4:15" x14ac:dyDescent="0.25">
      <c r="D86" s="3" t="s">
        <v>11</v>
      </c>
      <c r="E86" s="13">
        <v>5</v>
      </c>
      <c r="F86" s="98"/>
      <c r="I86" s="24"/>
      <c r="J86" s="24"/>
      <c r="N86"/>
      <c r="O86"/>
    </row>
    <row r="87" spans="4:15" ht="15.75" thickBot="1" x14ac:dyDescent="0.3">
      <c r="D87" s="4" t="s">
        <v>40</v>
      </c>
      <c r="E87" s="14" t="s">
        <v>41</v>
      </c>
      <c r="F87" s="99"/>
      <c r="I87" s="24"/>
      <c r="J87" s="24"/>
      <c r="N87"/>
      <c r="O87"/>
    </row>
    <row r="88" spans="4:15" ht="15.75" thickBot="1" x14ac:dyDescent="0.3">
      <c r="I88" s="24"/>
      <c r="J88" s="24"/>
      <c r="N88"/>
      <c r="O88"/>
    </row>
    <row r="89" spans="4:15" x14ac:dyDescent="0.25">
      <c r="D89" s="104" t="s">
        <v>38</v>
      </c>
      <c r="E89" s="105"/>
      <c r="F89" s="54" t="s">
        <v>15</v>
      </c>
      <c r="I89" s="24"/>
      <c r="J89" s="24"/>
      <c r="N89"/>
      <c r="O89"/>
    </row>
    <row r="90" spans="4:15" x14ac:dyDescent="0.25">
      <c r="D90" s="11" t="s">
        <v>12</v>
      </c>
      <c r="E90" s="22">
        <v>37</v>
      </c>
      <c r="F90" s="108"/>
      <c r="I90" s="24"/>
      <c r="J90" s="24"/>
      <c r="N90"/>
      <c r="O90"/>
    </row>
    <row r="91" spans="4:15" x14ac:dyDescent="0.25">
      <c r="D91" s="11" t="s">
        <v>9</v>
      </c>
      <c r="E91" s="22">
        <v>60</v>
      </c>
      <c r="F91" s="109"/>
      <c r="I91" s="24"/>
      <c r="J91" s="24"/>
      <c r="N91"/>
      <c r="O91"/>
    </row>
    <row r="92" spans="4:15" ht="15.75" thickBot="1" x14ac:dyDescent="0.3">
      <c r="D92" s="12" t="s">
        <v>19</v>
      </c>
      <c r="E92" s="23">
        <v>0</v>
      </c>
      <c r="F92" s="110"/>
      <c r="I92" s="24"/>
      <c r="J92" s="24"/>
      <c r="N92"/>
      <c r="O92"/>
    </row>
    <row r="93" spans="4:15" ht="15.75" thickBot="1" x14ac:dyDescent="0.3">
      <c r="I93" s="24"/>
      <c r="J93" s="24"/>
      <c r="N93"/>
      <c r="O93"/>
    </row>
    <row r="94" spans="4:15" x14ac:dyDescent="0.25">
      <c r="D94" s="87" t="s">
        <v>0</v>
      </c>
      <c r="E94" s="88"/>
      <c r="F94" s="51" t="s">
        <v>15</v>
      </c>
      <c r="I94" s="24"/>
      <c r="J94" s="24"/>
      <c r="N94"/>
      <c r="O94"/>
    </row>
    <row r="95" spans="4:15" x14ac:dyDescent="0.25">
      <c r="D95" s="3" t="s">
        <v>37</v>
      </c>
      <c r="E95" s="13" t="s">
        <v>73</v>
      </c>
      <c r="F95" s="97"/>
      <c r="I95" s="24"/>
      <c r="J95" s="24"/>
      <c r="N95"/>
      <c r="O95"/>
    </row>
    <row r="96" spans="4:15" x14ac:dyDescent="0.25">
      <c r="D96" s="3" t="s">
        <v>54</v>
      </c>
      <c r="E96" s="13" t="s">
        <v>64</v>
      </c>
      <c r="F96" s="98"/>
      <c r="I96" s="24"/>
      <c r="J96" s="24"/>
      <c r="N96"/>
      <c r="O96"/>
    </row>
    <row r="97" spans="4:15" x14ac:dyDescent="0.25">
      <c r="D97" s="3" t="s">
        <v>52</v>
      </c>
      <c r="E97" s="13" t="s">
        <v>59</v>
      </c>
      <c r="F97" s="98"/>
      <c r="I97" s="24"/>
      <c r="J97" s="24"/>
      <c r="N97"/>
      <c r="O97"/>
    </row>
    <row r="98" spans="4:15" x14ac:dyDescent="0.25">
      <c r="D98" s="3" t="s">
        <v>11</v>
      </c>
      <c r="E98" s="13">
        <v>2</v>
      </c>
      <c r="F98" s="98"/>
      <c r="I98" s="24"/>
      <c r="J98" s="24"/>
      <c r="N98"/>
      <c r="O98"/>
    </row>
    <row r="99" spans="4:15" ht="15.75" thickBot="1" x14ac:dyDescent="0.3">
      <c r="D99" s="4" t="s">
        <v>40</v>
      </c>
      <c r="E99" s="14" t="s">
        <v>41</v>
      </c>
      <c r="F99" s="99"/>
      <c r="I99" s="24"/>
      <c r="J99" s="24"/>
      <c r="N99"/>
      <c r="O99"/>
    </row>
    <row r="100" spans="4:15" ht="15.75" thickBot="1" x14ac:dyDescent="0.3">
      <c r="I100" s="24"/>
      <c r="J100" s="24"/>
      <c r="N100"/>
      <c r="O100"/>
    </row>
    <row r="101" spans="4:15" x14ac:dyDescent="0.25">
      <c r="D101" s="78" t="s">
        <v>20</v>
      </c>
      <c r="E101" s="79"/>
      <c r="F101" s="42" t="s">
        <v>15</v>
      </c>
      <c r="I101" s="59"/>
      <c r="J101" s="59"/>
      <c r="N101"/>
      <c r="O101"/>
    </row>
    <row r="102" spans="4:15" x14ac:dyDescent="0.25">
      <c r="D102" s="30" t="s">
        <v>49</v>
      </c>
      <c r="E102" s="31" t="s">
        <v>41</v>
      </c>
      <c r="F102" s="94"/>
      <c r="I102" s="59"/>
      <c r="J102" s="59"/>
      <c r="N102"/>
      <c r="O102"/>
    </row>
    <row r="103" spans="4:15" x14ac:dyDescent="0.25">
      <c r="D103" s="30" t="s">
        <v>21</v>
      </c>
      <c r="E103" s="49" t="s">
        <v>97</v>
      </c>
      <c r="F103" s="95"/>
      <c r="I103" s="59"/>
      <c r="J103" s="59"/>
      <c r="N103"/>
      <c r="O103"/>
    </row>
    <row r="104" spans="4:15" ht="30.75" thickBot="1" x14ac:dyDescent="0.3">
      <c r="D104" s="1" t="s">
        <v>22</v>
      </c>
      <c r="E104" s="48" t="s">
        <v>98</v>
      </c>
      <c r="F104" s="96"/>
      <c r="I104" s="59"/>
      <c r="J104" s="59"/>
      <c r="N104"/>
      <c r="O104"/>
    </row>
    <row r="105" spans="4:15" ht="15.75" thickBot="1" x14ac:dyDescent="0.3">
      <c r="I105" s="59"/>
      <c r="J105" s="59"/>
      <c r="N105"/>
      <c r="O105"/>
    </row>
    <row r="106" spans="4:15" x14ac:dyDescent="0.25">
      <c r="D106" s="78" t="s">
        <v>51</v>
      </c>
      <c r="E106" s="79"/>
      <c r="F106" s="50" t="s">
        <v>15</v>
      </c>
      <c r="I106" s="24"/>
      <c r="J106" s="24"/>
      <c r="N106"/>
      <c r="O106"/>
    </row>
    <row r="107" spans="4:15" x14ac:dyDescent="0.25">
      <c r="D107" s="100"/>
      <c r="E107" s="101"/>
      <c r="F107" s="89"/>
      <c r="I107" s="24"/>
      <c r="J107" s="24"/>
      <c r="N107"/>
      <c r="O107"/>
    </row>
    <row r="108" spans="4:15" ht="15.75" thickBot="1" x14ac:dyDescent="0.3">
      <c r="D108" s="102"/>
      <c r="E108" s="103"/>
      <c r="F108" s="90"/>
      <c r="I108" s="24"/>
      <c r="J108" s="24"/>
      <c r="N108"/>
      <c r="O108"/>
    </row>
    <row r="109" spans="4:15" x14ac:dyDescent="0.25">
      <c r="I109" s="24"/>
      <c r="J109" s="24"/>
      <c r="N109"/>
      <c r="O109"/>
    </row>
    <row r="110" spans="4:15" x14ac:dyDescent="0.25">
      <c r="I110" s="24"/>
      <c r="J110" s="24"/>
      <c r="N110"/>
      <c r="O110"/>
    </row>
    <row r="111" spans="4:15" x14ac:dyDescent="0.25">
      <c r="I111" s="24"/>
      <c r="J111" s="24"/>
      <c r="N111"/>
      <c r="O111"/>
    </row>
  </sheetData>
  <mergeCells count="40">
    <mergeCell ref="D82:E82"/>
    <mergeCell ref="F83:F87"/>
    <mergeCell ref="D89:E89"/>
    <mergeCell ref="D107:E108"/>
    <mergeCell ref="F107:F108"/>
    <mergeCell ref="D94:E94"/>
    <mergeCell ref="F95:F99"/>
    <mergeCell ref="D106:E106"/>
    <mergeCell ref="D101:E101"/>
    <mergeCell ref="F102:F104"/>
    <mergeCell ref="F90:F92"/>
    <mergeCell ref="D2:E2"/>
    <mergeCell ref="F3:F4"/>
    <mergeCell ref="F9:F10"/>
    <mergeCell ref="D8:E8"/>
    <mergeCell ref="D6:E6"/>
    <mergeCell ref="D32:E32"/>
    <mergeCell ref="F40:F42"/>
    <mergeCell ref="D44:E44"/>
    <mergeCell ref="D12:E12"/>
    <mergeCell ref="F13:F15"/>
    <mergeCell ref="D17:E17"/>
    <mergeCell ref="F18:F22"/>
    <mergeCell ref="D24:E24"/>
    <mergeCell ref="F25:F30"/>
    <mergeCell ref="D56:E56"/>
    <mergeCell ref="D39:E39"/>
    <mergeCell ref="F33:F37"/>
    <mergeCell ref="D74:E74"/>
    <mergeCell ref="F75:F80"/>
    <mergeCell ref="D69:E69"/>
    <mergeCell ref="F70:F72"/>
    <mergeCell ref="F61:F63"/>
    <mergeCell ref="D65:E65"/>
    <mergeCell ref="F66:F67"/>
    <mergeCell ref="D51:E51"/>
    <mergeCell ref="F52:F54"/>
    <mergeCell ref="F45:F49"/>
    <mergeCell ref="F57:F58"/>
    <mergeCell ref="D60:E6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estMethod">
                <anchor moveWithCells="1">
                  <from>
                    <xdr:col>0</xdr:col>
                    <xdr:colOff>104775</xdr:colOff>
                    <xdr:row>0</xdr:row>
                    <xdr:rowOff>123825</xdr:rowOff>
                  </from>
                  <to>
                    <xdr:col>1</xdr:col>
                    <xdr:colOff>971550</xdr:colOff>
                    <xdr:row>5</xdr:row>
                    <xdr:rowOff>76200</xdr:rowOff>
                  </to>
                </anchor>
              </controlPr>
            </control>
          </mc:Choice>
        </mc:AlternateContent>
        <mc:AlternateContent xmlns:mc="http://schemas.openxmlformats.org/markup-compatibility/2006">
          <mc:Choice Requires="x14">
            <control shapeId="4098" r:id="rId5" name="Button 2">
              <controlPr defaultSize="0" print="0" autoFill="0" autoPict="0" macro="[0]!GeneratePrepSheet">
                <anchor moveWithCells="1">
                  <from>
                    <xdr:col>0</xdr:col>
                    <xdr:colOff>85725</xdr:colOff>
                    <xdr:row>6</xdr:row>
                    <xdr:rowOff>66675</xdr:rowOff>
                  </from>
                  <to>
                    <xdr:col>1</xdr:col>
                    <xdr:colOff>962025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200-000000000000}">
          <x14:formula1>
            <xm:f>'___Dropdown values'!$B$4:$B$6</xm:f>
          </x14:formula1>
          <xm:sqref>E4 E10:E11</xm:sqref>
        </x14:dataValidation>
        <x14:dataValidation type="list" allowBlank="1" showInputMessage="1" showErrorMessage="1" xr:uid="{00000000-0002-0000-0200-000001000000}">
          <x14:formula1>
            <xm:f>'___Dropdown values'!$B$10:$B$17</xm:f>
          </x14:formula1>
          <xm:sqref>E34 E46 E84 E96 E19</xm:sqref>
        </x14:dataValidation>
        <x14:dataValidation type="list" allowBlank="1" showInputMessage="1" showErrorMessage="1" xr:uid="{00000000-0002-0000-0200-000002000000}">
          <x14:formula1>
            <xm:f>'___Dropdown values'!$F$5:$F$6</xm:f>
          </x14:formula1>
          <xm:sqref>D32:E32 D44:E44 D82:E82 D94:E94 D17:E17</xm:sqref>
        </x14:dataValidation>
        <x14:dataValidation type="list" allowBlank="1" showInputMessage="1" showErrorMessage="1" xr:uid="{00000000-0002-0000-0200-000003000000}">
          <x14:formula1>
            <xm:f>'___Dropdown values'!$D$10:$D$11</xm:f>
          </x14:formula1>
          <xm:sqref>E37 E49 E87 E99 E22 E70 E102</xm:sqref>
        </x14:dataValidation>
        <x14:dataValidation type="list" allowBlank="1" showInputMessage="1" showErrorMessage="1" xr:uid="{00000000-0002-0000-0200-000004000000}">
          <x14:formula1>
            <xm:f>'___Dropdown values'!$B$20:$B$21</xm:f>
          </x14:formula1>
          <xm:sqref>E35 E47 E85 E97 E20</xm:sqref>
        </x14:dataValidation>
        <x14:dataValidation type="list" allowBlank="1" showInputMessage="1" showErrorMessage="1" xr:uid="{00000000-0002-0000-0200-000005000000}">
          <x14:formula1>
            <xm:f>'___Dropdown values'!$K$5:$K$6</xm:f>
          </x14:formula1>
          <xm:sqref>D39:E39 D51:E51 D89:E89</xm:sqref>
        </x14:dataValidation>
        <x14:dataValidation type="list" allowBlank="1" showInputMessage="1" showErrorMessage="1" xr:uid="{00000000-0002-0000-0200-000006000000}">
          <x14:formula1>
            <xm:f>'___Dropdown values'!$D$4:$D$5</xm:f>
          </x14:formula1>
          <xm:sqref>E63</xm:sqref>
        </x14:dataValidation>
        <x14:dataValidation type="list" allowBlank="1" showInputMessage="1" showErrorMessage="1" xr:uid="{00000000-0002-0000-0200-000007000000}">
          <x14:formula1>
            <xm:f>'___Dropdown values'!$H$5:$H$6</xm:f>
          </x14:formula1>
          <xm:sqref>D60:E60</xm:sqref>
        </x14:dataValidation>
        <x14:dataValidation type="list" allowBlank="1" showInputMessage="1" showErrorMessage="1" xr:uid="{00000000-0002-0000-0200-000008000000}">
          <x14:formula1>
            <xm:f>'___Dropdown values'!$B$4:$B$7</xm:f>
          </x14:formula1>
          <xm:sqref>E58 E67</xm:sqref>
        </x14:dataValidation>
        <x14:dataValidation type="list" allowBlank="1" showInputMessage="1" showErrorMessage="1" xr:uid="{00000000-0002-0000-0200-000009000000}">
          <x14:formula1>
            <xm:f>'___Dropdown values'!$D$14:$D$15</xm:f>
          </x14:formula1>
          <xm:sqref>E15</xm:sqref>
        </x14:dataValidation>
        <x14:dataValidation type="list" allowBlank="1" showInputMessage="1" showErrorMessage="1" xr:uid="{00000000-0002-0000-0200-00000A000000}">
          <x14:formula1>
            <xm:f>'___Dropdown values'!$I$5:$I$6</xm:f>
          </x14:formula1>
          <xm:sqref>D69:E69 D101:E101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6"/>
  <sheetViews>
    <sheetView workbookViewId="0">
      <selection activeCell="C13" sqref="C13"/>
    </sheetView>
  </sheetViews>
  <sheetFormatPr defaultRowHeight="15" x14ac:dyDescent="0.25"/>
  <cols>
    <col min="1" max="1" width="9" bestFit="1" customWidth="1"/>
    <col min="2" max="2" width="17.5703125" customWidth="1"/>
    <col min="3" max="3" width="28.140625" customWidth="1"/>
    <col min="4" max="4" width="17" bestFit="1" customWidth="1"/>
    <col min="5" max="5" width="14.5703125" customWidth="1"/>
    <col min="6" max="6" width="22.7109375" bestFit="1" customWidth="1"/>
    <col min="7" max="7" width="11" bestFit="1" customWidth="1"/>
    <col min="8" max="8" width="11.42578125" bestFit="1" customWidth="1"/>
    <col min="9" max="9" width="11.5703125" bestFit="1" customWidth="1"/>
    <col min="10" max="10" width="16.5703125" bestFit="1" customWidth="1"/>
    <col min="11" max="11" width="17.85546875" bestFit="1" customWidth="1"/>
  </cols>
  <sheetData>
    <row r="1" spans="1:6" x14ac:dyDescent="0.25">
      <c r="A1" t="s">
        <v>32</v>
      </c>
      <c r="B1" t="s">
        <v>48</v>
      </c>
      <c r="C1" t="s">
        <v>17</v>
      </c>
      <c r="D1" t="s">
        <v>94</v>
      </c>
      <c r="E1" t="s">
        <v>18</v>
      </c>
      <c r="F1" t="s">
        <v>79</v>
      </c>
    </row>
    <row r="2" spans="1:6" x14ac:dyDescent="0.25">
      <c r="A2">
        <f t="shared" ref="A2:A6" si="0">ROW(A1)</f>
        <v>1</v>
      </c>
      <c r="B2">
        <f t="shared" ref="B2" si="1">A2</f>
        <v>1</v>
      </c>
      <c r="C2" t="s">
        <v>100</v>
      </c>
      <c r="D2">
        <f t="shared" ref="D2" si="2">A2</f>
        <v>1</v>
      </c>
      <c r="E2">
        <v>10</v>
      </c>
      <c r="F2">
        <v>0</v>
      </c>
    </row>
    <row r="3" spans="1:6" x14ac:dyDescent="0.25">
      <c r="A3">
        <f t="shared" si="0"/>
        <v>2</v>
      </c>
      <c r="B3">
        <f t="shared" ref="B3:B6" si="3">A3</f>
        <v>2</v>
      </c>
      <c r="C3" t="s">
        <v>101</v>
      </c>
      <c r="D3">
        <f t="shared" ref="D3:D6" si="4">A3</f>
        <v>2</v>
      </c>
      <c r="E3">
        <v>10</v>
      </c>
      <c r="F3">
        <v>0</v>
      </c>
    </row>
    <row r="4" spans="1:6" x14ac:dyDescent="0.25">
      <c r="A4">
        <f t="shared" si="0"/>
        <v>3</v>
      </c>
      <c r="B4">
        <f t="shared" si="3"/>
        <v>3</v>
      </c>
      <c r="C4" t="s">
        <v>102</v>
      </c>
      <c r="D4">
        <f t="shared" si="4"/>
        <v>3</v>
      </c>
      <c r="E4">
        <v>10</v>
      </c>
      <c r="F4">
        <v>0</v>
      </c>
    </row>
    <row r="5" spans="1:6" x14ac:dyDescent="0.25">
      <c r="A5">
        <f t="shared" si="0"/>
        <v>4</v>
      </c>
      <c r="B5">
        <f t="shared" si="3"/>
        <v>4</v>
      </c>
      <c r="C5" t="s">
        <v>103</v>
      </c>
      <c r="D5">
        <f t="shared" si="4"/>
        <v>4</v>
      </c>
      <c r="E5">
        <v>10</v>
      </c>
      <c r="F5">
        <v>0</v>
      </c>
    </row>
    <row r="6" spans="1:6" x14ac:dyDescent="0.25">
      <c r="A6">
        <f t="shared" si="0"/>
        <v>5</v>
      </c>
      <c r="B6">
        <f t="shared" si="3"/>
        <v>5</v>
      </c>
      <c r="C6" t="s">
        <v>104</v>
      </c>
      <c r="D6">
        <f t="shared" si="4"/>
        <v>5</v>
      </c>
      <c r="E6">
        <v>10</v>
      </c>
      <c r="F6">
        <v>0</v>
      </c>
    </row>
  </sheetData>
  <conditionalFormatting sqref="E2:E6">
    <cfRule type="expression" dxfId="1" priority="17">
      <formula>$E$2&gt;40</formula>
    </cfRule>
    <cfRule type="expression" dxfId="0" priority="18">
      <formula>$E2&lt;3.5</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6AD6B-818F-4960-8890-D9765B699A92}">
  <dimension ref="B3:I454"/>
  <sheetViews>
    <sheetView tabSelected="1" workbookViewId="0"/>
  </sheetViews>
  <sheetFormatPr defaultRowHeight="15" x14ac:dyDescent="0.25"/>
  <sheetData>
    <row r="3" spans="2:5" x14ac:dyDescent="0.25">
      <c r="D3" t="s">
        <v>105</v>
      </c>
      <c r="E3" t="s">
        <v>106</v>
      </c>
    </row>
    <row r="4" spans="2:5" x14ac:dyDescent="0.25">
      <c r="D4" t="s">
        <v>107</v>
      </c>
      <c r="E4" t="s">
        <v>108</v>
      </c>
    </row>
    <row r="5" spans="2:5" x14ac:dyDescent="0.25">
      <c r="D5" t="s">
        <v>109</v>
      </c>
      <c r="E5">
        <v>1</v>
      </c>
    </row>
    <row r="6" spans="2:5" x14ac:dyDescent="0.25">
      <c r="D6" t="s">
        <v>110</v>
      </c>
      <c r="E6">
        <v>30</v>
      </c>
    </row>
    <row r="11" spans="2:5" x14ac:dyDescent="0.25">
      <c r="B11" t="s">
        <v>111</v>
      </c>
    </row>
    <row r="12" spans="2:5" x14ac:dyDescent="0.25">
      <c r="B12" t="s">
        <v>112</v>
      </c>
    </row>
    <row r="13" spans="2:5" x14ac:dyDescent="0.25">
      <c r="B13" t="s">
        <v>113</v>
      </c>
    </row>
    <row r="14" spans="2:5" x14ac:dyDescent="0.25">
      <c r="B14" t="s">
        <v>114</v>
      </c>
    </row>
    <row r="16" spans="2:5" x14ac:dyDescent="0.25">
      <c r="C16" t="s">
        <v>115</v>
      </c>
    </row>
    <row r="21" spans="2:2" x14ac:dyDescent="0.25">
      <c r="B21" t="s">
        <v>116</v>
      </c>
    </row>
    <row r="22" spans="2:2" x14ac:dyDescent="0.25">
      <c r="B22" t="s">
        <v>117</v>
      </c>
    </row>
    <row r="23" spans="2:2" x14ac:dyDescent="0.25">
      <c r="B23" t="s">
        <v>118</v>
      </c>
    </row>
    <row r="24" spans="2:2" x14ac:dyDescent="0.25">
      <c r="B24" t="s">
        <v>119</v>
      </c>
    </row>
    <row r="25" spans="2:2" x14ac:dyDescent="0.25">
      <c r="B25" t="s">
        <v>120</v>
      </c>
    </row>
    <row r="30" spans="2:2" x14ac:dyDescent="0.25">
      <c r="B30" t="s">
        <v>121</v>
      </c>
    </row>
    <row r="31" spans="2:2" x14ac:dyDescent="0.25">
      <c r="B31" t="s">
        <v>122</v>
      </c>
    </row>
    <row r="32" spans="2:2" x14ac:dyDescent="0.25">
      <c r="B32" t="s">
        <v>123</v>
      </c>
    </row>
    <row r="33" spans="2:5" x14ac:dyDescent="0.25">
      <c r="B33" t="s">
        <v>124</v>
      </c>
    </row>
    <row r="34" spans="2:5" x14ac:dyDescent="0.25">
      <c r="B34" t="s">
        <v>125</v>
      </c>
    </row>
    <row r="35" spans="2:5" x14ac:dyDescent="0.25">
      <c r="B35" t="s">
        <v>126</v>
      </c>
    </row>
    <row r="36" spans="2:5" x14ac:dyDescent="0.25">
      <c r="B36" t="s">
        <v>127</v>
      </c>
    </row>
    <row r="38" spans="2:5" x14ac:dyDescent="0.25">
      <c r="D38" t="s">
        <v>105</v>
      </c>
      <c r="E38" t="s">
        <v>128</v>
      </c>
    </row>
    <row r="39" spans="2:5" x14ac:dyDescent="0.25">
      <c r="D39" t="s">
        <v>107</v>
      </c>
      <c r="E39" t="s">
        <v>129</v>
      </c>
    </row>
    <row r="40" spans="2:5" x14ac:dyDescent="0.25">
      <c r="D40" t="s">
        <v>130</v>
      </c>
      <c r="E40" t="s">
        <v>131</v>
      </c>
    </row>
    <row r="41" spans="2:5" x14ac:dyDescent="0.25">
      <c r="D41" t="s">
        <v>132</v>
      </c>
    </row>
    <row r="42" spans="2:5" x14ac:dyDescent="0.25">
      <c r="C42" t="s">
        <v>133</v>
      </c>
    </row>
    <row r="48" spans="2:5" x14ac:dyDescent="0.25">
      <c r="B48" t="s">
        <v>134</v>
      </c>
    </row>
    <row r="49" spans="2:5" x14ac:dyDescent="0.25">
      <c r="B49" t="s">
        <v>135</v>
      </c>
    </row>
    <row r="50" spans="2:5" x14ac:dyDescent="0.25">
      <c r="B50" t="s">
        <v>118</v>
      </c>
    </row>
    <row r="51" spans="2:5" x14ac:dyDescent="0.25">
      <c r="B51" t="s">
        <v>136</v>
      </c>
    </row>
    <row r="52" spans="2:5" x14ac:dyDescent="0.25">
      <c r="B52" t="s">
        <v>137</v>
      </c>
    </row>
    <row r="53" spans="2:5" x14ac:dyDescent="0.25">
      <c r="B53" t="s">
        <v>138</v>
      </c>
    </row>
    <row r="54" spans="2:5" x14ac:dyDescent="0.25">
      <c r="B54" t="s">
        <v>139</v>
      </c>
    </row>
    <row r="55" spans="2:5" x14ac:dyDescent="0.25">
      <c r="B55" t="s">
        <v>140</v>
      </c>
    </row>
    <row r="57" spans="2:5" x14ac:dyDescent="0.25">
      <c r="D57" t="s">
        <v>105</v>
      </c>
      <c r="E57" t="s">
        <v>128</v>
      </c>
    </row>
    <row r="58" spans="2:5" x14ac:dyDescent="0.25">
      <c r="D58" t="s">
        <v>107</v>
      </c>
      <c r="E58" t="s">
        <v>129</v>
      </c>
    </row>
    <row r="59" spans="2:5" x14ac:dyDescent="0.25">
      <c r="D59" t="s">
        <v>130</v>
      </c>
      <c r="E59" t="s">
        <v>141</v>
      </c>
    </row>
    <row r="60" spans="2:5" x14ac:dyDescent="0.25">
      <c r="D60" t="s">
        <v>142</v>
      </c>
    </row>
    <row r="61" spans="2:5" x14ac:dyDescent="0.25">
      <c r="C61" t="s">
        <v>115</v>
      </c>
    </row>
    <row r="63" spans="2:5" x14ac:dyDescent="0.25">
      <c r="D63" t="s">
        <v>105</v>
      </c>
      <c r="E63" t="s">
        <v>128</v>
      </c>
    </row>
    <row r="64" spans="2:5" x14ac:dyDescent="0.25">
      <c r="D64" t="s">
        <v>107</v>
      </c>
      <c r="E64" t="s">
        <v>129</v>
      </c>
    </row>
    <row r="65" spans="3:9" x14ac:dyDescent="0.25">
      <c r="D65" t="s">
        <v>130</v>
      </c>
      <c r="E65" t="s">
        <v>143</v>
      </c>
    </row>
    <row r="66" spans="3:9" x14ac:dyDescent="0.25">
      <c r="D66" t="s">
        <v>144</v>
      </c>
      <c r="E66" t="s">
        <v>145</v>
      </c>
    </row>
    <row r="67" spans="3:9" x14ac:dyDescent="0.25">
      <c r="D67" t="s">
        <v>142</v>
      </c>
    </row>
    <row r="68" spans="3:9" x14ac:dyDescent="0.25">
      <c r="C68" t="s">
        <v>115</v>
      </c>
    </row>
    <row r="70" spans="3:9" x14ac:dyDescent="0.25">
      <c r="D70" t="s">
        <v>105</v>
      </c>
      <c r="E70" t="s">
        <v>146</v>
      </c>
    </row>
    <row r="71" spans="3:9" x14ac:dyDescent="0.25">
      <c r="D71" t="s">
        <v>107</v>
      </c>
      <c r="E71" t="s">
        <v>264</v>
      </c>
    </row>
    <row r="72" spans="3:9" x14ac:dyDescent="0.25">
      <c r="D72" t="s">
        <v>147</v>
      </c>
      <c r="E72" t="s">
        <v>44</v>
      </c>
      <c r="F72" t="s">
        <v>44</v>
      </c>
      <c r="G72" t="s">
        <v>44</v>
      </c>
      <c r="H72" t="s">
        <v>44</v>
      </c>
      <c r="I72" t="s">
        <v>44</v>
      </c>
    </row>
    <row r="73" spans="3:9" x14ac:dyDescent="0.25">
      <c r="D73" t="s">
        <v>148</v>
      </c>
      <c r="E73">
        <v>1</v>
      </c>
      <c r="F73">
        <v>2</v>
      </c>
      <c r="G73">
        <v>3</v>
      </c>
      <c r="H73">
        <v>4</v>
      </c>
      <c r="I73">
        <v>5</v>
      </c>
    </row>
    <row r="74" spans="3:9" x14ac:dyDescent="0.25">
      <c r="D74" t="s">
        <v>149</v>
      </c>
      <c r="E74" t="s">
        <v>75</v>
      </c>
      <c r="F74" t="s">
        <v>75</v>
      </c>
      <c r="G74" t="s">
        <v>75</v>
      </c>
      <c r="H74" t="s">
        <v>75</v>
      </c>
      <c r="I74" t="s">
        <v>75</v>
      </c>
    </row>
    <row r="75" spans="3:9" x14ac:dyDescent="0.25">
      <c r="D75" t="s">
        <v>150</v>
      </c>
      <c r="E75">
        <v>1</v>
      </c>
      <c r="F75">
        <v>2</v>
      </c>
      <c r="G75">
        <v>3</v>
      </c>
      <c r="H75">
        <v>4</v>
      </c>
      <c r="I75">
        <v>5</v>
      </c>
    </row>
    <row r="76" spans="3:9" x14ac:dyDescent="0.25">
      <c r="D76" t="s">
        <v>151</v>
      </c>
      <c r="E76">
        <v>108</v>
      </c>
      <c r="F76">
        <v>108</v>
      </c>
      <c r="G76">
        <v>108</v>
      </c>
      <c r="H76">
        <v>108</v>
      </c>
      <c r="I76">
        <v>108</v>
      </c>
    </row>
    <row r="77" spans="3:9" x14ac:dyDescent="0.25">
      <c r="D77" t="s">
        <v>152</v>
      </c>
      <c r="E77">
        <v>0</v>
      </c>
      <c r="F77">
        <v>0</v>
      </c>
      <c r="G77">
        <v>0</v>
      </c>
      <c r="H77">
        <v>0</v>
      </c>
      <c r="I77">
        <v>0</v>
      </c>
    </row>
    <row r="78" spans="3:9" x14ac:dyDescent="0.25">
      <c r="D78" t="s">
        <v>153</v>
      </c>
      <c r="E78" t="s">
        <v>42</v>
      </c>
      <c r="F78" t="s">
        <v>42</v>
      </c>
      <c r="G78" t="s">
        <v>42</v>
      </c>
      <c r="H78" t="s">
        <v>42</v>
      </c>
      <c r="I78" t="s">
        <v>42</v>
      </c>
    </row>
    <row r="79" spans="3:9" x14ac:dyDescent="0.25">
      <c r="D79" t="s">
        <v>154</v>
      </c>
      <c r="E79" t="s">
        <v>155</v>
      </c>
    </row>
    <row r="80" spans="3:9" x14ac:dyDescent="0.25">
      <c r="D80" t="s">
        <v>156</v>
      </c>
      <c r="E80" t="s">
        <v>157</v>
      </c>
    </row>
    <row r="81" spans="3:9" x14ac:dyDescent="0.25">
      <c r="D81" t="s">
        <v>158</v>
      </c>
    </row>
    <row r="83" spans="3:9" x14ac:dyDescent="0.25">
      <c r="D83" t="s">
        <v>105</v>
      </c>
      <c r="E83" t="s">
        <v>128</v>
      </c>
    </row>
    <row r="84" spans="3:9" x14ac:dyDescent="0.25">
      <c r="D84" t="s">
        <v>107</v>
      </c>
      <c r="E84" t="s">
        <v>129</v>
      </c>
    </row>
    <row r="85" spans="3:9" x14ac:dyDescent="0.25">
      <c r="D85" t="s">
        <v>130</v>
      </c>
      <c r="E85" t="s">
        <v>143</v>
      </c>
    </row>
    <row r="86" spans="3:9" x14ac:dyDescent="0.25">
      <c r="D86" t="s">
        <v>159</v>
      </c>
      <c r="E86" t="s">
        <v>145</v>
      </c>
    </row>
    <row r="87" spans="3:9" x14ac:dyDescent="0.25">
      <c r="D87" t="s">
        <v>158</v>
      </c>
    </row>
    <row r="88" spans="3:9" x14ac:dyDescent="0.25">
      <c r="C88" t="s">
        <v>115</v>
      </c>
    </row>
    <row r="90" spans="3:9" x14ac:dyDescent="0.25">
      <c r="D90" t="s">
        <v>105</v>
      </c>
      <c r="E90" t="s">
        <v>146</v>
      </c>
    </row>
    <row r="91" spans="3:9" x14ac:dyDescent="0.25">
      <c r="D91" t="s">
        <v>107</v>
      </c>
      <c r="E91" t="s">
        <v>264</v>
      </c>
    </row>
    <row r="92" spans="3:9" x14ac:dyDescent="0.25">
      <c r="D92" t="s">
        <v>147</v>
      </c>
      <c r="E92" t="s">
        <v>44</v>
      </c>
      <c r="F92" t="s">
        <v>44</v>
      </c>
      <c r="G92" t="s">
        <v>44</v>
      </c>
      <c r="H92" t="s">
        <v>44</v>
      </c>
      <c r="I92" t="s">
        <v>44</v>
      </c>
    </row>
    <row r="93" spans="3:9" x14ac:dyDescent="0.25">
      <c r="D93" t="s">
        <v>148</v>
      </c>
      <c r="E93">
        <v>1</v>
      </c>
      <c r="F93">
        <v>2</v>
      </c>
      <c r="G93">
        <v>3</v>
      </c>
      <c r="H93">
        <v>4</v>
      </c>
      <c r="I93">
        <v>5</v>
      </c>
    </row>
    <row r="94" spans="3:9" x14ac:dyDescent="0.25">
      <c r="D94" t="s">
        <v>149</v>
      </c>
      <c r="E94" t="s">
        <v>13</v>
      </c>
      <c r="F94" t="s">
        <v>13</v>
      </c>
      <c r="G94" t="s">
        <v>13</v>
      </c>
      <c r="H94" t="s">
        <v>13</v>
      </c>
      <c r="I94" t="s">
        <v>13</v>
      </c>
    </row>
    <row r="95" spans="3:9" x14ac:dyDescent="0.25">
      <c r="D95" t="s">
        <v>150</v>
      </c>
      <c r="E95">
        <v>1</v>
      </c>
      <c r="F95">
        <v>2</v>
      </c>
      <c r="G95">
        <v>3</v>
      </c>
      <c r="H95">
        <v>4</v>
      </c>
      <c r="I95">
        <v>5</v>
      </c>
    </row>
    <row r="96" spans="3:9" x14ac:dyDescent="0.25">
      <c r="D96" t="s">
        <v>151</v>
      </c>
      <c r="E96">
        <v>12</v>
      </c>
      <c r="F96">
        <v>12</v>
      </c>
      <c r="G96">
        <v>12</v>
      </c>
      <c r="H96">
        <v>12</v>
      </c>
      <c r="I96">
        <v>12</v>
      </c>
    </row>
    <row r="97" spans="2:9" x14ac:dyDescent="0.25">
      <c r="D97" t="s">
        <v>152</v>
      </c>
      <c r="E97">
        <v>108</v>
      </c>
      <c r="F97">
        <v>108</v>
      </c>
      <c r="G97">
        <v>108</v>
      </c>
      <c r="H97">
        <v>108</v>
      </c>
      <c r="I97">
        <v>108</v>
      </c>
    </row>
    <row r="98" spans="2:9" x14ac:dyDescent="0.25">
      <c r="D98" t="s">
        <v>153</v>
      </c>
      <c r="E98" t="s">
        <v>41</v>
      </c>
      <c r="F98" t="s">
        <v>41</v>
      </c>
      <c r="G98" t="s">
        <v>41</v>
      </c>
      <c r="H98" t="s">
        <v>41</v>
      </c>
      <c r="I98" t="s">
        <v>41</v>
      </c>
    </row>
    <row r="99" spans="2:9" x14ac:dyDescent="0.25">
      <c r="D99" t="s">
        <v>154</v>
      </c>
      <c r="E99" t="s">
        <v>155</v>
      </c>
    </row>
    <row r="100" spans="2:9" x14ac:dyDescent="0.25">
      <c r="D100" t="s">
        <v>156</v>
      </c>
      <c r="E100" t="s">
        <v>157</v>
      </c>
    </row>
    <row r="101" spans="2:9" x14ac:dyDescent="0.25">
      <c r="D101" t="s">
        <v>160</v>
      </c>
    </row>
    <row r="106" spans="2:9" x14ac:dyDescent="0.25">
      <c r="B106" t="s">
        <v>121</v>
      </c>
    </row>
    <row r="107" spans="2:9" x14ac:dyDescent="0.25">
      <c r="B107" t="s">
        <v>161</v>
      </c>
    </row>
    <row r="108" spans="2:9" x14ac:dyDescent="0.25">
      <c r="B108" t="s">
        <v>162</v>
      </c>
    </row>
    <row r="109" spans="2:9" x14ac:dyDescent="0.25">
      <c r="B109" t="s">
        <v>163</v>
      </c>
    </row>
    <row r="110" spans="2:9" x14ac:dyDescent="0.25">
      <c r="B110" t="s">
        <v>125</v>
      </c>
    </row>
    <row r="111" spans="2:9" x14ac:dyDescent="0.25">
      <c r="B111" t="s">
        <v>164</v>
      </c>
    </row>
    <row r="112" spans="2:9" x14ac:dyDescent="0.25">
      <c r="B112" t="s">
        <v>127</v>
      </c>
    </row>
    <row r="114" spans="3:9" x14ac:dyDescent="0.25">
      <c r="D114" t="s">
        <v>105</v>
      </c>
      <c r="E114" t="s">
        <v>128</v>
      </c>
    </row>
    <row r="115" spans="3:9" x14ac:dyDescent="0.25">
      <c r="D115" t="s">
        <v>107</v>
      </c>
      <c r="E115" t="s">
        <v>129</v>
      </c>
    </row>
    <row r="116" spans="3:9" x14ac:dyDescent="0.25">
      <c r="D116" t="s">
        <v>130</v>
      </c>
      <c r="E116" t="s">
        <v>165</v>
      </c>
    </row>
    <row r="117" spans="3:9" x14ac:dyDescent="0.25">
      <c r="D117" t="s">
        <v>166</v>
      </c>
    </row>
    <row r="118" spans="3:9" x14ac:dyDescent="0.25">
      <c r="C118" t="s">
        <v>115</v>
      </c>
    </row>
    <row r="120" spans="3:9" x14ac:dyDescent="0.25">
      <c r="D120" t="s">
        <v>105</v>
      </c>
      <c r="E120" t="s">
        <v>146</v>
      </c>
    </row>
    <row r="121" spans="3:9" x14ac:dyDescent="0.25">
      <c r="D121" t="s">
        <v>107</v>
      </c>
      <c r="E121" t="s">
        <v>264</v>
      </c>
    </row>
    <row r="122" spans="3:9" x14ac:dyDescent="0.25">
      <c r="D122" t="s">
        <v>147</v>
      </c>
      <c r="E122" t="s">
        <v>44</v>
      </c>
      <c r="F122" t="s">
        <v>44</v>
      </c>
      <c r="G122" t="s">
        <v>44</v>
      </c>
      <c r="H122" t="s">
        <v>44</v>
      </c>
      <c r="I122" t="s">
        <v>44</v>
      </c>
    </row>
    <row r="123" spans="3:9" x14ac:dyDescent="0.25">
      <c r="D123" t="s">
        <v>148</v>
      </c>
      <c r="E123">
        <v>1</v>
      </c>
      <c r="F123">
        <v>2</v>
      </c>
      <c r="G123">
        <v>3</v>
      </c>
      <c r="H123">
        <v>4</v>
      </c>
      <c r="I123">
        <v>5</v>
      </c>
    </row>
    <row r="124" spans="3:9" x14ac:dyDescent="0.25">
      <c r="D124" t="s">
        <v>149</v>
      </c>
      <c r="E124" t="s">
        <v>76</v>
      </c>
      <c r="F124" t="s">
        <v>76</v>
      </c>
      <c r="G124" t="s">
        <v>76</v>
      </c>
      <c r="H124" t="s">
        <v>76</v>
      </c>
      <c r="I124" t="s">
        <v>76</v>
      </c>
    </row>
    <row r="125" spans="3:9" x14ac:dyDescent="0.25">
      <c r="D125" t="s">
        <v>150</v>
      </c>
      <c r="E125">
        <v>1</v>
      </c>
      <c r="F125">
        <v>2</v>
      </c>
      <c r="G125">
        <v>3</v>
      </c>
      <c r="H125">
        <v>4</v>
      </c>
      <c r="I125">
        <v>5</v>
      </c>
    </row>
    <row r="126" spans="3:9" x14ac:dyDescent="0.25">
      <c r="D126" t="s">
        <v>151</v>
      </c>
      <c r="E126">
        <v>2.4</v>
      </c>
      <c r="F126">
        <v>2.4</v>
      </c>
      <c r="G126">
        <v>2.4</v>
      </c>
      <c r="H126">
        <v>2.4</v>
      </c>
      <c r="I126">
        <v>2.4</v>
      </c>
    </row>
    <row r="127" spans="3:9" x14ac:dyDescent="0.25">
      <c r="D127" t="s">
        <v>152</v>
      </c>
      <c r="E127">
        <v>120</v>
      </c>
      <c r="F127">
        <v>120</v>
      </c>
      <c r="G127">
        <v>120</v>
      </c>
      <c r="H127">
        <v>120</v>
      </c>
      <c r="I127">
        <v>120</v>
      </c>
    </row>
    <row r="128" spans="3:9" x14ac:dyDescent="0.25">
      <c r="D128" t="s">
        <v>153</v>
      </c>
      <c r="E128" t="s">
        <v>41</v>
      </c>
      <c r="F128" t="s">
        <v>41</v>
      </c>
      <c r="G128" t="s">
        <v>41</v>
      </c>
      <c r="H128" t="s">
        <v>41</v>
      </c>
      <c r="I128" t="s">
        <v>41</v>
      </c>
    </row>
    <row r="129" spans="2:5" x14ac:dyDescent="0.25">
      <c r="D129" t="s">
        <v>154</v>
      </c>
      <c r="E129" t="s">
        <v>155</v>
      </c>
    </row>
    <row r="130" spans="2:5" x14ac:dyDescent="0.25">
      <c r="D130" t="s">
        <v>156</v>
      </c>
      <c r="E130" t="s">
        <v>157</v>
      </c>
    </row>
    <row r="131" spans="2:5" x14ac:dyDescent="0.25">
      <c r="D131" t="s">
        <v>167</v>
      </c>
    </row>
    <row r="136" spans="2:5" x14ac:dyDescent="0.25">
      <c r="B136" t="s">
        <v>168</v>
      </c>
    </row>
    <row r="137" spans="2:5" x14ac:dyDescent="0.25">
      <c r="B137" t="s">
        <v>169</v>
      </c>
    </row>
    <row r="138" spans="2:5" x14ac:dyDescent="0.25">
      <c r="B138" t="s">
        <v>170</v>
      </c>
    </row>
    <row r="139" spans="2:5" x14ac:dyDescent="0.25">
      <c r="B139" t="s">
        <v>171</v>
      </c>
    </row>
    <row r="140" spans="2:5" x14ac:dyDescent="0.25">
      <c r="B140" t="s">
        <v>172</v>
      </c>
    </row>
    <row r="142" spans="2:5" x14ac:dyDescent="0.25">
      <c r="C142" t="s">
        <v>115</v>
      </c>
    </row>
    <row r="143" spans="2:5" x14ac:dyDescent="0.25">
      <c r="D143" t="s">
        <v>105</v>
      </c>
      <c r="E143" t="s">
        <v>128</v>
      </c>
    </row>
    <row r="144" spans="2:5" x14ac:dyDescent="0.25">
      <c r="D144" t="s">
        <v>107</v>
      </c>
      <c r="E144" t="s">
        <v>129</v>
      </c>
    </row>
    <row r="145" spans="4:5" x14ac:dyDescent="0.25">
      <c r="D145" t="s">
        <v>130</v>
      </c>
      <c r="E145" t="s">
        <v>173</v>
      </c>
    </row>
    <row r="146" spans="4:5" x14ac:dyDescent="0.25">
      <c r="D146" t="s">
        <v>174</v>
      </c>
    </row>
    <row r="148" spans="4:5" x14ac:dyDescent="0.25">
      <c r="D148" t="s">
        <v>105</v>
      </c>
      <c r="E148" t="s">
        <v>175</v>
      </c>
    </row>
    <row r="149" spans="4:5" x14ac:dyDescent="0.25">
      <c r="D149" t="s">
        <v>107</v>
      </c>
      <c r="E149" t="s">
        <v>176</v>
      </c>
    </row>
    <row r="150" spans="4:5" x14ac:dyDescent="0.25">
      <c r="D150" t="s">
        <v>177</v>
      </c>
      <c r="E150">
        <v>1800</v>
      </c>
    </row>
    <row r="151" spans="4:5" x14ac:dyDescent="0.25">
      <c r="D151" t="s">
        <v>178</v>
      </c>
    </row>
    <row r="153" spans="4:5" x14ac:dyDescent="0.25">
      <c r="D153" t="s">
        <v>105</v>
      </c>
      <c r="E153" t="s">
        <v>175</v>
      </c>
    </row>
    <row r="154" spans="4:5" x14ac:dyDescent="0.25">
      <c r="D154" t="s">
        <v>107</v>
      </c>
      <c r="E154" t="s">
        <v>179</v>
      </c>
    </row>
    <row r="155" spans="4:5" x14ac:dyDescent="0.25">
      <c r="D155" t="s">
        <v>180</v>
      </c>
    </row>
    <row r="157" spans="4:5" x14ac:dyDescent="0.25">
      <c r="D157" t="s">
        <v>105</v>
      </c>
      <c r="E157" t="s">
        <v>106</v>
      </c>
    </row>
    <row r="158" spans="4:5" x14ac:dyDescent="0.25">
      <c r="D158" t="s">
        <v>107</v>
      </c>
      <c r="E158" t="s">
        <v>181</v>
      </c>
    </row>
    <row r="159" spans="4:5" x14ac:dyDescent="0.25">
      <c r="D159" t="s">
        <v>109</v>
      </c>
      <c r="E159">
        <v>1</v>
      </c>
    </row>
    <row r="161" spans="2:5" x14ac:dyDescent="0.25">
      <c r="D161" t="s">
        <v>105</v>
      </c>
      <c r="E161" t="s">
        <v>106</v>
      </c>
    </row>
    <row r="162" spans="2:5" x14ac:dyDescent="0.25">
      <c r="D162" t="s">
        <v>107</v>
      </c>
      <c r="E162" t="s">
        <v>108</v>
      </c>
    </row>
    <row r="163" spans="2:5" x14ac:dyDescent="0.25">
      <c r="D163" t="s">
        <v>109</v>
      </c>
      <c r="E163">
        <v>2</v>
      </c>
    </row>
    <row r="164" spans="2:5" x14ac:dyDescent="0.25">
      <c r="D164" t="s">
        <v>110</v>
      </c>
      <c r="E164">
        <v>25</v>
      </c>
    </row>
    <row r="169" spans="2:5" x14ac:dyDescent="0.25">
      <c r="B169" t="s">
        <v>121</v>
      </c>
    </row>
    <row r="170" spans="2:5" x14ac:dyDescent="0.25">
      <c r="B170" t="s">
        <v>182</v>
      </c>
    </row>
    <row r="171" spans="2:5" x14ac:dyDescent="0.25">
      <c r="B171" t="s">
        <v>183</v>
      </c>
    </row>
    <row r="172" spans="2:5" x14ac:dyDescent="0.25">
      <c r="B172" t="s">
        <v>184</v>
      </c>
    </row>
    <row r="173" spans="2:5" x14ac:dyDescent="0.25">
      <c r="B173" t="s">
        <v>125</v>
      </c>
    </row>
    <row r="174" spans="2:5" x14ac:dyDescent="0.25">
      <c r="B174" t="s">
        <v>185</v>
      </c>
    </row>
    <row r="175" spans="2:5" x14ac:dyDescent="0.25">
      <c r="B175" t="s">
        <v>127</v>
      </c>
    </row>
    <row r="177" spans="3:9" x14ac:dyDescent="0.25">
      <c r="D177" t="s">
        <v>105</v>
      </c>
      <c r="E177" t="s">
        <v>128</v>
      </c>
    </row>
    <row r="178" spans="3:9" x14ac:dyDescent="0.25">
      <c r="D178" t="s">
        <v>107</v>
      </c>
      <c r="E178" t="s">
        <v>129</v>
      </c>
    </row>
    <row r="179" spans="3:9" x14ac:dyDescent="0.25">
      <c r="D179" t="s">
        <v>130</v>
      </c>
      <c r="E179" t="s">
        <v>186</v>
      </c>
    </row>
    <row r="180" spans="3:9" x14ac:dyDescent="0.25">
      <c r="D180" t="s">
        <v>187</v>
      </c>
    </row>
    <row r="181" spans="3:9" x14ac:dyDescent="0.25">
      <c r="C181" t="s">
        <v>115</v>
      </c>
    </row>
    <row r="183" spans="3:9" x14ac:dyDescent="0.25">
      <c r="D183" t="s">
        <v>105</v>
      </c>
      <c r="E183" t="s">
        <v>146</v>
      </c>
    </row>
    <row r="184" spans="3:9" x14ac:dyDescent="0.25">
      <c r="D184" t="s">
        <v>107</v>
      </c>
      <c r="E184" t="s">
        <v>264</v>
      </c>
    </row>
    <row r="185" spans="3:9" x14ac:dyDescent="0.25">
      <c r="D185" t="s">
        <v>147</v>
      </c>
      <c r="E185" t="s">
        <v>44</v>
      </c>
      <c r="F185" t="s">
        <v>44</v>
      </c>
      <c r="G185" t="s">
        <v>44</v>
      </c>
      <c r="H185" t="s">
        <v>44</v>
      </c>
      <c r="I185" t="s">
        <v>44</v>
      </c>
    </row>
    <row r="186" spans="3:9" x14ac:dyDescent="0.25">
      <c r="D186" t="s">
        <v>148</v>
      </c>
      <c r="E186">
        <v>1</v>
      </c>
      <c r="F186">
        <v>2</v>
      </c>
      <c r="G186">
        <v>3</v>
      </c>
      <c r="H186">
        <v>4</v>
      </c>
      <c r="I186">
        <v>5</v>
      </c>
    </row>
    <row r="187" spans="3:9" x14ac:dyDescent="0.25">
      <c r="D187" t="s">
        <v>149</v>
      </c>
      <c r="E187" t="s">
        <v>77</v>
      </c>
      <c r="F187" t="s">
        <v>77</v>
      </c>
      <c r="G187" t="s">
        <v>77</v>
      </c>
      <c r="H187" t="s">
        <v>77</v>
      </c>
      <c r="I187" t="s">
        <v>77</v>
      </c>
    </row>
    <row r="188" spans="3:9" x14ac:dyDescent="0.25">
      <c r="D188" t="s">
        <v>150</v>
      </c>
      <c r="E188">
        <v>1</v>
      </c>
      <c r="F188">
        <v>2</v>
      </c>
      <c r="G188">
        <v>3</v>
      </c>
      <c r="H188">
        <v>4</v>
      </c>
      <c r="I188">
        <v>5</v>
      </c>
    </row>
    <row r="189" spans="3:9" x14ac:dyDescent="0.25">
      <c r="D189" t="s">
        <v>151</v>
      </c>
      <c r="E189">
        <v>6</v>
      </c>
      <c r="F189">
        <v>6</v>
      </c>
      <c r="G189">
        <v>6</v>
      </c>
      <c r="H189">
        <v>6</v>
      </c>
      <c r="I189">
        <v>6</v>
      </c>
    </row>
    <row r="190" spans="3:9" x14ac:dyDescent="0.25">
      <c r="D190" t="s">
        <v>152</v>
      </c>
      <c r="E190">
        <v>122.4</v>
      </c>
      <c r="F190">
        <v>122.4</v>
      </c>
      <c r="G190">
        <v>122.4</v>
      </c>
      <c r="H190">
        <v>122.4</v>
      </c>
      <c r="I190">
        <v>122.4</v>
      </c>
    </row>
    <row r="191" spans="3:9" x14ac:dyDescent="0.25">
      <c r="D191" t="s">
        <v>153</v>
      </c>
      <c r="E191" t="s">
        <v>41</v>
      </c>
      <c r="F191" t="s">
        <v>41</v>
      </c>
      <c r="G191" t="s">
        <v>41</v>
      </c>
      <c r="H191" t="s">
        <v>41</v>
      </c>
      <c r="I191" t="s">
        <v>41</v>
      </c>
    </row>
    <row r="192" spans="3:9" x14ac:dyDescent="0.25">
      <c r="D192" t="s">
        <v>154</v>
      </c>
      <c r="E192" t="s">
        <v>155</v>
      </c>
    </row>
    <row r="193" spans="2:5" x14ac:dyDescent="0.25">
      <c r="D193" t="s">
        <v>156</v>
      </c>
      <c r="E193" t="s">
        <v>157</v>
      </c>
    </row>
    <row r="194" spans="2:5" x14ac:dyDescent="0.25">
      <c r="D194" t="s">
        <v>188</v>
      </c>
    </row>
    <row r="199" spans="2:5" x14ac:dyDescent="0.25">
      <c r="B199" t="s">
        <v>168</v>
      </c>
    </row>
    <row r="200" spans="2:5" x14ac:dyDescent="0.25">
      <c r="B200" t="s">
        <v>189</v>
      </c>
    </row>
    <row r="201" spans="2:5" x14ac:dyDescent="0.25">
      <c r="B201" t="s">
        <v>190</v>
      </c>
    </row>
    <row r="202" spans="2:5" x14ac:dyDescent="0.25">
      <c r="B202" t="s">
        <v>171</v>
      </c>
    </row>
    <row r="203" spans="2:5" x14ac:dyDescent="0.25">
      <c r="B203" t="s">
        <v>172</v>
      </c>
    </row>
    <row r="205" spans="2:5" x14ac:dyDescent="0.25">
      <c r="C205" t="s">
        <v>115</v>
      </c>
    </row>
    <row r="206" spans="2:5" x14ac:dyDescent="0.25">
      <c r="D206" t="s">
        <v>105</v>
      </c>
      <c r="E206" t="s">
        <v>128</v>
      </c>
    </row>
    <row r="207" spans="2:5" x14ac:dyDescent="0.25">
      <c r="D207" t="s">
        <v>107</v>
      </c>
      <c r="E207" t="s">
        <v>129</v>
      </c>
    </row>
    <row r="208" spans="2:5" x14ac:dyDescent="0.25">
      <c r="D208" t="s">
        <v>130</v>
      </c>
      <c r="E208" t="s">
        <v>191</v>
      </c>
    </row>
    <row r="209" spans="3:5" x14ac:dyDescent="0.25">
      <c r="D209" t="s">
        <v>192</v>
      </c>
    </row>
    <row r="210" spans="3:5" x14ac:dyDescent="0.25">
      <c r="C210" t="s">
        <v>193</v>
      </c>
    </row>
    <row r="212" spans="3:5" x14ac:dyDescent="0.25">
      <c r="D212" t="s">
        <v>105</v>
      </c>
      <c r="E212" t="s">
        <v>5</v>
      </c>
    </row>
    <row r="213" spans="3:5" x14ac:dyDescent="0.25">
      <c r="D213" t="s">
        <v>107</v>
      </c>
      <c r="E213" t="s">
        <v>194</v>
      </c>
    </row>
    <row r="214" spans="3:5" x14ac:dyDescent="0.25">
      <c r="D214" t="s">
        <v>195</v>
      </c>
    </row>
    <row r="215" spans="3:5" x14ac:dyDescent="0.25">
      <c r="D215" t="s">
        <v>105</v>
      </c>
      <c r="E215" t="s">
        <v>128</v>
      </c>
    </row>
    <row r="216" spans="3:5" x14ac:dyDescent="0.25">
      <c r="D216" t="s">
        <v>107</v>
      </c>
      <c r="E216" t="s">
        <v>129</v>
      </c>
    </row>
    <row r="217" spans="3:5" x14ac:dyDescent="0.25">
      <c r="D217" t="s">
        <v>130</v>
      </c>
      <c r="E217" t="s">
        <v>196</v>
      </c>
    </row>
    <row r="218" spans="3:5" x14ac:dyDescent="0.25">
      <c r="D218" t="s">
        <v>195</v>
      </c>
    </row>
    <row r="220" spans="3:5" x14ac:dyDescent="0.25">
      <c r="D220" t="s">
        <v>105</v>
      </c>
      <c r="E220" t="s">
        <v>175</v>
      </c>
    </row>
    <row r="221" spans="3:5" x14ac:dyDescent="0.25">
      <c r="D221" t="s">
        <v>107</v>
      </c>
      <c r="E221" t="s">
        <v>176</v>
      </c>
    </row>
    <row r="222" spans="3:5" x14ac:dyDescent="0.25">
      <c r="D222" t="s">
        <v>177</v>
      </c>
      <c r="E222">
        <v>1799.74</v>
      </c>
    </row>
    <row r="223" spans="3:5" x14ac:dyDescent="0.25">
      <c r="D223" t="s">
        <v>197</v>
      </c>
    </row>
    <row r="225" spans="4:5" x14ac:dyDescent="0.25">
      <c r="D225" t="s">
        <v>105</v>
      </c>
      <c r="E225" t="s">
        <v>175</v>
      </c>
    </row>
    <row r="226" spans="4:5" x14ac:dyDescent="0.25">
      <c r="D226" t="s">
        <v>107</v>
      </c>
      <c r="E226" t="s">
        <v>179</v>
      </c>
    </row>
    <row r="227" spans="4:5" x14ac:dyDescent="0.25">
      <c r="D227" t="s">
        <v>198</v>
      </c>
    </row>
    <row r="229" spans="4:5" x14ac:dyDescent="0.25">
      <c r="D229" t="s">
        <v>105</v>
      </c>
      <c r="E229" t="s">
        <v>106</v>
      </c>
    </row>
    <row r="230" spans="4:5" x14ac:dyDescent="0.25">
      <c r="D230" t="s">
        <v>107</v>
      </c>
      <c r="E230" t="s">
        <v>181</v>
      </c>
    </row>
    <row r="231" spans="4:5" x14ac:dyDescent="0.25">
      <c r="D231" t="s">
        <v>109</v>
      </c>
      <c r="E231">
        <v>2</v>
      </c>
    </row>
    <row r="233" spans="4:5" x14ac:dyDescent="0.25">
      <c r="D233" t="s">
        <v>105</v>
      </c>
      <c r="E233" t="s">
        <v>106</v>
      </c>
    </row>
    <row r="234" spans="4:5" x14ac:dyDescent="0.25">
      <c r="D234" t="s">
        <v>107</v>
      </c>
      <c r="E234" t="s">
        <v>108</v>
      </c>
    </row>
    <row r="235" spans="4:5" x14ac:dyDescent="0.25">
      <c r="D235" t="s">
        <v>109</v>
      </c>
      <c r="E235">
        <v>1</v>
      </c>
    </row>
    <row r="236" spans="4:5" x14ac:dyDescent="0.25">
      <c r="D236" t="s">
        <v>110</v>
      </c>
      <c r="E236">
        <v>37</v>
      </c>
    </row>
    <row r="241" spans="2:3" x14ac:dyDescent="0.25">
      <c r="B241" t="s">
        <v>111</v>
      </c>
    </row>
    <row r="242" spans="2:3" x14ac:dyDescent="0.25">
      <c r="B242" t="s">
        <v>199</v>
      </c>
    </row>
    <row r="243" spans="2:3" x14ac:dyDescent="0.25">
      <c r="B243" t="s">
        <v>200</v>
      </c>
    </row>
    <row r="244" spans="2:3" x14ac:dyDescent="0.25">
      <c r="B244" t="s">
        <v>114</v>
      </c>
    </row>
    <row r="250" spans="2:3" x14ac:dyDescent="0.25">
      <c r="B250" t="s">
        <v>201</v>
      </c>
    </row>
    <row r="251" spans="2:3" x14ac:dyDescent="0.25">
      <c r="B251" t="s">
        <v>202</v>
      </c>
    </row>
    <row r="252" spans="2:3" x14ac:dyDescent="0.25">
      <c r="B252" t="s">
        <v>203</v>
      </c>
    </row>
    <row r="253" spans="2:3" x14ac:dyDescent="0.25">
      <c r="B253" t="s">
        <v>204</v>
      </c>
    </row>
    <row r="254" spans="2:3" x14ac:dyDescent="0.25">
      <c r="B254" t="s">
        <v>205</v>
      </c>
    </row>
    <row r="256" spans="2:3" x14ac:dyDescent="0.25">
      <c r="C256" t="s">
        <v>206</v>
      </c>
    </row>
    <row r="257" spans="2:5" x14ac:dyDescent="0.25">
      <c r="D257" t="s">
        <v>105</v>
      </c>
      <c r="E257" t="s">
        <v>128</v>
      </c>
    </row>
    <row r="258" spans="2:5" x14ac:dyDescent="0.25">
      <c r="D258" t="s">
        <v>107</v>
      </c>
      <c r="E258" t="s">
        <v>129</v>
      </c>
    </row>
    <row r="259" spans="2:5" x14ac:dyDescent="0.25">
      <c r="D259" t="s">
        <v>130</v>
      </c>
      <c r="E259" t="s">
        <v>196</v>
      </c>
    </row>
    <row r="260" spans="2:5" x14ac:dyDescent="0.25">
      <c r="D260" t="s">
        <v>207</v>
      </c>
    </row>
    <row r="263" spans="2:5" x14ac:dyDescent="0.25">
      <c r="D263" t="s">
        <v>105</v>
      </c>
      <c r="E263" t="s">
        <v>5</v>
      </c>
    </row>
    <row r="264" spans="2:5" x14ac:dyDescent="0.25">
      <c r="D264" t="s">
        <v>107</v>
      </c>
      <c r="E264" t="s">
        <v>208</v>
      </c>
    </row>
    <row r="265" spans="2:5" x14ac:dyDescent="0.25">
      <c r="D265" t="s">
        <v>209</v>
      </c>
    </row>
    <row r="266" spans="2:5" x14ac:dyDescent="0.25">
      <c r="C266" t="s">
        <v>115</v>
      </c>
    </row>
    <row r="271" spans="2:5" x14ac:dyDescent="0.25">
      <c r="B271" t="s">
        <v>111</v>
      </c>
    </row>
    <row r="272" spans="2:5" x14ac:dyDescent="0.25">
      <c r="B272" t="s">
        <v>210</v>
      </c>
    </row>
    <row r="273" spans="2:3" x14ac:dyDescent="0.25">
      <c r="B273" t="s">
        <v>211</v>
      </c>
    </row>
    <row r="274" spans="2:3" x14ac:dyDescent="0.25">
      <c r="B274" t="s">
        <v>114</v>
      </c>
    </row>
    <row r="276" spans="2:3" x14ac:dyDescent="0.25">
      <c r="C276" t="s">
        <v>115</v>
      </c>
    </row>
    <row r="281" spans="2:3" x14ac:dyDescent="0.25">
      <c r="B281" t="s">
        <v>212</v>
      </c>
    </row>
    <row r="282" spans="2:3" x14ac:dyDescent="0.25">
      <c r="B282" t="s">
        <v>213</v>
      </c>
    </row>
    <row r="283" spans="2:3" x14ac:dyDescent="0.25">
      <c r="B283" t="s">
        <v>214</v>
      </c>
    </row>
    <row r="284" spans="2:3" x14ac:dyDescent="0.25">
      <c r="B284" t="s">
        <v>215</v>
      </c>
    </row>
    <row r="285" spans="2:3" x14ac:dyDescent="0.25">
      <c r="B285" t="s">
        <v>216</v>
      </c>
    </row>
    <row r="287" spans="2:3" x14ac:dyDescent="0.25">
      <c r="C287" t="s">
        <v>115</v>
      </c>
    </row>
    <row r="289" spans="2:5" x14ac:dyDescent="0.25">
      <c r="D289" t="s">
        <v>105</v>
      </c>
      <c r="E289" t="s">
        <v>217</v>
      </c>
    </row>
    <row r="290" spans="2:5" x14ac:dyDescent="0.25">
      <c r="D290" t="s">
        <v>107</v>
      </c>
      <c r="E290" t="s">
        <v>218</v>
      </c>
    </row>
    <row r="291" spans="2:5" x14ac:dyDescent="0.25">
      <c r="D291" t="s">
        <v>219</v>
      </c>
      <c r="E291" t="s">
        <v>41</v>
      </c>
    </row>
    <row r="292" spans="2:5" x14ac:dyDescent="0.25">
      <c r="D292" t="s">
        <v>220</v>
      </c>
      <c r="E292" t="s">
        <v>95</v>
      </c>
    </row>
    <row r="293" spans="2:5" x14ac:dyDescent="0.25">
      <c r="D293" t="s">
        <v>130</v>
      </c>
      <c r="E293" t="s">
        <v>96</v>
      </c>
    </row>
    <row r="294" spans="2:5" x14ac:dyDescent="0.25">
      <c r="D294" t="s">
        <v>221</v>
      </c>
    </row>
    <row r="299" spans="2:5" x14ac:dyDescent="0.25">
      <c r="B299" t="s">
        <v>134</v>
      </c>
    </row>
    <row r="300" spans="2:5" x14ac:dyDescent="0.25">
      <c r="B300" t="s">
        <v>222</v>
      </c>
    </row>
    <row r="301" spans="2:5" x14ac:dyDescent="0.25">
      <c r="B301" t="s">
        <v>223</v>
      </c>
    </row>
    <row r="302" spans="2:5" x14ac:dyDescent="0.25">
      <c r="B302" t="s">
        <v>224</v>
      </c>
    </row>
    <row r="303" spans="2:5" x14ac:dyDescent="0.25">
      <c r="B303" t="s">
        <v>225</v>
      </c>
    </row>
    <row r="304" spans="2:5" x14ac:dyDescent="0.25">
      <c r="B304" t="s">
        <v>226</v>
      </c>
    </row>
    <row r="305" spans="2:5" x14ac:dyDescent="0.25">
      <c r="B305" t="s">
        <v>227</v>
      </c>
    </row>
    <row r="306" spans="2:5" x14ac:dyDescent="0.25">
      <c r="B306" t="s">
        <v>228</v>
      </c>
    </row>
    <row r="308" spans="2:5" x14ac:dyDescent="0.25">
      <c r="D308" t="s">
        <v>105</v>
      </c>
      <c r="E308" t="s">
        <v>128</v>
      </c>
    </row>
    <row r="309" spans="2:5" x14ac:dyDescent="0.25">
      <c r="D309" t="s">
        <v>107</v>
      </c>
      <c r="E309" t="s">
        <v>129</v>
      </c>
    </row>
    <row r="310" spans="2:5" x14ac:dyDescent="0.25">
      <c r="D310" t="s">
        <v>130</v>
      </c>
      <c r="E310" t="s">
        <v>229</v>
      </c>
    </row>
    <row r="311" spans="2:5" x14ac:dyDescent="0.25">
      <c r="D311" t="s">
        <v>230</v>
      </c>
    </row>
    <row r="312" spans="2:5" x14ac:dyDescent="0.25">
      <c r="C312" t="s">
        <v>115</v>
      </c>
    </row>
    <row r="314" spans="2:5" x14ac:dyDescent="0.25">
      <c r="D314" t="s">
        <v>105</v>
      </c>
      <c r="E314" t="s">
        <v>128</v>
      </c>
    </row>
    <row r="315" spans="2:5" x14ac:dyDescent="0.25">
      <c r="D315" t="s">
        <v>107</v>
      </c>
      <c r="E315" t="s">
        <v>129</v>
      </c>
    </row>
    <row r="316" spans="2:5" x14ac:dyDescent="0.25">
      <c r="D316" t="s">
        <v>130</v>
      </c>
      <c r="E316" t="s">
        <v>143</v>
      </c>
    </row>
    <row r="317" spans="2:5" x14ac:dyDescent="0.25">
      <c r="D317" t="s">
        <v>231</v>
      </c>
      <c r="E317" t="s">
        <v>232</v>
      </c>
    </row>
    <row r="318" spans="2:5" x14ac:dyDescent="0.25">
      <c r="D318" t="s">
        <v>230</v>
      </c>
    </row>
    <row r="319" spans="2:5" x14ac:dyDescent="0.25">
      <c r="C319" t="s">
        <v>115</v>
      </c>
    </row>
    <row r="321" spans="4:9" x14ac:dyDescent="0.25">
      <c r="D321" t="s">
        <v>105</v>
      </c>
      <c r="E321" t="s">
        <v>146</v>
      </c>
    </row>
    <row r="322" spans="4:9" x14ac:dyDescent="0.25">
      <c r="D322" t="s">
        <v>107</v>
      </c>
      <c r="E322" t="s">
        <v>264</v>
      </c>
    </row>
    <row r="323" spans="4:9" x14ac:dyDescent="0.25">
      <c r="D323" t="s">
        <v>147</v>
      </c>
      <c r="E323" t="s">
        <v>74</v>
      </c>
      <c r="F323" t="s">
        <v>74</v>
      </c>
      <c r="G323" t="s">
        <v>74</v>
      </c>
      <c r="H323" t="s">
        <v>74</v>
      </c>
      <c r="I323" t="s">
        <v>74</v>
      </c>
    </row>
    <row r="324" spans="4:9" x14ac:dyDescent="0.25">
      <c r="D324" t="s">
        <v>148</v>
      </c>
      <c r="E324">
        <v>1</v>
      </c>
      <c r="F324">
        <v>2</v>
      </c>
      <c r="G324">
        <v>3</v>
      </c>
      <c r="H324">
        <v>4</v>
      </c>
      <c r="I324">
        <v>5</v>
      </c>
    </row>
    <row r="325" spans="4:9" x14ac:dyDescent="0.25">
      <c r="D325" t="s">
        <v>149</v>
      </c>
      <c r="E325" t="s">
        <v>78</v>
      </c>
      <c r="F325" t="s">
        <v>78</v>
      </c>
      <c r="G325" t="s">
        <v>78</v>
      </c>
      <c r="H325" t="s">
        <v>78</v>
      </c>
      <c r="I325" t="s">
        <v>78</v>
      </c>
    </row>
    <row r="326" spans="4:9" x14ac:dyDescent="0.25">
      <c r="D326" t="s">
        <v>150</v>
      </c>
      <c r="E326">
        <v>1</v>
      </c>
      <c r="F326">
        <v>2</v>
      </c>
      <c r="G326">
        <v>3</v>
      </c>
      <c r="H326">
        <v>4</v>
      </c>
      <c r="I326">
        <v>5</v>
      </c>
    </row>
    <row r="327" spans="4:9" x14ac:dyDescent="0.25">
      <c r="D327" t="s">
        <v>151</v>
      </c>
      <c r="E327">
        <v>100</v>
      </c>
      <c r="F327">
        <v>100</v>
      </c>
      <c r="G327">
        <v>100</v>
      </c>
      <c r="H327">
        <v>100</v>
      </c>
      <c r="I327">
        <v>100</v>
      </c>
    </row>
    <row r="328" spans="4:9" x14ac:dyDescent="0.25">
      <c r="D328" t="s">
        <v>152</v>
      </c>
      <c r="E328">
        <v>0</v>
      </c>
      <c r="F328">
        <v>0</v>
      </c>
      <c r="G328">
        <v>0</v>
      </c>
      <c r="H328">
        <v>0</v>
      </c>
      <c r="I328">
        <v>0</v>
      </c>
    </row>
    <row r="329" spans="4:9" x14ac:dyDescent="0.25">
      <c r="D329" t="s">
        <v>153</v>
      </c>
      <c r="E329" t="s">
        <v>42</v>
      </c>
      <c r="F329" t="s">
        <v>42</v>
      </c>
      <c r="G329" t="s">
        <v>42</v>
      </c>
      <c r="H329" t="s">
        <v>42</v>
      </c>
      <c r="I329" t="s">
        <v>42</v>
      </c>
    </row>
    <row r="330" spans="4:9" x14ac:dyDescent="0.25">
      <c r="D330" t="s">
        <v>154</v>
      </c>
      <c r="E330" t="s">
        <v>155</v>
      </c>
    </row>
    <row r="331" spans="4:9" x14ac:dyDescent="0.25">
      <c r="D331" t="s">
        <v>156</v>
      </c>
      <c r="E331" t="s">
        <v>157</v>
      </c>
    </row>
    <row r="332" spans="4:9" x14ac:dyDescent="0.25">
      <c r="D332" t="s">
        <v>233</v>
      </c>
    </row>
    <row r="334" spans="4:9" x14ac:dyDescent="0.25">
      <c r="D334" t="s">
        <v>105</v>
      </c>
      <c r="E334" t="s">
        <v>128</v>
      </c>
    </row>
    <row r="335" spans="4:9" x14ac:dyDescent="0.25">
      <c r="D335" t="s">
        <v>107</v>
      </c>
      <c r="E335" t="s">
        <v>129</v>
      </c>
    </row>
    <row r="336" spans="4:9" x14ac:dyDescent="0.25">
      <c r="D336" t="s">
        <v>130</v>
      </c>
      <c r="E336" t="s">
        <v>143</v>
      </c>
    </row>
    <row r="337" spans="2:5" x14ac:dyDescent="0.25">
      <c r="D337" t="s">
        <v>234</v>
      </c>
      <c r="E337" t="s">
        <v>232</v>
      </c>
    </row>
    <row r="338" spans="2:5" x14ac:dyDescent="0.25">
      <c r="D338" t="s">
        <v>233</v>
      </c>
    </row>
    <row r="339" spans="2:5" x14ac:dyDescent="0.25">
      <c r="C339" t="s">
        <v>133</v>
      </c>
    </row>
    <row r="345" spans="2:5" x14ac:dyDescent="0.25">
      <c r="B345" t="s">
        <v>121</v>
      </c>
    </row>
    <row r="346" spans="2:5" x14ac:dyDescent="0.25">
      <c r="B346" t="s">
        <v>235</v>
      </c>
    </row>
    <row r="347" spans="2:5" x14ac:dyDescent="0.25">
      <c r="B347" t="s">
        <v>236</v>
      </c>
    </row>
    <row r="348" spans="2:5" x14ac:dyDescent="0.25">
      <c r="B348" t="s">
        <v>237</v>
      </c>
    </row>
    <row r="349" spans="2:5" x14ac:dyDescent="0.25">
      <c r="B349" t="s">
        <v>238</v>
      </c>
    </row>
    <row r="350" spans="2:5" x14ac:dyDescent="0.25">
      <c r="B350" t="s">
        <v>239</v>
      </c>
    </row>
    <row r="351" spans="2:5" x14ac:dyDescent="0.25">
      <c r="B351" t="s">
        <v>127</v>
      </c>
    </row>
    <row r="353" spans="3:9" x14ac:dyDescent="0.25">
      <c r="D353" t="s">
        <v>105</v>
      </c>
      <c r="E353" t="s">
        <v>128</v>
      </c>
    </row>
    <row r="354" spans="3:9" x14ac:dyDescent="0.25">
      <c r="D354" t="s">
        <v>107</v>
      </c>
      <c r="E354" t="s">
        <v>129</v>
      </c>
    </row>
    <row r="355" spans="3:9" x14ac:dyDescent="0.25">
      <c r="D355" t="s">
        <v>130</v>
      </c>
      <c r="E355" t="s">
        <v>240</v>
      </c>
    </row>
    <row r="356" spans="3:9" x14ac:dyDescent="0.25">
      <c r="D356" t="s">
        <v>241</v>
      </c>
    </row>
    <row r="357" spans="3:9" x14ac:dyDescent="0.25">
      <c r="C357" t="s">
        <v>115</v>
      </c>
    </row>
    <row r="359" spans="3:9" x14ac:dyDescent="0.25">
      <c r="D359" t="s">
        <v>105</v>
      </c>
      <c r="E359" t="s">
        <v>146</v>
      </c>
    </row>
    <row r="360" spans="3:9" x14ac:dyDescent="0.25">
      <c r="D360" t="s">
        <v>107</v>
      </c>
      <c r="E360" t="s">
        <v>264</v>
      </c>
    </row>
    <row r="361" spans="3:9" x14ac:dyDescent="0.25">
      <c r="D361" t="s">
        <v>147</v>
      </c>
      <c r="E361" t="s">
        <v>74</v>
      </c>
      <c r="F361" t="s">
        <v>74</v>
      </c>
      <c r="G361" t="s">
        <v>74</v>
      </c>
      <c r="H361" t="s">
        <v>74</v>
      </c>
      <c r="I361" t="s">
        <v>74</v>
      </c>
    </row>
    <row r="362" spans="3:9" x14ac:dyDescent="0.25">
      <c r="D362" t="s">
        <v>148</v>
      </c>
      <c r="E362">
        <v>1</v>
      </c>
      <c r="F362">
        <v>2</v>
      </c>
      <c r="G362">
        <v>3</v>
      </c>
      <c r="H362">
        <v>4</v>
      </c>
      <c r="I362">
        <v>5</v>
      </c>
    </row>
    <row r="363" spans="3:9" x14ac:dyDescent="0.25">
      <c r="D363" t="s">
        <v>149</v>
      </c>
      <c r="E363" t="s">
        <v>80</v>
      </c>
      <c r="F363" t="s">
        <v>80</v>
      </c>
      <c r="G363" t="s">
        <v>80</v>
      </c>
      <c r="H363" t="s">
        <v>80</v>
      </c>
      <c r="I363" t="s">
        <v>80</v>
      </c>
    </row>
    <row r="364" spans="3:9" x14ac:dyDescent="0.25">
      <c r="D364" t="s">
        <v>150</v>
      </c>
      <c r="E364">
        <v>1</v>
      </c>
      <c r="F364">
        <v>2</v>
      </c>
      <c r="G364">
        <v>3</v>
      </c>
      <c r="H364">
        <v>4</v>
      </c>
      <c r="I364">
        <v>5</v>
      </c>
    </row>
    <row r="365" spans="3:9" x14ac:dyDescent="0.25">
      <c r="D365" t="s">
        <v>151</v>
      </c>
      <c r="E365">
        <v>5</v>
      </c>
      <c r="F365">
        <v>5</v>
      </c>
      <c r="G365">
        <v>5</v>
      </c>
      <c r="H365">
        <v>5</v>
      </c>
      <c r="I365">
        <v>5</v>
      </c>
    </row>
    <row r="366" spans="3:9" x14ac:dyDescent="0.25">
      <c r="D366" t="s">
        <v>152</v>
      </c>
      <c r="E366">
        <v>100</v>
      </c>
      <c r="F366">
        <v>100</v>
      </c>
      <c r="G366">
        <v>100</v>
      </c>
      <c r="H366">
        <v>100</v>
      </c>
      <c r="I366">
        <v>100</v>
      </c>
    </row>
    <row r="367" spans="3:9" x14ac:dyDescent="0.25">
      <c r="D367" t="s">
        <v>153</v>
      </c>
      <c r="E367" t="s">
        <v>41</v>
      </c>
      <c r="F367" t="s">
        <v>41</v>
      </c>
      <c r="G367" t="s">
        <v>41</v>
      </c>
      <c r="H367" t="s">
        <v>41</v>
      </c>
      <c r="I367" t="s">
        <v>41</v>
      </c>
    </row>
    <row r="368" spans="3:9" x14ac:dyDescent="0.25">
      <c r="D368" t="s">
        <v>154</v>
      </c>
      <c r="E368" t="s">
        <v>155</v>
      </c>
    </row>
    <row r="369" spans="2:5" x14ac:dyDescent="0.25">
      <c r="D369" t="s">
        <v>156</v>
      </c>
      <c r="E369" t="s">
        <v>157</v>
      </c>
    </row>
    <row r="370" spans="2:5" x14ac:dyDescent="0.25">
      <c r="D370" t="s">
        <v>242</v>
      </c>
    </row>
    <row r="375" spans="2:5" x14ac:dyDescent="0.25">
      <c r="B375" t="s">
        <v>168</v>
      </c>
    </row>
    <row r="376" spans="2:5" x14ac:dyDescent="0.25">
      <c r="B376" t="s">
        <v>243</v>
      </c>
    </row>
    <row r="377" spans="2:5" x14ac:dyDescent="0.25">
      <c r="B377" t="s">
        <v>244</v>
      </c>
    </row>
    <row r="378" spans="2:5" x14ac:dyDescent="0.25">
      <c r="B378" t="s">
        <v>245</v>
      </c>
    </row>
    <row r="379" spans="2:5" x14ac:dyDescent="0.25">
      <c r="B379" t="s">
        <v>172</v>
      </c>
    </row>
    <row r="381" spans="2:5" x14ac:dyDescent="0.25">
      <c r="C381" t="s">
        <v>115</v>
      </c>
    </row>
    <row r="382" spans="2:5" x14ac:dyDescent="0.25">
      <c r="D382" t="s">
        <v>105</v>
      </c>
      <c r="E382" t="s">
        <v>128</v>
      </c>
    </row>
    <row r="383" spans="2:5" x14ac:dyDescent="0.25">
      <c r="D383" t="s">
        <v>107</v>
      </c>
      <c r="E383" t="s">
        <v>129</v>
      </c>
    </row>
    <row r="384" spans="2:5" x14ac:dyDescent="0.25">
      <c r="D384" t="s">
        <v>130</v>
      </c>
      <c r="E384" t="s">
        <v>246</v>
      </c>
    </row>
    <row r="385" spans="4:5" x14ac:dyDescent="0.25">
      <c r="D385" t="s">
        <v>247</v>
      </c>
    </row>
    <row r="387" spans="4:5" x14ac:dyDescent="0.25">
      <c r="D387" t="s">
        <v>105</v>
      </c>
      <c r="E387" t="s">
        <v>175</v>
      </c>
    </row>
    <row r="388" spans="4:5" x14ac:dyDescent="0.25">
      <c r="D388" t="s">
        <v>107</v>
      </c>
      <c r="E388" t="s">
        <v>176</v>
      </c>
    </row>
    <row r="389" spans="4:5" x14ac:dyDescent="0.25">
      <c r="D389" t="s">
        <v>177</v>
      </c>
      <c r="E389">
        <v>3600</v>
      </c>
    </row>
    <row r="390" spans="4:5" x14ac:dyDescent="0.25">
      <c r="D390" t="s">
        <v>248</v>
      </c>
    </row>
    <row r="392" spans="4:5" x14ac:dyDescent="0.25">
      <c r="D392" t="s">
        <v>105</v>
      </c>
      <c r="E392" t="s">
        <v>175</v>
      </c>
    </row>
    <row r="393" spans="4:5" x14ac:dyDescent="0.25">
      <c r="D393" t="s">
        <v>107</v>
      </c>
      <c r="E393" t="s">
        <v>179</v>
      </c>
    </row>
    <row r="394" spans="4:5" x14ac:dyDescent="0.25">
      <c r="D394" t="s">
        <v>249</v>
      </c>
    </row>
    <row r="396" spans="4:5" x14ac:dyDescent="0.25">
      <c r="D396" t="s">
        <v>105</v>
      </c>
      <c r="E396" t="s">
        <v>106</v>
      </c>
    </row>
    <row r="397" spans="4:5" x14ac:dyDescent="0.25">
      <c r="D397" t="s">
        <v>107</v>
      </c>
      <c r="E397" t="s">
        <v>181</v>
      </c>
    </row>
    <row r="398" spans="4:5" x14ac:dyDescent="0.25">
      <c r="D398" t="s">
        <v>109</v>
      </c>
      <c r="E398">
        <v>1</v>
      </c>
    </row>
    <row r="403" spans="2:5" x14ac:dyDescent="0.25">
      <c r="B403" t="s">
        <v>121</v>
      </c>
    </row>
    <row r="404" spans="2:5" x14ac:dyDescent="0.25">
      <c r="B404" t="s">
        <v>250</v>
      </c>
    </row>
    <row r="405" spans="2:5" x14ac:dyDescent="0.25">
      <c r="B405" t="s">
        <v>251</v>
      </c>
    </row>
    <row r="406" spans="2:5" x14ac:dyDescent="0.25">
      <c r="B406" t="s">
        <v>252</v>
      </c>
    </row>
    <row r="407" spans="2:5" x14ac:dyDescent="0.25">
      <c r="B407" t="s">
        <v>125</v>
      </c>
    </row>
    <row r="408" spans="2:5" x14ac:dyDescent="0.25">
      <c r="B408" t="s">
        <v>253</v>
      </c>
    </row>
    <row r="409" spans="2:5" x14ac:dyDescent="0.25">
      <c r="B409" t="s">
        <v>127</v>
      </c>
    </row>
    <row r="411" spans="2:5" x14ac:dyDescent="0.25">
      <c r="D411" t="s">
        <v>105</v>
      </c>
      <c r="E411" t="s">
        <v>128</v>
      </c>
    </row>
    <row r="412" spans="2:5" x14ac:dyDescent="0.25">
      <c r="D412" t="s">
        <v>107</v>
      </c>
      <c r="E412" t="s">
        <v>129</v>
      </c>
    </row>
    <row r="413" spans="2:5" x14ac:dyDescent="0.25">
      <c r="D413" t="s">
        <v>130</v>
      </c>
      <c r="E413" t="s">
        <v>254</v>
      </c>
    </row>
    <row r="414" spans="2:5" x14ac:dyDescent="0.25">
      <c r="D414" t="s">
        <v>255</v>
      </c>
    </row>
    <row r="415" spans="2:5" x14ac:dyDescent="0.25">
      <c r="C415" t="s">
        <v>115</v>
      </c>
    </row>
    <row r="417" spans="4:9" x14ac:dyDescent="0.25">
      <c r="D417" t="s">
        <v>105</v>
      </c>
      <c r="E417" t="s">
        <v>146</v>
      </c>
    </row>
    <row r="418" spans="4:9" x14ac:dyDescent="0.25">
      <c r="D418" t="s">
        <v>107</v>
      </c>
      <c r="E418" t="s">
        <v>264</v>
      </c>
    </row>
    <row r="419" spans="4:9" x14ac:dyDescent="0.25">
      <c r="D419" t="s">
        <v>147</v>
      </c>
      <c r="E419" t="s">
        <v>74</v>
      </c>
      <c r="F419" t="s">
        <v>74</v>
      </c>
      <c r="G419" t="s">
        <v>74</v>
      </c>
      <c r="H419" t="s">
        <v>74</v>
      </c>
      <c r="I419" t="s">
        <v>74</v>
      </c>
    </row>
    <row r="420" spans="4:9" x14ac:dyDescent="0.25">
      <c r="D420" t="s">
        <v>148</v>
      </c>
      <c r="E420">
        <v>1</v>
      </c>
      <c r="F420">
        <v>2</v>
      </c>
      <c r="G420">
        <v>3</v>
      </c>
      <c r="H420">
        <v>4</v>
      </c>
      <c r="I420">
        <v>5</v>
      </c>
    </row>
    <row r="421" spans="4:9" x14ac:dyDescent="0.25">
      <c r="D421" t="s">
        <v>149</v>
      </c>
      <c r="E421" t="s">
        <v>73</v>
      </c>
      <c r="F421" t="s">
        <v>73</v>
      </c>
      <c r="G421" t="s">
        <v>73</v>
      </c>
      <c r="H421" t="s">
        <v>73</v>
      </c>
      <c r="I421" t="s">
        <v>73</v>
      </c>
    </row>
    <row r="422" spans="4:9" x14ac:dyDescent="0.25">
      <c r="D422" t="s">
        <v>150</v>
      </c>
      <c r="E422">
        <v>1</v>
      </c>
      <c r="F422">
        <v>2</v>
      </c>
      <c r="G422">
        <v>3</v>
      </c>
      <c r="H422">
        <v>4</v>
      </c>
      <c r="I422">
        <v>5</v>
      </c>
    </row>
    <row r="423" spans="4:9" x14ac:dyDescent="0.25">
      <c r="D423" t="s">
        <v>151</v>
      </c>
      <c r="E423">
        <v>2</v>
      </c>
      <c r="F423">
        <v>2</v>
      </c>
      <c r="G423">
        <v>2</v>
      </c>
      <c r="H423">
        <v>2</v>
      </c>
      <c r="I423">
        <v>2</v>
      </c>
    </row>
    <row r="424" spans="4:9" x14ac:dyDescent="0.25">
      <c r="D424" t="s">
        <v>152</v>
      </c>
      <c r="E424">
        <v>105</v>
      </c>
      <c r="F424">
        <v>105</v>
      </c>
      <c r="G424">
        <v>105</v>
      </c>
      <c r="H424">
        <v>105</v>
      </c>
      <c r="I424">
        <v>105</v>
      </c>
    </row>
    <row r="425" spans="4:9" x14ac:dyDescent="0.25">
      <c r="D425" t="s">
        <v>153</v>
      </c>
      <c r="E425" t="s">
        <v>41</v>
      </c>
      <c r="F425" t="s">
        <v>41</v>
      </c>
      <c r="G425" t="s">
        <v>41</v>
      </c>
      <c r="H425" t="s">
        <v>41</v>
      </c>
      <c r="I425" t="s">
        <v>41</v>
      </c>
    </row>
    <row r="426" spans="4:9" x14ac:dyDescent="0.25">
      <c r="D426" t="s">
        <v>154</v>
      </c>
      <c r="E426" t="s">
        <v>155</v>
      </c>
    </row>
    <row r="427" spans="4:9" x14ac:dyDescent="0.25">
      <c r="D427" t="s">
        <v>156</v>
      </c>
      <c r="E427" t="s">
        <v>157</v>
      </c>
    </row>
    <row r="428" spans="4:9" x14ac:dyDescent="0.25">
      <c r="D428" t="s">
        <v>256</v>
      </c>
    </row>
    <row r="433" spans="2:5" x14ac:dyDescent="0.25">
      <c r="B433" t="s">
        <v>212</v>
      </c>
    </row>
    <row r="434" spans="2:5" x14ac:dyDescent="0.25">
      <c r="B434" t="s">
        <v>257</v>
      </c>
    </row>
    <row r="435" spans="2:5" x14ac:dyDescent="0.25">
      <c r="B435" t="s">
        <v>214</v>
      </c>
    </row>
    <row r="436" spans="2:5" x14ac:dyDescent="0.25">
      <c r="B436" t="s">
        <v>258</v>
      </c>
    </row>
    <row r="437" spans="2:5" x14ac:dyDescent="0.25">
      <c r="B437" t="s">
        <v>259</v>
      </c>
    </row>
    <row r="439" spans="2:5" x14ac:dyDescent="0.25">
      <c r="C439" t="s">
        <v>115</v>
      </c>
    </row>
    <row r="441" spans="2:5" x14ac:dyDescent="0.25">
      <c r="D441" t="s">
        <v>105</v>
      </c>
      <c r="E441" t="s">
        <v>217</v>
      </c>
    </row>
    <row r="442" spans="2:5" x14ac:dyDescent="0.25">
      <c r="D442" t="s">
        <v>107</v>
      </c>
      <c r="E442" t="s">
        <v>218</v>
      </c>
    </row>
    <row r="443" spans="2:5" x14ac:dyDescent="0.25">
      <c r="D443" t="s">
        <v>219</v>
      </c>
      <c r="E443" t="s">
        <v>41</v>
      </c>
    </row>
    <row r="444" spans="2:5" x14ac:dyDescent="0.25">
      <c r="D444" t="s">
        <v>220</v>
      </c>
      <c r="E444" t="s">
        <v>97</v>
      </c>
    </row>
    <row r="445" spans="2:5" x14ac:dyDescent="0.25">
      <c r="D445" t="s">
        <v>130</v>
      </c>
      <c r="E445" t="s">
        <v>98</v>
      </c>
    </row>
    <row r="446" spans="2:5" x14ac:dyDescent="0.25">
      <c r="D446" t="s">
        <v>260</v>
      </c>
    </row>
    <row r="451" spans="2:3" x14ac:dyDescent="0.25">
      <c r="B451" t="s">
        <v>261</v>
      </c>
    </row>
    <row r="452" spans="2:3" x14ac:dyDescent="0.25">
      <c r="B452" t="s">
        <v>262</v>
      </c>
    </row>
    <row r="454" spans="2:3" x14ac:dyDescent="0.25">
      <c r="C454" t="s">
        <v>263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E792D2-13D9-445F-AE7B-CF179A33399C}">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cc16eacc-26c8-4df3-9d75-d6f43556ca3d"/>
    <ds:schemaRef ds:uri="4c8e7f9b-eac5-4ae2-b2ae-e40caed85104"/>
    <ds:schemaRef ds:uri="http://purl.org/dc/terms/"/>
    <ds:schemaRef ds:uri="http://www.w3.org/XML/1998/namespace"/>
    <ds:schemaRef ds:uri="http://purl.org/dc/dcmitype/"/>
  </ds:schemaRefs>
</ds:datastoreItem>
</file>

<file path=customXml/itemProps3.xml><?xml version="1.0" encoding="utf-8"?>
<ds:datastoreItem xmlns:ds="http://schemas.openxmlformats.org/officeDocument/2006/customXml" ds:itemID="{158388FD-FCB9-4D40-8807-AFB22AE8C17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___Dropdown values</vt:lpstr>
      <vt:lpstr>Building Blocks</vt:lpstr>
      <vt:lpstr>Method</vt:lpstr>
      <vt:lpstr>Worklist</vt:lpstr>
      <vt:lpstr>TestLog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2021-08-04T13:49:13Z</cp:lastPrinted>
  <dcterms:created xsi:type="dcterms:W3CDTF">2021-02-05T21:39:59Z</dcterms:created>
  <dcterms:modified xsi:type="dcterms:W3CDTF">2022-01-18T19:37:37Z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