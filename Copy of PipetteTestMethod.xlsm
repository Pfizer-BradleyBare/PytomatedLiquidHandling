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firstSheet="1" activeTab="2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26" r:id="rId5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3" l="1"/>
  <c r="B4" i="3" s="1"/>
  <c r="A3" i="3"/>
  <c r="B3" i="3" s="1"/>
  <c r="E13" i="2"/>
  <c r="E10" i="2"/>
  <c r="A2" i="3" l="1"/>
  <c r="B2" i="3" s="1"/>
</calcChain>
</file>

<file path=xl/sharedStrings.xml><?xml version="1.0" encoding="utf-8"?>
<sst xmlns="http://schemas.openxmlformats.org/spreadsheetml/2006/main" count="172" uniqueCount="94">
  <si>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</si>
  <si>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</si>
  <si>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</si>
  <si>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</si>
  <si>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</si>
  <si>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</si>
  <si>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</si>
  <si>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</si>
  <si>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</si>
  <si>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</si>
  <si>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</si>
  <si>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</si>
  <si>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</si>
  <si>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</si>
  <si>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</si>
  <si>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</si>
  <si>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</si>
  <si>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</si>
  <si>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</si>
  <si>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</si>
  <si>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</si>
  <si>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</si>
  <si>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</si>
  <si>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</si>
  <si>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</si>
  <si>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</si>
  <si>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</si>
  <si>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</si>
  <si>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</si>
  <si>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</si>
  <si>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</si>
  <si>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</si>
  <si>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</si>
  <si>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</si>
  <si>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</si>
  <si>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</si>
  <si>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</si>
  <si>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</si>
  <si>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</si>
  <si>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</si>
  <si>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</si>
  <si>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</si>
  <si>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</si>
  <si>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</si>
  <si>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</si>
  <si>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</si>
  <si>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</si>
  <si>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</si>
  <si>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</si>
  <si>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</si>
  <si>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</si>
  <si>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</si>
  <si>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</si>
  <si>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</si>
  <si>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</si>
  <si>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</si>
  <si>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</si>
  <si>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</si>
  <si>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</si>
  <si>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</si>
  <si>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</si>
  <si>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</si>
  <si>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</si>
  <si>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</si>
  <si>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</si>
  <si>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</si>
  <si>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</si>
  <si>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</si>
  <si>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Time (sec)</t>
  </si>
  <si>
    <t>Source Plate</t>
  </si>
  <si>
    <t>Reagent</t>
  </si>
  <si>
    <t>Reagent Lot</t>
  </si>
  <si>
    <t>Reagent Volume</t>
  </si>
  <si>
    <t>Diluent Lot</t>
  </si>
  <si>
    <t>Diluent Volume</t>
  </si>
  <si>
    <t>Hamilton 1.5mL FlipTube</t>
  </si>
  <si>
    <t>Destination</t>
  </si>
  <si>
    <t>Solution 1</t>
  </si>
  <si>
    <t>Solutions List</t>
  </si>
  <si>
    <t>Solution 2</t>
  </si>
  <si>
    <t>Solution 3</t>
  </si>
  <si>
    <t>Solution 4</t>
  </si>
  <si>
    <t>Solution 5</t>
  </si>
  <si>
    <t>Volumes List</t>
  </si>
  <si>
    <t>Destination: 200uL Biorad 96 Well PCR Plate</t>
  </si>
  <si>
    <t>A1: 81.0uL</t>
  </si>
  <si>
    <t>A2: 51.0uL</t>
  </si>
  <si>
    <t>A3: 31.0uL</t>
  </si>
  <si>
    <t>A4: 109.0uL</t>
  </si>
  <si>
    <t>Minimum Volume: 230.0uL</t>
  </si>
  <si>
    <t>Minimum Volume: 160.0uL</t>
  </si>
  <si>
    <t>Minimum Volume: 190.0uL</t>
  </si>
  <si>
    <t>Minimum Volume: 210.0uL</t>
  </si>
  <si>
    <t>Minimum Volume: 300.0uL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</si>
</sst>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104775</xdr:rowOff>
        </xdr:from>
        <xdr:to>
          <xdr:col>1</xdr:col>
          <xdr:colOff>990600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29</v>
      </c>
      <c r="C3" s="41"/>
      <c r="D3" s="41" t="s">
        <v>51</v>
      </c>
      <c r="F3" s="62" t="s">
        <v>24</v>
      </c>
      <c r="G3" s="62"/>
      <c r="H3" s="62"/>
      <c r="I3" s="62"/>
      <c r="J3" s="62"/>
      <c r="K3" s="62"/>
      <c r="L3" s="62"/>
    </row>
    <row r="4" spans="2:12" x14ac:dyDescent="0.25">
      <c r="B4" t="s">
        <v>32</v>
      </c>
      <c r="D4" s="44" t="s">
        <v>65</v>
      </c>
      <c r="F4" s="41" t="s">
        <v>0</v>
      </c>
      <c r="G4" s="41" t="s">
        <v>15</v>
      </c>
      <c r="H4" s="41" t="s">
        <v>5</v>
      </c>
      <c r="I4" s="41" t="s">
        <v>19</v>
      </c>
      <c r="J4" s="41" t="s">
        <v>44</v>
      </c>
      <c r="K4" s="41" t="s">
        <v>37</v>
      </c>
      <c r="L4" s="41" t="s">
        <v>53</v>
      </c>
    </row>
    <row r="5" spans="2:12" x14ac:dyDescent="0.25">
      <c r="B5" t="s">
        <v>54</v>
      </c>
      <c r="D5" s="44" t="s">
        <v>66</v>
      </c>
      <c r="F5" t="s">
        <v>0</v>
      </c>
      <c r="G5" t="s">
        <v>15</v>
      </c>
      <c r="H5" t="s">
        <v>5</v>
      </c>
      <c r="I5" t="s">
        <v>19</v>
      </c>
      <c r="J5" t="s">
        <v>44</v>
      </c>
      <c r="K5" t="s">
        <v>37</v>
      </c>
      <c r="L5" t="s">
        <v>53</v>
      </c>
    </row>
    <row r="6" spans="2:12" x14ac:dyDescent="0.25">
      <c r="B6" t="s">
        <v>30</v>
      </c>
      <c r="D6" s="44"/>
      <c r="F6" t="s">
        <v>25</v>
      </c>
      <c r="G6" t="s">
        <v>26</v>
      </c>
      <c r="H6" t="s">
        <v>27</v>
      </c>
      <c r="I6" t="s">
        <v>28</v>
      </c>
      <c r="J6" t="s">
        <v>45</v>
      </c>
      <c r="K6" t="s">
        <v>38</v>
      </c>
      <c r="L6" t="s">
        <v>55</v>
      </c>
    </row>
    <row r="7" spans="2:12" x14ac:dyDescent="0.25">
      <c r="B7" t="s">
        <v>56</v>
      </c>
      <c r="D7" s="44"/>
    </row>
    <row r="9" spans="2:12" x14ac:dyDescent="0.25">
      <c r="B9" s="41" t="s">
        <v>52</v>
      </c>
      <c r="D9" s="35" t="s">
        <v>48</v>
      </c>
    </row>
    <row r="10" spans="2:12" x14ac:dyDescent="0.25">
      <c r="B10" t="s">
        <v>59</v>
      </c>
      <c r="D10" s="24" t="s">
        <v>40</v>
      </c>
    </row>
    <row r="11" spans="2:12" x14ac:dyDescent="0.25">
      <c r="B11" t="s">
        <v>60</v>
      </c>
      <c r="D11" s="24" t="s">
        <v>41</v>
      </c>
    </row>
    <row r="12" spans="2:12" x14ac:dyDescent="0.25">
      <c r="B12" t="s">
        <v>61</v>
      </c>
    </row>
    <row r="13" spans="2:12" x14ac:dyDescent="0.25">
      <c r="B13" t="s">
        <v>62</v>
      </c>
    </row>
    <row r="14" spans="2:12" x14ac:dyDescent="0.25">
      <c r="B14" t="s">
        <v>63</v>
      </c>
    </row>
    <row r="15" spans="2:12" x14ac:dyDescent="0.25">
      <c r="B15" t="s">
        <v>64</v>
      </c>
    </row>
    <row r="16" spans="2:12" x14ac:dyDescent="0.25">
      <c r="B16" t="s">
        <v>13</v>
      </c>
    </row>
    <row r="17" spans="2:2" x14ac:dyDescent="0.25">
      <c r="B17" t="s">
        <v>2</v>
      </c>
    </row>
    <row r="19" spans="2:2" x14ac:dyDescent="0.25">
      <c r="B19" s="41" t="s">
        <v>50</v>
      </c>
    </row>
    <row r="20" spans="2:2" x14ac:dyDescent="0.25">
      <c r="B20" t="s">
        <v>57</v>
      </c>
    </row>
    <row r="21" spans="2:2" x14ac:dyDescent="0.25">
      <c r="B21" t="s">
        <v>58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Q21"/>
  <sheetViews>
    <sheetView topLeftCell="B1"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68" t="s">
        <v>2</v>
      </c>
      <c r="D3" s="69"/>
      <c r="E3" s="45" t="s">
        <v>14</v>
      </c>
      <c r="G3" s="81" t="s">
        <v>15</v>
      </c>
      <c r="H3" s="82"/>
      <c r="I3" s="26" t="s">
        <v>14</v>
      </c>
      <c r="K3" s="85" t="s">
        <v>5</v>
      </c>
      <c r="L3" s="86"/>
      <c r="M3" s="27" t="s">
        <v>14</v>
      </c>
      <c r="O3" s="79" t="s">
        <v>37</v>
      </c>
      <c r="P3" s="80"/>
      <c r="Q3" s="28" t="s">
        <v>14</v>
      </c>
    </row>
    <row r="4" spans="3:17" x14ac:dyDescent="0.25">
      <c r="C4" s="31" t="s">
        <v>1</v>
      </c>
      <c r="D4" s="34"/>
      <c r="E4" s="73"/>
      <c r="G4" s="7" t="s">
        <v>36</v>
      </c>
      <c r="H4" s="15"/>
      <c r="I4" s="96"/>
      <c r="K4" s="5" t="s">
        <v>36</v>
      </c>
      <c r="L4" s="20"/>
      <c r="M4" s="99"/>
      <c r="O4" s="11" t="s">
        <v>12</v>
      </c>
      <c r="P4" s="22"/>
      <c r="Q4" s="65"/>
    </row>
    <row r="5" spans="3:17" ht="15.75" thickBot="1" x14ac:dyDescent="0.3">
      <c r="C5" s="46" t="s">
        <v>23</v>
      </c>
      <c r="D5" s="33"/>
      <c r="E5" s="74"/>
      <c r="G5" s="7" t="s">
        <v>3</v>
      </c>
      <c r="H5" s="15"/>
      <c r="I5" s="97"/>
      <c r="K5" s="5" t="s">
        <v>35</v>
      </c>
      <c r="L5" s="20"/>
      <c r="M5" s="100"/>
      <c r="O5" s="11" t="s">
        <v>9</v>
      </c>
      <c r="P5" s="22"/>
      <c r="Q5" s="66"/>
    </row>
    <row r="6" spans="3:17" ht="15.75" thickBot="1" x14ac:dyDescent="0.3">
      <c r="G6" s="7" t="s">
        <v>6</v>
      </c>
      <c r="H6" s="15"/>
      <c r="I6" s="97"/>
      <c r="K6" s="6" t="s">
        <v>23</v>
      </c>
      <c r="L6" s="21"/>
      <c r="M6" s="101"/>
      <c r="O6" s="12" t="s">
        <v>18</v>
      </c>
      <c r="P6" s="23"/>
      <c r="Q6" s="67"/>
    </row>
    <row r="7" spans="3:17" ht="15.75" thickBot="1" x14ac:dyDescent="0.3">
      <c r="G7" s="7" t="s">
        <v>7</v>
      </c>
      <c r="H7" s="15"/>
      <c r="I7" s="97"/>
    </row>
    <row r="8" spans="3:17" ht="15.75" thickBot="1" x14ac:dyDescent="0.3">
      <c r="C8" s="83" t="s">
        <v>4</v>
      </c>
      <c r="D8" s="84"/>
      <c r="E8" s="25" t="s">
        <v>14</v>
      </c>
      <c r="G8" s="8" t="s">
        <v>10</v>
      </c>
      <c r="H8" s="16"/>
      <c r="I8" s="98"/>
    </row>
    <row r="9" spans="3:17" ht="15.75" thickBot="1" x14ac:dyDescent="0.3">
      <c r="C9" s="9" t="s">
        <v>22</v>
      </c>
      <c r="D9" s="18"/>
      <c r="E9" s="87"/>
      <c r="K9" s="68" t="s">
        <v>19</v>
      </c>
      <c r="L9" s="69"/>
      <c r="M9" s="43" t="s">
        <v>14</v>
      </c>
    </row>
    <row r="10" spans="3:17" x14ac:dyDescent="0.25">
      <c r="C10" s="9" t="s">
        <v>33</v>
      </c>
      <c r="D10" s="18"/>
      <c r="E10" s="88"/>
      <c r="G10" s="102" t="s">
        <v>0</v>
      </c>
      <c r="H10" s="103"/>
      <c r="I10" s="29" t="s">
        <v>14</v>
      </c>
      <c r="K10" s="31" t="s">
        <v>47</v>
      </c>
      <c r="L10" s="32"/>
      <c r="M10" s="90"/>
    </row>
    <row r="11" spans="3:17" ht="15.75" thickBot="1" x14ac:dyDescent="0.3">
      <c r="C11" s="10" t="s">
        <v>34</v>
      </c>
      <c r="D11" s="19"/>
      <c r="E11" s="89"/>
      <c r="G11" s="3" t="s">
        <v>1</v>
      </c>
      <c r="H11" s="13"/>
      <c r="I11" s="93"/>
      <c r="K11" s="31" t="s">
        <v>20</v>
      </c>
      <c r="L11" s="50"/>
      <c r="M11" s="91"/>
    </row>
    <row r="12" spans="3:17" ht="15.75" thickBot="1" x14ac:dyDescent="0.3">
      <c r="G12" s="3" t="s">
        <v>52</v>
      </c>
      <c r="H12" s="13"/>
      <c r="I12" s="94"/>
      <c r="K12" s="1" t="s">
        <v>21</v>
      </c>
      <c r="L12" s="49"/>
      <c r="M12" s="92"/>
    </row>
    <row r="13" spans="3:17" x14ac:dyDescent="0.25">
      <c r="C13" s="68" t="s">
        <v>49</v>
      </c>
      <c r="D13" s="69"/>
      <c r="E13" s="42" t="s">
        <v>14</v>
      </c>
      <c r="G13" s="3" t="s">
        <v>50</v>
      </c>
      <c r="H13" s="13"/>
      <c r="I13" s="94"/>
    </row>
    <row r="14" spans="3:17" x14ac:dyDescent="0.25">
      <c r="C14" s="75"/>
      <c r="D14" s="76"/>
      <c r="E14" s="73"/>
      <c r="G14" s="3" t="s">
        <v>11</v>
      </c>
      <c r="H14" s="13"/>
      <c r="I14" s="94"/>
    </row>
    <row r="15" spans="3:17" ht="15.75" thickBot="1" x14ac:dyDescent="0.3">
      <c r="C15" s="77"/>
      <c r="D15" s="78"/>
      <c r="E15" s="74"/>
      <c r="G15" s="4" t="s">
        <v>39</v>
      </c>
      <c r="H15" s="14" t="s">
        <v>40</v>
      </c>
      <c r="I15" s="95"/>
    </row>
    <row r="17" spans="7:9" ht="15.75" thickBot="1" x14ac:dyDescent="0.3"/>
    <row r="18" spans="7:9" x14ac:dyDescent="0.25">
      <c r="G18" s="63" t="s">
        <v>42</v>
      </c>
      <c r="H18" s="64"/>
      <c r="I18" s="36" t="s">
        <v>14</v>
      </c>
    </row>
    <row r="19" spans="7:9" x14ac:dyDescent="0.25">
      <c r="G19" s="47" t="s">
        <v>69</v>
      </c>
      <c r="H19" s="48"/>
      <c r="I19" s="70"/>
    </row>
    <row r="20" spans="7:9" x14ac:dyDescent="0.25">
      <c r="G20" s="37" t="s">
        <v>67</v>
      </c>
      <c r="H20" s="38"/>
      <c r="I20" s="71"/>
    </row>
    <row r="21" spans="7:9" ht="15.75" thickBot="1" x14ac:dyDescent="0.3">
      <c r="G21" s="39" t="s">
        <v>68</v>
      </c>
      <c r="H21" s="40"/>
      <c r="I21" s="72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'___Dropdown values'!$B$20:$B$21</xm:f>
          </x14:formula1>
          <xm:sqref>H13</xm:sqref>
        </x14:dataValidation>
        <x14:dataValidation type="list" allowBlank="1" showInputMessage="1" showErrorMessage="1">
          <x14:formula1>
            <xm:f>'___Dropdown values'!$H$5:$H$6</xm:f>
          </x14:formula1>
          <xm:sqref>K3:L3</xm:sqref>
        </x14:dataValidation>
        <x14:dataValidation type="list" allowBlank="1" showInputMessage="1" showErrorMessage="1">
          <x14:formula1>
            <xm:f>'___Dropdown values'!$I$5:$I$6</xm:f>
          </x14:formula1>
          <xm:sqref>K9:L9</xm:sqref>
        </x14:dataValidation>
        <x14:dataValidation type="list" allowBlank="1" showInputMessage="1" showErrorMessage="1">
          <x14:formula1>
            <xm:f>'___Dropdown values'!$K$5:$K$6</xm:f>
          </x14:formula1>
          <xm:sqref>O3:P3</xm:sqref>
        </x14:dataValidation>
        <x14:dataValidation type="list" allowBlank="1" showInputMessage="1" showErrorMessage="1">
          <x14:formula1>
            <xm:f>'___Dropdown values'!$D$10:$D$11</xm:f>
          </x14:formula1>
          <xm:sqref>H15 L10</xm:sqref>
        </x14:dataValidation>
        <x14:dataValidation type="list" allowBlank="1" showInputMessage="1" showErrorMessage="1">
          <x14:formula1>
            <xm:f>'___Dropdown values'!$F$5:$F$6</xm:f>
          </x14:formula1>
          <xm:sqref>G10:H10</xm:sqref>
        </x14:dataValidation>
        <x14:dataValidation type="list" allowBlank="1" showInputMessage="1" showErrorMessage="1">
          <x14:formula1>
            <xm:f>'___Dropdown values'!$G$5:$G$6</xm:f>
          </x14:formula1>
          <xm:sqref>G3:H3</xm:sqref>
        </x14:dataValidation>
        <x14:dataValidation type="list" allowBlank="1" showInputMessage="1" showErrorMessage="1">
          <x14:formula1>
            <xm:f>'___Dropdown values'!$B$10:$B$17</xm:f>
          </x14:formula1>
          <xm:sqref>H12</xm:sqref>
        </x14:dataValidation>
        <x14:dataValidation type="list" allowBlank="1" showInputMessage="1" showErrorMessage="1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1:O18"/>
  <sheetViews>
    <sheetView tabSelected="1" zoomScale="90" zoomScaleNormal="90" workbookViewId="0">
      <selection activeCell="C16" sqref="C16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68" t="s">
        <v>2</v>
      </c>
      <c r="E2" s="69"/>
      <c r="F2" s="30" t="s">
        <v>14</v>
      </c>
    </row>
    <row r="3" spans="4:15" x14ac:dyDescent="0.25">
      <c r="D3" s="31" t="s">
        <v>1</v>
      </c>
      <c r="E3" s="34" t="s">
        <v>76</v>
      </c>
      <c r="F3" s="73" t="s">
        <v>43</v>
      </c>
    </row>
    <row r="4" spans="4:15" ht="15.75" thickBot="1" x14ac:dyDescent="0.3">
      <c r="D4" s="1" t="s">
        <v>23</v>
      </c>
      <c r="E4" s="17" t="s">
        <v>32</v>
      </c>
      <c r="F4" s="74"/>
    </row>
    <row r="6" spans="4:15" s="2" customFormat="1" ht="15.75" thickBot="1" x14ac:dyDescent="0.3">
      <c r="D6" s="104" t="s">
        <v>8</v>
      </c>
      <c r="E6" s="104"/>
    </row>
    <row r="8" spans="4:15" ht="15.75" thickBot="1" x14ac:dyDescent="0.3"/>
    <row r="9" spans="4:15" x14ac:dyDescent="0.25">
      <c r="D9" s="105" t="s">
        <v>0</v>
      </c>
      <c r="E9" s="106"/>
      <c r="F9" s="61" t="s">
        <v>14</v>
      </c>
    </row>
    <row r="10" spans="4:15" x14ac:dyDescent="0.25">
      <c r="D10" s="3" t="s">
        <v>1</v>
      </c>
      <c r="E10" s="13" t="str">
        <f>Worklist!D1</f>
        <v>Solutions List</v>
      </c>
      <c r="F10" s="93"/>
    </row>
    <row r="11" spans="4:15" x14ac:dyDescent="0.25">
      <c r="D11" s="3" t="s">
        <v>52</v>
      </c>
      <c r="E11" s="13" t="s">
        <v>59</v>
      </c>
      <c r="F11" s="94"/>
      <c r="I11" s="24"/>
      <c r="J11" s="24"/>
      <c r="N11"/>
      <c r="O11"/>
    </row>
    <row r="12" spans="4:15" x14ac:dyDescent="0.25">
      <c r="D12" s="3" t="s">
        <v>50</v>
      </c>
      <c r="E12" s="13" t="s">
        <v>57</v>
      </c>
      <c r="F12" s="94"/>
      <c r="N12"/>
      <c r="O12"/>
    </row>
    <row r="13" spans="4:15" x14ac:dyDescent="0.25">
      <c r="D13" s="3" t="s">
        <v>11</v>
      </c>
      <c r="E13" s="13" t="str">
        <f>Worklist!E1</f>
        <v>Volumes List</v>
      </c>
      <c r="F13" s="94"/>
      <c r="N13"/>
      <c r="O13"/>
    </row>
    <row r="14" spans="4:15" ht="15.75" thickBot="1" x14ac:dyDescent="0.3">
      <c r="D14" s="4" t="s">
        <v>39</v>
      </c>
      <c r="E14" s="14" t="s">
        <v>41</v>
      </c>
      <c r="F14" s="95"/>
      <c r="K14" s="24"/>
      <c r="L14" s="24"/>
      <c r="N14"/>
      <c r="O14"/>
    </row>
    <row r="15" spans="4:15" ht="15.75" thickBot="1" x14ac:dyDescent="0.3">
      <c r="K15" s="24"/>
      <c r="L15" s="24"/>
      <c r="N15"/>
      <c r="O15"/>
    </row>
    <row r="16" spans="4:15" x14ac:dyDescent="0.25">
      <c r="D16" s="68" t="s">
        <v>49</v>
      </c>
      <c r="E16" s="69"/>
      <c r="F16" s="60" t="s">
        <v>14</v>
      </c>
      <c r="K16" s="24"/>
      <c r="L16" s="24"/>
      <c r="N16"/>
      <c r="O16"/>
    </row>
    <row r="17" spans="4:15" x14ac:dyDescent="0.25">
      <c r="D17" s="75"/>
      <c r="E17" s="76"/>
      <c r="F17" s="73"/>
      <c r="K17" s="24"/>
      <c r="L17" s="24"/>
      <c r="N17"/>
      <c r="O17"/>
    </row>
    <row r="18" spans="4:15" ht="15.75" thickBot="1" x14ac:dyDescent="0.3">
      <c r="D18" s="77"/>
      <c r="E18" s="78"/>
      <c r="F18" s="74"/>
      <c r="K18" s="24"/>
      <c r="L18" s="24"/>
      <c r="N18"/>
      <c r="O18"/>
    </row>
  </sheetData>
  <mergeCells count="8">
    <mergeCell ref="D16:E16"/>
    <mergeCell ref="D17:E18"/>
    <mergeCell ref="F17:F18"/>
    <mergeCell ref="D2:E2"/>
    <mergeCell ref="F3:F4"/>
    <mergeCell ref="D6:E6"/>
    <mergeCell ref="D9:E9"/>
    <mergeCell ref="F10:F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eratePrepSheet">
                <anchor moveWithCells="1">
                  <from>
                    <xdr:col>0</xdr:col>
                    <xdr:colOff>114300</xdr:colOff>
                    <xdr:row>0</xdr:row>
                    <xdr:rowOff>104775</xdr:rowOff>
                  </from>
                  <to>
                    <xdr:col>1</xdr:col>
                    <xdr:colOff>990600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'___Dropdown values'!$B$4:$B$6</xm:f>
          </x14:formula1>
          <xm:sqref>E4</xm:sqref>
        </x14:dataValidation>
        <x14:dataValidation type="list" allowBlank="1" showInputMessage="1" showErrorMessage="1">
          <x14:formula1>
            <xm:f>'___Dropdown values'!$B$10:$B$17</xm:f>
          </x14:formula1>
          <xm:sqref>E11</xm:sqref>
        </x14:dataValidation>
        <x14:dataValidation type="list" allowBlank="1" showInputMessage="1" showErrorMessage="1">
          <x14:formula1>
            <xm:f>'___Dropdown values'!$F$5:$F$6</xm:f>
          </x14:formula1>
          <xm:sqref>D9:E9</xm:sqref>
        </x14:dataValidation>
        <x14:dataValidation type="list" allowBlank="1" showInputMessage="1" showErrorMessage="1">
          <x14:formula1>
            <xm:f>'___Dropdown values'!$D$10:$D$11</xm:f>
          </x14:formula1>
          <xm:sqref>E14</xm:sqref>
        </x14:dataValidation>
        <x14:dataValidation type="list" allowBlank="1" showInputMessage="1" showErrorMessage="1">
          <x14:formula1>
            <xm:f>'___Dropdown values'!$B$20:$B$21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workbookViewId="0">
      <selection activeCell="E5" sqref="E5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2.7109375" bestFit="1" customWidth="1"/>
    <col min="5" max="5" width="12.28515625" bestFit="1" customWidth="1"/>
    <col min="6" max="6" width="7.855468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5" x14ac:dyDescent="0.25">
      <c r="A1" t="s">
        <v>31</v>
      </c>
      <c r="B1" t="s">
        <v>46</v>
      </c>
      <c r="C1" t="s">
        <v>16</v>
      </c>
      <c r="D1" t="s">
        <v>78</v>
      </c>
      <c r="E1" t="s">
        <v>83</v>
      </c>
    </row>
    <row r="2" spans="1:5" x14ac:dyDescent="0.25">
      <c r="A2">
        <f t="shared" ref="A2:A4" si="0">ROW(A1)</f>
        <v>1</v>
      </c>
      <c r="B2">
        <f t="shared" ref="B2" si="1">A2</f>
        <v>1</v>
      </c>
      <c r="C2" t="s">
        <v>17</v>
      </c>
      <c r="D2" t="s">
        <v>77</v>
      </c>
      <c r="E2">
        <v>10</v>
      </c>
    </row>
    <row r="3" spans="1:5" x14ac:dyDescent="0.25">
      <c r="A3">
        <f t="shared" si="0"/>
        <v>2</v>
      </c>
      <c r="B3">
        <f t="shared" ref="B3:B4" si="2">A3</f>
        <v>2</v>
      </c>
      <c r="C3" t="s">
        <v>17</v>
      </c>
      <c r="D3" t="s">
        <v>79</v>
      </c>
      <c r="E3">
        <v>200</v>
      </c>
    </row>
    <row r="4" spans="1:5" x14ac:dyDescent="0.25">
      <c r="A4">
        <f t="shared" si="0"/>
        <v>3</v>
      </c>
      <c r="B4">
        <f t="shared" si="2"/>
        <v>3</v>
      </c>
      <c r="C4" t="s">
        <v>17</v>
      </c>
      <c r="D4" t="s">
        <v>80</v>
      </c>
      <c r="E4">
        <v>25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47"/>
  <sheetViews>
    <sheetView topLeftCell="A13"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107" t="s">
        <v>84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9"/>
    </row>
    <row r="3" spans="2:13" x14ac:dyDescent="0.25">
      <c r="B3" s="51" t="s">
        <v>85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3"/>
    </row>
    <row r="4" spans="2:13" x14ac:dyDescent="0.25">
      <c r="B4" s="54" t="s">
        <v>86</v>
      </c>
      <c r="C4" s="55"/>
      <c r="D4" s="55"/>
      <c r="E4" s="55"/>
      <c r="F4" s="55"/>
      <c r="G4" s="55"/>
      <c r="H4" s="55"/>
      <c r="I4" s="55"/>
      <c r="J4" s="55"/>
      <c r="K4" s="55"/>
      <c r="L4" s="55"/>
      <c r="M4" s="56"/>
    </row>
    <row r="5" spans="2:13" x14ac:dyDescent="0.25">
      <c r="B5" s="54" t="s">
        <v>87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6"/>
    </row>
    <row r="6" spans="2:13" x14ac:dyDescent="0.25">
      <c r="B6" s="54" t="s">
        <v>88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6"/>
    </row>
    <row r="7" spans="2:13" x14ac:dyDescent="0.25"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6"/>
    </row>
    <row r="8" spans="2:13" x14ac:dyDescent="0.25"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6"/>
    </row>
    <row r="9" spans="2:13" x14ac:dyDescent="0.25"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56"/>
    </row>
    <row r="10" spans="2:13" ht="15.75" thickBot="1" x14ac:dyDescent="0.3">
      <c r="B10" s="58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9"/>
    </row>
    <row r="14" spans="2:13" ht="15.75" thickBot="1" x14ac:dyDescent="0.3"/>
    <row r="15" spans="2:13" ht="19.5" thickBot="1" x14ac:dyDescent="0.35">
      <c r="B15" s="110" t="s">
        <v>77</v>
      </c>
      <c r="C15" s="111"/>
      <c r="D15" s="111"/>
      <c r="E15" s="111"/>
      <c r="F15" s="112"/>
      <c r="I15" s="110" t="s">
        <v>79</v>
      </c>
      <c r="J15" s="111"/>
      <c r="K15" s="111"/>
      <c r="L15" s="111"/>
      <c r="M15" s="112"/>
    </row>
    <row r="16" spans="2:13" ht="16.5" thickBot="1" x14ac:dyDescent="0.3">
      <c r="B16" s="113" t="s">
        <v>75</v>
      </c>
      <c r="C16" s="114"/>
      <c r="D16" s="114"/>
      <c r="E16" s="114"/>
      <c r="F16" s="115"/>
      <c r="I16" s="113" t="s">
        <v>75</v>
      </c>
      <c r="J16" s="114"/>
      <c r="K16" s="114"/>
      <c r="L16" s="114"/>
      <c r="M16" s="115"/>
    </row>
    <row r="17" spans="2:13" ht="16.5" thickBot="1" x14ac:dyDescent="0.3">
      <c r="B17" s="113" t="s">
        <v>89</v>
      </c>
      <c r="C17" s="114"/>
      <c r="D17" s="114"/>
      <c r="E17" s="114"/>
      <c r="F17" s="115"/>
      <c r="I17" s="113" t="s">
        <v>90</v>
      </c>
      <c r="J17" s="114"/>
      <c r="K17" s="114"/>
      <c r="L17" s="114"/>
      <c r="M17" s="115"/>
    </row>
    <row r="18" spans="2:13" x14ac:dyDescent="0.25">
      <c r="B18" s="116" t="s">
        <v>70</v>
      </c>
      <c r="C18" s="117"/>
      <c r="D18" s="117"/>
      <c r="E18" s="117"/>
      <c r="F18" s="122"/>
      <c r="I18" s="116" t="s">
        <v>70</v>
      </c>
      <c r="J18" s="117"/>
      <c r="K18" s="117"/>
      <c r="L18" s="117"/>
      <c r="M18" s="122"/>
    </row>
    <row r="19" spans="2:13" x14ac:dyDescent="0.25">
      <c r="B19" s="118" t="s">
        <v>71</v>
      </c>
      <c r="C19" s="119"/>
      <c r="D19" s="119"/>
      <c r="E19" s="119"/>
      <c r="F19" s="123"/>
      <c r="I19" s="118" t="s">
        <v>71</v>
      </c>
      <c r="J19" s="119"/>
      <c r="K19" s="119"/>
      <c r="L19" s="119"/>
      <c r="M19" s="123"/>
    </row>
    <row r="20" spans="2:13" x14ac:dyDescent="0.25">
      <c r="B20" s="118" t="s">
        <v>72</v>
      </c>
      <c r="C20" s="119"/>
      <c r="D20" s="119"/>
      <c r="E20" s="119"/>
      <c r="F20" s="123"/>
      <c r="I20" s="118" t="s">
        <v>72</v>
      </c>
      <c r="J20" s="119"/>
      <c r="K20" s="119"/>
      <c r="L20" s="119"/>
      <c r="M20" s="123"/>
    </row>
    <row r="21" spans="2:13" x14ac:dyDescent="0.25">
      <c r="B21" s="118" t="s">
        <v>3</v>
      </c>
      <c r="C21" s="119"/>
      <c r="D21" s="119"/>
      <c r="E21" s="119"/>
      <c r="F21" s="123"/>
      <c r="I21" s="118" t="s">
        <v>3</v>
      </c>
      <c r="J21" s="119"/>
      <c r="K21" s="119"/>
      <c r="L21" s="119"/>
      <c r="M21" s="123"/>
    </row>
    <row r="22" spans="2:13" x14ac:dyDescent="0.25">
      <c r="B22" s="118" t="s">
        <v>73</v>
      </c>
      <c r="C22" s="119"/>
      <c r="D22" s="119"/>
      <c r="E22" s="119"/>
      <c r="F22" s="123"/>
      <c r="I22" s="118" t="s">
        <v>73</v>
      </c>
      <c r="J22" s="119"/>
      <c r="K22" s="119"/>
      <c r="L22" s="119"/>
      <c r="M22" s="123"/>
    </row>
    <row r="23" spans="2:13" ht="15.75" thickBot="1" x14ac:dyDescent="0.3">
      <c r="B23" s="120" t="s">
        <v>74</v>
      </c>
      <c r="C23" s="121"/>
      <c r="D23" s="121"/>
      <c r="E23" s="121"/>
      <c r="F23" s="124"/>
      <c r="I23" s="120" t="s">
        <v>74</v>
      </c>
      <c r="J23" s="121"/>
      <c r="K23" s="121"/>
      <c r="L23" s="121"/>
      <c r="M23" s="124"/>
    </row>
    <row r="26" spans="2:13" ht="15.75" thickBot="1" x14ac:dyDescent="0.3"/>
    <row r="27" spans="2:13" ht="19.5" thickBot="1" x14ac:dyDescent="0.35">
      <c r="B27" s="110" t="s">
        <v>80</v>
      </c>
      <c r="C27" s="111"/>
      <c r="D27" s="111"/>
      <c r="E27" s="111"/>
      <c r="F27" s="112"/>
      <c r="I27" s="110" t="s">
        <v>81</v>
      </c>
      <c r="J27" s="111"/>
      <c r="K27" s="111"/>
      <c r="L27" s="111"/>
      <c r="M27" s="112"/>
    </row>
    <row r="28" spans="2:13" ht="16.5" thickBot="1" x14ac:dyDescent="0.3">
      <c r="B28" s="113" t="s">
        <v>75</v>
      </c>
      <c r="C28" s="114"/>
      <c r="D28" s="114"/>
      <c r="E28" s="114"/>
      <c r="F28" s="115"/>
      <c r="I28" s="113" t="s">
        <v>75</v>
      </c>
      <c r="J28" s="114"/>
      <c r="K28" s="114"/>
      <c r="L28" s="114"/>
      <c r="M28" s="115"/>
    </row>
    <row r="29" spans="2:13" ht="16.5" thickBot="1" x14ac:dyDescent="0.3">
      <c r="B29" s="113" t="s">
        <v>91</v>
      </c>
      <c r="C29" s="114"/>
      <c r="D29" s="114"/>
      <c r="E29" s="114"/>
      <c r="F29" s="115"/>
      <c r="I29" s="113" t="s">
        <v>92</v>
      </c>
      <c r="J29" s="114"/>
      <c r="K29" s="114"/>
      <c r="L29" s="114"/>
      <c r="M29" s="115"/>
    </row>
    <row r="30" spans="2:13" x14ac:dyDescent="0.25">
      <c r="B30" s="116" t="s">
        <v>70</v>
      </c>
      <c r="C30" s="117"/>
      <c r="D30" s="117"/>
      <c r="E30" s="117"/>
      <c r="F30" s="122"/>
      <c r="I30" s="116" t="s">
        <v>70</v>
      </c>
      <c r="J30" s="117"/>
      <c r="K30" s="117"/>
      <c r="L30" s="117"/>
      <c r="M30" s="122"/>
    </row>
    <row r="31" spans="2:13" x14ac:dyDescent="0.25">
      <c r="B31" s="118" t="s">
        <v>71</v>
      </c>
      <c r="C31" s="119"/>
      <c r="D31" s="119"/>
      <c r="E31" s="119"/>
      <c r="F31" s="123"/>
      <c r="I31" s="118" t="s">
        <v>71</v>
      </c>
      <c r="J31" s="119"/>
      <c r="K31" s="119"/>
      <c r="L31" s="119"/>
      <c r="M31" s="123"/>
    </row>
    <row r="32" spans="2:13" x14ac:dyDescent="0.25">
      <c r="B32" s="118" t="s">
        <v>72</v>
      </c>
      <c r="C32" s="119"/>
      <c r="D32" s="119"/>
      <c r="E32" s="119"/>
      <c r="F32" s="123"/>
      <c r="I32" s="118" t="s">
        <v>72</v>
      </c>
      <c r="J32" s="119"/>
      <c r="K32" s="119"/>
      <c r="L32" s="119"/>
      <c r="M32" s="123"/>
    </row>
    <row r="33" spans="2:13" x14ac:dyDescent="0.25">
      <c r="B33" s="118" t="s">
        <v>3</v>
      </c>
      <c r="C33" s="119"/>
      <c r="D33" s="119"/>
      <c r="E33" s="119"/>
      <c r="F33" s="123"/>
      <c r="I33" s="118" t="s">
        <v>3</v>
      </c>
      <c r="J33" s="119"/>
      <c r="K33" s="119"/>
      <c r="L33" s="119"/>
      <c r="M33" s="123"/>
    </row>
    <row r="34" spans="2:13" x14ac:dyDescent="0.25">
      <c r="B34" s="118" t="s">
        <v>73</v>
      </c>
      <c r="C34" s="119"/>
      <c r="D34" s="119"/>
      <c r="E34" s="119"/>
      <c r="F34" s="123"/>
      <c r="I34" s="118" t="s">
        <v>73</v>
      </c>
      <c r="J34" s="119"/>
      <c r="K34" s="119"/>
      <c r="L34" s="119"/>
      <c r="M34" s="123"/>
    </row>
    <row r="35" spans="2:13" ht="15.75" thickBot="1" x14ac:dyDescent="0.3">
      <c r="B35" s="120" t="s">
        <v>74</v>
      </c>
      <c r="C35" s="121"/>
      <c r="D35" s="121"/>
      <c r="E35" s="121"/>
      <c r="F35" s="124"/>
      <c r="I35" s="120" t="s">
        <v>74</v>
      </c>
      <c r="J35" s="121"/>
      <c r="K35" s="121"/>
      <c r="L35" s="121"/>
      <c r="M35" s="124"/>
    </row>
    <row r="38" spans="2:13" ht="15.75" thickBot="1" x14ac:dyDescent="0.3"/>
    <row r="39" spans="2:13" ht="19.5" thickBot="1" x14ac:dyDescent="0.35">
      <c r="B39" s="110" t="s">
        <v>82</v>
      </c>
      <c r="C39" s="111"/>
      <c r="D39" s="111"/>
      <c r="E39" s="111"/>
      <c r="F39" s="112"/>
    </row>
    <row r="40" spans="2:13" ht="16.5" thickBot="1" x14ac:dyDescent="0.3">
      <c r="B40" s="113" t="s">
        <v>75</v>
      </c>
      <c r="C40" s="114"/>
      <c r="D40" s="114"/>
      <c r="E40" s="114"/>
      <c r="F40" s="115"/>
    </row>
    <row r="41" spans="2:13" ht="16.5" thickBot="1" x14ac:dyDescent="0.3">
      <c r="B41" s="113" t="s">
        <v>93</v>
      </c>
      <c r="C41" s="114"/>
      <c r="D41" s="114"/>
      <c r="E41" s="114"/>
      <c r="F41" s="115"/>
    </row>
    <row r="42" spans="2:13" x14ac:dyDescent="0.25">
      <c r="B42" s="116" t="s">
        <v>70</v>
      </c>
      <c r="C42" s="117"/>
      <c r="D42" s="117"/>
      <c r="E42" s="117"/>
      <c r="F42" s="122"/>
    </row>
    <row r="43" spans="2:13" x14ac:dyDescent="0.25">
      <c r="B43" s="118" t="s">
        <v>71</v>
      </c>
      <c r="C43" s="119"/>
      <c r="D43" s="119"/>
      <c r="E43" s="119"/>
      <c r="F43" s="123"/>
    </row>
    <row r="44" spans="2:13" x14ac:dyDescent="0.25">
      <c r="B44" s="118" t="s">
        <v>72</v>
      </c>
      <c r="C44" s="119"/>
      <c r="D44" s="119"/>
      <c r="E44" s="119"/>
      <c r="F44" s="123"/>
    </row>
    <row r="45" spans="2:13" x14ac:dyDescent="0.25">
      <c r="B45" s="118" t="s">
        <v>3</v>
      </c>
      <c r="C45" s="119"/>
      <c r="D45" s="119"/>
      <c r="E45" s="119"/>
      <c r="F45" s="123"/>
    </row>
    <row r="46" spans="2:13" x14ac:dyDescent="0.25">
      <c r="B46" s="118" t="s">
        <v>73</v>
      </c>
      <c r="C46" s="119"/>
      <c r="D46" s="119"/>
      <c r="E46" s="119"/>
      <c r="F46" s="123"/>
    </row>
    <row r="47" spans="2:13" ht="15.75" thickBot="1" x14ac:dyDescent="0.3">
      <c r="B47" s="120" t="s">
        <v>74</v>
      </c>
      <c r="C47" s="121"/>
      <c r="D47" s="121"/>
      <c r="E47" s="121"/>
      <c r="F47" s="124"/>
    </row>
  </sheetData>
  <mergeCells count="76">
    <mergeCell ref="D47:F47"/>
    <mergeCell ref="B43:C43"/>
    <mergeCell ref="D42:F42"/>
    <mergeCell ref="D43:F43"/>
    <mergeCell ref="D44:F44"/>
    <mergeCell ref="D45:F45"/>
    <mergeCell ref="D46:F46"/>
    <mergeCell ref="B42:C42"/>
    <mergeCell ref="B44:C44"/>
    <mergeCell ref="B45:C45"/>
    <mergeCell ref="B46:C46"/>
    <mergeCell ref="B47:C47"/>
    <mergeCell ref="I35:J35"/>
    <mergeCell ref="K35:M35"/>
    <mergeCell ref="B39:F39"/>
    <mergeCell ref="B40:F40"/>
    <mergeCell ref="B41:F41"/>
    <mergeCell ref="K31:M31"/>
    <mergeCell ref="K32:M32"/>
    <mergeCell ref="K33:M33"/>
    <mergeCell ref="K34:M34"/>
    <mergeCell ref="I31:J31"/>
    <mergeCell ref="I32:J32"/>
    <mergeCell ref="I33:J33"/>
    <mergeCell ref="I34:J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B31:C31"/>
    <mergeCell ref="B30:C30"/>
    <mergeCell ref="I27:M27"/>
    <mergeCell ref="I28:M28"/>
    <mergeCell ref="I29:M29"/>
    <mergeCell ref="I30:J30"/>
    <mergeCell ref="K30:M30"/>
    <mergeCell ref="I23:J23"/>
    <mergeCell ref="K23:M23"/>
    <mergeCell ref="B27:F27"/>
    <mergeCell ref="B28:F28"/>
    <mergeCell ref="B29:F29"/>
    <mergeCell ref="K19:M19"/>
    <mergeCell ref="K20:M20"/>
    <mergeCell ref="K21:M21"/>
    <mergeCell ref="K22:M22"/>
    <mergeCell ref="I19:J19"/>
    <mergeCell ref="I20:J20"/>
    <mergeCell ref="I21:J21"/>
    <mergeCell ref="I22:J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2021-08-04T13:49:13Z</cp:lastPrinted>
  <dcterms:created xsi:type="dcterms:W3CDTF">2021-02-05T21:39:59Z</dcterms:created>
  <dcterms:modified xsi:type="dcterms:W3CDTF">2021-08-05T01:45:37Z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