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8_{F13E2D50-EC37-4596-B642-45CFF28FA7C5}" xr6:coauthVersionLast="45" xr6:coauthVersionMax="45" xr10:uidLastSave="{00000000-0000-0000-0000-000000000000}"/>
  <bookViews>
    <workbookView xWindow="-21630" yWindow="1230" windowWidth="18900" windowHeight="11055" activeTab="2" xr2:uid="{00000000-000D-0000-FFFF-FFFF00000000}"/>
  </bookViews>
  <sheets>
    <sheet name="___Dropdown values" sheetId="4" r:id="rId1"/>
    <sheet name="Building Blocks" sheetId="1" r:id="rId2"/>
    <sheet name="Method" sheetId="2" r:id="rId3"/>
    <sheet name="Worklist" sheetId="3" r:id="rId4"/>
    <sheet name="RunLog" sheetId="31" r:id="rId5"/>
    <sheet name="TestLog" sheetId="30" r:id="rId6"/>
    <sheet name="PrepList" sheetId="29"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3" l="1"/>
  <c r="B7" i="3" s="1"/>
  <c r="A6" i="3"/>
  <c r="A5" i="3"/>
  <c r="A4" i="3"/>
  <c r="A3" i="3"/>
  <c r="B3" i="3" s="1"/>
  <c r="E14" i="2"/>
  <c r="E13" i="2"/>
  <c r="B6" i="3" l="1"/>
  <c r="B5" i="3"/>
  <c r="B4" i="3"/>
  <c r="E18" i="2"/>
  <c r="E63" i="2"/>
  <c r="E90" i="2" l="1"/>
  <c r="E89" i="2"/>
  <c r="E88" i="2"/>
  <c r="E74" i="2"/>
  <c r="E27" i="2"/>
  <c r="E25" i="2"/>
  <c r="A2" i="3" l="1"/>
  <c r="D2" i="3" l="1"/>
  <c r="B2" i="3"/>
</calcChain>
</file>

<file path=xl/sharedStrings.xml><?xml version="1.0" encoding="utf-8"?>
<sst xmlns="http://schemas.openxmlformats.org/spreadsheetml/2006/main" count="1084" uniqueCount="273">
  <si>
    <t>Liquid Transfer</t>
  </si>
  <si>
    <t>Name</t>
  </si>
  <si>
    <t>Plate</t>
  </si>
  <si>
    <t>Diluent</t>
  </si>
  <si>
    <t>Split Plate</t>
  </si>
  <si>
    <t>Desalt</t>
  </si>
  <si>
    <t>Starting Concentration (mg/mL)</t>
  </si>
  <si>
    <t>Target Concentration (mg/mL)</t>
  </si>
  <si>
    <t>Start Method Below</t>
  </si>
  <si>
    <t>Time (min)</t>
  </si>
  <si>
    <t>Water</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</si>
  <si>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</si>
  <si>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</si>
  <si>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</si>
  <si>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</si>
  <si>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</si>
  <si>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</si>
  <si>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</si>
  <si>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</si>
  <si>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</si>
  <si>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</si>
  <si>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</si>
  <si>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</si>
  <si>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</si>
  <si>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</si>
  <si>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</si>
  <si>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</si>
  <si>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</si>
  <si>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</si>
  <si>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</si>
  <si>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</si>
  <si>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</si>
  <si>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</si>
  <si>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</si>
  <si>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</si>
  <si>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</si>
  <si>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</si>
  <si>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</si>
  <si>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</si>
  <si>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</si>
  <si>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</si>
  <si>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</si>
  <si>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</si>
  <si>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</si>
  <si>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</si>
  <si>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</si>
  <si>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</si>
  <si>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</si>
  <si>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</si>
  <si>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</si>
  <si>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</si>
  <si>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</si>
  <si>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</si>
  <si>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</si>
  <si>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</si>
  <si>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</si>
  <si>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</si>
  <si>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</si>
  <si>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</si>
  <si>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</si>
  <si>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</si>
  <si>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</si>
  <si>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</si>
  <si>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</si>
  <si>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</si>
  <si>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</si>
  <si>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</si>
  <si>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</si>
  <si>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</si>
  <si>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</si>
  <si>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</si>
  <si>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</si>
  <si>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</si>
  <si>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</si>
  <si>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</si>
  <si>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</si>
  <si>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</si>
  <si>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</si>
  <si>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</si>
  <si>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</si>
  <si>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</si>
  <si>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</si>
  <si>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</si>
  <si>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</si>
  <si>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</si>
  <si>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</si>
  <si>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</si>
  <si>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</si>
  <si>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</si>
  <si>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</si>
  <si>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</si>
  <si>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</si>
  <si>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</si>
  <si>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</si>
  <si>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</si>
  <si>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</si>
  <si>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</si>
  <si>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</si>
  <si>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</si>
  <si>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[Heater]</t>
  </si>
  <si>
    <t>[Start Heat]</t>
  </si>
  <si>
    <t>[ID]</t>
  </si>
  <si>
    <t>[Temp]</t>
  </si>
  <si>
    <t>Step Title: Plate</t>
  </si>
  <si>
    <t>Name: Denaturation</t>
  </si>
  <si>
    <t>Type: 96 Well PCR Plate</t>
  </si>
  <si>
    <t>Test</t>
  </si>
  <si>
    <t>Step Title: Aliquot</t>
  </si>
  <si>
    <t>Source: Sample</t>
  </si>
  <si>
    <t xml:space="preserve">Aspirate Location: Sample Location (Worklist Column) </t>
  </si>
  <si>
    <t>Start Position: Sample Start Position</t>
  </si>
  <si>
    <t>Step Title: Liquid Transfer</t>
  </si>
  <si>
    <t>Source: 7M GnHCl, 100mM Tris pH 8.3, 5mM L-Met</t>
  </si>
  <si>
    <t>Liquid Type: Denaturant</t>
  </si>
  <si>
    <t>Storage Condition: Ambient</t>
  </si>
  <si>
    <t>Volume (uL): 0.0</t>
  </si>
  <si>
    <t>Mix?: Yes</t>
  </si>
  <si>
    <t>Number of sequences is zero so no liquid transfer will actually occur.</t>
  </si>
  <si>
    <t>Step Title: Dilute</t>
  </si>
  <si>
    <t>Diluent: 7M GnHCl, 100mM Tris pH 8.3, 5mM L-Met</t>
  </si>
  <si>
    <t xml:space="preserve">Starting Concentration (mg/mL): Concentration (Worklist Column) </t>
  </si>
  <si>
    <t>Target Concentration (mg/mL): 1.0</t>
  </si>
  <si>
    <t>Target Volume (uL): 100.0</t>
  </si>
  <si>
    <t>[Pipette]</t>
  </si>
  <si>
    <t>[Destination]</t>
  </si>
  <si>
    <t>[DestinationPosition]</t>
  </si>
  <si>
    <t>[Source]</t>
  </si>
  <si>
    <t>[SourcePosition]</t>
  </si>
  <si>
    <t>[TransferVolume]</t>
  </si>
  <si>
    <t>[DestinationHeight]</t>
  </si>
  <si>
    <t>[Total]</t>
  </si>
  <si>
    <t>[Mix]</t>
  </si>
  <si>
    <t>##5.1##</t>
  </si>
  <si>
    <t>##5.2##</t>
  </si>
  <si>
    <t>Source: 500mM DTT in 7M GnHCl, 100mM Tris pH 8.3, 5mM L-Met</t>
  </si>
  <si>
    <t>Liquid Type: Reductant</t>
  </si>
  <si>
    <t>Volume (uL): 2.0</t>
  </si>
  <si>
    <t>##6.1##</t>
  </si>
  <si>
    <t>Step Title: Incubate</t>
  </si>
  <si>
    <t>Temp (C): 30.0</t>
  </si>
  <si>
    <t>Time (min): 30.0</t>
  </si>
  <si>
    <t>Shake (rpm): 0.0</t>
  </si>
  <si>
    <t>[Timer]</t>
  </si>
  <si>
    <t>[Start]</t>
  </si>
  <si>
    <t>[Time]</t>
  </si>
  <si>
    <t>##7.1##</t>
  </si>
  <si>
    <t>[Wait]</t>
  </si>
  <si>
    <t>##7.2##</t>
  </si>
  <si>
    <t>[Stop Heat]</t>
  </si>
  <si>
    <t>Source: 500mM IAA in 7M GnHCl, 100mM Tris pH 8.3, 5mM L-Met</t>
  </si>
  <si>
    <t>Liquid Type: Alkylant</t>
  </si>
  <si>
    <t>Volume (uL): 5.0</t>
  </si>
  <si>
    <t>##8.1##</t>
  </si>
  <si>
    <t>Temp (C): 25.0</t>
  </si>
  <si>
    <t>Performing Desalting Equilibration</t>
  </si>
  <si>
    <t>[Desalt]</t>
  </si>
  <si>
    <t>[Equilibrate]</t>
  </si>
  <si>
    <t>##9.1##</t>
  </si>
  <si>
    <t>Diluent: Water</t>
  </si>
  <si>
    <t>Starting Concentration (mg/mL): 0.5</t>
  </si>
  <si>
    <t>Target Concentration (mg/mL): 0.1</t>
  </si>
  <si>
    <t>Target Volume (uL): 3.0</t>
  </si>
  <si>
    <t>##10.1##</t>
  </si>
  <si>
    <t>##10.2##</t>
  </si>
  <si>
    <t>Name: Desalting</t>
  </si>
  <si>
    <t>Step Title: Desalt</t>
  </si>
  <si>
    <t>Source: Denaturation</t>
  </si>
  <si>
    <t>Equilibration Buffer: 50mM Tris pH 7.9, 5mM L-Met</t>
  </si>
  <si>
    <t>Equilibration already performed. Skipping Equilibration</t>
  </si>
  <si>
    <t>[Process]</t>
  </si>
  <si>
    <t>Name: Digestion</t>
  </si>
  <si>
    <t>Step Title: Notify</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</si>
  <si>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</si>
  <si>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</si>
  <si>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</si>
  <si>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[Notify]</t>
  </si>
  <si>
    <t>[SendMessage]</t>
  </si>
  <si>
    <t>[Subject]</t>
  </si>
  <si>
    <t>[Message]</t>
  </si>
  <si>
    <t>Source: Desalting</t>
  </si>
  <si>
    <t>Diluent: 50mM Tris pH 7.9, 5mM L-Met</t>
  </si>
  <si>
    <t xml:space="preserve">Starting Concentration (mg/mL): Desalting Concentration (Worklist Column) </t>
  </si>
  <si>
    <t>Target Concentration (mg/mL): 0.5</t>
  </si>
  <si>
    <t>##15.1##</t>
  </si>
  <si>
    <t>Source: 1mg/mL Trypsin in 50mM Acetic Acid</t>
  </si>
  <si>
    <t>Liquid Type: Enzyme</t>
  </si>
  <si>
    <t>Storage Condition: Cold</t>
  </si>
  <si>
    <t>##16.1##</t>
  </si>
  <si>
    <t>Temp (C): 37.0</t>
  </si>
  <si>
    <t>Time (min): 60.0</t>
  </si>
  <si>
    <t>##17.1##</t>
  </si>
  <si>
    <t>Source: 10% TFA</t>
  </si>
  <si>
    <t>Liquid Type: Quench</t>
  </si>
  <si>
    <t>##18.1##</t>
  </si>
  <si>
    <t>Subject: Hamilton Run Finished</t>
  </si>
  <si>
    <t>Message: Hamilton Run is Finished. Please remove your samples from the Digestion plate.</t>
  </si>
  <si>
    <t>##19.1##</t>
  </si>
  <si>
    <t>Step Title: Finish</t>
  </si>
  <si>
    <t>Digestion plate deactivated</t>
  </si>
  <si>
    <t>Vacuum Plate</t>
  </si>
  <si>
    <t>Sample: 200uL Biorad 96 Well PCR Plate</t>
  </si>
  <si>
    <t>B2: 30.0uL</t>
  </si>
  <si>
    <t>B4: 30.0uL</t>
  </si>
  <si>
    <t>B6: 30.0uL</t>
  </si>
  <si>
    <t>15mL Centrifuge Tube</t>
  </si>
  <si>
    <t>Minimum Volume: 1040.0uL</t>
  </si>
  <si>
    <t>Reagent</t>
  </si>
  <si>
    <t>Reagent Lot</t>
  </si>
  <si>
    <t>Reagent Volume</t>
  </si>
  <si>
    <t>Diluent Lot</t>
  </si>
  <si>
    <t>Diluent Volume</t>
  </si>
  <si>
    <t>200mL Reagent Trough</t>
  </si>
  <si>
    <t>Hamilton 1.5mL FlipTube</t>
  </si>
  <si>
    <t>Minimum Volume: 180.0uL</t>
  </si>
  <si>
    <t>Minimum Volume: 165.6uL</t>
  </si>
  <si>
    <t>60mL Reagent Reservior</t>
  </si>
  <si>
    <t>Minimum Volume: 2514.4uL</t>
  </si>
  <si>
    <t>Type: SizeX:100</t>
  </si>
  <si>
    <t>Minimum Volume: 12500.0uL</t>
  </si>
  <si>
    <t>Vacuum Options</t>
  </si>
  <si>
    <t>Low</t>
  </si>
  <si>
    <t>Normal</t>
  </si>
  <si>
    <t>High</t>
  </si>
  <si>
    <t>Manual (Remove validation then enter custom value)</t>
  </si>
  <si>
    <t>Vacuum Plates</t>
  </si>
  <si>
    <t>Pre Vacuum Wait (sec)</t>
  </si>
  <si>
    <t>Vacuum Time (sec)</t>
  </si>
  <si>
    <t>Excel Location (Row,Col): (7,3)</t>
  </si>
  <si>
    <t>Excel Location (Row,Col): (11,3)</t>
  </si>
  <si>
    <t>Excel Location (Row,Col): (16,3)</t>
  </si>
  <si>
    <t>Excel Location (Row,Col): (23,3)</t>
  </si>
  <si>
    <t>Excel Location (Row,Col): (30,3)</t>
  </si>
  <si>
    <t>Excel Location (Row,Col): (37,3)</t>
  </si>
  <si>
    <t>Excel Location (Row,Col): (42,3)</t>
  </si>
  <si>
    <t>Excel Location (Row,Col): (49,3)</t>
  </si>
  <si>
    <t>Excel Location (Row,Col): (61,3)</t>
  </si>
  <si>
    <t>Excel Location (Row,Col): (86,3)</t>
  </si>
  <si>
    <t>Excel Location (Row,Col): (93,3)</t>
  </si>
  <si>
    <t>Excel Location (Row,Col): (105,3)</t>
  </si>
  <si>
    <t>Excel Location (Row,Col): (56,3)</t>
  </si>
  <si>
    <t>##10.3##</t>
  </si>
  <si>
    <t>##11.1##</t>
  </si>
  <si>
    <t>##11.2##</t>
  </si>
  <si>
    <t>Excel Location (Row,Col): (68,3)</t>
  </si>
  <si>
    <t>Excel Location (Row,Col): (72,3)</t>
  </si>
  <si>
    <t>##13.1##</t>
  </si>
  <si>
    <t>Excel Location (Row,Col): (77,3)</t>
  </si>
  <si>
    <t>Excel Location (Row,Col): (81,3)</t>
  </si>
  <si>
    <t>Volume is out of range for Position [1]. Performing automatic correction to upper and lower limits. (Source,Diluent): 0 &gt; (5000.0,-4900.0) &gt; 100.0</t>
  </si>
  <si>
    <t>Excel Location (Row,Col): (100,3)</t>
  </si>
  <si>
    <t>##18.2##</t>
  </si>
  <si>
    <t>Excel Location (Row,Col): (112,3)</t>
  </si>
  <si>
    <t>##20.1##</t>
  </si>
  <si>
    <t>Excel Location (Row,Col): (117,3)</t>
  </si>
  <si>
    <t>Carrier14_Pos3_96WellPCRPlate200uL_1mLChannel</t>
  </si>
  <si>
    <t>C1</t>
  </si>
  <si>
    <t>Carrier38_Pos3_96WellPCRPlate200uL_1mLChannel</t>
  </si>
  <si>
    <t>F7</t>
  </si>
  <si>
    <t>[Transport]</t>
  </si>
  <si>
    <t>[Move]</t>
  </si>
  <si>
    <t>_HHS1_96WellPCRPlate200uL</t>
  </si>
  <si>
    <t>[Open]</t>
  </si>
  <si>
    <t>[Close]</t>
  </si>
  <si>
    <t>[Eject]</t>
  </si>
  <si>
    <t>Lid1_Home</t>
  </si>
  <si>
    <t>_HHS1_Lid_200uL</t>
  </si>
  <si>
    <t>##7.3##</t>
  </si>
  <si>
    <t>##7.4##</t>
  </si>
  <si>
    <t>##7.6##</t>
  </si>
  <si>
    <t>##7.7##</t>
  </si>
  <si>
    <t>F4</t>
  </si>
  <si>
    <t>_HHS2_96WellPCRPlate200uL</t>
  </si>
  <si>
    <t>_HHS2_Lid_200uL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</si>
</sst>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6">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43">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0" fillId="2" borderId="3" xfId="0" applyFill="1" applyBorder="1" applyAlignment="1">
      <alignment horizontal="center" vertical="center"/>
    </xf>
    <xf numFmtId="0" fontId="0" fillId="2" borderId="5"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0" fillId="2" borderId="3" xfId="0" applyFont="1" applyFill="1" applyBorder="1"/>
    <xf numFmtId="0" fontId="1" fillId="2" borderId="9"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0" fillId="0" borderId="23" xfId="0" applyBorder="1" applyAlignment="1">
      <alignment horizontal="center"/>
    </xf>
    <xf numFmtId="0" fontId="0" fillId="0" borderId="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0" fillId="0" borderId="0" xfId="0" applyBorder="1"/>
    <xf numFmtId="0" fontId="1" fillId="0" borderId="0" xfId="0" applyFont="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3" fillId="0" borderId="1" xfId="0" applyFont="1" applyBorder="1" applyAlignment="1">
      <alignment horizontal="center" vertical="center"/>
    </xf>
    <xf numFmtId="0" fontId="3" fillId="0" borderId="19"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0" xfId="0" applyFont="1" applyBorder="1" applyAlignment="1">
      <alignment horizontal="center" vertical="center"/>
    </xf>
    <xf numFmtId="0" fontId="3" fillId="0" borderId="6"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0" borderId="8" xfId="0" applyFont="1" applyBorder="1" applyAlignment="1">
      <alignment horizontal="center"/>
    </xf>
    <xf numFmtId="0" fontId="0" fillId="0" borderId="21" xfId="0" applyBorder="1"/>
    <xf numFmtId="0" fontId="0" fillId="0" borderId="0" xfId="0" applyBorder="1"/>
    <xf numFmtId="0" fontId="0" fillId="0" borderId="13" xfId="0" applyBorder="1"/>
    <xf numFmtId="0" fontId="0" fillId="0" borderId="8" xfId="0" applyBorder="1"/>
    <xf numFmtId="0" fontId="0" fillId="0" borderId="17" xfId="0" applyBorder="1"/>
    <xf numFmtId="0" fontId="0" fillId="0" borderId="18" xfId="0" applyBorder="1"/>
    <xf numFmtId="0" fontId="0" fillId="0" borderId="23" xfId="0" applyBorder="1"/>
    <xf numFmtId="0" fontId="0" fillId="0" borderId="7" xfId="0" applyBorder="1"/>
    <xf numFmtId="0" fontId="5" fillId="0" borderId="22"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6" fillId="0" borderId="22"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0" fillId="0" borderId="16" xfId="0" applyBorder="1"/>
    <xf numFmtId="0" fontId="4" fillId="0" borderId="22" xfId="0" applyFont="1" applyBorder="1" applyAlignment="1">
      <alignment horizontal="center"/>
    </xf>
    <xf numFmtId="0" fontId="4" fillId="0" borderId="24" xfId="0" applyFont="1" applyBorder="1" applyAlignment="1">
      <alignment horizontal="center"/>
    </xf>
    <xf numFmtId="0" fontId="4" fillId="0" borderId="25"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4"/>
  <sheetViews>
    <sheetView workbookViewId="0">
      <selection activeCell="B9" sqref="B9"/>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38" t="s">
        <v>32</v>
      </c>
      <c r="C3" s="38"/>
      <c r="D3" s="38" t="s">
        <v>55</v>
      </c>
      <c r="F3" s="70" t="s">
        <v>27</v>
      </c>
      <c r="G3" s="70"/>
      <c r="H3" s="70"/>
      <c r="I3" s="70"/>
      <c r="J3" s="70"/>
      <c r="K3" s="70"/>
      <c r="L3" s="70"/>
    </row>
    <row r="4" spans="2:12" x14ac:dyDescent="0.25">
      <c r="B4" t="s">
        <v>35</v>
      </c>
      <c r="D4" s="41" t="s">
        <v>70</v>
      </c>
      <c r="F4" s="38" t="s">
        <v>0</v>
      </c>
      <c r="G4" s="38" t="s">
        <v>17</v>
      </c>
      <c r="H4" s="38" t="s">
        <v>5</v>
      </c>
      <c r="I4" s="38" t="s">
        <v>22</v>
      </c>
      <c r="J4" s="38" t="s">
        <v>48</v>
      </c>
      <c r="K4" s="38" t="s">
        <v>40</v>
      </c>
      <c r="L4" s="38" t="s">
        <v>57</v>
      </c>
    </row>
    <row r="5" spans="2:12" x14ac:dyDescent="0.25">
      <c r="B5" t="s">
        <v>58</v>
      </c>
      <c r="D5" s="41" t="s">
        <v>71</v>
      </c>
      <c r="F5" t="s">
        <v>0</v>
      </c>
      <c r="G5" t="s">
        <v>17</v>
      </c>
      <c r="H5" t="s">
        <v>5</v>
      </c>
      <c r="I5" t="s">
        <v>22</v>
      </c>
      <c r="J5" t="s">
        <v>48</v>
      </c>
      <c r="K5" t="s">
        <v>40</v>
      </c>
      <c r="L5" t="s">
        <v>57</v>
      </c>
    </row>
    <row r="6" spans="2:12" x14ac:dyDescent="0.25">
      <c r="B6" t="s">
        <v>33</v>
      </c>
      <c r="D6" s="41"/>
      <c r="F6" t="s">
        <v>28</v>
      </c>
      <c r="G6" t="s">
        <v>29</v>
      </c>
      <c r="H6" t="s">
        <v>30</v>
      </c>
      <c r="I6" t="s">
        <v>31</v>
      </c>
      <c r="J6" t="s">
        <v>49</v>
      </c>
      <c r="K6" t="s">
        <v>41</v>
      </c>
      <c r="L6" t="s">
        <v>59</v>
      </c>
    </row>
    <row r="7" spans="2:12" x14ac:dyDescent="0.25">
      <c r="B7" t="s">
        <v>60</v>
      </c>
      <c r="D7" s="41"/>
    </row>
    <row r="9" spans="2:12" x14ac:dyDescent="0.25">
      <c r="B9" s="38" t="s">
        <v>56</v>
      </c>
      <c r="D9" s="35" t="s">
        <v>52</v>
      </c>
    </row>
    <row r="10" spans="2:12" x14ac:dyDescent="0.25">
      <c r="B10" t="s">
        <v>63</v>
      </c>
      <c r="D10" s="24" t="s">
        <v>43</v>
      </c>
    </row>
    <row r="11" spans="2:12" x14ac:dyDescent="0.25">
      <c r="B11" t="s">
        <v>64</v>
      </c>
      <c r="D11" s="24" t="s">
        <v>44</v>
      </c>
    </row>
    <row r="12" spans="2:12" x14ac:dyDescent="0.25">
      <c r="B12" t="s">
        <v>65</v>
      </c>
    </row>
    <row r="13" spans="2:12" x14ac:dyDescent="0.25">
      <c r="B13" t="s">
        <v>66</v>
      </c>
      <c r="D13" s="38" t="s">
        <v>85</v>
      </c>
    </row>
    <row r="14" spans="2:12" x14ac:dyDescent="0.25">
      <c r="B14" t="s">
        <v>67</v>
      </c>
      <c r="D14" t="s">
        <v>86</v>
      </c>
    </row>
    <row r="15" spans="2:12" x14ac:dyDescent="0.25">
      <c r="B15" t="s">
        <v>68</v>
      </c>
      <c r="D15" t="s">
        <v>87</v>
      </c>
    </row>
    <row r="16" spans="2:12" x14ac:dyDescent="0.25">
      <c r="B16" t="s">
        <v>15</v>
      </c>
    </row>
    <row r="17" spans="2:4" x14ac:dyDescent="0.25">
      <c r="B17" t="s">
        <v>2</v>
      </c>
    </row>
    <row r="18" spans="2:4" x14ac:dyDescent="0.25">
      <c r="D18" s="38" t="s">
        <v>219</v>
      </c>
    </row>
    <row r="19" spans="2:4" x14ac:dyDescent="0.25">
      <c r="B19" s="38" t="s">
        <v>54</v>
      </c>
      <c r="D19" t="s">
        <v>220</v>
      </c>
    </row>
    <row r="20" spans="2:4" x14ac:dyDescent="0.25">
      <c r="B20" t="s">
        <v>61</v>
      </c>
      <c r="D20" t="s">
        <v>221</v>
      </c>
    </row>
    <row r="21" spans="2:4" x14ac:dyDescent="0.25">
      <c r="B21" t="s">
        <v>62</v>
      </c>
      <c r="D21" t="s">
        <v>222</v>
      </c>
    </row>
    <row r="22" spans="2:4" x14ac:dyDescent="0.25">
      <c r="D22" t="s">
        <v>223</v>
      </c>
    </row>
    <row r="24" spans="2:4" x14ac:dyDescent="0.25">
      <c r="D24" s="38" t="s">
        <v>224</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40"/>
  <sheetViews>
    <sheetView zoomScale="80" zoomScaleNormal="80" workbookViewId="0">
      <selection activeCell="H32" sqref="H32"/>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58.140625" customWidth="1"/>
    <col min="9" max="9" width="29.42578125" customWidth="1"/>
    <col min="10" max="10" width="17" customWidth="1"/>
    <col min="11" max="11" width="24.28515625" customWidth="1"/>
    <col min="12" max="12" width="26.42578125"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103" t="s">
        <v>89</v>
      </c>
      <c r="D2" s="104"/>
      <c r="E2" s="105"/>
      <c r="G2" s="109" t="s">
        <v>90</v>
      </c>
      <c r="H2" s="110"/>
      <c r="I2" s="111"/>
      <c r="K2" s="109" t="s">
        <v>91</v>
      </c>
      <c r="L2" s="110"/>
      <c r="M2" s="111"/>
    </row>
    <row r="3" spans="3:13" ht="15.75" thickBot="1" x14ac:dyDescent="0.3">
      <c r="C3" s="106"/>
      <c r="D3" s="107"/>
      <c r="E3" s="108"/>
      <c r="G3" s="112"/>
      <c r="H3" s="113"/>
      <c r="I3" s="114"/>
      <c r="K3" s="112"/>
      <c r="L3" s="113"/>
      <c r="M3" s="114"/>
    </row>
    <row r="4" spans="3:13" ht="15.75" thickBot="1" x14ac:dyDescent="0.3"/>
    <row r="5" spans="3:13" x14ac:dyDescent="0.25">
      <c r="C5" s="71" t="s">
        <v>2</v>
      </c>
      <c r="D5" s="72"/>
      <c r="E5" s="42" t="s">
        <v>16</v>
      </c>
      <c r="G5" s="122" t="s">
        <v>0</v>
      </c>
      <c r="H5" s="123"/>
      <c r="I5" s="29" t="s">
        <v>16</v>
      </c>
      <c r="K5" s="93" t="s">
        <v>83</v>
      </c>
      <c r="L5" s="94"/>
      <c r="M5" s="48" t="s">
        <v>16</v>
      </c>
    </row>
    <row r="6" spans="3:13" x14ac:dyDescent="0.25">
      <c r="C6" s="31" t="s">
        <v>1</v>
      </c>
      <c r="D6" s="34"/>
      <c r="E6" s="91"/>
      <c r="G6" s="3" t="s">
        <v>39</v>
      </c>
      <c r="H6" s="13"/>
      <c r="I6" s="100"/>
      <c r="K6" s="5" t="s">
        <v>39</v>
      </c>
      <c r="L6" s="20"/>
      <c r="M6" s="88"/>
    </row>
    <row r="7" spans="3:13" ht="15.75" thickBot="1" x14ac:dyDescent="0.3">
      <c r="C7" s="43" t="s">
        <v>26</v>
      </c>
      <c r="D7" s="33"/>
      <c r="E7" s="92"/>
      <c r="G7" s="3" t="s">
        <v>56</v>
      </c>
      <c r="H7" s="13"/>
      <c r="I7" s="101"/>
      <c r="K7" s="5" t="s">
        <v>92</v>
      </c>
      <c r="L7" s="20"/>
      <c r="M7" s="89"/>
    </row>
    <row r="8" spans="3:13" ht="15.75" thickBot="1" x14ac:dyDescent="0.3">
      <c r="G8" s="3" t="s">
        <v>54</v>
      </c>
      <c r="H8" s="13"/>
      <c r="I8" s="101"/>
      <c r="K8" s="6" t="s">
        <v>84</v>
      </c>
      <c r="L8" s="21" t="s">
        <v>86</v>
      </c>
      <c r="M8" s="90"/>
    </row>
    <row r="9" spans="3:13" ht="15.75" thickBot="1" x14ac:dyDescent="0.3">
      <c r="C9" s="117" t="s">
        <v>4</v>
      </c>
      <c r="D9" s="118"/>
      <c r="E9" s="25" t="s">
        <v>16</v>
      </c>
      <c r="G9" s="3" t="s">
        <v>12</v>
      </c>
      <c r="H9" s="13"/>
      <c r="I9" s="101"/>
    </row>
    <row r="10" spans="3:13" ht="15.75" thickBot="1" x14ac:dyDescent="0.3">
      <c r="C10" s="9" t="s">
        <v>25</v>
      </c>
      <c r="D10" s="18"/>
      <c r="E10" s="119"/>
      <c r="G10" s="4" t="s">
        <v>42</v>
      </c>
      <c r="H10" s="14" t="s">
        <v>43</v>
      </c>
      <c r="I10" s="102"/>
      <c r="K10" s="93" t="s">
        <v>88</v>
      </c>
      <c r="L10" s="94"/>
      <c r="M10" s="48" t="s">
        <v>16</v>
      </c>
    </row>
    <row r="11" spans="3:13" ht="15.75" thickBot="1" x14ac:dyDescent="0.3">
      <c r="C11" s="9" t="s">
        <v>36</v>
      </c>
      <c r="D11" s="18"/>
      <c r="E11" s="120"/>
      <c r="K11" s="5" t="s">
        <v>39</v>
      </c>
      <c r="L11" s="20"/>
      <c r="M11" s="88"/>
    </row>
    <row r="12" spans="3:13" ht="15.75" thickBot="1" x14ac:dyDescent="0.3">
      <c r="C12" s="10" t="s">
        <v>37</v>
      </c>
      <c r="D12" s="19"/>
      <c r="E12" s="121"/>
      <c r="G12" s="115" t="s">
        <v>17</v>
      </c>
      <c r="H12" s="116"/>
      <c r="I12" s="26" t="s">
        <v>16</v>
      </c>
      <c r="K12" s="5" t="s">
        <v>93</v>
      </c>
      <c r="L12" s="20"/>
      <c r="M12" s="89"/>
    </row>
    <row r="13" spans="3:13" ht="15.75" thickBot="1" x14ac:dyDescent="0.3">
      <c r="G13" s="7" t="s">
        <v>39</v>
      </c>
      <c r="H13" s="15"/>
      <c r="I13" s="85"/>
      <c r="K13" s="6" t="s">
        <v>84</v>
      </c>
      <c r="L13" s="21" t="s">
        <v>86</v>
      </c>
      <c r="M13" s="90"/>
    </row>
    <row r="14" spans="3:13" x14ac:dyDescent="0.25">
      <c r="C14" s="71" t="s">
        <v>53</v>
      </c>
      <c r="D14" s="72"/>
      <c r="E14" s="39" t="s">
        <v>16</v>
      </c>
      <c r="G14" s="7" t="s">
        <v>3</v>
      </c>
      <c r="H14" s="15"/>
      <c r="I14" s="86"/>
    </row>
    <row r="15" spans="3:13" x14ac:dyDescent="0.25">
      <c r="C15" s="73"/>
      <c r="D15" s="74"/>
      <c r="E15" s="91"/>
      <c r="G15" s="7" t="s">
        <v>6</v>
      </c>
      <c r="H15" s="15"/>
      <c r="I15" s="86"/>
    </row>
    <row r="16" spans="3:13" ht="15.75" thickBot="1" x14ac:dyDescent="0.3">
      <c r="C16" s="75"/>
      <c r="D16" s="76"/>
      <c r="E16" s="92"/>
      <c r="G16" s="7" t="s">
        <v>7</v>
      </c>
      <c r="H16" s="15"/>
      <c r="I16" s="86"/>
    </row>
    <row r="17" spans="7:9" ht="15.75" thickBot="1" x14ac:dyDescent="0.3">
      <c r="G17" s="8" t="s">
        <v>11</v>
      </c>
      <c r="H17" s="16"/>
      <c r="I17" s="87"/>
    </row>
    <row r="18" spans="7:9" ht="15.75" thickBot="1" x14ac:dyDescent="0.3"/>
    <row r="19" spans="7:9" x14ac:dyDescent="0.25">
      <c r="G19" s="77" t="s">
        <v>40</v>
      </c>
      <c r="H19" s="78"/>
      <c r="I19" s="28" t="s">
        <v>16</v>
      </c>
    </row>
    <row r="20" spans="7:9" x14ac:dyDescent="0.25">
      <c r="G20" s="11" t="s">
        <v>13</v>
      </c>
      <c r="H20" s="22"/>
      <c r="I20" s="79"/>
    </row>
    <row r="21" spans="7:9" x14ac:dyDescent="0.25">
      <c r="G21" s="11" t="s">
        <v>9</v>
      </c>
      <c r="H21" s="22"/>
      <c r="I21" s="80"/>
    </row>
    <row r="22" spans="7:9" ht="15.75" thickBot="1" x14ac:dyDescent="0.3">
      <c r="G22" s="12" t="s">
        <v>21</v>
      </c>
      <c r="H22" s="23"/>
      <c r="I22" s="81"/>
    </row>
    <row r="23" spans="7:9" ht="15.75" thickBot="1" x14ac:dyDescent="0.3"/>
    <row r="24" spans="7:9" x14ac:dyDescent="0.25">
      <c r="G24" s="93" t="s">
        <v>5</v>
      </c>
      <c r="H24" s="94"/>
      <c r="I24" s="27" t="s">
        <v>16</v>
      </c>
    </row>
    <row r="25" spans="7:9" x14ac:dyDescent="0.25">
      <c r="G25" s="5" t="s">
        <v>39</v>
      </c>
      <c r="H25" s="20"/>
      <c r="I25" s="88"/>
    </row>
    <row r="26" spans="7:9" x14ac:dyDescent="0.25">
      <c r="G26" s="5" t="s">
        <v>38</v>
      </c>
      <c r="H26" s="20"/>
      <c r="I26" s="89"/>
    </row>
    <row r="27" spans="7:9" ht="15.75" thickBot="1" x14ac:dyDescent="0.3">
      <c r="G27" s="6" t="s">
        <v>26</v>
      </c>
      <c r="H27" s="21"/>
      <c r="I27" s="90"/>
    </row>
    <row r="28" spans="7:9" ht="15.75" thickBot="1" x14ac:dyDescent="0.3"/>
    <row r="29" spans="7:9" x14ac:dyDescent="0.25">
      <c r="G29" s="95" t="s">
        <v>45</v>
      </c>
      <c r="H29" s="96"/>
      <c r="I29" s="57" t="s">
        <v>16</v>
      </c>
    </row>
    <row r="30" spans="7:9" x14ac:dyDescent="0.25">
      <c r="G30" s="36" t="s">
        <v>39</v>
      </c>
      <c r="H30" s="58"/>
      <c r="I30" s="97"/>
    </row>
    <row r="31" spans="7:9" x14ac:dyDescent="0.25">
      <c r="G31" s="36" t="s">
        <v>12</v>
      </c>
      <c r="H31" s="59"/>
      <c r="I31" s="98"/>
    </row>
    <row r="32" spans="7:9" x14ac:dyDescent="0.25">
      <c r="G32" s="36" t="s">
        <v>199</v>
      </c>
      <c r="H32" s="59"/>
      <c r="I32" s="98"/>
    </row>
    <row r="33" spans="7:9" x14ac:dyDescent="0.25">
      <c r="G33" s="36" t="s">
        <v>225</v>
      </c>
      <c r="H33" s="59"/>
      <c r="I33" s="98"/>
    </row>
    <row r="34" spans="7:9" x14ac:dyDescent="0.25">
      <c r="G34" s="36" t="s">
        <v>72</v>
      </c>
      <c r="H34" s="59" t="s">
        <v>221</v>
      </c>
      <c r="I34" s="98"/>
    </row>
    <row r="35" spans="7:9" ht="15.75" thickBot="1" x14ac:dyDescent="0.3">
      <c r="G35" s="37" t="s">
        <v>226</v>
      </c>
      <c r="H35" s="60"/>
      <c r="I35" s="99"/>
    </row>
    <row r="36" spans="7:9" ht="15.75" thickBot="1" x14ac:dyDescent="0.3"/>
    <row r="37" spans="7:9" x14ac:dyDescent="0.25">
      <c r="G37" s="71" t="s">
        <v>22</v>
      </c>
      <c r="H37" s="72"/>
      <c r="I37" s="40" t="s">
        <v>16</v>
      </c>
    </row>
    <row r="38" spans="7:9" x14ac:dyDescent="0.25">
      <c r="G38" s="31" t="s">
        <v>51</v>
      </c>
      <c r="H38" s="32"/>
      <c r="I38" s="82"/>
    </row>
    <row r="39" spans="7:9" x14ac:dyDescent="0.25">
      <c r="G39" s="31" t="s">
        <v>23</v>
      </c>
      <c r="H39" s="45"/>
      <c r="I39" s="83"/>
    </row>
    <row r="40" spans="7:9" ht="15.75" thickBot="1" x14ac:dyDescent="0.3">
      <c r="G40" s="1" t="s">
        <v>24</v>
      </c>
      <c r="H40" s="44"/>
      <c r="I40" s="84"/>
    </row>
  </sheetData>
  <mergeCells count="26">
    <mergeCell ref="C2:E3"/>
    <mergeCell ref="G2:I3"/>
    <mergeCell ref="K2:M3"/>
    <mergeCell ref="C5:D5"/>
    <mergeCell ref="G12:H12"/>
    <mergeCell ref="C9:D9"/>
    <mergeCell ref="E10:E12"/>
    <mergeCell ref="G5:H5"/>
    <mergeCell ref="E6:E7"/>
    <mergeCell ref="K5:L5"/>
    <mergeCell ref="M6:M8"/>
    <mergeCell ref="K10:L10"/>
    <mergeCell ref="M11:M13"/>
    <mergeCell ref="G29:H29"/>
    <mergeCell ref="I6:I10"/>
    <mergeCell ref="C14:D14"/>
    <mergeCell ref="C15:D16"/>
    <mergeCell ref="G19:H19"/>
    <mergeCell ref="I20:I22"/>
    <mergeCell ref="I38:I40"/>
    <mergeCell ref="I13:I17"/>
    <mergeCell ref="I25:I27"/>
    <mergeCell ref="G37:H37"/>
    <mergeCell ref="E15:E16"/>
    <mergeCell ref="G24:H24"/>
    <mergeCell ref="I30:I35"/>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G37:H37</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H38</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23"/>
  <sheetViews>
    <sheetView tabSelected="1" topLeftCell="B1" zoomScale="90" zoomScaleNormal="90" workbookViewId="0">
      <selection activeCell="E55" sqref="E55"/>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39.5703125"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71" t="s">
        <v>2</v>
      </c>
      <c r="E2" s="72"/>
      <c r="F2" s="30" t="s">
        <v>16</v>
      </c>
    </row>
    <row r="3" spans="4:15" x14ac:dyDescent="0.25">
      <c r="D3" s="31" t="s">
        <v>1</v>
      </c>
      <c r="E3" s="34" t="s">
        <v>14</v>
      </c>
      <c r="F3" s="91" t="s">
        <v>47</v>
      </c>
    </row>
    <row r="4" spans="4:15" ht="15.75" thickBot="1" x14ac:dyDescent="0.3">
      <c r="D4" s="1" t="s">
        <v>26</v>
      </c>
      <c r="E4" s="17" t="s">
        <v>35</v>
      </c>
      <c r="F4" s="92"/>
    </row>
    <row r="6" spans="4:15" s="2" customFormat="1" ht="15.75" thickBot="1" x14ac:dyDescent="0.3">
      <c r="D6" s="124" t="s">
        <v>8</v>
      </c>
      <c r="E6" s="124"/>
    </row>
    <row r="7" spans="4:15" ht="15.75" thickBot="1" x14ac:dyDescent="0.3">
      <c r="I7" s="24"/>
      <c r="J7" s="24"/>
      <c r="N7"/>
      <c r="O7"/>
    </row>
    <row r="8" spans="4:15" x14ac:dyDescent="0.25">
      <c r="D8" s="71" t="s">
        <v>2</v>
      </c>
      <c r="E8" s="72"/>
      <c r="F8" s="46" t="s">
        <v>16</v>
      </c>
      <c r="I8" s="24"/>
      <c r="J8" s="24"/>
      <c r="N8"/>
      <c r="O8"/>
    </row>
    <row r="9" spans="4:15" x14ac:dyDescent="0.25">
      <c r="D9" s="31" t="s">
        <v>1</v>
      </c>
      <c r="E9" s="34" t="s">
        <v>46</v>
      </c>
      <c r="F9" s="91"/>
      <c r="I9" s="24"/>
      <c r="J9" s="24"/>
      <c r="N9"/>
      <c r="O9"/>
    </row>
    <row r="10" spans="4:15" ht="15.75" thickBot="1" x14ac:dyDescent="0.3">
      <c r="D10" s="43" t="s">
        <v>26</v>
      </c>
      <c r="E10" s="17" t="s">
        <v>35</v>
      </c>
      <c r="F10" s="92"/>
      <c r="I10" s="24"/>
      <c r="J10" s="24"/>
      <c r="N10"/>
      <c r="O10"/>
    </row>
    <row r="11" spans="4:15" ht="15.75" thickBot="1" x14ac:dyDescent="0.3">
      <c r="D11" s="53"/>
      <c r="E11" s="51"/>
      <c r="F11" s="54"/>
      <c r="I11" s="52"/>
      <c r="J11" s="52"/>
      <c r="N11"/>
      <c r="O11"/>
    </row>
    <row r="12" spans="4:15" x14ac:dyDescent="0.25">
      <c r="D12" s="93" t="s">
        <v>83</v>
      </c>
      <c r="E12" s="94"/>
      <c r="F12" s="48" t="s">
        <v>16</v>
      </c>
      <c r="I12" s="52"/>
      <c r="J12" s="52"/>
      <c r="N12"/>
      <c r="O12"/>
    </row>
    <row r="13" spans="4:15" x14ac:dyDescent="0.25">
      <c r="D13" s="5" t="s">
        <v>39</v>
      </c>
      <c r="E13" s="20" t="str">
        <f>E3</f>
        <v>Sample</v>
      </c>
      <c r="F13" s="88"/>
      <c r="I13" s="52"/>
      <c r="J13" s="52"/>
      <c r="N13"/>
      <c r="O13"/>
    </row>
    <row r="14" spans="4:15" x14ac:dyDescent="0.25">
      <c r="D14" s="5" t="s">
        <v>92</v>
      </c>
      <c r="E14" s="20" t="str">
        <f>Worklist!D1</f>
        <v>Sample Location</v>
      </c>
      <c r="F14" s="89"/>
      <c r="I14" s="52"/>
      <c r="J14" s="52"/>
      <c r="N14"/>
      <c r="O14"/>
    </row>
    <row r="15" spans="4:15" ht="15.75" thickBot="1" x14ac:dyDescent="0.3">
      <c r="D15" s="6" t="s">
        <v>84</v>
      </c>
      <c r="E15" s="21" t="s">
        <v>86</v>
      </c>
      <c r="F15" s="90"/>
      <c r="I15" s="52"/>
      <c r="J15" s="52"/>
      <c r="N15"/>
      <c r="O15"/>
    </row>
    <row r="16" spans="4:15" ht="15.75" thickBot="1" x14ac:dyDescent="0.3">
      <c r="D16" s="24"/>
      <c r="E16" s="24"/>
      <c r="N16"/>
      <c r="O16"/>
    </row>
    <row r="17" spans="1:15" x14ac:dyDescent="0.25">
      <c r="D17" s="122" t="s">
        <v>0</v>
      </c>
      <c r="E17" s="123"/>
      <c r="F17" s="47" t="s">
        <v>16</v>
      </c>
      <c r="N17"/>
      <c r="O17"/>
    </row>
    <row r="18" spans="1:15" x14ac:dyDescent="0.25">
      <c r="A18" t="s">
        <v>81</v>
      </c>
      <c r="D18" s="3" t="s">
        <v>39</v>
      </c>
      <c r="E18" s="13" t="str">
        <f>E26</f>
        <v>7M GnHCl, 100mM Tris pH 8.3, 5mM L-Met</v>
      </c>
      <c r="F18" s="100" t="s">
        <v>82</v>
      </c>
      <c r="N18"/>
      <c r="O18"/>
    </row>
    <row r="19" spans="1:15" x14ac:dyDescent="0.25">
      <c r="D19" s="3" t="s">
        <v>56</v>
      </c>
      <c r="E19" s="13" t="s">
        <v>68</v>
      </c>
      <c r="F19" s="101"/>
      <c r="N19"/>
      <c r="O19"/>
    </row>
    <row r="20" spans="1:15" x14ac:dyDescent="0.25">
      <c r="D20" s="3" t="s">
        <v>54</v>
      </c>
      <c r="E20" s="13" t="s">
        <v>61</v>
      </c>
      <c r="F20" s="101"/>
      <c r="G20" s="24"/>
      <c r="N20"/>
      <c r="O20"/>
    </row>
    <row r="21" spans="1:15" x14ac:dyDescent="0.25">
      <c r="D21" s="3" t="s">
        <v>12</v>
      </c>
      <c r="E21" s="13">
        <v>0</v>
      </c>
      <c r="F21" s="101"/>
      <c r="G21" s="24"/>
      <c r="N21"/>
      <c r="O21"/>
    </row>
    <row r="22" spans="1:15" ht="15.75" thickBot="1" x14ac:dyDescent="0.3">
      <c r="D22" s="4" t="s">
        <v>42</v>
      </c>
      <c r="E22" s="14" t="s">
        <v>43</v>
      </c>
      <c r="F22" s="102"/>
      <c r="G22" s="24"/>
      <c r="N22"/>
      <c r="O22"/>
    </row>
    <row r="23" spans="1:15" ht="15.75" thickBot="1" x14ac:dyDescent="0.3">
      <c r="D23" s="24"/>
      <c r="E23" s="24"/>
      <c r="G23" s="24"/>
      <c r="N23"/>
      <c r="O23"/>
    </row>
    <row r="24" spans="1:15" x14ac:dyDescent="0.25">
      <c r="D24" s="115" t="s">
        <v>17</v>
      </c>
      <c r="E24" s="116"/>
      <c r="F24" s="49" t="s">
        <v>16</v>
      </c>
      <c r="G24" s="24"/>
      <c r="N24"/>
      <c r="O24"/>
    </row>
    <row r="25" spans="1:15" x14ac:dyDescent="0.25">
      <c r="D25" s="7" t="s">
        <v>39</v>
      </c>
      <c r="E25" s="15" t="str">
        <f>E3</f>
        <v>Sample</v>
      </c>
      <c r="F25" s="85"/>
      <c r="G25" s="24"/>
      <c r="N25"/>
      <c r="O25"/>
    </row>
    <row r="26" spans="1:15" x14ac:dyDescent="0.25">
      <c r="D26" s="7" t="s">
        <v>3</v>
      </c>
      <c r="E26" s="15" t="s">
        <v>75</v>
      </c>
      <c r="F26" s="86"/>
      <c r="G26" s="24"/>
      <c r="N26"/>
      <c r="O26"/>
    </row>
    <row r="27" spans="1:15" x14ac:dyDescent="0.25">
      <c r="D27" s="7" t="s">
        <v>6</v>
      </c>
      <c r="E27" s="15" t="str">
        <f>Worklist!E1</f>
        <v>Concentration</v>
      </c>
      <c r="F27" s="86"/>
      <c r="G27" s="24"/>
      <c r="N27"/>
      <c r="O27"/>
    </row>
    <row r="28" spans="1:15" x14ac:dyDescent="0.25">
      <c r="D28" s="7" t="s">
        <v>7</v>
      </c>
      <c r="E28" s="15">
        <v>1</v>
      </c>
      <c r="F28" s="86"/>
      <c r="G28" s="24"/>
      <c r="N28"/>
      <c r="O28"/>
    </row>
    <row r="29" spans="1:15" ht="15.75" thickBot="1" x14ac:dyDescent="0.3">
      <c r="D29" s="8" t="s">
        <v>11</v>
      </c>
      <c r="E29" s="16">
        <v>100</v>
      </c>
      <c r="F29" s="87"/>
      <c r="G29" s="24"/>
      <c r="N29"/>
      <c r="O29"/>
    </row>
    <row r="30" spans="1:15" ht="15.75" thickBot="1" x14ac:dyDescent="0.3">
      <c r="F30" s="24"/>
      <c r="I30" s="24"/>
      <c r="J30" s="24"/>
      <c r="N30"/>
      <c r="O30"/>
    </row>
    <row r="31" spans="1:15" x14ac:dyDescent="0.25">
      <c r="D31" s="122" t="s">
        <v>0</v>
      </c>
      <c r="E31" s="123"/>
      <c r="F31" s="47" t="s">
        <v>16</v>
      </c>
      <c r="I31" s="24"/>
      <c r="J31" s="24"/>
      <c r="N31"/>
      <c r="O31"/>
    </row>
    <row r="32" spans="1:15" x14ac:dyDescent="0.25">
      <c r="D32" s="3" t="s">
        <v>39</v>
      </c>
      <c r="E32" s="13" t="s">
        <v>76</v>
      </c>
      <c r="F32" s="100"/>
      <c r="I32" s="24"/>
      <c r="J32" s="24"/>
      <c r="N32"/>
      <c r="O32"/>
    </row>
    <row r="33" spans="4:15" x14ac:dyDescent="0.25">
      <c r="D33" s="3" t="s">
        <v>56</v>
      </c>
      <c r="E33" s="13" t="s">
        <v>64</v>
      </c>
      <c r="F33" s="101"/>
      <c r="I33" s="24"/>
      <c r="J33" s="24"/>
      <c r="N33"/>
      <c r="O33"/>
    </row>
    <row r="34" spans="4:15" x14ac:dyDescent="0.25">
      <c r="D34" s="3" t="s">
        <v>54</v>
      </c>
      <c r="E34" s="13" t="s">
        <v>61</v>
      </c>
      <c r="F34" s="101"/>
      <c r="I34" s="24"/>
      <c r="J34" s="24"/>
      <c r="N34"/>
      <c r="O34"/>
    </row>
    <row r="35" spans="4:15" x14ac:dyDescent="0.25">
      <c r="D35" s="3" t="s">
        <v>12</v>
      </c>
      <c r="E35" s="13">
        <v>2</v>
      </c>
      <c r="F35" s="101"/>
      <c r="I35" s="24"/>
      <c r="J35" s="24"/>
      <c r="N35"/>
      <c r="O35"/>
    </row>
    <row r="36" spans="4:15" ht="15.75" thickBot="1" x14ac:dyDescent="0.3">
      <c r="D36" s="4" t="s">
        <v>42</v>
      </c>
      <c r="E36" s="14" t="s">
        <v>43</v>
      </c>
      <c r="F36" s="102"/>
      <c r="I36" s="24"/>
      <c r="J36" s="24"/>
      <c r="N36"/>
      <c r="O36"/>
    </row>
    <row r="37" spans="4:15" ht="15.75" thickBot="1" x14ac:dyDescent="0.3">
      <c r="I37" s="24"/>
      <c r="J37" s="24"/>
      <c r="N37"/>
      <c r="O37"/>
    </row>
    <row r="38" spans="4:15" x14ac:dyDescent="0.25">
      <c r="D38" s="77" t="s">
        <v>40</v>
      </c>
      <c r="E38" s="78"/>
      <c r="F38" s="50" t="s">
        <v>16</v>
      </c>
      <c r="I38" s="24"/>
      <c r="J38" s="24"/>
      <c r="N38"/>
      <c r="O38"/>
    </row>
    <row r="39" spans="4:15" x14ac:dyDescent="0.25">
      <c r="D39" s="11" t="s">
        <v>13</v>
      </c>
      <c r="E39" s="22">
        <v>30</v>
      </c>
      <c r="F39" s="79"/>
      <c r="I39" s="24"/>
      <c r="J39" s="24"/>
      <c r="N39"/>
      <c r="O39"/>
    </row>
    <row r="40" spans="4:15" x14ac:dyDescent="0.25">
      <c r="D40" s="11" t="s">
        <v>9</v>
      </c>
      <c r="E40" s="22">
        <v>30</v>
      </c>
      <c r="F40" s="80"/>
      <c r="I40" s="24"/>
      <c r="J40" s="24"/>
      <c r="N40"/>
      <c r="O40"/>
    </row>
    <row r="41" spans="4:15" ht="15.75" thickBot="1" x14ac:dyDescent="0.3">
      <c r="D41" s="12" t="s">
        <v>21</v>
      </c>
      <c r="E41" s="23">
        <v>0</v>
      </c>
      <c r="F41" s="81"/>
      <c r="I41" s="24"/>
      <c r="J41" s="24"/>
      <c r="N41"/>
      <c r="O41"/>
    </row>
    <row r="42" spans="4:15" ht="15.75" thickBot="1" x14ac:dyDescent="0.3">
      <c r="I42" s="24"/>
      <c r="J42" s="24"/>
      <c r="N42"/>
      <c r="O42"/>
    </row>
    <row r="43" spans="4:15" x14ac:dyDescent="0.25">
      <c r="D43" s="71" t="s">
        <v>22</v>
      </c>
      <c r="E43" s="72"/>
      <c r="F43" s="40" t="s">
        <v>16</v>
      </c>
      <c r="I43" s="69"/>
      <c r="J43" s="69"/>
      <c r="N43"/>
      <c r="O43"/>
    </row>
    <row r="44" spans="4:15" x14ac:dyDescent="0.25">
      <c r="D44" s="31" t="s">
        <v>51</v>
      </c>
      <c r="E44" s="32" t="s">
        <v>43</v>
      </c>
      <c r="F44" s="82"/>
      <c r="I44" s="69"/>
      <c r="J44" s="69"/>
      <c r="N44"/>
      <c r="O44"/>
    </row>
    <row r="45" spans="4:15" x14ac:dyDescent="0.25">
      <c r="D45" s="31" t="s">
        <v>23</v>
      </c>
      <c r="E45" s="45" t="s">
        <v>95</v>
      </c>
      <c r="F45" s="83"/>
      <c r="I45" s="69"/>
      <c r="J45" s="69"/>
      <c r="N45"/>
      <c r="O45"/>
    </row>
    <row r="46" spans="4:15" ht="60.75" thickBot="1" x14ac:dyDescent="0.3">
      <c r="D46" s="1" t="s">
        <v>24</v>
      </c>
      <c r="E46" s="44" t="s">
        <v>96</v>
      </c>
      <c r="F46" s="84"/>
      <c r="I46" s="69"/>
      <c r="J46" s="69"/>
      <c r="N46"/>
      <c r="O46"/>
    </row>
    <row r="47" spans="4:15" x14ac:dyDescent="0.25">
      <c r="I47" s="69"/>
      <c r="J47" s="69"/>
      <c r="N47"/>
      <c r="O47"/>
    </row>
    <row r="48" spans="4:15" x14ac:dyDescent="0.25">
      <c r="I48" s="69"/>
      <c r="J48" s="69"/>
      <c r="N48"/>
      <c r="O48"/>
    </row>
    <row r="49" spans="4:15" ht="15.75" thickBot="1" x14ac:dyDescent="0.3">
      <c r="I49" s="69"/>
      <c r="J49" s="69"/>
      <c r="N49"/>
      <c r="O49"/>
    </row>
    <row r="50" spans="4:15" x14ac:dyDescent="0.25">
      <c r="D50" s="122" t="s">
        <v>0</v>
      </c>
      <c r="E50" s="123"/>
      <c r="F50" s="47" t="s">
        <v>16</v>
      </c>
      <c r="I50" s="24"/>
      <c r="J50" s="24"/>
      <c r="N50"/>
      <c r="O50"/>
    </row>
    <row r="51" spans="4:15" x14ac:dyDescent="0.25">
      <c r="D51" s="3" t="s">
        <v>39</v>
      </c>
      <c r="E51" s="13" t="s">
        <v>77</v>
      </c>
      <c r="F51" s="100"/>
      <c r="I51" s="24"/>
      <c r="J51" s="24"/>
      <c r="N51"/>
      <c r="O51"/>
    </row>
    <row r="52" spans="4:15" x14ac:dyDescent="0.25">
      <c r="D52" s="3" t="s">
        <v>56</v>
      </c>
      <c r="E52" s="13" t="s">
        <v>65</v>
      </c>
      <c r="F52" s="101"/>
      <c r="I52" s="24"/>
      <c r="J52" s="24"/>
      <c r="N52"/>
      <c r="O52"/>
    </row>
    <row r="53" spans="4:15" x14ac:dyDescent="0.25">
      <c r="D53" s="3" t="s">
        <v>54</v>
      </c>
      <c r="E53" s="13" t="s">
        <v>61</v>
      </c>
      <c r="F53" s="101"/>
      <c r="I53" s="24"/>
      <c r="J53" s="24"/>
      <c r="N53"/>
      <c r="O53"/>
    </row>
    <row r="54" spans="4:15" x14ac:dyDescent="0.25">
      <c r="D54" s="3" t="s">
        <v>12</v>
      </c>
      <c r="E54" s="13">
        <v>25</v>
      </c>
      <c r="F54" s="101"/>
      <c r="I54" s="24"/>
      <c r="J54" s="24"/>
      <c r="N54"/>
      <c r="O54"/>
    </row>
    <row r="55" spans="4:15" ht="15.75" thickBot="1" x14ac:dyDescent="0.3">
      <c r="D55" s="4" t="s">
        <v>42</v>
      </c>
      <c r="E55" s="14" t="s">
        <v>43</v>
      </c>
      <c r="F55" s="102"/>
      <c r="I55" s="24"/>
      <c r="J55" s="24"/>
      <c r="N55"/>
      <c r="O55"/>
    </row>
    <row r="56" spans="4:15" ht="15.75" thickBot="1" x14ac:dyDescent="0.3">
      <c r="I56" s="24"/>
      <c r="J56" s="24"/>
      <c r="N56"/>
      <c r="O56"/>
    </row>
    <row r="57" spans="4:15" x14ac:dyDescent="0.25">
      <c r="D57" s="77" t="s">
        <v>40</v>
      </c>
      <c r="E57" s="78"/>
      <c r="F57" s="50" t="s">
        <v>16</v>
      </c>
      <c r="I57" s="24"/>
      <c r="J57" s="24"/>
      <c r="N57"/>
      <c r="O57"/>
    </row>
    <row r="58" spans="4:15" x14ac:dyDescent="0.25">
      <c r="D58" s="11" t="s">
        <v>13</v>
      </c>
      <c r="E58" s="22">
        <v>25</v>
      </c>
      <c r="F58" s="79"/>
      <c r="I58" s="24"/>
      <c r="J58" s="24"/>
      <c r="N58"/>
      <c r="O58"/>
    </row>
    <row r="59" spans="4:15" x14ac:dyDescent="0.25">
      <c r="D59" s="11" t="s">
        <v>9</v>
      </c>
      <c r="E59" s="22">
        <v>30</v>
      </c>
      <c r="F59" s="80"/>
      <c r="I59" s="24"/>
      <c r="J59" s="24"/>
      <c r="N59"/>
      <c r="O59"/>
    </row>
    <row r="60" spans="4:15" ht="15.75" thickBot="1" x14ac:dyDescent="0.3">
      <c r="D60" s="12" t="s">
        <v>21</v>
      </c>
      <c r="E60" s="23">
        <v>0</v>
      </c>
      <c r="F60" s="81"/>
      <c r="I60" s="24"/>
      <c r="J60" s="24"/>
      <c r="N60"/>
      <c r="O60"/>
    </row>
    <row r="61" spans="4:15" ht="15.75" thickBot="1" x14ac:dyDescent="0.3">
      <c r="I61" s="24"/>
      <c r="J61" s="24"/>
      <c r="N61"/>
      <c r="O61"/>
    </row>
    <row r="62" spans="4:15" x14ac:dyDescent="0.25">
      <c r="D62" s="115" t="s">
        <v>17</v>
      </c>
      <c r="E62" s="116"/>
      <c r="F62" s="49" t="s">
        <v>16</v>
      </c>
      <c r="I62" s="24"/>
      <c r="J62" s="24"/>
      <c r="N62"/>
      <c r="O62"/>
    </row>
    <row r="63" spans="4:15" x14ac:dyDescent="0.25">
      <c r="D63" s="7" t="s">
        <v>39</v>
      </c>
      <c r="E63" s="15" t="str">
        <f>E32</f>
        <v>500mM DTT in 7M GnHCl, 100mM Tris pH 8.3, 5mM L-Met</v>
      </c>
      <c r="F63" s="85"/>
      <c r="I63" s="24"/>
      <c r="J63" s="24"/>
      <c r="N63"/>
      <c r="O63"/>
    </row>
    <row r="64" spans="4:15" x14ac:dyDescent="0.25">
      <c r="D64" s="7" t="s">
        <v>3</v>
      </c>
      <c r="E64" s="15" t="s">
        <v>10</v>
      </c>
      <c r="F64" s="86"/>
      <c r="I64" s="24"/>
      <c r="J64" s="24"/>
      <c r="N64"/>
      <c r="O64"/>
    </row>
    <row r="65" spans="4:15" x14ac:dyDescent="0.25">
      <c r="D65" s="7" t="s">
        <v>6</v>
      </c>
      <c r="E65" s="15">
        <v>0.5</v>
      </c>
      <c r="F65" s="86"/>
      <c r="I65" s="24"/>
      <c r="J65" s="24"/>
      <c r="N65"/>
      <c r="O65"/>
    </row>
    <row r="66" spans="4:15" x14ac:dyDescent="0.25">
      <c r="D66" s="7" t="s">
        <v>7</v>
      </c>
      <c r="E66" s="15">
        <v>0.1</v>
      </c>
      <c r="F66" s="86"/>
      <c r="I66" s="24"/>
      <c r="J66" s="24"/>
      <c r="N66"/>
      <c r="O66"/>
    </row>
    <row r="67" spans="4:15" ht="15.75" thickBot="1" x14ac:dyDescent="0.3">
      <c r="D67" s="8" t="s">
        <v>11</v>
      </c>
      <c r="E67" s="16">
        <v>3</v>
      </c>
      <c r="F67" s="87"/>
      <c r="I67" s="24"/>
      <c r="J67" s="24"/>
      <c r="N67"/>
      <c r="O67"/>
    </row>
    <row r="68" spans="4:15" ht="15.75" thickBot="1" x14ac:dyDescent="0.3">
      <c r="I68" s="24"/>
      <c r="J68" s="24"/>
      <c r="N68"/>
      <c r="O68"/>
    </row>
    <row r="69" spans="4:15" x14ac:dyDescent="0.25">
      <c r="D69" s="71" t="s">
        <v>2</v>
      </c>
      <c r="E69" s="72"/>
      <c r="F69" s="46" t="s">
        <v>16</v>
      </c>
      <c r="I69" s="24"/>
      <c r="J69" s="24"/>
      <c r="N69"/>
      <c r="O69"/>
    </row>
    <row r="70" spans="4:15" x14ac:dyDescent="0.25">
      <c r="D70" s="31" t="s">
        <v>1</v>
      </c>
      <c r="E70" s="34" t="s">
        <v>69</v>
      </c>
      <c r="F70" s="91"/>
      <c r="I70" s="24"/>
      <c r="J70" s="24"/>
      <c r="N70"/>
      <c r="O70"/>
    </row>
    <row r="71" spans="4:15" ht="15.75" thickBot="1" x14ac:dyDescent="0.3">
      <c r="D71" s="43" t="s">
        <v>26</v>
      </c>
      <c r="E71" s="33" t="s">
        <v>35</v>
      </c>
      <c r="F71" s="92"/>
      <c r="I71" s="24"/>
      <c r="J71" s="24"/>
      <c r="N71"/>
      <c r="O71"/>
    </row>
    <row r="72" spans="4:15" ht="15.75" thickBot="1" x14ac:dyDescent="0.3">
      <c r="I72" s="24"/>
      <c r="J72" s="24"/>
      <c r="N72"/>
      <c r="O72"/>
    </row>
    <row r="73" spans="4:15" x14ac:dyDescent="0.25">
      <c r="D73" s="93" t="s">
        <v>5</v>
      </c>
      <c r="E73" s="94"/>
      <c r="F73" s="48" t="s">
        <v>16</v>
      </c>
      <c r="I73" s="24"/>
      <c r="J73" s="24"/>
      <c r="N73"/>
      <c r="O73"/>
    </row>
    <row r="74" spans="4:15" x14ac:dyDescent="0.25">
      <c r="D74" s="5" t="s">
        <v>39</v>
      </c>
      <c r="E74" s="20" t="str">
        <f>E9</f>
        <v>Denaturation</v>
      </c>
      <c r="F74" s="88"/>
      <c r="I74" s="24"/>
      <c r="J74" s="24"/>
      <c r="N74"/>
      <c r="O74"/>
    </row>
    <row r="75" spans="4:15" x14ac:dyDescent="0.25">
      <c r="D75" s="5" t="s">
        <v>38</v>
      </c>
      <c r="E75" s="20" t="s">
        <v>78</v>
      </c>
      <c r="F75" s="89"/>
      <c r="I75" s="24"/>
      <c r="J75" s="24"/>
      <c r="N75"/>
      <c r="O75"/>
    </row>
    <row r="76" spans="4:15" ht="15.75" thickBot="1" x14ac:dyDescent="0.3">
      <c r="D76" s="6" t="s">
        <v>26</v>
      </c>
      <c r="E76" s="21" t="s">
        <v>70</v>
      </c>
      <c r="F76" s="90"/>
      <c r="I76" s="24"/>
      <c r="J76" s="24"/>
      <c r="N76"/>
      <c r="O76"/>
    </row>
    <row r="77" spans="4:15" ht="15.75" thickBot="1" x14ac:dyDescent="0.3">
      <c r="I77" s="24"/>
      <c r="J77" s="24"/>
      <c r="N77"/>
      <c r="O77"/>
    </row>
    <row r="78" spans="4:15" x14ac:dyDescent="0.25">
      <c r="D78" s="71" t="s">
        <v>2</v>
      </c>
      <c r="E78" s="72"/>
      <c r="F78" s="46" t="s">
        <v>16</v>
      </c>
      <c r="I78" s="24"/>
      <c r="J78" s="24"/>
      <c r="N78"/>
      <c r="O78"/>
    </row>
    <row r="79" spans="4:15" x14ac:dyDescent="0.25">
      <c r="D79" s="31" t="s">
        <v>1</v>
      </c>
      <c r="E79" s="34" t="s">
        <v>74</v>
      </c>
      <c r="F79" s="91"/>
      <c r="I79" s="24"/>
      <c r="J79" s="24"/>
      <c r="N79"/>
      <c r="O79"/>
    </row>
    <row r="80" spans="4:15" ht="15.75" thickBot="1" x14ac:dyDescent="0.3">
      <c r="D80" s="43" t="s">
        <v>26</v>
      </c>
      <c r="E80" s="33" t="s">
        <v>35</v>
      </c>
      <c r="F80" s="92"/>
      <c r="I80" s="24"/>
      <c r="J80" s="24"/>
      <c r="N80"/>
      <c r="O80"/>
    </row>
    <row r="81" spans="4:15" ht="15.75" thickBot="1" x14ac:dyDescent="0.3">
      <c r="I81" s="24"/>
      <c r="J81" s="24"/>
      <c r="N81"/>
      <c r="O81"/>
    </row>
    <row r="82" spans="4:15" x14ac:dyDescent="0.25">
      <c r="D82" s="71" t="s">
        <v>22</v>
      </c>
      <c r="E82" s="72"/>
      <c r="F82" s="40" t="s">
        <v>16</v>
      </c>
      <c r="I82" s="55"/>
      <c r="J82" s="55"/>
      <c r="N82"/>
      <c r="O82"/>
    </row>
    <row r="83" spans="4:15" x14ac:dyDescent="0.25">
      <c r="D83" s="31" t="s">
        <v>51</v>
      </c>
      <c r="E83" s="32" t="s">
        <v>43</v>
      </c>
      <c r="F83" s="82"/>
      <c r="I83" s="55"/>
      <c r="J83" s="55"/>
      <c r="N83"/>
      <c r="O83"/>
    </row>
    <row r="84" spans="4:15" x14ac:dyDescent="0.25">
      <c r="D84" s="31" t="s">
        <v>23</v>
      </c>
      <c r="E84" s="45" t="s">
        <v>95</v>
      </c>
      <c r="F84" s="83"/>
      <c r="I84" s="55"/>
      <c r="J84" s="55"/>
      <c r="N84"/>
      <c r="O84"/>
    </row>
    <row r="85" spans="4:15" ht="60.75" thickBot="1" x14ac:dyDescent="0.3">
      <c r="D85" s="1" t="s">
        <v>24</v>
      </c>
      <c r="E85" s="44" t="s">
        <v>96</v>
      </c>
      <c r="F85" s="84"/>
      <c r="I85" s="55"/>
      <c r="J85" s="55"/>
      <c r="N85"/>
      <c r="O85"/>
    </row>
    <row r="86" spans="4:15" ht="15.75" thickBot="1" x14ac:dyDescent="0.3">
      <c r="I86" s="55"/>
      <c r="J86" s="55"/>
      <c r="N86"/>
      <c r="O86"/>
    </row>
    <row r="87" spans="4:15" x14ac:dyDescent="0.25">
      <c r="D87" s="115" t="s">
        <v>17</v>
      </c>
      <c r="E87" s="116"/>
      <c r="F87" s="49" t="s">
        <v>16</v>
      </c>
      <c r="I87" s="24"/>
      <c r="J87" s="24"/>
      <c r="N87"/>
      <c r="O87"/>
    </row>
    <row r="88" spans="4:15" x14ac:dyDescent="0.25">
      <c r="D88" s="7" t="s">
        <v>39</v>
      </c>
      <c r="E88" s="15" t="str">
        <f>E70</f>
        <v>Desalting</v>
      </c>
      <c r="F88" s="85"/>
      <c r="I88" s="24"/>
      <c r="J88" s="24"/>
      <c r="N88"/>
      <c r="O88"/>
    </row>
    <row r="89" spans="4:15" x14ac:dyDescent="0.25">
      <c r="D89" s="7" t="s">
        <v>3</v>
      </c>
      <c r="E89" s="15" t="str">
        <f>E75</f>
        <v>50mM Tris pH 7.9, 5mM L-Met</v>
      </c>
      <c r="F89" s="86"/>
      <c r="I89" s="24"/>
      <c r="J89" s="24"/>
      <c r="N89"/>
      <c r="O89"/>
    </row>
    <row r="90" spans="4:15" x14ac:dyDescent="0.25">
      <c r="D90" s="7" t="s">
        <v>6</v>
      </c>
      <c r="E90" s="15" t="str">
        <f>Worklist!F1</f>
        <v>Desalting Concentration</v>
      </c>
      <c r="F90" s="86"/>
      <c r="I90" s="24"/>
      <c r="J90" s="24"/>
      <c r="N90"/>
      <c r="O90"/>
    </row>
    <row r="91" spans="4:15" x14ac:dyDescent="0.25">
      <c r="D91" s="7" t="s">
        <v>7</v>
      </c>
      <c r="E91" s="15">
        <v>0.5</v>
      </c>
      <c r="F91" s="86"/>
      <c r="I91" s="24"/>
      <c r="J91" s="24"/>
      <c r="N91"/>
      <c r="O91"/>
    </row>
    <row r="92" spans="4:15" ht="15.75" thickBot="1" x14ac:dyDescent="0.3">
      <c r="D92" s="8" t="s">
        <v>11</v>
      </c>
      <c r="E92" s="16">
        <v>100</v>
      </c>
      <c r="F92" s="87"/>
      <c r="I92" s="24"/>
      <c r="J92" s="24"/>
      <c r="N92"/>
      <c r="O92"/>
    </row>
    <row r="93" spans="4:15" ht="15.75" thickBot="1" x14ac:dyDescent="0.3">
      <c r="I93" s="24"/>
      <c r="J93" s="24"/>
      <c r="N93"/>
      <c r="O93"/>
    </row>
    <row r="94" spans="4:15" x14ac:dyDescent="0.25">
      <c r="D94" s="122" t="s">
        <v>0</v>
      </c>
      <c r="E94" s="123"/>
      <c r="F94" s="47" t="s">
        <v>16</v>
      </c>
      <c r="I94" s="24"/>
      <c r="J94" s="24"/>
      <c r="N94"/>
      <c r="O94"/>
    </row>
    <row r="95" spans="4:15" x14ac:dyDescent="0.25">
      <c r="D95" s="3" t="s">
        <v>39</v>
      </c>
      <c r="E95" s="13" t="s">
        <v>80</v>
      </c>
      <c r="F95" s="100"/>
      <c r="I95" s="24"/>
      <c r="J95" s="24"/>
      <c r="N95"/>
      <c r="O95"/>
    </row>
    <row r="96" spans="4:15" x14ac:dyDescent="0.25">
      <c r="D96" s="3" t="s">
        <v>56</v>
      </c>
      <c r="E96" s="13" t="s">
        <v>15</v>
      </c>
      <c r="F96" s="101"/>
      <c r="I96" s="24"/>
      <c r="J96" s="24"/>
      <c r="N96"/>
      <c r="O96"/>
    </row>
    <row r="97" spans="4:15" x14ac:dyDescent="0.25">
      <c r="D97" s="3" t="s">
        <v>54</v>
      </c>
      <c r="E97" s="13" t="s">
        <v>62</v>
      </c>
      <c r="F97" s="101"/>
      <c r="I97" s="24"/>
      <c r="J97" s="24"/>
      <c r="N97"/>
      <c r="O97"/>
    </row>
    <row r="98" spans="4:15" x14ac:dyDescent="0.25">
      <c r="D98" s="3" t="s">
        <v>12</v>
      </c>
      <c r="E98" s="13">
        <v>5</v>
      </c>
      <c r="F98" s="101"/>
      <c r="I98" s="24"/>
      <c r="J98" s="24"/>
      <c r="N98"/>
      <c r="O98"/>
    </row>
    <row r="99" spans="4:15" ht="15.75" thickBot="1" x14ac:dyDescent="0.3">
      <c r="D99" s="4" t="s">
        <v>42</v>
      </c>
      <c r="E99" s="14" t="s">
        <v>43</v>
      </c>
      <c r="F99" s="102"/>
      <c r="I99" s="24"/>
      <c r="J99" s="24"/>
      <c r="N99"/>
      <c r="O99"/>
    </row>
    <row r="100" spans="4:15" ht="15.75" thickBot="1" x14ac:dyDescent="0.3">
      <c r="I100" s="24"/>
      <c r="J100" s="24"/>
      <c r="N100"/>
      <c r="O100"/>
    </row>
    <row r="101" spans="4:15" x14ac:dyDescent="0.25">
      <c r="D101" s="77" t="s">
        <v>40</v>
      </c>
      <c r="E101" s="78"/>
      <c r="F101" s="50" t="s">
        <v>16</v>
      </c>
      <c r="I101" s="24"/>
      <c r="J101" s="24"/>
      <c r="N101"/>
      <c r="O101"/>
    </row>
    <row r="102" spans="4:15" x14ac:dyDescent="0.25">
      <c r="D102" s="11" t="s">
        <v>13</v>
      </c>
      <c r="E102" s="22">
        <v>37</v>
      </c>
      <c r="F102" s="79"/>
      <c r="I102" s="24"/>
      <c r="J102" s="24"/>
      <c r="N102"/>
      <c r="O102"/>
    </row>
    <row r="103" spans="4:15" x14ac:dyDescent="0.25">
      <c r="D103" s="11" t="s">
        <v>9</v>
      </c>
      <c r="E103" s="22">
        <v>60</v>
      </c>
      <c r="F103" s="80"/>
      <c r="I103" s="24"/>
      <c r="J103" s="24"/>
      <c r="N103"/>
      <c r="O103"/>
    </row>
    <row r="104" spans="4:15" ht="15.75" thickBot="1" x14ac:dyDescent="0.3">
      <c r="D104" s="12" t="s">
        <v>21</v>
      </c>
      <c r="E104" s="23">
        <v>0</v>
      </c>
      <c r="F104" s="81"/>
      <c r="I104" s="24"/>
      <c r="J104" s="24"/>
      <c r="N104"/>
      <c r="O104"/>
    </row>
    <row r="105" spans="4:15" ht="15.75" thickBot="1" x14ac:dyDescent="0.3">
      <c r="I105" s="24"/>
      <c r="J105" s="24"/>
      <c r="N105"/>
      <c r="O105"/>
    </row>
    <row r="106" spans="4:15" x14ac:dyDescent="0.25">
      <c r="D106" s="122" t="s">
        <v>0</v>
      </c>
      <c r="E106" s="123"/>
      <c r="F106" s="47" t="s">
        <v>16</v>
      </c>
      <c r="I106" s="24"/>
      <c r="J106" s="24"/>
      <c r="N106"/>
      <c r="O106"/>
    </row>
    <row r="107" spans="4:15" x14ac:dyDescent="0.25">
      <c r="D107" s="3" t="s">
        <v>39</v>
      </c>
      <c r="E107" s="13" t="s">
        <v>73</v>
      </c>
      <c r="F107" s="100"/>
      <c r="I107" s="24"/>
      <c r="J107" s="24"/>
      <c r="N107"/>
      <c r="O107"/>
    </row>
    <row r="108" spans="4:15" x14ac:dyDescent="0.25">
      <c r="D108" s="56" t="s">
        <v>56</v>
      </c>
      <c r="E108" s="13" t="s">
        <v>66</v>
      </c>
      <c r="F108" s="101"/>
      <c r="I108" s="24"/>
      <c r="J108" s="24"/>
      <c r="N108"/>
      <c r="O108"/>
    </row>
    <row r="109" spans="4:15" x14ac:dyDescent="0.25">
      <c r="D109" s="3" t="s">
        <v>54</v>
      </c>
      <c r="E109" s="13" t="s">
        <v>61</v>
      </c>
      <c r="F109" s="101"/>
      <c r="I109" s="24"/>
      <c r="J109" s="24"/>
      <c r="N109"/>
      <c r="O109"/>
    </row>
    <row r="110" spans="4:15" x14ac:dyDescent="0.25">
      <c r="D110" s="3" t="s">
        <v>12</v>
      </c>
      <c r="E110" s="13">
        <v>5</v>
      </c>
      <c r="F110" s="101"/>
      <c r="I110" s="24"/>
      <c r="J110" s="24"/>
      <c r="N110"/>
      <c r="O110"/>
    </row>
    <row r="111" spans="4:15" ht="15.75" thickBot="1" x14ac:dyDescent="0.3">
      <c r="D111" s="4" t="s">
        <v>42</v>
      </c>
      <c r="E111" s="14" t="s">
        <v>43</v>
      </c>
      <c r="F111" s="102"/>
      <c r="I111" s="24"/>
      <c r="J111" s="24"/>
      <c r="N111"/>
      <c r="O111"/>
    </row>
    <row r="112" spans="4:15" ht="15.75" thickBot="1" x14ac:dyDescent="0.3">
      <c r="I112" s="24"/>
      <c r="J112" s="24"/>
      <c r="N112"/>
      <c r="O112"/>
    </row>
    <row r="113" spans="4:15" x14ac:dyDescent="0.25">
      <c r="D113" s="71" t="s">
        <v>22</v>
      </c>
      <c r="E113" s="72"/>
      <c r="F113" s="40" t="s">
        <v>16</v>
      </c>
      <c r="I113" s="55"/>
      <c r="J113" s="55"/>
      <c r="N113"/>
      <c r="O113"/>
    </row>
    <row r="114" spans="4:15" x14ac:dyDescent="0.25">
      <c r="D114" s="31" t="s">
        <v>51</v>
      </c>
      <c r="E114" s="32" t="s">
        <v>43</v>
      </c>
      <c r="F114" s="82"/>
      <c r="I114" s="55"/>
      <c r="J114" s="55"/>
      <c r="N114"/>
      <c r="O114"/>
    </row>
    <row r="115" spans="4:15" x14ac:dyDescent="0.25">
      <c r="D115" s="31" t="s">
        <v>23</v>
      </c>
      <c r="E115" s="45" t="s">
        <v>97</v>
      </c>
      <c r="F115" s="83"/>
      <c r="I115" s="55"/>
      <c r="J115" s="55"/>
      <c r="N115"/>
      <c r="O115"/>
    </row>
    <row r="116" spans="4:15" ht="30.75" thickBot="1" x14ac:dyDescent="0.3">
      <c r="D116" s="1" t="s">
        <v>24</v>
      </c>
      <c r="E116" s="44" t="s">
        <v>98</v>
      </c>
      <c r="F116" s="84"/>
      <c r="I116" s="55"/>
      <c r="J116" s="55"/>
      <c r="N116"/>
      <c r="O116"/>
    </row>
    <row r="117" spans="4:15" ht="15.75" thickBot="1" x14ac:dyDescent="0.3">
      <c r="I117" s="55"/>
      <c r="J117" s="55"/>
      <c r="N117"/>
      <c r="O117"/>
    </row>
    <row r="118" spans="4:15" x14ac:dyDescent="0.25">
      <c r="D118" s="71" t="s">
        <v>53</v>
      </c>
      <c r="E118" s="72"/>
      <c r="F118" s="46" t="s">
        <v>16</v>
      </c>
      <c r="I118" s="24"/>
      <c r="J118" s="24"/>
      <c r="N118"/>
      <c r="O118"/>
    </row>
    <row r="119" spans="4:15" x14ac:dyDescent="0.25">
      <c r="D119" s="73"/>
      <c r="E119" s="74"/>
      <c r="F119" s="91"/>
      <c r="I119" s="24"/>
      <c r="J119" s="24"/>
      <c r="N119"/>
      <c r="O119"/>
    </row>
    <row r="120" spans="4:15" ht="15.75" thickBot="1" x14ac:dyDescent="0.3">
      <c r="D120" s="75"/>
      <c r="E120" s="76"/>
      <c r="F120" s="92"/>
      <c r="I120" s="24"/>
      <c r="J120" s="24"/>
      <c r="N120"/>
      <c r="O120"/>
    </row>
    <row r="121" spans="4:15" x14ac:dyDescent="0.25">
      <c r="I121" s="24"/>
      <c r="J121" s="24"/>
      <c r="N121"/>
      <c r="O121"/>
    </row>
    <row r="122" spans="4:15" x14ac:dyDescent="0.25">
      <c r="I122" s="24"/>
      <c r="J122" s="24"/>
      <c r="N122"/>
      <c r="O122"/>
    </row>
    <row r="123" spans="4:15" x14ac:dyDescent="0.25">
      <c r="I123" s="24"/>
      <c r="J123" s="24"/>
      <c r="N123"/>
      <c r="O123"/>
    </row>
  </sheetData>
  <mergeCells count="44">
    <mergeCell ref="D113:E113"/>
    <mergeCell ref="F114:F116"/>
    <mergeCell ref="D12:E12"/>
    <mergeCell ref="F13:F15"/>
    <mergeCell ref="D17:E17"/>
    <mergeCell ref="F18:F22"/>
    <mergeCell ref="D24:E24"/>
    <mergeCell ref="F25:F29"/>
    <mergeCell ref="F51:F55"/>
    <mergeCell ref="D57:E57"/>
    <mergeCell ref="F58:F60"/>
    <mergeCell ref="D31:E31"/>
    <mergeCell ref="F39:F41"/>
    <mergeCell ref="D50:E50"/>
    <mergeCell ref="D2:E2"/>
    <mergeCell ref="F3:F4"/>
    <mergeCell ref="F9:F10"/>
    <mergeCell ref="D8:E8"/>
    <mergeCell ref="D6:E6"/>
    <mergeCell ref="D38:E38"/>
    <mergeCell ref="F32:F36"/>
    <mergeCell ref="F74:F76"/>
    <mergeCell ref="D78:E78"/>
    <mergeCell ref="F79:F80"/>
    <mergeCell ref="F70:F71"/>
    <mergeCell ref="D73:E73"/>
    <mergeCell ref="D62:E62"/>
    <mergeCell ref="F63:F67"/>
    <mergeCell ref="D43:E43"/>
    <mergeCell ref="F44:F46"/>
    <mergeCell ref="D119:E120"/>
    <mergeCell ref="F119:F120"/>
    <mergeCell ref="D106:E106"/>
    <mergeCell ref="F107:F111"/>
    <mergeCell ref="D118:E118"/>
    <mergeCell ref="F102:F104"/>
    <mergeCell ref="D69:E69"/>
    <mergeCell ref="D87:E87"/>
    <mergeCell ref="F88:F92"/>
    <mergeCell ref="D94:E94"/>
    <mergeCell ref="F95:F99"/>
    <mergeCell ref="D101:E101"/>
    <mergeCell ref="D82:E82"/>
    <mergeCell ref="F83:F8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values'!$G$5:$G$6</xm:f>
          </x14:formula1>
          <xm:sqref>D24:E24 D62:E62 D87:E87</xm:sqref>
        </x14:dataValidation>
        <x14:dataValidation type="list" allowBlank="1" showInputMessage="1" showErrorMessage="1" xr:uid="{00000000-0002-0000-0200-000002000000}">
          <x14:formula1>
            <xm:f>'___Dropdown values'!$B$10:$B$17</xm:f>
          </x14:formula1>
          <xm:sqref>E33 E52 E96 E108 E19</xm:sqref>
        </x14:dataValidation>
        <x14:dataValidation type="list" allowBlank="1" showInputMessage="1" showErrorMessage="1" xr:uid="{00000000-0002-0000-0200-000003000000}">
          <x14:formula1>
            <xm:f>'___Dropdown values'!$F$5:$F$6</xm:f>
          </x14:formula1>
          <xm:sqref>D31:E31 D50:E50 D94:E94 D106:E106 D17:E17</xm:sqref>
        </x14:dataValidation>
        <x14:dataValidation type="list" allowBlank="1" showInputMessage="1" showErrorMessage="1" xr:uid="{00000000-0002-0000-0200-000004000000}">
          <x14:formula1>
            <xm:f>'___Dropdown values'!$D$10:$D$11</xm:f>
          </x14:formula1>
          <xm:sqref>E36 E55 E99 E111 E22 E83 E114 E44</xm:sqref>
        </x14:dataValidation>
        <x14:dataValidation type="list" allowBlank="1" showInputMessage="1" showErrorMessage="1" xr:uid="{00000000-0002-0000-0200-000005000000}">
          <x14:formula1>
            <xm:f>'___Dropdown values'!$B$20:$B$21</xm:f>
          </x14:formula1>
          <xm:sqref>E34 E53 E97 E109 E20</xm:sqref>
        </x14:dataValidation>
        <x14:dataValidation type="list" allowBlank="1" showInputMessage="1" showErrorMessage="1" xr:uid="{00000000-0002-0000-0200-000006000000}">
          <x14:formula1>
            <xm:f>'___Dropdown values'!$K$5:$K$6</xm:f>
          </x14:formula1>
          <xm:sqref>D38:E38 D57:E57 D101:E101</xm:sqref>
        </x14:dataValidation>
        <x14:dataValidation type="list" allowBlank="1" showInputMessage="1" showErrorMessage="1" xr:uid="{00000000-0002-0000-0200-000007000000}">
          <x14:formula1>
            <xm:f>'___Dropdown values'!$D$4:$D$5</xm:f>
          </x14:formula1>
          <xm:sqref>E76</xm:sqref>
        </x14:dataValidation>
        <x14:dataValidation type="list" allowBlank="1" showInputMessage="1" showErrorMessage="1" xr:uid="{00000000-0002-0000-0200-000008000000}">
          <x14:formula1>
            <xm:f>'___Dropdown values'!$H$5:$H$6</xm:f>
          </x14:formula1>
          <xm:sqref>D73:E73</xm:sqref>
        </x14:dataValidation>
        <x14:dataValidation type="list" allowBlank="1" showInputMessage="1" showErrorMessage="1" xr:uid="{00000000-0002-0000-0200-000009000000}">
          <x14:formula1>
            <xm:f>'___Dropdown values'!$B$4:$B$7</xm:f>
          </x14:formula1>
          <xm:sqref>E71 E80</xm:sqref>
        </x14:dataValidation>
        <x14:dataValidation type="list" allowBlank="1" showInputMessage="1" showErrorMessage="1" xr:uid="{E00FCE00-B93B-443A-8066-AB976D878BE0}">
          <x14:formula1>
            <xm:f>'___Dropdown values'!$D$14:$D$15</xm:f>
          </x14:formula1>
          <xm:sqref>E15</xm:sqref>
        </x14:dataValidation>
        <x14:dataValidation type="list" allowBlank="1" showInputMessage="1" showErrorMessage="1" xr:uid="{DE324342-DC94-482F-9306-8B7D4640DE3D}">
          <x14:formula1>
            <xm:f>'___Dropdown values'!$I$5:$I$6</xm:f>
          </x14:formula1>
          <xm:sqref>D82:E82 D113:E113 D43:E43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
  <sheetViews>
    <sheetView workbookViewId="0">
      <selection activeCell="F39" sqref="F39"/>
    </sheetView>
  </sheetViews>
  <sheetFormatPr defaultRowHeight="15" x14ac:dyDescent="0.25"/>
  <cols>
    <col min="1" max="1" width="9" bestFit="1" customWidth="1"/>
    <col min="2" max="2" width="20.42578125" hidden="1"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34</v>
      </c>
      <c r="B1" t="s">
        <v>50</v>
      </c>
      <c r="C1" t="s">
        <v>18</v>
      </c>
      <c r="D1" t="s">
        <v>94</v>
      </c>
      <c r="E1" t="s">
        <v>19</v>
      </c>
      <c r="F1" t="s">
        <v>79</v>
      </c>
    </row>
    <row r="2" spans="1:6" x14ac:dyDescent="0.25">
      <c r="A2">
        <f t="shared" ref="A2:A7" si="0">ROW(A1)</f>
        <v>1</v>
      </c>
      <c r="B2">
        <f t="shared" ref="B2:B7" si="1">A2</f>
        <v>1</v>
      </c>
      <c r="C2" t="s">
        <v>20</v>
      </c>
      <c r="D2">
        <f>A2</f>
        <v>1</v>
      </c>
      <c r="E2">
        <v>10</v>
      </c>
      <c r="F2">
        <v>0.01</v>
      </c>
    </row>
    <row r="3" spans="1:6" x14ac:dyDescent="0.25">
      <c r="A3">
        <f t="shared" si="0"/>
        <v>2</v>
      </c>
      <c r="B3">
        <f t="shared" si="1"/>
        <v>2</v>
      </c>
      <c r="C3" t="s">
        <v>20</v>
      </c>
      <c r="D3">
        <v>1</v>
      </c>
      <c r="E3">
        <v>10</v>
      </c>
      <c r="F3">
        <v>0</v>
      </c>
    </row>
    <row r="4" spans="1:6" x14ac:dyDescent="0.25">
      <c r="A4">
        <f t="shared" si="0"/>
        <v>3</v>
      </c>
      <c r="B4">
        <f t="shared" si="1"/>
        <v>3</v>
      </c>
      <c r="C4" t="s">
        <v>20</v>
      </c>
      <c r="D4">
        <v>3</v>
      </c>
      <c r="E4">
        <v>10</v>
      </c>
      <c r="F4">
        <v>0</v>
      </c>
    </row>
    <row r="5" spans="1:6" x14ac:dyDescent="0.25">
      <c r="A5">
        <f t="shared" si="0"/>
        <v>4</v>
      </c>
      <c r="B5">
        <f t="shared" si="1"/>
        <v>4</v>
      </c>
      <c r="C5" t="s">
        <v>20</v>
      </c>
      <c r="D5">
        <v>3</v>
      </c>
      <c r="E5">
        <v>10</v>
      </c>
      <c r="F5">
        <v>0</v>
      </c>
    </row>
    <row r="6" spans="1:6" x14ac:dyDescent="0.25">
      <c r="A6">
        <f t="shared" si="0"/>
        <v>5</v>
      </c>
      <c r="B6">
        <f t="shared" si="1"/>
        <v>5</v>
      </c>
      <c r="C6" t="s">
        <v>20</v>
      </c>
      <c r="D6">
        <v>5</v>
      </c>
      <c r="E6">
        <v>10</v>
      </c>
      <c r="F6">
        <v>0</v>
      </c>
    </row>
    <row r="7" spans="1:6" x14ac:dyDescent="0.25">
      <c r="A7">
        <f t="shared" si="0"/>
        <v>6</v>
      </c>
      <c r="B7">
        <f t="shared" si="1"/>
        <v>6</v>
      </c>
      <c r="C7" t="s">
        <v>20</v>
      </c>
      <c r="D7">
        <v>5</v>
      </c>
      <c r="E7">
        <v>10</v>
      </c>
      <c r="F7">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76ED3-34A8-4A0B-810A-15EF8E4962A3}">
  <dimension ref="B3:J242"/>
  <sheetViews>
    <sheetView topLeftCell="A187" workbookViewId="0">
      <selection activeCell="B195" sqref="B195"/>
    </sheetView>
  </sheetViews>
  <sheetFormatPr defaultRowHeight="15" x14ac:dyDescent="0.25"/>
  <sheetData>
    <row r="3" spans="2:5" x14ac:dyDescent="0.25">
      <c r="D3" t="s">
        <v>99</v>
      </c>
    </row>
    <row r="4" spans="2:5" x14ac:dyDescent="0.25">
      <c r="D4" t="s">
        <v>100</v>
      </c>
    </row>
    <row r="5" spans="2:5" x14ac:dyDescent="0.25">
      <c r="D5" t="s">
        <v>101</v>
      </c>
      <c r="E5">
        <v>1</v>
      </c>
    </row>
    <row r="6" spans="2:5" x14ac:dyDescent="0.25">
      <c r="D6" t="s">
        <v>102</v>
      </c>
      <c r="E6">
        <v>30</v>
      </c>
    </row>
    <row r="11" spans="2:5" x14ac:dyDescent="0.25">
      <c r="B11" t="s">
        <v>103</v>
      </c>
    </row>
    <row r="12" spans="2:5" x14ac:dyDescent="0.25">
      <c r="B12" t="s">
        <v>227</v>
      </c>
    </row>
    <row r="13" spans="2:5" x14ac:dyDescent="0.25">
      <c r="B13" t="s">
        <v>104</v>
      </c>
    </row>
    <row r="14" spans="2:5" x14ac:dyDescent="0.25">
      <c r="B14" t="s">
        <v>105</v>
      </c>
    </row>
    <row r="16" spans="2:5" x14ac:dyDescent="0.25">
      <c r="C16" t="s">
        <v>106</v>
      </c>
    </row>
    <row r="21" spans="2:2" x14ac:dyDescent="0.25">
      <c r="B21" t="s">
        <v>107</v>
      </c>
    </row>
    <row r="22" spans="2:2" x14ac:dyDescent="0.25">
      <c r="B22" t="s">
        <v>228</v>
      </c>
    </row>
    <row r="23" spans="2:2" x14ac:dyDescent="0.25">
      <c r="B23" t="s">
        <v>108</v>
      </c>
    </row>
    <row r="24" spans="2:2" x14ac:dyDescent="0.25">
      <c r="B24" t="s">
        <v>109</v>
      </c>
    </row>
    <row r="25" spans="2:2" x14ac:dyDescent="0.25">
      <c r="B25" t="s">
        <v>110</v>
      </c>
    </row>
    <row r="30" spans="2:2" x14ac:dyDescent="0.25">
      <c r="B30" t="s">
        <v>111</v>
      </c>
    </row>
    <row r="31" spans="2:2" x14ac:dyDescent="0.25">
      <c r="B31" t="s">
        <v>229</v>
      </c>
    </row>
    <row r="32" spans="2:2" x14ac:dyDescent="0.25">
      <c r="B32" t="s">
        <v>112</v>
      </c>
    </row>
    <row r="33" spans="2:3" x14ac:dyDescent="0.25">
      <c r="B33" t="s">
        <v>113</v>
      </c>
    </row>
    <row r="34" spans="2:3" x14ac:dyDescent="0.25">
      <c r="B34" t="s">
        <v>114</v>
      </c>
    </row>
    <row r="35" spans="2:3" x14ac:dyDescent="0.25">
      <c r="B35" t="s">
        <v>115</v>
      </c>
    </row>
    <row r="36" spans="2:3" x14ac:dyDescent="0.25">
      <c r="B36" t="s">
        <v>116</v>
      </c>
    </row>
    <row r="38" spans="2:3" x14ac:dyDescent="0.25">
      <c r="C38" t="s">
        <v>117</v>
      </c>
    </row>
    <row r="44" spans="2:3" x14ac:dyDescent="0.25">
      <c r="B44" t="s">
        <v>118</v>
      </c>
    </row>
    <row r="45" spans="2:3" x14ac:dyDescent="0.25">
      <c r="B45" t="s">
        <v>230</v>
      </c>
    </row>
    <row r="46" spans="2:3" x14ac:dyDescent="0.25">
      <c r="B46" t="s">
        <v>108</v>
      </c>
    </row>
    <row r="47" spans="2:3" x14ac:dyDescent="0.25">
      <c r="B47" t="s">
        <v>119</v>
      </c>
    </row>
    <row r="48" spans="2:3" x14ac:dyDescent="0.25">
      <c r="B48" t="s">
        <v>120</v>
      </c>
    </row>
    <row r="49" spans="2:10" x14ac:dyDescent="0.25">
      <c r="B49" t="s">
        <v>121</v>
      </c>
    </row>
    <row r="50" spans="2:10" x14ac:dyDescent="0.25">
      <c r="B50" t="s">
        <v>122</v>
      </c>
    </row>
    <row r="52" spans="2:10" x14ac:dyDescent="0.25">
      <c r="C52" t="s">
        <v>106</v>
      </c>
    </row>
    <row r="54" spans="2:10" x14ac:dyDescent="0.25">
      <c r="C54" t="s">
        <v>106</v>
      </c>
    </row>
    <row r="56" spans="2:10" x14ac:dyDescent="0.25">
      <c r="D56" t="s">
        <v>123</v>
      </c>
    </row>
    <row r="57" spans="2:10" x14ac:dyDescent="0.25">
      <c r="D57" t="s">
        <v>124</v>
      </c>
      <c r="E57" t="s">
        <v>254</v>
      </c>
      <c r="F57" t="s">
        <v>254</v>
      </c>
      <c r="G57" t="s">
        <v>254</v>
      </c>
      <c r="H57" t="s">
        <v>254</v>
      </c>
      <c r="I57" t="s">
        <v>254</v>
      </c>
      <c r="J57" t="s">
        <v>254</v>
      </c>
    </row>
    <row r="58" spans="2:10" x14ac:dyDescent="0.25">
      <c r="D58" t="s">
        <v>125</v>
      </c>
      <c r="E58">
        <v>1</v>
      </c>
      <c r="F58">
        <v>2</v>
      </c>
      <c r="G58">
        <v>3</v>
      </c>
      <c r="H58">
        <v>4</v>
      </c>
      <c r="I58">
        <v>5</v>
      </c>
      <c r="J58">
        <v>6</v>
      </c>
    </row>
    <row r="59" spans="2:10" x14ac:dyDescent="0.25">
      <c r="D59" t="s">
        <v>126</v>
      </c>
      <c r="E59" t="s">
        <v>255</v>
      </c>
      <c r="F59" t="s">
        <v>255</v>
      </c>
      <c r="G59" t="s">
        <v>255</v>
      </c>
      <c r="H59" t="s">
        <v>255</v>
      </c>
      <c r="I59" t="s">
        <v>255</v>
      </c>
      <c r="J59" t="s">
        <v>255</v>
      </c>
    </row>
    <row r="60" spans="2:10" x14ac:dyDescent="0.25">
      <c r="D60" t="s">
        <v>127</v>
      </c>
      <c r="E60">
        <v>1</v>
      </c>
      <c r="F60">
        <v>2</v>
      </c>
      <c r="G60">
        <v>3</v>
      </c>
      <c r="H60">
        <v>4</v>
      </c>
      <c r="I60">
        <v>5</v>
      </c>
      <c r="J60">
        <v>6</v>
      </c>
    </row>
    <row r="61" spans="2:10" x14ac:dyDescent="0.25">
      <c r="D61" t="s">
        <v>128</v>
      </c>
      <c r="E61">
        <v>90</v>
      </c>
      <c r="F61">
        <v>90</v>
      </c>
      <c r="G61">
        <v>90</v>
      </c>
      <c r="H61">
        <v>90</v>
      </c>
      <c r="I61">
        <v>90</v>
      </c>
      <c r="J61">
        <v>90</v>
      </c>
    </row>
    <row r="62" spans="2:10" x14ac:dyDescent="0.25">
      <c r="D62" t="s">
        <v>129</v>
      </c>
      <c r="E62">
        <v>0.01</v>
      </c>
      <c r="F62">
        <v>0.01</v>
      </c>
      <c r="G62">
        <v>0.01</v>
      </c>
      <c r="H62">
        <v>0.01</v>
      </c>
      <c r="I62">
        <v>0.01</v>
      </c>
      <c r="J62">
        <v>0.01</v>
      </c>
    </row>
    <row r="63" spans="2:10" x14ac:dyDescent="0.25">
      <c r="D63" t="s">
        <v>130</v>
      </c>
      <c r="E63">
        <v>0</v>
      </c>
      <c r="F63">
        <v>0</v>
      </c>
      <c r="G63">
        <v>0</v>
      </c>
      <c r="H63">
        <v>0</v>
      </c>
      <c r="I63">
        <v>0</v>
      </c>
      <c r="J63">
        <v>0</v>
      </c>
    </row>
    <row r="64" spans="2:10" x14ac:dyDescent="0.25">
      <c r="D64" t="s">
        <v>131</v>
      </c>
      <c r="E64" t="s">
        <v>44</v>
      </c>
      <c r="F64" t="s">
        <v>44</v>
      </c>
      <c r="G64" t="s">
        <v>44</v>
      </c>
      <c r="H64" t="s">
        <v>44</v>
      </c>
      <c r="I64" t="s">
        <v>44</v>
      </c>
      <c r="J64" t="s">
        <v>44</v>
      </c>
    </row>
    <row r="65" spans="3:10" x14ac:dyDescent="0.25">
      <c r="D65" t="s">
        <v>132</v>
      </c>
    </row>
    <row r="67" spans="3:10" x14ac:dyDescent="0.25">
      <c r="C67" t="s">
        <v>106</v>
      </c>
    </row>
    <row r="69" spans="3:10" x14ac:dyDescent="0.25">
      <c r="D69" t="s">
        <v>123</v>
      </c>
    </row>
    <row r="70" spans="3:10" x14ac:dyDescent="0.25">
      <c r="D70" t="s">
        <v>124</v>
      </c>
      <c r="E70" t="s">
        <v>254</v>
      </c>
      <c r="F70" t="s">
        <v>254</v>
      </c>
      <c r="G70" t="s">
        <v>254</v>
      </c>
      <c r="H70" t="s">
        <v>254</v>
      </c>
      <c r="I70" t="s">
        <v>254</v>
      </c>
      <c r="J70" t="s">
        <v>254</v>
      </c>
    </row>
    <row r="71" spans="3:10" x14ac:dyDescent="0.25">
      <c r="D71" t="s">
        <v>125</v>
      </c>
      <c r="E71">
        <v>1</v>
      </c>
      <c r="F71">
        <v>2</v>
      </c>
      <c r="G71">
        <v>3</v>
      </c>
      <c r="H71">
        <v>4</v>
      </c>
      <c r="I71">
        <v>5</v>
      </c>
      <c r="J71">
        <v>6</v>
      </c>
    </row>
    <row r="72" spans="3:10" x14ac:dyDescent="0.25">
      <c r="D72" t="s">
        <v>126</v>
      </c>
      <c r="E72" t="s">
        <v>256</v>
      </c>
      <c r="F72" t="s">
        <v>256</v>
      </c>
      <c r="G72" t="s">
        <v>256</v>
      </c>
      <c r="H72" t="s">
        <v>256</v>
      </c>
      <c r="I72" t="s">
        <v>256</v>
      </c>
      <c r="J72" t="s">
        <v>256</v>
      </c>
    </row>
    <row r="73" spans="3:10" x14ac:dyDescent="0.25">
      <c r="D73" t="s">
        <v>127</v>
      </c>
      <c r="E73">
        <v>1</v>
      </c>
      <c r="F73">
        <v>1</v>
      </c>
      <c r="G73">
        <v>3</v>
      </c>
      <c r="H73">
        <v>3</v>
      </c>
      <c r="I73">
        <v>5</v>
      </c>
      <c r="J73">
        <v>5</v>
      </c>
    </row>
    <row r="74" spans="3:10" x14ac:dyDescent="0.25">
      <c r="D74" t="s">
        <v>128</v>
      </c>
      <c r="E74">
        <v>10</v>
      </c>
      <c r="F74">
        <v>10</v>
      </c>
      <c r="G74">
        <v>10</v>
      </c>
      <c r="H74">
        <v>10</v>
      </c>
      <c r="I74">
        <v>10</v>
      </c>
      <c r="J74">
        <v>10</v>
      </c>
    </row>
    <row r="75" spans="3:10" x14ac:dyDescent="0.25">
      <c r="D75" t="s">
        <v>129</v>
      </c>
      <c r="E75">
        <v>5.46</v>
      </c>
      <c r="F75">
        <v>5.46</v>
      </c>
      <c r="G75">
        <v>5.46</v>
      </c>
      <c r="H75">
        <v>5.46</v>
      </c>
      <c r="I75">
        <v>5.46</v>
      </c>
      <c r="J75">
        <v>5.46</v>
      </c>
    </row>
    <row r="76" spans="3:10" x14ac:dyDescent="0.25">
      <c r="D76" t="s">
        <v>130</v>
      </c>
      <c r="E76">
        <v>90</v>
      </c>
      <c r="F76">
        <v>90</v>
      </c>
      <c r="G76">
        <v>90</v>
      </c>
      <c r="H76">
        <v>90</v>
      </c>
      <c r="I76">
        <v>90</v>
      </c>
      <c r="J76">
        <v>90</v>
      </c>
    </row>
    <row r="77" spans="3:10" x14ac:dyDescent="0.25">
      <c r="D77" t="s">
        <v>131</v>
      </c>
      <c r="E77" t="s">
        <v>43</v>
      </c>
      <c r="F77" t="s">
        <v>43</v>
      </c>
      <c r="G77" t="s">
        <v>43</v>
      </c>
      <c r="H77" t="s">
        <v>43</v>
      </c>
      <c r="I77" t="s">
        <v>43</v>
      </c>
      <c r="J77" t="s">
        <v>43</v>
      </c>
    </row>
    <row r="78" spans="3:10" x14ac:dyDescent="0.25">
      <c r="D78" t="s">
        <v>133</v>
      </c>
    </row>
    <row r="83" spans="2:10" x14ac:dyDescent="0.25">
      <c r="B83" t="s">
        <v>111</v>
      </c>
    </row>
    <row r="84" spans="2:10" x14ac:dyDescent="0.25">
      <c r="B84" t="s">
        <v>231</v>
      </c>
    </row>
    <row r="85" spans="2:10" x14ac:dyDescent="0.25">
      <c r="B85" t="s">
        <v>134</v>
      </c>
    </row>
    <row r="86" spans="2:10" x14ac:dyDescent="0.25">
      <c r="B86" t="s">
        <v>135</v>
      </c>
    </row>
    <row r="87" spans="2:10" x14ac:dyDescent="0.25">
      <c r="B87" t="s">
        <v>114</v>
      </c>
    </row>
    <row r="88" spans="2:10" x14ac:dyDescent="0.25">
      <c r="B88" t="s">
        <v>136</v>
      </c>
    </row>
    <row r="89" spans="2:10" x14ac:dyDescent="0.25">
      <c r="B89" t="s">
        <v>116</v>
      </c>
    </row>
    <row r="91" spans="2:10" x14ac:dyDescent="0.25">
      <c r="C91" t="s">
        <v>106</v>
      </c>
    </row>
    <row r="93" spans="2:10" x14ac:dyDescent="0.25">
      <c r="D93" t="s">
        <v>123</v>
      </c>
    </row>
    <row r="94" spans="2:10" x14ac:dyDescent="0.25">
      <c r="D94" t="s">
        <v>124</v>
      </c>
      <c r="E94" t="s">
        <v>254</v>
      </c>
      <c r="F94" t="s">
        <v>254</v>
      </c>
      <c r="G94" t="s">
        <v>254</v>
      </c>
      <c r="H94" t="s">
        <v>254</v>
      </c>
      <c r="I94" t="s">
        <v>254</v>
      </c>
      <c r="J94" t="s">
        <v>254</v>
      </c>
    </row>
    <row r="95" spans="2:10" x14ac:dyDescent="0.25">
      <c r="D95" t="s">
        <v>125</v>
      </c>
      <c r="E95">
        <v>1</v>
      </c>
      <c r="F95">
        <v>2</v>
      </c>
      <c r="G95">
        <v>3</v>
      </c>
      <c r="H95">
        <v>4</v>
      </c>
      <c r="I95">
        <v>5</v>
      </c>
      <c r="J95">
        <v>6</v>
      </c>
    </row>
    <row r="96" spans="2:10" x14ac:dyDescent="0.25">
      <c r="D96" t="s">
        <v>126</v>
      </c>
      <c r="E96" t="s">
        <v>257</v>
      </c>
      <c r="F96" t="s">
        <v>257</v>
      </c>
      <c r="G96" t="s">
        <v>257</v>
      </c>
      <c r="H96" t="s">
        <v>257</v>
      </c>
      <c r="I96" t="s">
        <v>257</v>
      </c>
      <c r="J96" t="s">
        <v>257</v>
      </c>
    </row>
    <row r="97" spans="2:10" x14ac:dyDescent="0.25">
      <c r="D97" t="s">
        <v>127</v>
      </c>
      <c r="E97">
        <v>1</v>
      </c>
      <c r="F97">
        <v>2</v>
      </c>
      <c r="G97">
        <v>3</v>
      </c>
      <c r="H97">
        <v>4</v>
      </c>
      <c r="I97">
        <v>5</v>
      </c>
      <c r="J97">
        <v>6</v>
      </c>
    </row>
    <row r="98" spans="2:10" x14ac:dyDescent="0.25">
      <c r="D98" t="s">
        <v>128</v>
      </c>
      <c r="E98">
        <v>2</v>
      </c>
      <c r="F98">
        <v>2</v>
      </c>
      <c r="G98">
        <v>2</v>
      </c>
      <c r="H98">
        <v>2</v>
      </c>
      <c r="I98">
        <v>2</v>
      </c>
      <c r="J98">
        <v>2</v>
      </c>
    </row>
    <row r="99" spans="2:10" x14ac:dyDescent="0.25">
      <c r="D99" t="s">
        <v>129</v>
      </c>
      <c r="E99">
        <v>6.07</v>
      </c>
      <c r="F99">
        <v>6.07</v>
      </c>
      <c r="G99">
        <v>6.07</v>
      </c>
      <c r="H99">
        <v>6.07</v>
      </c>
      <c r="I99">
        <v>6.07</v>
      </c>
      <c r="J99">
        <v>6.07</v>
      </c>
    </row>
    <row r="100" spans="2:10" x14ac:dyDescent="0.25">
      <c r="D100" t="s">
        <v>130</v>
      </c>
      <c r="E100">
        <v>100</v>
      </c>
      <c r="F100">
        <v>100</v>
      </c>
      <c r="G100">
        <v>100</v>
      </c>
      <c r="H100">
        <v>100</v>
      </c>
      <c r="I100">
        <v>100</v>
      </c>
      <c r="J100">
        <v>100</v>
      </c>
    </row>
    <row r="101" spans="2:10" x14ac:dyDescent="0.25">
      <c r="D101" t="s">
        <v>131</v>
      </c>
      <c r="E101" t="s">
        <v>43</v>
      </c>
      <c r="F101" t="s">
        <v>43</v>
      </c>
      <c r="G101" t="s">
        <v>43</v>
      </c>
      <c r="H101" t="s">
        <v>43</v>
      </c>
      <c r="I101" t="s">
        <v>43</v>
      </c>
      <c r="J101" t="s">
        <v>43</v>
      </c>
    </row>
    <row r="102" spans="2:10" x14ac:dyDescent="0.25">
      <c r="D102" t="s">
        <v>137</v>
      </c>
    </row>
    <row r="107" spans="2:10" x14ac:dyDescent="0.25">
      <c r="B107" t="s">
        <v>138</v>
      </c>
    </row>
    <row r="108" spans="2:10" x14ac:dyDescent="0.25">
      <c r="B108" t="s">
        <v>232</v>
      </c>
    </row>
    <row r="109" spans="2:10" x14ac:dyDescent="0.25">
      <c r="B109" t="s">
        <v>139</v>
      </c>
    </row>
    <row r="110" spans="2:10" x14ac:dyDescent="0.25">
      <c r="B110" t="s">
        <v>140</v>
      </c>
    </row>
    <row r="111" spans="2:10" x14ac:dyDescent="0.25">
      <c r="B111" t="s">
        <v>141</v>
      </c>
    </row>
    <row r="113" spans="3:5" x14ac:dyDescent="0.25">
      <c r="C113" t="s">
        <v>106</v>
      </c>
    </row>
    <row r="115" spans="3:5" x14ac:dyDescent="0.25">
      <c r="D115" t="s">
        <v>258</v>
      </c>
    </row>
    <row r="116" spans="3:5" x14ac:dyDescent="0.25">
      <c r="D116" t="s">
        <v>259</v>
      </c>
    </row>
    <row r="117" spans="3:5" x14ac:dyDescent="0.25">
      <c r="D117" t="s">
        <v>126</v>
      </c>
      <c r="E117" t="s">
        <v>254</v>
      </c>
    </row>
    <row r="118" spans="3:5" x14ac:dyDescent="0.25">
      <c r="D118" t="s">
        <v>124</v>
      </c>
      <c r="E118" t="s">
        <v>260</v>
      </c>
    </row>
    <row r="119" spans="3:5" x14ac:dyDescent="0.25">
      <c r="D119" t="s">
        <v>261</v>
      </c>
      <c r="E119">
        <v>85</v>
      </c>
    </row>
    <row r="120" spans="3:5" x14ac:dyDescent="0.25">
      <c r="D120" t="s">
        <v>262</v>
      </c>
      <c r="E120">
        <v>75</v>
      </c>
    </row>
    <row r="121" spans="3:5" x14ac:dyDescent="0.25">
      <c r="D121" t="s">
        <v>263</v>
      </c>
      <c r="E121">
        <v>0</v>
      </c>
    </row>
    <row r="122" spans="3:5" x14ac:dyDescent="0.25">
      <c r="D122" t="s">
        <v>145</v>
      </c>
    </row>
    <row r="124" spans="3:5" x14ac:dyDescent="0.25">
      <c r="D124" t="s">
        <v>258</v>
      </c>
    </row>
    <row r="125" spans="3:5" x14ac:dyDescent="0.25">
      <c r="D125" t="s">
        <v>259</v>
      </c>
    </row>
    <row r="126" spans="3:5" x14ac:dyDescent="0.25">
      <c r="D126" t="s">
        <v>126</v>
      </c>
      <c r="E126" t="s">
        <v>264</v>
      </c>
    </row>
    <row r="127" spans="3:5" x14ac:dyDescent="0.25">
      <c r="D127" t="s">
        <v>124</v>
      </c>
      <c r="E127" t="s">
        <v>265</v>
      </c>
    </row>
    <row r="128" spans="3:5" x14ac:dyDescent="0.25">
      <c r="D128" t="s">
        <v>261</v>
      </c>
      <c r="E128">
        <v>88</v>
      </c>
    </row>
    <row r="129" spans="4:5" x14ac:dyDescent="0.25">
      <c r="D129" t="s">
        <v>262</v>
      </c>
      <c r="E129">
        <v>81</v>
      </c>
    </row>
    <row r="130" spans="4:5" x14ac:dyDescent="0.25">
      <c r="D130" t="s">
        <v>263</v>
      </c>
      <c r="E130">
        <v>1</v>
      </c>
    </row>
    <row r="131" spans="4:5" x14ac:dyDescent="0.25">
      <c r="D131" t="s">
        <v>147</v>
      </c>
    </row>
    <row r="133" spans="4:5" x14ac:dyDescent="0.25">
      <c r="D133" t="s">
        <v>142</v>
      </c>
    </row>
    <row r="134" spans="4:5" x14ac:dyDescent="0.25">
      <c r="D134" t="s">
        <v>143</v>
      </c>
    </row>
    <row r="135" spans="4:5" x14ac:dyDescent="0.25">
      <c r="D135" t="s">
        <v>144</v>
      </c>
      <c r="E135">
        <v>1800</v>
      </c>
    </row>
    <row r="136" spans="4:5" x14ac:dyDescent="0.25">
      <c r="D136" t="s">
        <v>266</v>
      </c>
    </row>
    <row r="138" spans="4:5" x14ac:dyDescent="0.25">
      <c r="D138" t="s">
        <v>142</v>
      </c>
    </row>
    <row r="139" spans="4:5" x14ac:dyDescent="0.25">
      <c r="D139" t="s">
        <v>146</v>
      </c>
    </row>
    <row r="140" spans="4:5" x14ac:dyDescent="0.25">
      <c r="D140" t="s">
        <v>267</v>
      </c>
    </row>
    <row r="142" spans="4:5" x14ac:dyDescent="0.25">
      <c r="D142" t="s">
        <v>99</v>
      </c>
    </row>
    <row r="143" spans="4:5" x14ac:dyDescent="0.25">
      <c r="D143" t="s">
        <v>148</v>
      </c>
    </row>
    <row r="144" spans="4:5" x14ac:dyDescent="0.25">
      <c r="D144" t="s">
        <v>101</v>
      </c>
      <c r="E144">
        <v>1</v>
      </c>
    </row>
    <row r="146" spans="4:5" x14ac:dyDescent="0.25">
      <c r="D146" t="s">
        <v>258</v>
      </c>
    </row>
    <row r="147" spans="4:5" x14ac:dyDescent="0.25">
      <c r="D147" t="s">
        <v>259</v>
      </c>
    </row>
    <row r="148" spans="4:5" x14ac:dyDescent="0.25">
      <c r="D148" t="s">
        <v>126</v>
      </c>
      <c r="E148" t="s">
        <v>265</v>
      </c>
    </row>
    <row r="149" spans="4:5" x14ac:dyDescent="0.25">
      <c r="D149" t="s">
        <v>124</v>
      </c>
      <c r="E149" t="s">
        <v>264</v>
      </c>
    </row>
    <row r="150" spans="4:5" x14ac:dyDescent="0.25">
      <c r="D150" t="s">
        <v>261</v>
      </c>
      <c r="E150">
        <v>88</v>
      </c>
    </row>
    <row r="151" spans="4:5" x14ac:dyDescent="0.25">
      <c r="D151" t="s">
        <v>262</v>
      </c>
      <c r="E151">
        <v>81</v>
      </c>
    </row>
    <row r="152" spans="4:5" x14ac:dyDescent="0.25">
      <c r="D152" t="s">
        <v>263</v>
      </c>
      <c r="E152">
        <v>0</v>
      </c>
    </row>
    <row r="153" spans="4:5" x14ac:dyDescent="0.25">
      <c r="D153" t="s">
        <v>268</v>
      </c>
    </row>
    <row r="155" spans="4:5" x14ac:dyDescent="0.25">
      <c r="D155" t="s">
        <v>258</v>
      </c>
    </row>
    <row r="156" spans="4:5" x14ac:dyDescent="0.25">
      <c r="D156" t="s">
        <v>259</v>
      </c>
    </row>
    <row r="157" spans="4:5" x14ac:dyDescent="0.25">
      <c r="D157" t="s">
        <v>126</v>
      </c>
      <c r="E157" t="s">
        <v>260</v>
      </c>
    </row>
    <row r="158" spans="4:5" x14ac:dyDescent="0.25">
      <c r="D158" t="s">
        <v>124</v>
      </c>
      <c r="E158" t="s">
        <v>254</v>
      </c>
    </row>
    <row r="159" spans="4:5" x14ac:dyDescent="0.25">
      <c r="D159" t="s">
        <v>261</v>
      </c>
      <c r="E159">
        <v>85</v>
      </c>
    </row>
    <row r="160" spans="4:5" x14ac:dyDescent="0.25">
      <c r="D160" t="s">
        <v>262</v>
      </c>
      <c r="E160">
        <v>75</v>
      </c>
    </row>
    <row r="161" spans="2:5" x14ac:dyDescent="0.25">
      <c r="D161" t="s">
        <v>263</v>
      </c>
      <c r="E161">
        <v>1</v>
      </c>
    </row>
    <row r="162" spans="2:5" x14ac:dyDescent="0.25">
      <c r="D162" t="s">
        <v>269</v>
      </c>
    </row>
    <row r="164" spans="2:5" x14ac:dyDescent="0.25">
      <c r="D164" t="s">
        <v>99</v>
      </c>
    </row>
    <row r="165" spans="2:5" x14ac:dyDescent="0.25">
      <c r="D165" t="s">
        <v>100</v>
      </c>
    </row>
    <row r="166" spans="2:5" x14ac:dyDescent="0.25">
      <c r="D166" t="s">
        <v>101</v>
      </c>
      <c r="E166">
        <v>2</v>
      </c>
    </row>
    <row r="167" spans="2:5" x14ac:dyDescent="0.25">
      <c r="D167" t="s">
        <v>102</v>
      </c>
      <c r="E167">
        <v>25</v>
      </c>
    </row>
    <row r="172" spans="2:5" x14ac:dyDescent="0.25">
      <c r="B172" t="s">
        <v>171</v>
      </c>
    </row>
    <row r="173" spans="2:5" x14ac:dyDescent="0.25">
      <c r="B173" t="s">
        <v>233</v>
      </c>
    </row>
    <row r="174" spans="2:5" x14ac:dyDescent="0.25">
      <c r="B174" t="s">
        <v>172</v>
      </c>
    </row>
    <row r="175" spans="2:5" x14ac:dyDescent="0.25">
      <c r="B175" t="s">
        <v>173</v>
      </c>
    </row>
    <row r="176" spans="2:5" x14ac:dyDescent="0.25">
      <c r="B176" t="s">
        <v>174</v>
      </c>
    </row>
    <row r="178" spans="2:5" x14ac:dyDescent="0.25">
      <c r="C178" t="s">
        <v>106</v>
      </c>
    </row>
    <row r="180" spans="2:5" x14ac:dyDescent="0.25">
      <c r="D180" t="s">
        <v>175</v>
      </c>
    </row>
    <row r="181" spans="2:5" x14ac:dyDescent="0.25">
      <c r="D181" t="s">
        <v>176</v>
      </c>
    </row>
    <row r="182" spans="2:5" x14ac:dyDescent="0.25">
      <c r="D182" t="s">
        <v>146</v>
      </c>
      <c r="E182" t="s">
        <v>43</v>
      </c>
    </row>
    <row r="183" spans="2:5" x14ac:dyDescent="0.25">
      <c r="D183" t="s">
        <v>177</v>
      </c>
      <c r="E183" t="s">
        <v>95</v>
      </c>
    </row>
    <row r="184" spans="2:5" x14ac:dyDescent="0.25">
      <c r="D184" t="s">
        <v>178</v>
      </c>
      <c r="E184" t="s">
        <v>96</v>
      </c>
    </row>
    <row r="185" spans="2:5" x14ac:dyDescent="0.25">
      <c r="D185" t="s">
        <v>152</v>
      </c>
    </row>
    <row r="190" spans="2:5" x14ac:dyDescent="0.25">
      <c r="B190" t="s">
        <v>111</v>
      </c>
    </row>
    <row r="191" spans="2:5" x14ac:dyDescent="0.25">
      <c r="B191" t="s">
        <v>234</v>
      </c>
    </row>
    <row r="192" spans="2:5" x14ac:dyDescent="0.25">
      <c r="B192" t="s">
        <v>149</v>
      </c>
    </row>
    <row r="193" spans="2:10" x14ac:dyDescent="0.25">
      <c r="B193" t="s">
        <v>150</v>
      </c>
    </row>
    <row r="194" spans="2:10" x14ac:dyDescent="0.25">
      <c r="B194" t="s">
        <v>114</v>
      </c>
    </row>
    <row r="195" spans="2:10" x14ac:dyDescent="0.25">
      <c r="B195" t="s">
        <v>151</v>
      </c>
    </row>
    <row r="196" spans="2:10" x14ac:dyDescent="0.25">
      <c r="B196" t="s">
        <v>116</v>
      </c>
    </row>
    <row r="198" spans="2:10" x14ac:dyDescent="0.25">
      <c r="C198" t="s">
        <v>106</v>
      </c>
    </row>
    <row r="200" spans="2:10" x14ac:dyDescent="0.25">
      <c r="D200" t="s">
        <v>123</v>
      </c>
    </row>
    <row r="201" spans="2:10" x14ac:dyDescent="0.25">
      <c r="D201" t="s">
        <v>124</v>
      </c>
      <c r="E201" t="s">
        <v>254</v>
      </c>
      <c r="F201" t="s">
        <v>254</v>
      </c>
      <c r="G201" t="s">
        <v>254</v>
      </c>
      <c r="H201" t="s">
        <v>254</v>
      </c>
      <c r="I201" t="s">
        <v>254</v>
      </c>
      <c r="J201" t="s">
        <v>254</v>
      </c>
    </row>
    <row r="202" spans="2:10" x14ac:dyDescent="0.25">
      <c r="D202" t="s">
        <v>125</v>
      </c>
      <c r="E202">
        <v>1</v>
      </c>
      <c r="F202">
        <v>2</v>
      </c>
      <c r="G202">
        <v>3</v>
      </c>
      <c r="H202">
        <v>4</v>
      </c>
      <c r="I202">
        <v>5</v>
      </c>
      <c r="J202">
        <v>6</v>
      </c>
    </row>
    <row r="203" spans="2:10" x14ac:dyDescent="0.25">
      <c r="D203" t="s">
        <v>126</v>
      </c>
      <c r="E203" t="s">
        <v>270</v>
      </c>
      <c r="F203" t="s">
        <v>270</v>
      </c>
      <c r="G203" t="s">
        <v>270</v>
      </c>
      <c r="H203" t="s">
        <v>270</v>
      </c>
      <c r="I203" t="s">
        <v>270</v>
      </c>
      <c r="J203" t="s">
        <v>270</v>
      </c>
    </row>
    <row r="204" spans="2:10" x14ac:dyDescent="0.25">
      <c r="D204" t="s">
        <v>127</v>
      </c>
      <c r="E204">
        <v>1</v>
      </c>
      <c r="F204">
        <v>2</v>
      </c>
      <c r="G204">
        <v>3</v>
      </c>
      <c r="H204">
        <v>4</v>
      </c>
      <c r="I204">
        <v>5</v>
      </c>
      <c r="J204">
        <v>6</v>
      </c>
    </row>
    <row r="205" spans="2:10" x14ac:dyDescent="0.25">
      <c r="D205" t="s">
        <v>128</v>
      </c>
      <c r="E205">
        <v>25</v>
      </c>
      <c r="F205">
        <v>25</v>
      </c>
      <c r="G205">
        <v>25</v>
      </c>
      <c r="H205">
        <v>25</v>
      </c>
      <c r="I205">
        <v>25</v>
      </c>
      <c r="J205">
        <v>25</v>
      </c>
    </row>
    <row r="206" spans="2:10" x14ac:dyDescent="0.25">
      <c r="D206" t="s">
        <v>129</v>
      </c>
      <c r="E206">
        <v>6.19</v>
      </c>
      <c r="F206">
        <v>6.19</v>
      </c>
      <c r="G206">
        <v>6.19</v>
      </c>
      <c r="H206">
        <v>6.19</v>
      </c>
      <c r="I206">
        <v>6.19</v>
      </c>
      <c r="J206">
        <v>6.19</v>
      </c>
    </row>
    <row r="207" spans="2:10" x14ac:dyDescent="0.25">
      <c r="D207" t="s">
        <v>130</v>
      </c>
      <c r="E207">
        <v>102</v>
      </c>
      <c r="F207">
        <v>102</v>
      </c>
      <c r="G207">
        <v>102</v>
      </c>
      <c r="H207">
        <v>102</v>
      </c>
      <c r="I207">
        <v>102</v>
      </c>
      <c r="J207">
        <v>102</v>
      </c>
    </row>
    <row r="208" spans="2:10" x14ac:dyDescent="0.25">
      <c r="D208" t="s">
        <v>131</v>
      </c>
      <c r="E208" t="s">
        <v>43</v>
      </c>
      <c r="F208" t="s">
        <v>43</v>
      </c>
      <c r="G208" t="s">
        <v>43</v>
      </c>
      <c r="H208" t="s">
        <v>43</v>
      </c>
      <c r="I208" t="s">
        <v>43</v>
      </c>
      <c r="J208" t="s">
        <v>43</v>
      </c>
    </row>
    <row r="209" spans="2:5" x14ac:dyDescent="0.25">
      <c r="D209" t="s">
        <v>157</v>
      </c>
    </row>
    <row r="214" spans="2:5" x14ac:dyDescent="0.25">
      <c r="B214" t="s">
        <v>138</v>
      </c>
    </row>
    <row r="215" spans="2:5" x14ac:dyDescent="0.25">
      <c r="B215" t="s">
        <v>239</v>
      </c>
    </row>
    <row r="216" spans="2:5" x14ac:dyDescent="0.25">
      <c r="B216" t="s">
        <v>153</v>
      </c>
    </row>
    <row r="217" spans="2:5" x14ac:dyDescent="0.25">
      <c r="B217" t="s">
        <v>140</v>
      </c>
    </row>
    <row r="218" spans="2:5" x14ac:dyDescent="0.25">
      <c r="B218" t="s">
        <v>141</v>
      </c>
    </row>
    <row r="220" spans="2:5" x14ac:dyDescent="0.25">
      <c r="C220" t="s">
        <v>106</v>
      </c>
    </row>
    <row r="222" spans="2:5" x14ac:dyDescent="0.25">
      <c r="D222" t="s">
        <v>258</v>
      </c>
    </row>
    <row r="223" spans="2:5" x14ac:dyDescent="0.25">
      <c r="D223" t="s">
        <v>259</v>
      </c>
    </row>
    <row r="224" spans="2:5" x14ac:dyDescent="0.25">
      <c r="D224" t="s">
        <v>126</v>
      </c>
      <c r="E224" t="s">
        <v>254</v>
      </c>
    </row>
    <row r="225" spans="3:5" x14ac:dyDescent="0.25">
      <c r="D225" t="s">
        <v>124</v>
      </c>
      <c r="E225" t="s">
        <v>271</v>
      </c>
    </row>
    <row r="226" spans="3:5" x14ac:dyDescent="0.25">
      <c r="D226" t="s">
        <v>261</v>
      </c>
      <c r="E226">
        <v>85</v>
      </c>
    </row>
    <row r="227" spans="3:5" x14ac:dyDescent="0.25">
      <c r="D227" t="s">
        <v>262</v>
      </c>
      <c r="E227">
        <v>75</v>
      </c>
    </row>
    <row r="228" spans="3:5" x14ac:dyDescent="0.25">
      <c r="D228" t="s">
        <v>263</v>
      </c>
      <c r="E228">
        <v>0</v>
      </c>
    </row>
    <row r="229" spans="3:5" x14ac:dyDescent="0.25">
      <c r="D229" t="s">
        <v>162</v>
      </c>
    </row>
    <row r="231" spans="3:5" x14ac:dyDescent="0.25">
      <c r="D231" t="s">
        <v>258</v>
      </c>
    </row>
    <row r="232" spans="3:5" x14ac:dyDescent="0.25">
      <c r="D232" t="s">
        <v>259</v>
      </c>
    </row>
    <row r="233" spans="3:5" x14ac:dyDescent="0.25">
      <c r="D233" t="s">
        <v>126</v>
      </c>
      <c r="E233" t="s">
        <v>264</v>
      </c>
    </row>
    <row r="234" spans="3:5" x14ac:dyDescent="0.25">
      <c r="D234" t="s">
        <v>124</v>
      </c>
      <c r="E234" t="s">
        <v>272</v>
      </c>
    </row>
    <row r="235" spans="3:5" x14ac:dyDescent="0.25">
      <c r="D235" t="s">
        <v>261</v>
      </c>
      <c r="E235">
        <v>88</v>
      </c>
    </row>
    <row r="236" spans="3:5" x14ac:dyDescent="0.25">
      <c r="D236" t="s">
        <v>262</v>
      </c>
      <c r="E236">
        <v>81</v>
      </c>
    </row>
    <row r="237" spans="3:5" x14ac:dyDescent="0.25">
      <c r="D237" t="s">
        <v>263</v>
      </c>
      <c r="E237">
        <v>1</v>
      </c>
    </row>
    <row r="238" spans="3:5" x14ac:dyDescent="0.25">
      <c r="D238" t="s">
        <v>163</v>
      </c>
    </row>
    <row r="239" spans="3:5" x14ac:dyDescent="0.25">
      <c r="C239" t="s">
        <v>154</v>
      </c>
    </row>
    <row r="241" spans="4:4" x14ac:dyDescent="0.25">
      <c r="D241" t="s">
        <v>155</v>
      </c>
    </row>
    <row r="242" spans="4:4" x14ac:dyDescent="0.25">
      <c r="D242" t="s">
        <v>156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8D693-5A69-4E7F-B828-CE63E8182DF4}">
  <dimension ref="B3:J427"/>
  <sheetViews>
    <sheetView workbookViewId="0"/>
  </sheetViews>
  <sheetFormatPr defaultRowHeight="15" x14ac:dyDescent="0.25"/>
  <sheetData>
    <row r="3" spans="2:5" x14ac:dyDescent="0.25">
      <c r="D3" t="s">
        <v>99</v>
      </c>
    </row>
    <row r="4" spans="2:5" x14ac:dyDescent="0.25">
      <c r="D4" t="s">
        <v>100</v>
      </c>
    </row>
    <row r="5" spans="2:5" x14ac:dyDescent="0.25">
      <c r="D5" t="s">
        <v>101</v>
      </c>
      <c r="E5">
        <v>1</v>
      </c>
    </row>
    <row r="6" spans="2:5" x14ac:dyDescent="0.25">
      <c r="D6" t="s">
        <v>102</v>
      </c>
      <c r="E6">
        <v>30</v>
      </c>
    </row>
    <row r="11" spans="2:5" x14ac:dyDescent="0.25">
      <c r="B11" t="s">
        <v>103</v>
      </c>
    </row>
    <row r="12" spans="2:5" x14ac:dyDescent="0.25">
      <c r="B12" t="s">
        <v>227</v>
      </c>
    </row>
    <row r="13" spans="2:5" x14ac:dyDescent="0.25">
      <c r="B13" t="s">
        <v>104</v>
      </c>
    </row>
    <row r="14" spans="2:5" x14ac:dyDescent="0.25">
      <c r="B14" t="s">
        <v>105</v>
      </c>
    </row>
    <row r="16" spans="2:5" x14ac:dyDescent="0.25">
      <c r="C16" t="s">
        <v>106</v>
      </c>
    </row>
    <row r="21" spans="2:2" x14ac:dyDescent="0.25">
      <c r="B21" t="s">
        <v>107</v>
      </c>
    </row>
    <row r="22" spans="2:2" x14ac:dyDescent="0.25">
      <c r="B22" t="s">
        <v>228</v>
      </c>
    </row>
    <row r="23" spans="2:2" x14ac:dyDescent="0.25">
      <c r="B23" t="s">
        <v>108</v>
      </c>
    </row>
    <row r="24" spans="2:2" x14ac:dyDescent="0.25">
      <c r="B24" t="s">
        <v>109</v>
      </c>
    </row>
    <row r="25" spans="2:2" x14ac:dyDescent="0.25">
      <c r="B25" t="s">
        <v>110</v>
      </c>
    </row>
    <row r="30" spans="2:2" x14ac:dyDescent="0.25">
      <c r="B30" t="s">
        <v>111</v>
      </c>
    </row>
    <row r="31" spans="2:2" x14ac:dyDescent="0.25">
      <c r="B31" t="s">
        <v>229</v>
      </c>
    </row>
    <row r="32" spans="2:2" x14ac:dyDescent="0.25">
      <c r="B32" t="s">
        <v>112</v>
      </c>
    </row>
    <row r="33" spans="2:3" x14ac:dyDescent="0.25">
      <c r="B33" t="s">
        <v>113</v>
      </c>
    </row>
    <row r="34" spans="2:3" x14ac:dyDescent="0.25">
      <c r="B34" t="s">
        <v>114</v>
      </c>
    </row>
    <row r="35" spans="2:3" x14ac:dyDescent="0.25">
      <c r="B35" t="s">
        <v>115</v>
      </c>
    </row>
    <row r="36" spans="2:3" x14ac:dyDescent="0.25">
      <c r="B36" t="s">
        <v>116</v>
      </c>
    </row>
    <row r="38" spans="2:3" x14ac:dyDescent="0.25">
      <c r="C38" t="s">
        <v>117</v>
      </c>
    </row>
    <row r="44" spans="2:3" x14ac:dyDescent="0.25">
      <c r="B44" t="s">
        <v>118</v>
      </c>
    </row>
    <row r="45" spans="2:3" x14ac:dyDescent="0.25">
      <c r="B45" t="s">
        <v>230</v>
      </c>
    </row>
    <row r="46" spans="2:3" x14ac:dyDescent="0.25">
      <c r="B46" t="s">
        <v>108</v>
      </c>
    </row>
    <row r="47" spans="2:3" x14ac:dyDescent="0.25">
      <c r="B47" t="s">
        <v>119</v>
      </c>
    </row>
    <row r="48" spans="2:3" x14ac:dyDescent="0.25">
      <c r="B48" t="s">
        <v>120</v>
      </c>
    </row>
    <row r="49" spans="2:10" x14ac:dyDescent="0.25">
      <c r="B49" t="s">
        <v>121</v>
      </c>
    </row>
    <row r="50" spans="2:10" x14ac:dyDescent="0.25">
      <c r="B50" t="s">
        <v>122</v>
      </c>
    </row>
    <row r="52" spans="2:10" x14ac:dyDescent="0.25">
      <c r="C52" t="s">
        <v>106</v>
      </c>
    </row>
    <row r="54" spans="2:10" x14ac:dyDescent="0.25">
      <c r="C54" t="s">
        <v>106</v>
      </c>
    </row>
    <row r="56" spans="2:10" x14ac:dyDescent="0.25">
      <c r="D56" t="s">
        <v>123</v>
      </c>
    </row>
    <row r="57" spans="2:10" x14ac:dyDescent="0.25">
      <c r="D57" t="s">
        <v>124</v>
      </c>
      <c r="E57" t="s">
        <v>46</v>
      </c>
      <c r="F57" t="s">
        <v>46</v>
      </c>
      <c r="G57" t="s">
        <v>46</v>
      </c>
      <c r="H57" t="s">
        <v>46</v>
      </c>
      <c r="I57" t="s">
        <v>46</v>
      </c>
      <c r="J57" t="s">
        <v>46</v>
      </c>
    </row>
    <row r="58" spans="2:10" x14ac:dyDescent="0.25">
      <c r="D58" t="s">
        <v>125</v>
      </c>
      <c r="E58">
        <v>1</v>
      </c>
      <c r="F58">
        <v>2</v>
      </c>
      <c r="G58">
        <v>3</v>
      </c>
      <c r="H58">
        <v>4</v>
      </c>
      <c r="I58">
        <v>5</v>
      </c>
      <c r="J58">
        <v>6</v>
      </c>
    </row>
    <row r="59" spans="2:10" x14ac:dyDescent="0.25">
      <c r="D59" t="s">
        <v>126</v>
      </c>
      <c r="E59" t="s">
        <v>75</v>
      </c>
      <c r="F59" t="s">
        <v>75</v>
      </c>
      <c r="G59" t="s">
        <v>75</v>
      </c>
      <c r="H59" t="s">
        <v>75</v>
      </c>
      <c r="I59" t="s">
        <v>75</v>
      </c>
      <c r="J59" t="s">
        <v>75</v>
      </c>
    </row>
    <row r="60" spans="2:10" x14ac:dyDescent="0.25">
      <c r="D60" t="s">
        <v>127</v>
      </c>
      <c r="E60">
        <v>1</v>
      </c>
      <c r="F60">
        <v>2</v>
      </c>
      <c r="G60">
        <v>3</v>
      </c>
      <c r="H60">
        <v>4</v>
      </c>
      <c r="I60">
        <v>5</v>
      </c>
      <c r="J60">
        <v>6</v>
      </c>
    </row>
    <row r="61" spans="2:10" x14ac:dyDescent="0.25">
      <c r="D61" t="s">
        <v>128</v>
      </c>
      <c r="E61">
        <v>90</v>
      </c>
      <c r="F61">
        <v>90</v>
      </c>
      <c r="G61">
        <v>90</v>
      </c>
      <c r="H61">
        <v>90</v>
      </c>
      <c r="I61">
        <v>90</v>
      </c>
      <c r="J61">
        <v>90</v>
      </c>
    </row>
    <row r="62" spans="2:10" x14ac:dyDescent="0.25">
      <c r="D62" t="s">
        <v>129</v>
      </c>
      <c r="E62">
        <v>0</v>
      </c>
      <c r="F62">
        <v>0</v>
      </c>
      <c r="G62">
        <v>0</v>
      </c>
      <c r="H62">
        <v>0</v>
      </c>
      <c r="I62">
        <v>0</v>
      </c>
      <c r="J62">
        <v>0</v>
      </c>
    </row>
    <row r="63" spans="2:10" x14ac:dyDescent="0.25">
      <c r="D63" t="s">
        <v>130</v>
      </c>
      <c r="E63">
        <v>0</v>
      </c>
      <c r="F63">
        <v>0</v>
      </c>
      <c r="G63">
        <v>0</v>
      </c>
      <c r="H63">
        <v>0</v>
      </c>
      <c r="I63">
        <v>0</v>
      </c>
      <c r="J63">
        <v>0</v>
      </c>
    </row>
    <row r="64" spans="2:10" x14ac:dyDescent="0.25">
      <c r="D64" t="s">
        <v>131</v>
      </c>
      <c r="E64" t="s">
        <v>44</v>
      </c>
      <c r="F64" t="s">
        <v>44</v>
      </c>
      <c r="G64" t="s">
        <v>44</v>
      </c>
      <c r="H64" t="s">
        <v>44</v>
      </c>
      <c r="I64" t="s">
        <v>44</v>
      </c>
      <c r="J64" t="s">
        <v>44</v>
      </c>
    </row>
    <row r="65" spans="3:10" x14ac:dyDescent="0.25">
      <c r="D65" t="s">
        <v>132</v>
      </c>
    </row>
    <row r="67" spans="3:10" x14ac:dyDescent="0.25">
      <c r="C67" t="s">
        <v>106</v>
      </c>
    </row>
    <row r="69" spans="3:10" x14ac:dyDescent="0.25">
      <c r="D69" t="s">
        <v>123</v>
      </c>
    </row>
    <row r="70" spans="3:10" x14ac:dyDescent="0.25">
      <c r="D70" t="s">
        <v>124</v>
      </c>
      <c r="E70" t="s">
        <v>46</v>
      </c>
      <c r="F70" t="s">
        <v>46</v>
      </c>
      <c r="G70" t="s">
        <v>46</v>
      </c>
      <c r="H70" t="s">
        <v>46</v>
      </c>
      <c r="I70" t="s">
        <v>46</v>
      </c>
      <c r="J70" t="s">
        <v>46</v>
      </c>
    </row>
    <row r="71" spans="3:10" x14ac:dyDescent="0.25">
      <c r="D71" t="s">
        <v>125</v>
      </c>
      <c r="E71">
        <v>1</v>
      </c>
      <c r="F71">
        <v>2</v>
      </c>
      <c r="G71">
        <v>3</v>
      </c>
      <c r="H71">
        <v>4</v>
      </c>
      <c r="I71">
        <v>5</v>
      </c>
      <c r="J71">
        <v>6</v>
      </c>
    </row>
    <row r="72" spans="3:10" x14ac:dyDescent="0.25">
      <c r="D72" t="s">
        <v>126</v>
      </c>
      <c r="E72" t="s">
        <v>14</v>
      </c>
      <c r="F72" t="s">
        <v>14</v>
      </c>
      <c r="G72" t="s">
        <v>14</v>
      </c>
      <c r="H72" t="s">
        <v>14</v>
      </c>
      <c r="I72" t="s">
        <v>14</v>
      </c>
      <c r="J72" t="s">
        <v>14</v>
      </c>
    </row>
    <row r="73" spans="3:10" x14ac:dyDescent="0.25">
      <c r="D73" t="s">
        <v>127</v>
      </c>
      <c r="E73">
        <v>1</v>
      </c>
      <c r="F73">
        <v>1</v>
      </c>
      <c r="G73">
        <v>3</v>
      </c>
      <c r="H73">
        <v>3</v>
      </c>
      <c r="I73">
        <v>5</v>
      </c>
      <c r="J73">
        <v>5</v>
      </c>
    </row>
    <row r="74" spans="3:10" x14ac:dyDescent="0.25">
      <c r="D74" t="s">
        <v>128</v>
      </c>
      <c r="E74">
        <v>10</v>
      </c>
      <c r="F74">
        <v>10</v>
      </c>
      <c r="G74">
        <v>10</v>
      </c>
      <c r="H74">
        <v>10</v>
      </c>
      <c r="I74">
        <v>10</v>
      </c>
      <c r="J74">
        <v>10</v>
      </c>
    </row>
    <row r="75" spans="3:10" x14ac:dyDescent="0.25">
      <c r="D75" t="s">
        <v>129</v>
      </c>
      <c r="E75">
        <v>0</v>
      </c>
      <c r="F75">
        <v>0</v>
      </c>
      <c r="G75">
        <v>0</v>
      </c>
      <c r="H75">
        <v>0</v>
      </c>
      <c r="I75">
        <v>0</v>
      </c>
      <c r="J75">
        <v>0</v>
      </c>
    </row>
    <row r="76" spans="3:10" x14ac:dyDescent="0.25">
      <c r="D76" t="s">
        <v>130</v>
      </c>
      <c r="E76">
        <v>90</v>
      </c>
      <c r="F76">
        <v>90</v>
      </c>
      <c r="G76">
        <v>90</v>
      </c>
      <c r="H76">
        <v>90</v>
      </c>
      <c r="I76">
        <v>90</v>
      </c>
      <c r="J76">
        <v>90</v>
      </c>
    </row>
    <row r="77" spans="3:10" x14ac:dyDescent="0.25">
      <c r="D77" t="s">
        <v>131</v>
      </c>
      <c r="E77" t="s">
        <v>43</v>
      </c>
      <c r="F77" t="s">
        <v>43</v>
      </c>
      <c r="G77" t="s">
        <v>43</v>
      </c>
      <c r="H77" t="s">
        <v>43</v>
      </c>
      <c r="I77" t="s">
        <v>43</v>
      </c>
      <c r="J77" t="s">
        <v>43</v>
      </c>
    </row>
    <row r="78" spans="3:10" x14ac:dyDescent="0.25">
      <c r="D78" t="s">
        <v>133</v>
      </c>
    </row>
    <row r="83" spans="2:10" x14ac:dyDescent="0.25">
      <c r="B83" t="s">
        <v>111</v>
      </c>
    </row>
    <row r="84" spans="2:10" x14ac:dyDescent="0.25">
      <c r="B84" t="s">
        <v>231</v>
      </c>
    </row>
    <row r="85" spans="2:10" x14ac:dyDescent="0.25">
      <c r="B85" t="s">
        <v>134</v>
      </c>
    </row>
    <row r="86" spans="2:10" x14ac:dyDescent="0.25">
      <c r="B86" t="s">
        <v>135</v>
      </c>
    </row>
    <row r="87" spans="2:10" x14ac:dyDescent="0.25">
      <c r="B87" t="s">
        <v>114</v>
      </c>
    </row>
    <row r="88" spans="2:10" x14ac:dyDescent="0.25">
      <c r="B88" t="s">
        <v>136</v>
      </c>
    </row>
    <row r="89" spans="2:10" x14ac:dyDescent="0.25">
      <c r="B89" t="s">
        <v>116</v>
      </c>
    </row>
    <row r="91" spans="2:10" x14ac:dyDescent="0.25">
      <c r="C91" t="s">
        <v>106</v>
      </c>
    </row>
    <row r="93" spans="2:10" x14ac:dyDescent="0.25">
      <c r="D93" t="s">
        <v>123</v>
      </c>
    </row>
    <row r="94" spans="2:10" x14ac:dyDescent="0.25">
      <c r="D94" t="s">
        <v>124</v>
      </c>
      <c r="E94" t="s">
        <v>46</v>
      </c>
      <c r="F94" t="s">
        <v>46</v>
      </c>
      <c r="G94" t="s">
        <v>46</v>
      </c>
      <c r="H94" t="s">
        <v>46</v>
      </c>
      <c r="I94" t="s">
        <v>46</v>
      </c>
      <c r="J94" t="s">
        <v>46</v>
      </c>
    </row>
    <row r="95" spans="2:10" x14ac:dyDescent="0.25">
      <c r="D95" t="s">
        <v>125</v>
      </c>
      <c r="E95">
        <v>1</v>
      </c>
      <c r="F95">
        <v>2</v>
      </c>
      <c r="G95">
        <v>3</v>
      </c>
      <c r="H95">
        <v>4</v>
      </c>
      <c r="I95">
        <v>5</v>
      </c>
      <c r="J95">
        <v>6</v>
      </c>
    </row>
    <row r="96" spans="2:10" x14ac:dyDescent="0.25">
      <c r="D96" t="s">
        <v>126</v>
      </c>
      <c r="E96" t="s">
        <v>76</v>
      </c>
      <c r="F96" t="s">
        <v>76</v>
      </c>
      <c r="G96" t="s">
        <v>76</v>
      </c>
      <c r="H96" t="s">
        <v>76</v>
      </c>
      <c r="I96" t="s">
        <v>76</v>
      </c>
      <c r="J96" t="s">
        <v>76</v>
      </c>
    </row>
    <row r="97" spans="2:10" x14ac:dyDescent="0.25">
      <c r="D97" t="s">
        <v>127</v>
      </c>
      <c r="E97">
        <v>1</v>
      </c>
      <c r="F97">
        <v>2</v>
      </c>
      <c r="G97">
        <v>3</v>
      </c>
      <c r="H97">
        <v>4</v>
      </c>
      <c r="I97">
        <v>5</v>
      </c>
      <c r="J97">
        <v>6</v>
      </c>
    </row>
    <row r="98" spans="2:10" x14ac:dyDescent="0.25">
      <c r="D98" t="s">
        <v>128</v>
      </c>
      <c r="E98">
        <v>2</v>
      </c>
      <c r="F98">
        <v>2</v>
      </c>
      <c r="G98">
        <v>2</v>
      </c>
      <c r="H98">
        <v>2</v>
      </c>
      <c r="I98">
        <v>2</v>
      </c>
      <c r="J98">
        <v>2</v>
      </c>
    </row>
    <row r="99" spans="2:10" x14ac:dyDescent="0.25">
      <c r="D99" t="s">
        <v>129</v>
      </c>
      <c r="E99">
        <v>0</v>
      </c>
      <c r="F99">
        <v>0</v>
      </c>
      <c r="G99">
        <v>0</v>
      </c>
      <c r="H99">
        <v>0</v>
      </c>
      <c r="I99">
        <v>0</v>
      </c>
      <c r="J99">
        <v>0</v>
      </c>
    </row>
    <row r="100" spans="2:10" x14ac:dyDescent="0.25">
      <c r="D100" t="s">
        <v>130</v>
      </c>
      <c r="E100">
        <v>100</v>
      </c>
      <c r="F100">
        <v>100</v>
      </c>
      <c r="G100">
        <v>100</v>
      </c>
      <c r="H100">
        <v>100</v>
      </c>
      <c r="I100">
        <v>100</v>
      </c>
      <c r="J100">
        <v>100</v>
      </c>
    </row>
    <row r="101" spans="2:10" x14ac:dyDescent="0.25">
      <c r="D101" t="s">
        <v>131</v>
      </c>
      <c r="E101" t="s">
        <v>43</v>
      </c>
      <c r="F101" t="s">
        <v>43</v>
      </c>
      <c r="G101" t="s">
        <v>43</v>
      </c>
      <c r="H101" t="s">
        <v>43</v>
      </c>
      <c r="I101" t="s">
        <v>43</v>
      </c>
      <c r="J101" t="s">
        <v>43</v>
      </c>
    </row>
    <row r="102" spans="2:10" x14ac:dyDescent="0.25">
      <c r="D102" t="s">
        <v>137</v>
      </c>
    </row>
    <row r="107" spans="2:10" x14ac:dyDescent="0.25">
      <c r="B107" t="s">
        <v>138</v>
      </c>
    </row>
    <row r="108" spans="2:10" x14ac:dyDescent="0.25">
      <c r="B108" t="s">
        <v>232</v>
      </c>
    </row>
    <row r="109" spans="2:10" x14ac:dyDescent="0.25">
      <c r="B109" t="s">
        <v>139</v>
      </c>
    </row>
    <row r="110" spans="2:10" x14ac:dyDescent="0.25">
      <c r="B110" t="s">
        <v>140</v>
      </c>
    </row>
    <row r="111" spans="2:10" x14ac:dyDescent="0.25">
      <c r="B111" t="s">
        <v>141</v>
      </c>
    </row>
    <row r="113" spans="3:5" x14ac:dyDescent="0.25">
      <c r="C113" t="s">
        <v>106</v>
      </c>
    </row>
    <row r="115" spans="3:5" x14ac:dyDescent="0.25">
      <c r="D115" t="s">
        <v>142</v>
      </c>
    </row>
    <row r="116" spans="3:5" x14ac:dyDescent="0.25">
      <c r="D116" t="s">
        <v>143</v>
      </c>
    </row>
    <row r="117" spans="3:5" x14ac:dyDescent="0.25">
      <c r="D117" t="s">
        <v>144</v>
      </c>
      <c r="E117">
        <v>1800</v>
      </c>
    </row>
    <row r="118" spans="3:5" x14ac:dyDescent="0.25">
      <c r="D118" t="s">
        <v>145</v>
      </c>
    </row>
    <row r="120" spans="3:5" x14ac:dyDescent="0.25">
      <c r="D120" t="s">
        <v>142</v>
      </c>
    </row>
    <row r="121" spans="3:5" x14ac:dyDescent="0.25">
      <c r="D121" t="s">
        <v>146</v>
      </c>
    </row>
    <row r="122" spans="3:5" x14ac:dyDescent="0.25">
      <c r="D122" t="s">
        <v>147</v>
      </c>
    </row>
    <row r="124" spans="3:5" x14ac:dyDescent="0.25">
      <c r="D124" t="s">
        <v>99</v>
      </c>
    </row>
    <row r="125" spans="3:5" x14ac:dyDescent="0.25">
      <c r="D125" t="s">
        <v>148</v>
      </c>
    </row>
    <row r="126" spans="3:5" x14ac:dyDescent="0.25">
      <c r="D126" t="s">
        <v>101</v>
      </c>
      <c r="E126">
        <v>1</v>
      </c>
    </row>
    <row r="128" spans="3:5" x14ac:dyDescent="0.25">
      <c r="D128" t="s">
        <v>99</v>
      </c>
    </row>
    <row r="129" spans="2:5" x14ac:dyDescent="0.25">
      <c r="D129" t="s">
        <v>100</v>
      </c>
    </row>
    <row r="130" spans="2:5" x14ac:dyDescent="0.25">
      <c r="D130" t="s">
        <v>101</v>
      </c>
      <c r="E130">
        <v>2</v>
      </c>
    </row>
    <row r="131" spans="2:5" x14ac:dyDescent="0.25">
      <c r="D131" t="s">
        <v>102</v>
      </c>
      <c r="E131">
        <v>25</v>
      </c>
    </row>
    <row r="136" spans="2:5" x14ac:dyDescent="0.25">
      <c r="B136" t="s">
        <v>171</v>
      </c>
    </row>
    <row r="137" spans="2:5" x14ac:dyDescent="0.25">
      <c r="B137" t="s">
        <v>233</v>
      </c>
    </row>
    <row r="138" spans="2:5" x14ac:dyDescent="0.25">
      <c r="B138" t="s">
        <v>172</v>
      </c>
    </row>
    <row r="139" spans="2:5" x14ac:dyDescent="0.25">
      <c r="B139" t="s">
        <v>173</v>
      </c>
    </row>
    <row r="140" spans="2:5" x14ac:dyDescent="0.25">
      <c r="B140" t="s">
        <v>174</v>
      </c>
    </row>
    <row r="142" spans="2:5" x14ac:dyDescent="0.25">
      <c r="C142" t="s">
        <v>106</v>
      </c>
    </row>
    <row r="144" spans="2:5" x14ac:dyDescent="0.25">
      <c r="D144" t="s">
        <v>175</v>
      </c>
    </row>
    <row r="145" spans="2:5" x14ac:dyDescent="0.25">
      <c r="D145" t="s">
        <v>176</v>
      </c>
    </row>
    <row r="146" spans="2:5" x14ac:dyDescent="0.25">
      <c r="D146" t="s">
        <v>146</v>
      </c>
      <c r="E146" t="s">
        <v>43</v>
      </c>
    </row>
    <row r="147" spans="2:5" x14ac:dyDescent="0.25">
      <c r="D147" t="s">
        <v>177</v>
      </c>
      <c r="E147" t="s">
        <v>95</v>
      </c>
    </row>
    <row r="148" spans="2:5" x14ac:dyDescent="0.25">
      <c r="D148" t="s">
        <v>178</v>
      </c>
      <c r="E148" t="s">
        <v>96</v>
      </c>
    </row>
    <row r="149" spans="2:5" x14ac:dyDescent="0.25">
      <c r="D149" t="s">
        <v>152</v>
      </c>
    </row>
    <row r="154" spans="2:5" x14ac:dyDescent="0.25">
      <c r="B154" t="s">
        <v>111</v>
      </c>
    </row>
    <row r="155" spans="2:5" x14ac:dyDescent="0.25">
      <c r="B155" t="s">
        <v>234</v>
      </c>
    </row>
    <row r="156" spans="2:5" x14ac:dyDescent="0.25">
      <c r="B156" t="s">
        <v>149</v>
      </c>
    </row>
    <row r="157" spans="2:5" x14ac:dyDescent="0.25">
      <c r="B157" t="s">
        <v>150</v>
      </c>
    </row>
    <row r="158" spans="2:5" x14ac:dyDescent="0.25">
      <c r="B158" t="s">
        <v>114</v>
      </c>
    </row>
    <row r="159" spans="2:5" x14ac:dyDescent="0.25">
      <c r="B159" t="s">
        <v>151</v>
      </c>
    </row>
    <row r="160" spans="2:5" x14ac:dyDescent="0.25">
      <c r="B160" t="s">
        <v>116</v>
      </c>
    </row>
    <row r="162" spans="3:10" x14ac:dyDescent="0.25">
      <c r="C162" t="s">
        <v>106</v>
      </c>
    </row>
    <row r="164" spans="3:10" x14ac:dyDescent="0.25">
      <c r="D164" t="s">
        <v>123</v>
      </c>
    </row>
    <row r="165" spans="3:10" x14ac:dyDescent="0.25">
      <c r="D165" t="s">
        <v>124</v>
      </c>
      <c r="E165" t="s">
        <v>46</v>
      </c>
      <c r="F165" t="s">
        <v>46</v>
      </c>
      <c r="G165" t="s">
        <v>46</v>
      </c>
      <c r="H165" t="s">
        <v>46</v>
      </c>
      <c r="I165" t="s">
        <v>46</v>
      </c>
      <c r="J165" t="s">
        <v>46</v>
      </c>
    </row>
    <row r="166" spans="3:10" x14ac:dyDescent="0.25">
      <c r="D166" t="s">
        <v>125</v>
      </c>
      <c r="E166">
        <v>1</v>
      </c>
      <c r="F166">
        <v>2</v>
      </c>
      <c r="G166">
        <v>3</v>
      </c>
      <c r="H166">
        <v>4</v>
      </c>
      <c r="I166">
        <v>5</v>
      </c>
      <c r="J166">
        <v>6</v>
      </c>
    </row>
    <row r="167" spans="3:10" x14ac:dyDescent="0.25">
      <c r="D167" t="s">
        <v>126</v>
      </c>
      <c r="E167" t="s">
        <v>77</v>
      </c>
      <c r="F167" t="s">
        <v>77</v>
      </c>
      <c r="G167" t="s">
        <v>77</v>
      </c>
      <c r="H167" t="s">
        <v>77</v>
      </c>
      <c r="I167" t="s">
        <v>77</v>
      </c>
      <c r="J167" t="s">
        <v>77</v>
      </c>
    </row>
    <row r="168" spans="3:10" x14ac:dyDescent="0.25">
      <c r="D168" t="s">
        <v>127</v>
      </c>
      <c r="E168">
        <v>1</v>
      </c>
      <c r="F168">
        <v>2</v>
      </c>
      <c r="G168">
        <v>3</v>
      </c>
      <c r="H168">
        <v>4</v>
      </c>
      <c r="I168">
        <v>5</v>
      </c>
      <c r="J168">
        <v>6</v>
      </c>
    </row>
    <row r="169" spans="3:10" x14ac:dyDescent="0.25">
      <c r="D169" t="s">
        <v>128</v>
      </c>
      <c r="E169">
        <v>5</v>
      </c>
      <c r="F169">
        <v>5</v>
      </c>
      <c r="G169">
        <v>5</v>
      </c>
      <c r="H169">
        <v>5</v>
      </c>
      <c r="I169">
        <v>5</v>
      </c>
      <c r="J169">
        <v>5</v>
      </c>
    </row>
    <row r="170" spans="3:10" x14ac:dyDescent="0.25">
      <c r="D170" t="s">
        <v>129</v>
      </c>
      <c r="E170">
        <v>0</v>
      </c>
      <c r="F170">
        <v>0</v>
      </c>
      <c r="G170">
        <v>0</v>
      </c>
      <c r="H170">
        <v>0</v>
      </c>
      <c r="I170">
        <v>0</v>
      </c>
      <c r="J170">
        <v>0</v>
      </c>
    </row>
    <row r="171" spans="3:10" x14ac:dyDescent="0.25">
      <c r="D171" t="s">
        <v>130</v>
      </c>
      <c r="E171">
        <v>102</v>
      </c>
      <c r="F171">
        <v>102</v>
      </c>
      <c r="G171">
        <v>102</v>
      </c>
      <c r="H171">
        <v>102</v>
      </c>
      <c r="I171">
        <v>102</v>
      </c>
      <c r="J171">
        <v>102</v>
      </c>
    </row>
    <row r="172" spans="3:10" x14ac:dyDescent="0.25">
      <c r="D172" t="s">
        <v>131</v>
      </c>
      <c r="E172" t="s">
        <v>43</v>
      </c>
      <c r="F172" t="s">
        <v>43</v>
      </c>
      <c r="G172" t="s">
        <v>43</v>
      </c>
      <c r="H172" t="s">
        <v>43</v>
      </c>
      <c r="I172" t="s">
        <v>43</v>
      </c>
      <c r="J172" t="s">
        <v>43</v>
      </c>
    </row>
    <row r="173" spans="3:10" x14ac:dyDescent="0.25">
      <c r="D173" t="s">
        <v>157</v>
      </c>
    </row>
    <row r="178" spans="2:4" x14ac:dyDescent="0.25">
      <c r="B178" t="s">
        <v>138</v>
      </c>
    </row>
    <row r="179" spans="2:4" x14ac:dyDescent="0.25">
      <c r="B179" t="s">
        <v>239</v>
      </c>
    </row>
    <row r="180" spans="2:4" x14ac:dyDescent="0.25">
      <c r="B180" t="s">
        <v>153</v>
      </c>
    </row>
    <row r="181" spans="2:4" x14ac:dyDescent="0.25">
      <c r="B181" t="s">
        <v>140</v>
      </c>
    </row>
    <row r="182" spans="2:4" x14ac:dyDescent="0.25">
      <c r="B182" t="s">
        <v>141</v>
      </c>
    </row>
    <row r="184" spans="2:4" x14ac:dyDescent="0.25">
      <c r="C184" t="s">
        <v>106</v>
      </c>
    </row>
    <row r="185" spans="2:4" x14ac:dyDescent="0.25">
      <c r="C185" t="s">
        <v>154</v>
      </c>
    </row>
    <row r="187" spans="2:4" x14ac:dyDescent="0.25">
      <c r="D187" t="s">
        <v>155</v>
      </c>
    </row>
    <row r="188" spans="2:4" x14ac:dyDescent="0.25">
      <c r="D188" t="s">
        <v>156</v>
      </c>
    </row>
    <row r="189" spans="2:4" x14ac:dyDescent="0.25">
      <c r="D189" t="s">
        <v>162</v>
      </c>
    </row>
    <row r="191" spans="2:4" x14ac:dyDescent="0.25">
      <c r="D191" t="s">
        <v>142</v>
      </c>
    </row>
    <row r="192" spans="2:4" x14ac:dyDescent="0.25">
      <c r="D192" t="s">
        <v>143</v>
      </c>
    </row>
    <row r="193" spans="4:5" x14ac:dyDescent="0.25">
      <c r="D193" t="s">
        <v>144</v>
      </c>
      <c r="E193">
        <v>1799.84</v>
      </c>
    </row>
    <row r="194" spans="4:5" x14ac:dyDescent="0.25">
      <c r="D194" t="s">
        <v>163</v>
      </c>
    </row>
    <row r="196" spans="4:5" x14ac:dyDescent="0.25">
      <c r="D196" t="s">
        <v>142</v>
      </c>
    </row>
    <row r="197" spans="4:5" x14ac:dyDescent="0.25">
      <c r="D197" t="s">
        <v>146</v>
      </c>
    </row>
    <row r="198" spans="4:5" x14ac:dyDescent="0.25">
      <c r="D198" t="s">
        <v>240</v>
      </c>
    </row>
    <row r="200" spans="4:5" x14ac:dyDescent="0.25">
      <c r="D200" t="s">
        <v>99</v>
      </c>
    </row>
    <row r="201" spans="4:5" x14ac:dyDescent="0.25">
      <c r="D201" t="s">
        <v>148</v>
      </c>
    </row>
    <row r="202" spans="4:5" x14ac:dyDescent="0.25">
      <c r="D202" t="s">
        <v>101</v>
      </c>
      <c r="E202">
        <v>2</v>
      </c>
    </row>
    <row r="204" spans="4:5" x14ac:dyDescent="0.25">
      <c r="D204" t="s">
        <v>99</v>
      </c>
    </row>
    <row r="205" spans="4:5" x14ac:dyDescent="0.25">
      <c r="D205" t="s">
        <v>100</v>
      </c>
    </row>
    <row r="206" spans="4:5" x14ac:dyDescent="0.25">
      <c r="D206" t="s">
        <v>101</v>
      </c>
      <c r="E206">
        <v>1</v>
      </c>
    </row>
    <row r="207" spans="4:5" x14ac:dyDescent="0.25">
      <c r="D207" t="s">
        <v>102</v>
      </c>
      <c r="E207">
        <v>37</v>
      </c>
    </row>
    <row r="212" spans="2:10" x14ac:dyDescent="0.25">
      <c r="B212" t="s">
        <v>118</v>
      </c>
    </row>
    <row r="213" spans="2:10" x14ac:dyDescent="0.25">
      <c r="B213" t="s">
        <v>235</v>
      </c>
    </row>
    <row r="214" spans="2:10" x14ac:dyDescent="0.25">
      <c r="B214" t="s">
        <v>134</v>
      </c>
    </row>
    <row r="215" spans="2:10" x14ac:dyDescent="0.25">
      <c r="B215" t="s">
        <v>158</v>
      </c>
    </row>
    <row r="216" spans="2:10" x14ac:dyDescent="0.25">
      <c r="B216" t="s">
        <v>159</v>
      </c>
    </row>
    <row r="217" spans="2:10" x14ac:dyDescent="0.25">
      <c r="B217" t="s">
        <v>160</v>
      </c>
    </row>
    <row r="218" spans="2:10" x14ac:dyDescent="0.25">
      <c r="B218" t="s">
        <v>161</v>
      </c>
    </row>
    <row r="221" spans="2:10" x14ac:dyDescent="0.25">
      <c r="C221" t="s">
        <v>106</v>
      </c>
    </row>
    <row r="223" spans="2:10" x14ac:dyDescent="0.25">
      <c r="D223" t="s">
        <v>123</v>
      </c>
    </row>
    <row r="224" spans="2:10" x14ac:dyDescent="0.25">
      <c r="D224" t="s">
        <v>124</v>
      </c>
      <c r="E224" t="s">
        <v>46</v>
      </c>
      <c r="F224" t="s">
        <v>46</v>
      </c>
      <c r="G224" t="s">
        <v>46</v>
      </c>
      <c r="H224" t="s">
        <v>46</v>
      </c>
      <c r="I224" t="s">
        <v>46</v>
      </c>
      <c r="J224" t="s">
        <v>46</v>
      </c>
    </row>
    <row r="225" spans="3:10" x14ac:dyDescent="0.25">
      <c r="D225" t="s">
        <v>125</v>
      </c>
      <c r="E225">
        <v>1</v>
      </c>
      <c r="F225">
        <v>2</v>
      </c>
      <c r="G225">
        <v>3</v>
      </c>
      <c r="H225">
        <v>4</v>
      </c>
      <c r="I225">
        <v>5</v>
      </c>
      <c r="J225">
        <v>6</v>
      </c>
    </row>
    <row r="226" spans="3:10" x14ac:dyDescent="0.25">
      <c r="D226" t="s">
        <v>126</v>
      </c>
      <c r="E226" t="s">
        <v>10</v>
      </c>
      <c r="F226" t="s">
        <v>10</v>
      </c>
      <c r="G226" t="s">
        <v>10</v>
      </c>
      <c r="H226" t="s">
        <v>10</v>
      </c>
      <c r="I226" t="s">
        <v>10</v>
      </c>
      <c r="J226" t="s">
        <v>10</v>
      </c>
    </row>
    <row r="227" spans="3:10" x14ac:dyDescent="0.25">
      <c r="D227" t="s">
        <v>127</v>
      </c>
      <c r="E227">
        <v>1</v>
      </c>
      <c r="F227">
        <v>2</v>
      </c>
      <c r="G227">
        <v>3</v>
      </c>
      <c r="H227">
        <v>4</v>
      </c>
      <c r="I227">
        <v>5</v>
      </c>
      <c r="J227">
        <v>6</v>
      </c>
    </row>
    <row r="228" spans="3:10" x14ac:dyDescent="0.25">
      <c r="D228" t="s">
        <v>128</v>
      </c>
      <c r="E228">
        <v>2.4</v>
      </c>
      <c r="F228">
        <v>2.4</v>
      </c>
      <c r="G228">
        <v>2.4</v>
      </c>
      <c r="H228">
        <v>2.4</v>
      </c>
      <c r="I228">
        <v>2.4</v>
      </c>
      <c r="J228">
        <v>2.4</v>
      </c>
    </row>
    <row r="229" spans="3:10" x14ac:dyDescent="0.25">
      <c r="D229" t="s">
        <v>129</v>
      </c>
      <c r="E229">
        <v>0</v>
      </c>
      <c r="F229">
        <v>0</v>
      </c>
      <c r="G229">
        <v>0</v>
      </c>
      <c r="H229">
        <v>0</v>
      </c>
      <c r="I229">
        <v>0</v>
      </c>
      <c r="J229">
        <v>0</v>
      </c>
    </row>
    <row r="230" spans="3:10" x14ac:dyDescent="0.25">
      <c r="D230" t="s">
        <v>130</v>
      </c>
      <c r="E230">
        <v>107</v>
      </c>
      <c r="F230">
        <v>107</v>
      </c>
      <c r="G230">
        <v>107</v>
      </c>
      <c r="H230">
        <v>107</v>
      </c>
      <c r="I230">
        <v>107</v>
      </c>
      <c r="J230">
        <v>107</v>
      </c>
    </row>
    <row r="231" spans="3:10" x14ac:dyDescent="0.25">
      <c r="D231" t="s">
        <v>131</v>
      </c>
      <c r="E231" t="s">
        <v>43</v>
      </c>
      <c r="F231" t="s">
        <v>43</v>
      </c>
      <c r="G231" t="s">
        <v>43</v>
      </c>
      <c r="H231" t="s">
        <v>43</v>
      </c>
      <c r="I231" t="s">
        <v>43</v>
      </c>
      <c r="J231" t="s">
        <v>43</v>
      </c>
    </row>
    <row r="232" spans="3:10" x14ac:dyDescent="0.25">
      <c r="D232" t="s">
        <v>241</v>
      </c>
    </row>
    <row r="234" spans="3:10" x14ac:dyDescent="0.25">
      <c r="C234" t="s">
        <v>106</v>
      </c>
    </row>
    <row r="236" spans="3:10" x14ac:dyDescent="0.25">
      <c r="D236" t="s">
        <v>123</v>
      </c>
    </row>
    <row r="237" spans="3:10" x14ac:dyDescent="0.25">
      <c r="D237" t="s">
        <v>124</v>
      </c>
      <c r="E237" t="s">
        <v>46</v>
      </c>
      <c r="F237" t="s">
        <v>46</v>
      </c>
      <c r="G237" t="s">
        <v>46</v>
      </c>
      <c r="H237" t="s">
        <v>46</v>
      </c>
      <c r="I237" t="s">
        <v>46</v>
      </c>
      <c r="J237" t="s">
        <v>46</v>
      </c>
    </row>
    <row r="238" spans="3:10" x14ac:dyDescent="0.25">
      <c r="D238" t="s">
        <v>125</v>
      </c>
      <c r="E238">
        <v>1</v>
      </c>
      <c r="F238">
        <v>2</v>
      </c>
      <c r="G238">
        <v>3</v>
      </c>
      <c r="H238">
        <v>4</v>
      </c>
      <c r="I238">
        <v>5</v>
      </c>
      <c r="J238">
        <v>6</v>
      </c>
    </row>
    <row r="239" spans="3:10" x14ac:dyDescent="0.25">
      <c r="D239" t="s">
        <v>126</v>
      </c>
      <c r="E239" t="s">
        <v>76</v>
      </c>
      <c r="F239" t="s">
        <v>76</v>
      </c>
      <c r="G239" t="s">
        <v>76</v>
      </c>
      <c r="H239" t="s">
        <v>76</v>
      </c>
      <c r="I239" t="s">
        <v>76</v>
      </c>
      <c r="J239" t="s">
        <v>76</v>
      </c>
    </row>
    <row r="240" spans="3:10" x14ac:dyDescent="0.25">
      <c r="D240" t="s">
        <v>127</v>
      </c>
      <c r="E240">
        <v>1</v>
      </c>
      <c r="F240">
        <v>2</v>
      </c>
      <c r="G240">
        <v>3</v>
      </c>
      <c r="H240">
        <v>4</v>
      </c>
      <c r="I240">
        <v>5</v>
      </c>
      <c r="J240">
        <v>6</v>
      </c>
    </row>
    <row r="241" spans="2:10" x14ac:dyDescent="0.25">
      <c r="D241" t="s">
        <v>128</v>
      </c>
      <c r="E241">
        <v>0.6</v>
      </c>
      <c r="F241">
        <v>0.6</v>
      </c>
      <c r="G241">
        <v>0.6</v>
      </c>
      <c r="H241">
        <v>0.6</v>
      </c>
      <c r="I241">
        <v>0.6</v>
      </c>
      <c r="J241">
        <v>0.6</v>
      </c>
    </row>
    <row r="242" spans="2:10" x14ac:dyDescent="0.25">
      <c r="D242" t="s">
        <v>129</v>
      </c>
      <c r="E242">
        <v>0</v>
      </c>
      <c r="F242">
        <v>0</v>
      </c>
      <c r="G242">
        <v>0</v>
      </c>
      <c r="H242">
        <v>0</v>
      </c>
      <c r="I242">
        <v>0</v>
      </c>
      <c r="J242">
        <v>0</v>
      </c>
    </row>
    <row r="243" spans="2:10" x14ac:dyDescent="0.25">
      <c r="D243" t="s">
        <v>130</v>
      </c>
      <c r="E243">
        <v>109.4</v>
      </c>
      <c r="F243">
        <v>109.4</v>
      </c>
      <c r="G243">
        <v>109.4</v>
      </c>
      <c r="H243">
        <v>109.4</v>
      </c>
      <c r="I243">
        <v>109.4</v>
      </c>
      <c r="J243">
        <v>109.4</v>
      </c>
    </row>
    <row r="244" spans="2:10" x14ac:dyDescent="0.25">
      <c r="D244" t="s">
        <v>131</v>
      </c>
      <c r="E244" t="s">
        <v>43</v>
      </c>
      <c r="F244" t="s">
        <v>43</v>
      </c>
      <c r="G244" t="s">
        <v>43</v>
      </c>
      <c r="H244" t="s">
        <v>43</v>
      </c>
      <c r="I244" t="s">
        <v>43</v>
      </c>
      <c r="J244" t="s">
        <v>43</v>
      </c>
    </row>
    <row r="245" spans="2:10" x14ac:dyDescent="0.25">
      <c r="D245" t="s">
        <v>242</v>
      </c>
    </row>
    <row r="250" spans="2:10" x14ac:dyDescent="0.25">
      <c r="B250" t="s">
        <v>103</v>
      </c>
    </row>
    <row r="251" spans="2:10" x14ac:dyDescent="0.25">
      <c r="B251" t="s">
        <v>243</v>
      </c>
    </row>
    <row r="252" spans="2:10" x14ac:dyDescent="0.25">
      <c r="B252" t="s">
        <v>164</v>
      </c>
    </row>
    <row r="253" spans="2:10" x14ac:dyDescent="0.25">
      <c r="B253" t="s">
        <v>105</v>
      </c>
    </row>
    <row r="255" spans="2:10" x14ac:dyDescent="0.25">
      <c r="C255" t="s">
        <v>106</v>
      </c>
    </row>
    <row r="260" spans="2:4" x14ac:dyDescent="0.25">
      <c r="B260" t="s">
        <v>165</v>
      </c>
    </row>
    <row r="261" spans="2:4" x14ac:dyDescent="0.25">
      <c r="B261" t="s">
        <v>244</v>
      </c>
    </row>
    <row r="262" spans="2:4" x14ac:dyDescent="0.25">
      <c r="B262" t="s">
        <v>166</v>
      </c>
    </row>
    <row r="263" spans="2:4" x14ac:dyDescent="0.25">
      <c r="B263" t="s">
        <v>167</v>
      </c>
    </row>
    <row r="264" spans="2:4" x14ac:dyDescent="0.25">
      <c r="B264" t="s">
        <v>217</v>
      </c>
    </row>
    <row r="266" spans="2:4" x14ac:dyDescent="0.25">
      <c r="C266" t="s">
        <v>168</v>
      </c>
    </row>
    <row r="269" spans="2:4" x14ac:dyDescent="0.25">
      <c r="D269" t="s">
        <v>155</v>
      </c>
    </row>
    <row r="270" spans="2:4" x14ac:dyDescent="0.25">
      <c r="D270" t="s">
        <v>169</v>
      </c>
    </row>
    <row r="271" spans="2:4" x14ac:dyDescent="0.25">
      <c r="D271" t="s">
        <v>245</v>
      </c>
    </row>
    <row r="272" spans="2:4" x14ac:dyDescent="0.25">
      <c r="C272" t="s">
        <v>106</v>
      </c>
    </row>
    <row r="277" spans="2:3" x14ac:dyDescent="0.25">
      <c r="B277" t="s">
        <v>103</v>
      </c>
    </row>
    <row r="278" spans="2:3" x14ac:dyDescent="0.25">
      <c r="B278" t="s">
        <v>246</v>
      </c>
    </row>
    <row r="279" spans="2:3" x14ac:dyDescent="0.25">
      <c r="B279" t="s">
        <v>170</v>
      </c>
    </row>
    <row r="280" spans="2:3" x14ac:dyDescent="0.25">
      <c r="B280" t="s">
        <v>105</v>
      </c>
    </row>
    <row r="282" spans="2:3" x14ac:dyDescent="0.25">
      <c r="C282" t="s">
        <v>106</v>
      </c>
    </row>
    <row r="287" spans="2:3" x14ac:dyDescent="0.25">
      <c r="B287" t="s">
        <v>171</v>
      </c>
    </row>
    <row r="288" spans="2:3" x14ac:dyDescent="0.25">
      <c r="B288" t="s">
        <v>247</v>
      </c>
    </row>
    <row r="289" spans="2:5" x14ac:dyDescent="0.25">
      <c r="B289" t="s">
        <v>172</v>
      </c>
    </row>
    <row r="290" spans="2:5" x14ac:dyDescent="0.25">
      <c r="B290" t="s">
        <v>173</v>
      </c>
    </row>
    <row r="291" spans="2:5" x14ac:dyDescent="0.25">
      <c r="B291" t="s">
        <v>174</v>
      </c>
    </row>
    <row r="293" spans="2:5" x14ac:dyDescent="0.25">
      <c r="C293" t="s">
        <v>106</v>
      </c>
    </row>
    <row r="295" spans="2:5" x14ac:dyDescent="0.25">
      <c r="D295" t="s">
        <v>175</v>
      </c>
    </row>
    <row r="296" spans="2:5" x14ac:dyDescent="0.25">
      <c r="D296" t="s">
        <v>176</v>
      </c>
    </row>
    <row r="297" spans="2:5" x14ac:dyDescent="0.25">
      <c r="D297" t="s">
        <v>146</v>
      </c>
      <c r="E297" t="s">
        <v>43</v>
      </c>
    </row>
    <row r="298" spans="2:5" x14ac:dyDescent="0.25">
      <c r="D298" t="s">
        <v>177</v>
      </c>
      <c r="E298" t="s">
        <v>95</v>
      </c>
    </row>
    <row r="299" spans="2:5" x14ac:dyDescent="0.25">
      <c r="D299" t="s">
        <v>178</v>
      </c>
      <c r="E299" t="s">
        <v>96</v>
      </c>
    </row>
    <row r="300" spans="2:5" x14ac:dyDescent="0.25">
      <c r="D300" t="s">
        <v>183</v>
      </c>
    </row>
    <row r="305" spans="2:10" x14ac:dyDescent="0.25">
      <c r="B305" t="s">
        <v>118</v>
      </c>
    </row>
    <row r="306" spans="2:10" x14ac:dyDescent="0.25">
      <c r="B306" t="s">
        <v>236</v>
      </c>
    </row>
    <row r="307" spans="2:10" x14ac:dyDescent="0.25">
      <c r="B307" t="s">
        <v>179</v>
      </c>
    </row>
    <row r="308" spans="2:10" x14ac:dyDescent="0.25">
      <c r="B308" t="s">
        <v>180</v>
      </c>
    </row>
    <row r="309" spans="2:10" x14ac:dyDescent="0.25">
      <c r="B309" t="s">
        <v>181</v>
      </c>
    </row>
    <row r="310" spans="2:10" x14ac:dyDescent="0.25">
      <c r="B310" t="s">
        <v>182</v>
      </c>
    </row>
    <row r="311" spans="2:10" x14ac:dyDescent="0.25">
      <c r="B311" t="s">
        <v>122</v>
      </c>
    </row>
    <row r="313" spans="2:10" x14ac:dyDescent="0.25">
      <c r="C313" t="s">
        <v>248</v>
      </c>
    </row>
    <row r="315" spans="2:10" x14ac:dyDescent="0.25">
      <c r="C315" t="s">
        <v>106</v>
      </c>
    </row>
    <row r="317" spans="2:10" x14ac:dyDescent="0.25">
      <c r="D317" t="s">
        <v>123</v>
      </c>
    </row>
    <row r="318" spans="2:10" x14ac:dyDescent="0.25">
      <c r="D318" t="s">
        <v>124</v>
      </c>
      <c r="E318" t="s">
        <v>74</v>
      </c>
      <c r="F318" t="s">
        <v>74</v>
      </c>
      <c r="G318" t="s">
        <v>74</v>
      </c>
      <c r="H318" t="s">
        <v>74</v>
      </c>
      <c r="I318" t="s">
        <v>74</v>
      </c>
      <c r="J318" t="s">
        <v>74</v>
      </c>
    </row>
    <row r="319" spans="2:10" x14ac:dyDescent="0.25">
      <c r="D319" t="s">
        <v>125</v>
      </c>
      <c r="E319">
        <v>1</v>
      </c>
      <c r="F319">
        <v>2</v>
      </c>
      <c r="G319">
        <v>3</v>
      </c>
      <c r="H319">
        <v>4</v>
      </c>
      <c r="I319">
        <v>5</v>
      </c>
      <c r="J319">
        <v>6</v>
      </c>
    </row>
    <row r="320" spans="2:10" x14ac:dyDescent="0.25">
      <c r="D320" t="s">
        <v>126</v>
      </c>
      <c r="E320" t="s">
        <v>69</v>
      </c>
      <c r="F320" t="s">
        <v>78</v>
      </c>
      <c r="G320" t="s">
        <v>78</v>
      </c>
      <c r="H320" t="s">
        <v>78</v>
      </c>
      <c r="I320" t="s">
        <v>78</v>
      </c>
      <c r="J320" t="s">
        <v>78</v>
      </c>
    </row>
    <row r="321" spans="2:10" x14ac:dyDescent="0.25">
      <c r="D321" t="s">
        <v>127</v>
      </c>
      <c r="E321">
        <v>1</v>
      </c>
      <c r="F321">
        <v>2</v>
      </c>
      <c r="G321">
        <v>3</v>
      </c>
      <c r="H321">
        <v>4</v>
      </c>
      <c r="I321">
        <v>5</v>
      </c>
      <c r="J321">
        <v>6</v>
      </c>
    </row>
    <row r="322" spans="2:10" x14ac:dyDescent="0.25">
      <c r="D322" t="s">
        <v>128</v>
      </c>
      <c r="E322">
        <v>100</v>
      </c>
      <c r="F322">
        <v>100</v>
      </c>
      <c r="G322">
        <v>100</v>
      </c>
      <c r="H322">
        <v>100</v>
      </c>
      <c r="I322">
        <v>100</v>
      </c>
      <c r="J322">
        <v>100</v>
      </c>
    </row>
    <row r="323" spans="2:10" x14ac:dyDescent="0.25">
      <c r="D323" t="s">
        <v>129</v>
      </c>
      <c r="E323">
        <v>0</v>
      </c>
      <c r="F323">
        <v>0</v>
      </c>
      <c r="G323">
        <v>0</v>
      </c>
      <c r="H323">
        <v>0</v>
      </c>
      <c r="I323">
        <v>0</v>
      </c>
      <c r="J323">
        <v>0</v>
      </c>
    </row>
    <row r="324" spans="2:10" x14ac:dyDescent="0.25">
      <c r="D324" t="s">
        <v>130</v>
      </c>
      <c r="E324">
        <v>0</v>
      </c>
      <c r="F324">
        <v>0</v>
      </c>
      <c r="G324">
        <v>0</v>
      </c>
      <c r="H324">
        <v>0</v>
      </c>
      <c r="I324">
        <v>0</v>
      </c>
      <c r="J324">
        <v>0</v>
      </c>
    </row>
    <row r="325" spans="2:10" x14ac:dyDescent="0.25">
      <c r="D325" t="s">
        <v>131</v>
      </c>
      <c r="E325" t="s">
        <v>44</v>
      </c>
      <c r="F325" t="s">
        <v>44</v>
      </c>
      <c r="G325" t="s">
        <v>44</v>
      </c>
      <c r="H325" t="s">
        <v>44</v>
      </c>
      <c r="I325" t="s">
        <v>44</v>
      </c>
      <c r="J325" t="s">
        <v>44</v>
      </c>
    </row>
    <row r="326" spans="2:10" x14ac:dyDescent="0.25">
      <c r="D326" t="s">
        <v>187</v>
      </c>
    </row>
    <row r="328" spans="2:10" x14ac:dyDescent="0.25">
      <c r="C328" t="s">
        <v>117</v>
      </c>
    </row>
    <row r="334" spans="2:10" x14ac:dyDescent="0.25">
      <c r="B334" t="s">
        <v>111</v>
      </c>
    </row>
    <row r="335" spans="2:10" x14ac:dyDescent="0.25">
      <c r="B335" t="s">
        <v>237</v>
      </c>
    </row>
    <row r="336" spans="2:10" x14ac:dyDescent="0.25">
      <c r="B336" t="s">
        <v>184</v>
      </c>
    </row>
    <row r="337" spans="2:10" x14ac:dyDescent="0.25">
      <c r="B337" t="s">
        <v>185</v>
      </c>
    </row>
    <row r="338" spans="2:10" x14ac:dyDescent="0.25">
      <c r="B338" t="s">
        <v>186</v>
      </c>
    </row>
    <row r="339" spans="2:10" x14ac:dyDescent="0.25">
      <c r="B339" t="s">
        <v>151</v>
      </c>
    </row>
    <row r="340" spans="2:10" x14ac:dyDescent="0.25">
      <c r="B340" t="s">
        <v>116</v>
      </c>
    </row>
    <row r="342" spans="2:10" x14ac:dyDescent="0.25">
      <c r="C342" t="s">
        <v>106</v>
      </c>
    </row>
    <row r="344" spans="2:10" x14ac:dyDescent="0.25">
      <c r="D344" t="s">
        <v>123</v>
      </c>
    </row>
    <row r="345" spans="2:10" x14ac:dyDescent="0.25">
      <c r="D345" t="s">
        <v>124</v>
      </c>
      <c r="E345" t="s">
        <v>74</v>
      </c>
      <c r="F345" t="s">
        <v>74</v>
      </c>
      <c r="G345" t="s">
        <v>74</v>
      </c>
      <c r="H345" t="s">
        <v>74</v>
      </c>
      <c r="I345" t="s">
        <v>74</v>
      </c>
      <c r="J345" t="s">
        <v>74</v>
      </c>
    </row>
    <row r="346" spans="2:10" x14ac:dyDescent="0.25">
      <c r="D346" t="s">
        <v>125</v>
      </c>
      <c r="E346">
        <v>1</v>
      </c>
      <c r="F346">
        <v>2</v>
      </c>
      <c r="G346">
        <v>3</v>
      </c>
      <c r="H346">
        <v>4</v>
      </c>
      <c r="I346">
        <v>5</v>
      </c>
      <c r="J346">
        <v>6</v>
      </c>
    </row>
    <row r="347" spans="2:10" x14ac:dyDescent="0.25">
      <c r="D347" t="s">
        <v>126</v>
      </c>
      <c r="E347" t="s">
        <v>80</v>
      </c>
      <c r="F347" t="s">
        <v>80</v>
      </c>
      <c r="G347" t="s">
        <v>80</v>
      </c>
      <c r="H347" t="s">
        <v>80</v>
      </c>
      <c r="I347" t="s">
        <v>80</v>
      </c>
      <c r="J347" t="s">
        <v>80</v>
      </c>
    </row>
    <row r="348" spans="2:10" x14ac:dyDescent="0.25">
      <c r="D348" t="s">
        <v>127</v>
      </c>
      <c r="E348">
        <v>1</v>
      </c>
      <c r="F348">
        <v>2</v>
      </c>
      <c r="G348">
        <v>3</v>
      </c>
      <c r="H348">
        <v>4</v>
      </c>
      <c r="I348">
        <v>5</v>
      </c>
      <c r="J348">
        <v>6</v>
      </c>
    </row>
    <row r="349" spans="2:10" x14ac:dyDescent="0.25">
      <c r="D349" t="s">
        <v>128</v>
      </c>
      <c r="E349">
        <v>5</v>
      </c>
      <c r="F349">
        <v>5</v>
      </c>
      <c r="G349">
        <v>5</v>
      </c>
      <c r="H349">
        <v>5</v>
      </c>
      <c r="I349">
        <v>5</v>
      </c>
      <c r="J349">
        <v>5</v>
      </c>
    </row>
    <row r="350" spans="2:10" x14ac:dyDescent="0.25">
      <c r="D350" t="s">
        <v>129</v>
      </c>
      <c r="E350">
        <v>0</v>
      </c>
      <c r="F350">
        <v>0</v>
      </c>
      <c r="G350">
        <v>0</v>
      </c>
      <c r="H350">
        <v>0</v>
      </c>
      <c r="I350">
        <v>0</v>
      </c>
      <c r="J350">
        <v>0</v>
      </c>
    </row>
    <row r="351" spans="2:10" x14ac:dyDescent="0.25">
      <c r="D351" t="s">
        <v>130</v>
      </c>
      <c r="E351">
        <v>100</v>
      </c>
      <c r="F351">
        <v>100</v>
      </c>
      <c r="G351">
        <v>100</v>
      </c>
      <c r="H351">
        <v>100</v>
      </c>
      <c r="I351">
        <v>100</v>
      </c>
      <c r="J351">
        <v>100</v>
      </c>
    </row>
    <row r="352" spans="2:10" x14ac:dyDescent="0.25">
      <c r="D352" t="s">
        <v>131</v>
      </c>
      <c r="E352" t="s">
        <v>43</v>
      </c>
      <c r="F352" t="s">
        <v>43</v>
      </c>
      <c r="G352" t="s">
        <v>43</v>
      </c>
      <c r="H352" t="s">
        <v>43</v>
      </c>
      <c r="I352" t="s">
        <v>43</v>
      </c>
      <c r="J352" t="s">
        <v>43</v>
      </c>
    </row>
    <row r="353" spans="2:5" x14ac:dyDescent="0.25">
      <c r="D353" t="s">
        <v>190</v>
      </c>
    </row>
    <row r="358" spans="2:5" x14ac:dyDescent="0.25">
      <c r="B358" t="s">
        <v>138</v>
      </c>
    </row>
    <row r="359" spans="2:5" x14ac:dyDescent="0.25">
      <c r="B359" t="s">
        <v>249</v>
      </c>
    </row>
    <row r="360" spans="2:5" x14ac:dyDescent="0.25">
      <c r="B360" t="s">
        <v>188</v>
      </c>
    </row>
    <row r="361" spans="2:5" x14ac:dyDescent="0.25">
      <c r="B361" t="s">
        <v>189</v>
      </c>
    </row>
    <row r="362" spans="2:5" x14ac:dyDescent="0.25">
      <c r="B362" t="s">
        <v>141</v>
      </c>
    </row>
    <row r="364" spans="2:5" x14ac:dyDescent="0.25">
      <c r="C364" t="s">
        <v>106</v>
      </c>
    </row>
    <row r="366" spans="2:5" x14ac:dyDescent="0.25">
      <c r="D366" t="s">
        <v>142</v>
      </c>
    </row>
    <row r="367" spans="2:5" x14ac:dyDescent="0.25">
      <c r="D367" t="s">
        <v>143</v>
      </c>
    </row>
    <row r="368" spans="2:5" x14ac:dyDescent="0.25">
      <c r="D368" t="s">
        <v>144</v>
      </c>
      <c r="E368">
        <v>3600</v>
      </c>
    </row>
    <row r="369" spans="2:5" x14ac:dyDescent="0.25">
      <c r="D369" t="s">
        <v>193</v>
      </c>
    </row>
    <row r="371" spans="2:5" x14ac:dyDescent="0.25">
      <c r="D371" t="s">
        <v>142</v>
      </c>
    </row>
    <row r="372" spans="2:5" x14ac:dyDescent="0.25">
      <c r="D372" t="s">
        <v>146</v>
      </c>
    </row>
    <row r="373" spans="2:5" x14ac:dyDescent="0.25">
      <c r="D373" t="s">
        <v>250</v>
      </c>
    </row>
    <row r="375" spans="2:5" x14ac:dyDescent="0.25">
      <c r="D375" t="s">
        <v>99</v>
      </c>
    </row>
    <row r="376" spans="2:5" x14ac:dyDescent="0.25">
      <c r="D376" t="s">
        <v>148</v>
      </c>
    </row>
    <row r="377" spans="2:5" x14ac:dyDescent="0.25">
      <c r="D377" t="s">
        <v>101</v>
      </c>
      <c r="E377">
        <v>1</v>
      </c>
    </row>
    <row r="382" spans="2:5" x14ac:dyDescent="0.25">
      <c r="B382" t="s">
        <v>111</v>
      </c>
    </row>
    <row r="383" spans="2:5" x14ac:dyDescent="0.25">
      <c r="B383" t="s">
        <v>238</v>
      </c>
    </row>
    <row r="384" spans="2:5" x14ac:dyDescent="0.25">
      <c r="B384" t="s">
        <v>191</v>
      </c>
    </row>
    <row r="385" spans="2:10" x14ac:dyDescent="0.25">
      <c r="B385" t="s">
        <v>192</v>
      </c>
    </row>
    <row r="386" spans="2:10" x14ac:dyDescent="0.25">
      <c r="B386" t="s">
        <v>114</v>
      </c>
    </row>
    <row r="387" spans="2:10" x14ac:dyDescent="0.25">
      <c r="B387" t="s">
        <v>151</v>
      </c>
    </row>
    <row r="388" spans="2:10" x14ac:dyDescent="0.25">
      <c r="B388" t="s">
        <v>116</v>
      </c>
    </row>
    <row r="390" spans="2:10" x14ac:dyDescent="0.25">
      <c r="C390" t="s">
        <v>106</v>
      </c>
    </row>
    <row r="392" spans="2:10" x14ac:dyDescent="0.25">
      <c r="D392" t="s">
        <v>123</v>
      </c>
    </row>
    <row r="393" spans="2:10" x14ac:dyDescent="0.25">
      <c r="D393" t="s">
        <v>124</v>
      </c>
      <c r="E393" t="s">
        <v>74</v>
      </c>
      <c r="F393" t="s">
        <v>74</v>
      </c>
      <c r="G393" t="s">
        <v>74</v>
      </c>
      <c r="H393" t="s">
        <v>74</v>
      </c>
      <c r="I393" t="s">
        <v>74</v>
      </c>
      <c r="J393" t="s">
        <v>74</v>
      </c>
    </row>
    <row r="394" spans="2:10" x14ac:dyDescent="0.25">
      <c r="D394" t="s">
        <v>125</v>
      </c>
      <c r="E394">
        <v>1</v>
      </c>
      <c r="F394">
        <v>2</v>
      </c>
      <c r="G394">
        <v>3</v>
      </c>
      <c r="H394">
        <v>4</v>
      </c>
      <c r="I394">
        <v>5</v>
      </c>
      <c r="J394">
        <v>6</v>
      </c>
    </row>
    <row r="395" spans="2:10" x14ac:dyDescent="0.25">
      <c r="D395" t="s">
        <v>126</v>
      </c>
      <c r="E395" t="s">
        <v>73</v>
      </c>
      <c r="F395" t="s">
        <v>73</v>
      </c>
      <c r="G395" t="s">
        <v>73</v>
      </c>
      <c r="H395" t="s">
        <v>73</v>
      </c>
      <c r="I395" t="s">
        <v>73</v>
      </c>
      <c r="J395" t="s">
        <v>73</v>
      </c>
    </row>
    <row r="396" spans="2:10" x14ac:dyDescent="0.25">
      <c r="D396" t="s">
        <v>127</v>
      </c>
      <c r="E396">
        <v>1</v>
      </c>
      <c r="F396">
        <v>2</v>
      </c>
      <c r="G396">
        <v>3</v>
      </c>
      <c r="H396">
        <v>4</v>
      </c>
      <c r="I396">
        <v>5</v>
      </c>
      <c r="J396">
        <v>6</v>
      </c>
    </row>
    <row r="397" spans="2:10" x14ac:dyDescent="0.25">
      <c r="D397" t="s">
        <v>128</v>
      </c>
      <c r="E397">
        <v>5</v>
      </c>
      <c r="F397">
        <v>5</v>
      </c>
      <c r="G397">
        <v>5</v>
      </c>
      <c r="H397">
        <v>5</v>
      </c>
      <c r="I397">
        <v>5</v>
      </c>
      <c r="J397">
        <v>5</v>
      </c>
    </row>
    <row r="398" spans="2:10" x14ac:dyDescent="0.25">
      <c r="D398" t="s">
        <v>129</v>
      </c>
      <c r="E398">
        <v>0</v>
      </c>
      <c r="F398">
        <v>0</v>
      </c>
      <c r="G398">
        <v>0</v>
      </c>
      <c r="H398">
        <v>0</v>
      </c>
      <c r="I398">
        <v>0</v>
      </c>
      <c r="J398">
        <v>0</v>
      </c>
    </row>
    <row r="399" spans="2:10" x14ac:dyDescent="0.25">
      <c r="D399" t="s">
        <v>130</v>
      </c>
      <c r="E399">
        <v>105</v>
      </c>
      <c r="F399">
        <v>105</v>
      </c>
      <c r="G399">
        <v>105</v>
      </c>
      <c r="H399">
        <v>105</v>
      </c>
      <c r="I399">
        <v>105</v>
      </c>
      <c r="J399">
        <v>105</v>
      </c>
    </row>
    <row r="400" spans="2:10" x14ac:dyDescent="0.25">
      <c r="D400" t="s">
        <v>131</v>
      </c>
      <c r="E400" t="s">
        <v>43</v>
      </c>
      <c r="F400" t="s">
        <v>43</v>
      </c>
      <c r="G400" t="s">
        <v>43</v>
      </c>
      <c r="H400" t="s">
        <v>43</v>
      </c>
      <c r="I400" t="s">
        <v>43</v>
      </c>
      <c r="J400" t="s">
        <v>43</v>
      </c>
    </row>
    <row r="401" spans="2:5" x14ac:dyDescent="0.25">
      <c r="D401" t="s">
        <v>196</v>
      </c>
    </row>
    <row r="406" spans="2:5" x14ac:dyDescent="0.25">
      <c r="B406" t="s">
        <v>171</v>
      </c>
    </row>
    <row r="407" spans="2:5" x14ac:dyDescent="0.25">
      <c r="B407" t="s">
        <v>251</v>
      </c>
    </row>
    <row r="408" spans="2:5" x14ac:dyDescent="0.25">
      <c r="B408" t="s">
        <v>172</v>
      </c>
    </row>
    <row r="409" spans="2:5" x14ac:dyDescent="0.25">
      <c r="B409" t="s">
        <v>194</v>
      </c>
    </row>
    <row r="410" spans="2:5" x14ac:dyDescent="0.25">
      <c r="B410" t="s">
        <v>195</v>
      </c>
    </row>
    <row r="412" spans="2:5" x14ac:dyDescent="0.25">
      <c r="C412" t="s">
        <v>106</v>
      </c>
    </row>
    <row r="414" spans="2:5" x14ac:dyDescent="0.25">
      <c r="D414" t="s">
        <v>175</v>
      </c>
    </row>
    <row r="415" spans="2:5" x14ac:dyDescent="0.25">
      <c r="D415" t="s">
        <v>176</v>
      </c>
    </row>
    <row r="416" spans="2:5" x14ac:dyDescent="0.25">
      <c r="D416" t="s">
        <v>146</v>
      </c>
      <c r="E416" t="s">
        <v>43</v>
      </c>
    </row>
    <row r="417" spans="2:5" x14ac:dyDescent="0.25">
      <c r="D417" t="s">
        <v>177</v>
      </c>
      <c r="E417" t="s">
        <v>97</v>
      </c>
    </row>
    <row r="418" spans="2:5" x14ac:dyDescent="0.25">
      <c r="D418" t="s">
        <v>178</v>
      </c>
      <c r="E418" t="s">
        <v>98</v>
      </c>
    </row>
    <row r="419" spans="2:5" x14ac:dyDescent="0.25">
      <c r="D419" t="s">
        <v>252</v>
      </c>
    </row>
    <row r="424" spans="2:5" x14ac:dyDescent="0.25">
      <c r="B424" t="s">
        <v>197</v>
      </c>
    </row>
    <row r="425" spans="2:5" x14ac:dyDescent="0.25">
      <c r="B425" t="s">
        <v>253</v>
      </c>
    </row>
    <row r="427" spans="2:5" x14ac:dyDescent="0.25">
      <c r="C427" t="s">
        <v>198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4F9D-13BC-40DD-8446-ADE05E1F0CEA}">
  <dimension ref="B1:M59"/>
  <sheetViews>
    <sheetView workbookViewId="0"/>
  </sheetViews>
  <sheetFormatPr defaultRowHeight="15" x14ac:dyDescent="0.25"/>
  <cols>
    <col min="3" max="3" width="9.7109375" bestFit="1" customWidth="1"/>
  </cols>
  <sheetData>
    <row r="1" spans="2:13" ht="15.75" thickBot="1" x14ac:dyDescent="0.3"/>
    <row r="2" spans="2:13" ht="27" thickBot="1" x14ac:dyDescent="0.45">
      <c r="B2" s="140" t="s">
        <v>200</v>
      </c>
      <c r="C2" s="141"/>
      <c r="D2" s="141"/>
      <c r="E2" s="141"/>
      <c r="F2" s="141"/>
      <c r="G2" s="141"/>
      <c r="H2" s="141"/>
      <c r="I2" s="141"/>
      <c r="J2" s="141"/>
      <c r="K2" s="141"/>
      <c r="L2" s="141"/>
      <c r="M2" s="142"/>
    </row>
    <row r="3" spans="2:13" x14ac:dyDescent="0.25">
      <c r="B3" s="61"/>
      <c r="C3" s="62"/>
      <c r="D3" s="62"/>
      <c r="E3" s="62"/>
      <c r="F3" s="62"/>
      <c r="G3" s="62"/>
      <c r="H3" s="62"/>
      <c r="I3" s="62"/>
      <c r="J3" s="62"/>
      <c r="K3" s="62"/>
      <c r="L3" s="62"/>
      <c r="M3" s="63"/>
    </row>
    <row r="4" spans="2:13" x14ac:dyDescent="0.25">
      <c r="B4" s="64"/>
      <c r="C4" s="51" t="s">
        <v>201</v>
      </c>
      <c r="D4" s="51"/>
      <c r="E4" s="51"/>
      <c r="F4" s="51"/>
      <c r="G4" s="51"/>
      <c r="H4" s="51"/>
      <c r="I4" s="51"/>
      <c r="J4" s="51"/>
      <c r="K4" s="51"/>
      <c r="L4" s="51"/>
      <c r="M4" s="65"/>
    </row>
    <row r="5" spans="2:13" x14ac:dyDescent="0.25">
      <c r="B5" s="64"/>
      <c r="C5" s="51"/>
      <c r="D5" s="51"/>
      <c r="E5" s="51"/>
      <c r="F5" s="51"/>
      <c r="G5" s="51"/>
      <c r="H5" s="51"/>
      <c r="I5" s="51"/>
      <c r="J5" s="51"/>
      <c r="K5" s="51"/>
      <c r="L5" s="51"/>
      <c r="M5" s="65"/>
    </row>
    <row r="6" spans="2:13" x14ac:dyDescent="0.25">
      <c r="B6" s="64"/>
      <c r="C6" s="51" t="s">
        <v>202</v>
      </c>
      <c r="D6" s="51"/>
      <c r="E6" s="51"/>
      <c r="F6" s="51"/>
      <c r="G6" s="51"/>
      <c r="H6" s="51"/>
      <c r="I6" s="51"/>
      <c r="J6" s="51"/>
      <c r="K6" s="51"/>
      <c r="L6" s="51"/>
      <c r="M6" s="65"/>
    </row>
    <row r="7" spans="2:13" x14ac:dyDescent="0.25">
      <c r="B7" s="64"/>
      <c r="C7" s="51"/>
      <c r="D7" s="51"/>
      <c r="E7" s="51"/>
      <c r="F7" s="51"/>
      <c r="G7" s="51"/>
      <c r="H7" s="51"/>
      <c r="I7" s="51"/>
      <c r="J7" s="51"/>
      <c r="K7" s="51"/>
      <c r="L7" s="51"/>
      <c r="M7" s="65"/>
    </row>
    <row r="8" spans="2:13" x14ac:dyDescent="0.25">
      <c r="B8" s="64"/>
      <c r="C8" s="51" t="s">
        <v>203</v>
      </c>
      <c r="D8" s="51"/>
      <c r="E8" s="51"/>
      <c r="F8" s="51"/>
      <c r="G8" s="51"/>
      <c r="H8" s="51"/>
      <c r="I8" s="51"/>
      <c r="J8" s="51"/>
      <c r="K8" s="51"/>
      <c r="L8" s="51"/>
      <c r="M8" s="65"/>
    </row>
    <row r="9" spans="2:13" x14ac:dyDescent="0.25">
      <c r="B9" s="64"/>
      <c r="C9" s="51"/>
      <c r="D9" s="51"/>
      <c r="E9" s="51"/>
      <c r="F9" s="51"/>
      <c r="G9" s="51"/>
      <c r="H9" s="51"/>
      <c r="I9" s="51"/>
      <c r="J9" s="51"/>
      <c r="K9" s="51"/>
      <c r="L9" s="51"/>
      <c r="M9" s="65"/>
    </row>
    <row r="10" spans="2:13" ht="15.75" thickBot="1" x14ac:dyDescent="0.3">
      <c r="B10" s="67"/>
      <c r="C10" s="66"/>
      <c r="D10" s="66"/>
      <c r="E10" s="66"/>
      <c r="F10" s="66"/>
      <c r="G10" s="66"/>
      <c r="H10" s="66"/>
      <c r="I10" s="66"/>
      <c r="J10" s="66"/>
      <c r="K10" s="66"/>
      <c r="L10" s="66"/>
      <c r="M10" s="68"/>
    </row>
    <row r="14" spans="2:13" ht="15.75" thickBot="1" x14ac:dyDescent="0.3"/>
    <row r="15" spans="2:13" ht="19.5" thickBot="1" x14ac:dyDescent="0.35">
      <c r="B15" s="133" t="s">
        <v>75</v>
      </c>
      <c r="C15" s="134"/>
      <c r="D15" s="134"/>
      <c r="E15" s="134"/>
      <c r="F15" s="135"/>
      <c r="I15" s="133" t="s">
        <v>78</v>
      </c>
      <c r="J15" s="134"/>
      <c r="K15" s="134"/>
      <c r="L15" s="134"/>
      <c r="M15" s="135"/>
    </row>
    <row r="16" spans="2:13" ht="16.5" thickBot="1" x14ac:dyDescent="0.3">
      <c r="B16" s="136" t="s">
        <v>204</v>
      </c>
      <c r="C16" s="137"/>
      <c r="D16" s="137"/>
      <c r="E16" s="137"/>
      <c r="F16" s="138"/>
      <c r="I16" s="136" t="s">
        <v>211</v>
      </c>
      <c r="J16" s="137"/>
      <c r="K16" s="137"/>
      <c r="L16" s="137"/>
      <c r="M16" s="138"/>
    </row>
    <row r="17" spans="2:13" ht="16.5" thickBot="1" x14ac:dyDescent="0.3">
      <c r="B17" s="136" t="s">
        <v>205</v>
      </c>
      <c r="C17" s="137"/>
      <c r="D17" s="137"/>
      <c r="E17" s="137"/>
      <c r="F17" s="138"/>
      <c r="I17" s="136" t="s">
        <v>218</v>
      </c>
      <c r="J17" s="137"/>
      <c r="K17" s="137"/>
      <c r="L17" s="137"/>
      <c r="M17" s="138"/>
    </row>
    <row r="18" spans="2:13" x14ac:dyDescent="0.25">
      <c r="B18" s="139" t="s">
        <v>206</v>
      </c>
      <c r="C18" s="129"/>
      <c r="D18" s="129"/>
      <c r="E18" s="129"/>
      <c r="F18" s="130"/>
      <c r="I18" s="139" t="s">
        <v>206</v>
      </c>
      <c r="J18" s="129"/>
      <c r="K18" s="129"/>
      <c r="L18" s="129"/>
      <c r="M18" s="130"/>
    </row>
    <row r="19" spans="2:13" x14ac:dyDescent="0.25">
      <c r="B19" s="125" t="s">
        <v>207</v>
      </c>
      <c r="C19" s="126"/>
      <c r="D19" s="126"/>
      <c r="E19" s="126"/>
      <c r="F19" s="131"/>
      <c r="I19" s="125" t="s">
        <v>207</v>
      </c>
      <c r="J19" s="126"/>
      <c r="K19" s="126"/>
      <c r="L19" s="126"/>
      <c r="M19" s="131"/>
    </row>
    <row r="20" spans="2:13" x14ac:dyDescent="0.25">
      <c r="B20" s="125" t="s">
        <v>208</v>
      </c>
      <c r="C20" s="126"/>
      <c r="D20" s="126"/>
      <c r="E20" s="126"/>
      <c r="F20" s="131"/>
      <c r="I20" s="125" t="s">
        <v>208</v>
      </c>
      <c r="J20" s="126"/>
      <c r="K20" s="126"/>
      <c r="L20" s="126"/>
      <c r="M20" s="131"/>
    </row>
    <row r="21" spans="2:13" x14ac:dyDescent="0.25">
      <c r="B21" s="125" t="s">
        <v>3</v>
      </c>
      <c r="C21" s="126"/>
      <c r="D21" s="126"/>
      <c r="E21" s="126"/>
      <c r="F21" s="131"/>
      <c r="I21" s="125" t="s">
        <v>3</v>
      </c>
      <c r="J21" s="126"/>
      <c r="K21" s="126"/>
      <c r="L21" s="126"/>
      <c r="M21" s="131"/>
    </row>
    <row r="22" spans="2:13" x14ac:dyDescent="0.25">
      <c r="B22" s="125" t="s">
        <v>209</v>
      </c>
      <c r="C22" s="126"/>
      <c r="D22" s="126"/>
      <c r="E22" s="126"/>
      <c r="F22" s="131"/>
      <c r="I22" s="125" t="s">
        <v>209</v>
      </c>
      <c r="J22" s="126"/>
      <c r="K22" s="126"/>
      <c r="L22" s="126"/>
      <c r="M22" s="131"/>
    </row>
    <row r="23" spans="2:13" ht="15.75" thickBot="1" x14ac:dyDescent="0.3">
      <c r="B23" s="127" t="s">
        <v>210</v>
      </c>
      <c r="C23" s="128"/>
      <c r="D23" s="128"/>
      <c r="E23" s="128"/>
      <c r="F23" s="132"/>
      <c r="I23" s="127" t="s">
        <v>210</v>
      </c>
      <c r="J23" s="128"/>
      <c r="K23" s="128"/>
      <c r="L23" s="128"/>
      <c r="M23" s="132"/>
    </row>
    <row r="26" spans="2:13" ht="15.75" thickBot="1" x14ac:dyDescent="0.3"/>
    <row r="27" spans="2:13" ht="19.5" thickBot="1" x14ac:dyDescent="0.35">
      <c r="B27" s="133" t="s">
        <v>80</v>
      </c>
      <c r="C27" s="134"/>
      <c r="D27" s="134"/>
      <c r="E27" s="134"/>
      <c r="F27" s="135"/>
      <c r="I27" s="133" t="s">
        <v>73</v>
      </c>
      <c r="J27" s="134"/>
      <c r="K27" s="134"/>
      <c r="L27" s="134"/>
      <c r="M27" s="135"/>
    </row>
    <row r="28" spans="2:13" ht="16.5" thickBot="1" x14ac:dyDescent="0.3">
      <c r="B28" s="136" t="s">
        <v>212</v>
      </c>
      <c r="C28" s="137"/>
      <c r="D28" s="137"/>
      <c r="E28" s="137"/>
      <c r="F28" s="138"/>
      <c r="I28" s="136" t="s">
        <v>212</v>
      </c>
      <c r="J28" s="137"/>
      <c r="K28" s="137"/>
      <c r="L28" s="137"/>
      <c r="M28" s="138"/>
    </row>
    <row r="29" spans="2:13" ht="16.5" thickBot="1" x14ac:dyDescent="0.3">
      <c r="B29" s="136" t="s">
        <v>213</v>
      </c>
      <c r="C29" s="137"/>
      <c r="D29" s="137"/>
      <c r="E29" s="137"/>
      <c r="F29" s="138"/>
      <c r="I29" s="136" t="s">
        <v>213</v>
      </c>
      <c r="J29" s="137"/>
      <c r="K29" s="137"/>
      <c r="L29" s="137"/>
      <c r="M29" s="138"/>
    </row>
    <row r="30" spans="2:13" x14ac:dyDescent="0.25">
      <c r="B30" s="139" t="s">
        <v>206</v>
      </c>
      <c r="C30" s="129"/>
      <c r="D30" s="129"/>
      <c r="E30" s="129"/>
      <c r="F30" s="130"/>
      <c r="I30" s="139" t="s">
        <v>206</v>
      </c>
      <c r="J30" s="129"/>
      <c r="K30" s="129"/>
      <c r="L30" s="129"/>
      <c r="M30" s="130"/>
    </row>
    <row r="31" spans="2:13" x14ac:dyDescent="0.25">
      <c r="B31" s="125" t="s">
        <v>207</v>
      </c>
      <c r="C31" s="126"/>
      <c r="D31" s="126"/>
      <c r="E31" s="126"/>
      <c r="F31" s="131"/>
      <c r="I31" s="125" t="s">
        <v>207</v>
      </c>
      <c r="J31" s="126"/>
      <c r="K31" s="126"/>
      <c r="L31" s="126"/>
      <c r="M31" s="131"/>
    </row>
    <row r="32" spans="2:13" x14ac:dyDescent="0.25">
      <c r="B32" s="125" t="s">
        <v>208</v>
      </c>
      <c r="C32" s="126"/>
      <c r="D32" s="126"/>
      <c r="E32" s="126"/>
      <c r="F32" s="131"/>
      <c r="I32" s="125" t="s">
        <v>208</v>
      </c>
      <c r="J32" s="126"/>
      <c r="K32" s="126"/>
      <c r="L32" s="126"/>
      <c r="M32" s="131"/>
    </row>
    <row r="33" spans="2:13" x14ac:dyDescent="0.25">
      <c r="B33" s="125" t="s">
        <v>3</v>
      </c>
      <c r="C33" s="126"/>
      <c r="D33" s="126"/>
      <c r="E33" s="126"/>
      <c r="F33" s="131"/>
      <c r="I33" s="125" t="s">
        <v>3</v>
      </c>
      <c r="J33" s="126"/>
      <c r="K33" s="126"/>
      <c r="L33" s="126"/>
      <c r="M33" s="131"/>
    </row>
    <row r="34" spans="2:13" x14ac:dyDescent="0.25">
      <c r="B34" s="125" t="s">
        <v>209</v>
      </c>
      <c r="C34" s="126"/>
      <c r="D34" s="126"/>
      <c r="E34" s="126"/>
      <c r="F34" s="131"/>
      <c r="I34" s="125" t="s">
        <v>209</v>
      </c>
      <c r="J34" s="126"/>
      <c r="K34" s="126"/>
      <c r="L34" s="126"/>
      <c r="M34" s="131"/>
    </row>
    <row r="35" spans="2:13" ht="15.75" thickBot="1" x14ac:dyDescent="0.3">
      <c r="B35" s="127" t="s">
        <v>210</v>
      </c>
      <c r="C35" s="128"/>
      <c r="D35" s="128"/>
      <c r="E35" s="128"/>
      <c r="F35" s="132"/>
      <c r="I35" s="127" t="s">
        <v>210</v>
      </c>
      <c r="J35" s="128"/>
      <c r="K35" s="128"/>
      <c r="L35" s="128"/>
      <c r="M35" s="132"/>
    </row>
    <row r="38" spans="2:13" ht="15.75" thickBot="1" x14ac:dyDescent="0.3"/>
    <row r="39" spans="2:13" ht="19.5" thickBot="1" x14ac:dyDescent="0.35">
      <c r="B39" s="133" t="s">
        <v>77</v>
      </c>
      <c r="C39" s="134"/>
      <c r="D39" s="134"/>
      <c r="E39" s="134"/>
      <c r="F39" s="135"/>
      <c r="I39" s="133" t="s">
        <v>76</v>
      </c>
      <c r="J39" s="134"/>
      <c r="K39" s="134"/>
      <c r="L39" s="134"/>
      <c r="M39" s="135"/>
    </row>
    <row r="40" spans="2:13" ht="16.5" thickBot="1" x14ac:dyDescent="0.3">
      <c r="B40" s="136" t="s">
        <v>212</v>
      </c>
      <c r="C40" s="137"/>
      <c r="D40" s="137"/>
      <c r="E40" s="137"/>
      <c r="F40" s="138"/>
      <c r="I40" s="136" t="s">
        <v>212</v>
      </c>
      <c r="J40" s="137"/>
      <c r="K40" s="137"/>
      <c r="L40" s="137"/>
      <c r="M40" s="138"/>
    </row>
    <row r="41" spans="2:13" ht="16.5" thickBot="1" x14ac:dyDescent="0.3">
      <c r="B41" s="136" t="s">
        <v>213</v>
      </c>
      <c r="C41" s="137"/>
      <c r="D41" s="137"/>
      <c r="E41" s="137"/>
      <c r="F41" s="138"/>
      <c r="I41" s="136" t="s">
        <v>214</v>
      </c>
      <c r="J41" s="137"/>
      <c r="K41" s="137"/>
      <c r="L41" s="137"/>
      <c r="M41" s="138"/>
    </row>
    <row r="42" spans="2:13" x14ac:dyDescent="0.25">
      <c r="B42" s="139" t="s">
        <v>206</v>
      </c>
      <c r="C42" s="129"/>
      <c r="D42" s="129"/>
      <c r="E42" s="129"/>
      <c r="F42" s="130"/>
      <c r="I42" s="139" t="s">
        <v>206</v>
      </c>
      <c r="J42" s="129"/>
      <c r="K42" s="129"/>
      <c r="L42" s="129"/>
      <c r="M42" s="130"/>
    </row>
    <row r="43" spans="2:13" x14ac:dyDescent="0.25">
      <c r="B43" s="125" t="s">
        <v>207</v>
      </c>
      <c r="C43" s="126"/>
      <c r="D43" s="126"/>
      <c r="E43" s="126"/>
      <c r="F43" s="131"/>
      <c r="I43" s="125" t="s">
        <v>207</v>
      </c>
      <c r="J43" s="126"/>
      <c r="K43" s="126"/>
      <c r="L43" s="126"/>
      <c r="M43" s="131"/>
    </row>
    <row r="44" spans="2:13" x14ac:dyDescent="0.25">
      <c r="B44" s="125" t="s">
        <v>208</v>
      </c>
      <c r="C44" s="126"/>
      <c r="D44" s="126"/>
      <c r="E44" s="126"/>
      <c r="F44" s="131"/>
      <c r="I44" s="125" t="s">
        <v>208</v>
      </c>
      <c r="J44" s="126"/>
      <c r="K44" s="126"/>
      <c r="L44" s="126"/>
      <c r="M44" s="131"/>
    </row>
    <row r="45" spans="2:13" x14ac:dyDescent="0.25">
      <c r="B45" s="125" t="s">
        <v>3</v>
      </c>
      <c r="C45" s="126"/>
      <c r="D45" s="126"/>
      <c r="E45" s="126"/>
      <c r="F45" s="131"/>
      <c r="I45" s="125" t="s">
        <v>3</v>
      </c>
      <c r="J45" s="126"/>
      <c r="K45" s="126"/>
      <c r="L45" s="126"/>
      <c r="M45" s="131"/>
    </row>
    <row r="46" spans="2:13" x14ac:dyDescent="0.25">
      <c r="B46" s="125" t="s">
        <v>209</v>
      </c>
      <c r="C46" s="126"/>
      <c r="D46" s="126"/>
      <c r="E46" s="126"/>
      <c r="F46" s="131"/>
      <c r="I46" s="125" t="s">
        <v>209</v>
      </c>
      <c r="J46" s="126"/>
      <c r="K46" s="126"/>
      <c r="L46" s="126"/>
      <c r="M46" s="131"/>
    </row>
    <row r="47" spans="2:13" ht="15.75" thickBot="1" x14ac:dyDescent="0.3">
      <c r="B47" s="127" t="s">
        <v>210</v>
      </c>
      <c r="C47" s="128"/>
      <c r="D47" s="128"/>
      <c r="E47" s="128"/>
      <c r="F47" s="132"/>
      <c r="I47" s="127" t="s">
        <v>210</v>
      </c>
      <c r="J47" s="128"/>
      <c r="K47" s="128"/>
      <c r="L47" s="128"/>
      <c r="M47" s="132"/>
    </row>
    <row r="50" spans="2:6" ht="15.75" thickBot="1" x14ac:dyDescent="0.3"/>
    <row r="51" spans="2:6" ht="19.5" thickBot="1" x14ac:dyDescent="0.35">
      <c r="B51" s="133" t="s">
        <v>10</v>
      </c>
      <c r="C51" s="134"/>
      <c r="D51" s="134"/>
      <c r="E51" s="134"/>
      <c r="F51" s="135"/>
    </row>
    <row r="52" spans="2:6" ht="16.5" thickBot="1" x14ac:dyDescent="0.3">
      <c r="B52" s="136" t="s">
        <v>215</v>
      </c>
      <c r="C52" s="137"/>
      <c r="D52" s="137"/>
      <c r="E52" s="137"/>
      <c r="F52" s="138"/>
    </row>
    <row r="53" spans="2:6" ht="16.5" thickBot="1" x14ac:dyDescent="0.3">
      <c r="B53" s="136" t="s">
        <v>216</v>
      </c>
      <c r="C53" s="137"/>
      <c r="D53" s="137"/>
      <c r="E53" s="137"/>
      <c r="F53" s="138"/>
    </row>
    <row r="54" spans="2:6" x14ac:dyDescent="0.25">
      <c r="B54" s="139" t="s">
        <v>206</v>
      </c>
      <c r="C54" s="129"/>
      <c r="D54" s="129"/>
      <c r="E54" s="129"/>
      <c r="F54" s="130"/>
    </row>
    <row r="55" spans="2:6" x14ac:dyDescent="0.25">
      <c r="B55" s="125" t="s">
        <v>207</v>
      </c>
      <c r="C55" s="126"/>
      <c r="D55" s="126"/>
      <c r="E55" s="126"/>
      <c r="F55" s="131"/>
    </row>
    <row r="56" spans="2:6" x14ac:dyDescent="0.25">
      <c r="B56" s="125" t="s">
        <v>208</v>
      </c>
      <c r="C56" s="126"/>
      <c r="D56" s="126"/>
      <c r="E56" s="126"/>
      <c r="F56" s="131"/>
    </row>
    <row r="57" spans="2:6" x14ac:dyDescent="0.25">
      <c r="B57" s="125" t="s">
        <v>3</v>
      </c>
      <c r="C57" s="126"/>
      <c r="D57" s="126"/>
      <c r="E57" s="126"/>
      <c r="F57" s="131"/>
    </row>
    <row r="58" spans="2:6" x14ac:dyDescent="0.25">
      <c r="B58" s="125" t="s">
        <v>209</v>
      </c>
      <c r="C58" s="126"/>
      <c r="D58" s="126"/>
      <c r="E58" s="126"/>
      <c r="F58" s="131"/>
    </row>
    <row r="59" spans="2:6" ht="15.75" thickBot="1" x14ac:dyDescent="0.3">
      <c r="B59" s="127" t="s">
        <v>210</v>
      </c>
      <c r="C59" s="128"/>
      <c r="D59" s="128"/>
      <c r="E59" s="128"/>
      <c r="F59" s="132"/>
    </row>
  </sheetData>
  <mergeCells count="106">
    <mergeCell ref="B2:M2"/>
    <mergeCell ref="B15:F15"/>
    <mergeCell ref="B16:F16"/>
    <mergeCell ref="B17:F17"/>
    <mergeCell ref="B18:C18"/>
    <mergeCell ref="B19:C19"/>
    <mergeCell ref="I15:M15"/>
    <mergeCell ref="I16:M16"/>
    <mergeCell ref="I17:M17"/>
    <mergeCell ref="I18:J18"/>
    <mergeCell ref="B20:C20"/>
    <mergeCell ref="B21:C21"/>
    <mergeCell ref="B22:C22"/>
    <mergeCell ref="B23:C23"/>
    <mergeCell ref="D18:F18"/>
    <mergeCell ref="D19:F19"/>
    <mergeCell ref="D20:F20"/>
    <mergeCell ref="D21:F21"/>
    <mergeCell ref="D22:F22"/>
    <mergeCell ref="D23:F23"/>
    <mergeCell ref="I19:J19"/>
    <mergeCell ref="I20:J20"/>
    <mergeCell ref="I21:J21"/>
    <mergeCell ref="I22:J22"/>
    <mergeCell ref="I23:J23"/>
    <mergeCell ref="K18:M18"/>
    <mergeCell ref="K19:M19"/>
    <mergeCell ref="K20:M20"/>
    <mergeCell ref="K21:M21"/>
    <mergeCell ref="K22:M22"/>
    <mergeCell ref="K23:M23"/>
    <mergeCell ref="B27:F27"/>
    <mergeCell ref="B28:F28"/>
    <mergeCell ref="B29:F29"/>
    <mergeCell ref="B30:C30"/>
    <mergeCell ref="B31:C31"/>
    <mergeCell ref="I27:M27"/>
    <mergeCell ref="I28:M28"/>
    <mergeCell ref="I29:M29"/>
    <mergeCell ref="I30:J30"/>
    <mergeCell ref="B32:C32"/>
    <mergeCell ref="B33:C33"/>
    <mergeCell ref="B34:C34"/>
    <mergeCell ref="B35:C35"/>
    <mergeCell ref="D30:F30"/>
    <mergeCell ref="D31:F31"/>
    <mergeCell ref="D32:F32"/>
    <mergeCell ref="D33:F33"/>
    <mergeCell ref="D34:F34"/>
    <mergeCell ref="D35:F35"/>
    <mergeCell ref="I31:J31"/>
    <mergeCell ref="I32:J32"/>
    <mergeCell ref="I33:J33"/>
    <mergeCell ref="I34:J34"/>
    <mergeCell ref="I35:J35"/>
    <mergeCell ref="K30:M30"/>
    <mergeCell ref="K31:M31"/>
    <mergeCell ref="K32:M32"/>
    <mergeCell ref="K33:M33"/>
    <mergeCell ref="K34:M34"/>
    <mergeCell ref="K35:M35"/>
    <mergeCell ref="B39:F39"/>
    <mergeCell ref="B40:F40"/>
    <mergeCell ref="B41:F41"/>
    <mergeCell ref="B42:C42"/>
    <mergeCell ref="B43:C43"/>
    <mergeCell ref="I39:M39"/>
    <mergeCell ref="I40:M40"/>
    <mergeCell ref="I41:M41"/>
    <mergeCell ref="I42:J42"/>
    <mergeCell ref="K42:M42"/>
    <mergeCell ref="K43:M43"/>
    <mergeCell ref="K44:M44"/>
    <mergeCell ref="K45:M45"/>
    <mergeCell ref="K46:M46"/>
    <mergeCell ref="B44:C44"/>
    <mergeCell ref="B45:C45"/>
    <mergeCell ref="B46:C46"/>
    <mergeCell ref="B47:C47"/>
    <mergeCell ref="D42:F42"/>
    <mergeCell ref="D43:F43"/>
    <mergeCell ref="D44:F44"/>
    <mergeCell ref="D45:F45"/>
    <mergeCell ref="D46:F46"/>
    <mergeCell ref="D47:F47"/>
    <mergeCell ref="K47:M47"/>
    <mergeCell ref="B51:F51"/>
    <mergeCell ref="B52:F52"/>
    <mergeCell ref="B53:F53"/>
    <mergeCell ref="B54:C54"/>
    <mergeCell ref="B55:C55"/>
    <mergeCell ref="I43:J43"/>
    <mergeCell ref="I44:J44"/>
    <mergeCell ref="I45:J45"/>
    <mergeCell ref="I46:J46"/>
    <mergeCell ref="I47:J47"/>
    <mergeCell ref="B56:C56"/>
    <mergeCell ref="B57:C57"/>
    <mergeCell ref="B58:C58"/>
    <mergeCell ref="B59:C59"/>
    <mergeCell ref="D54:F54"/>
    <mergeCell ref="D55:F55"/>
    <mergeCell ref="D56:F56"/>
    <mergeCell ref="D57:F57"/>
    <mergeCell ref="D58:F58"/>
    <mergeCell ref="D59:F5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2.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customXml/itemProps3.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___Dropdown values</vt:lpstr>
      <vt:lpstr>Building Blocks</vt:lpstr>
      <vt:lpstr>Method</vt:lpstr>
      <vt:lpstr>Worklist</vt:lpstr>
      <vt:lpstr>RunLog</vt:lpstr>
      <vt:lpstr>TestLog</vt:lpstr>
      <vt:lpstr>PrepList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2021-08-20T15:46:25Z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