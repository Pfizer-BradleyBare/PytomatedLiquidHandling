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8_{7A9A5538-7A9E-49FB-9D90-1B51D84ACB39}" xr6:coauthVersionLast="46" xr6:coauthVersionMax="46" xr10:uidLastSave="{00000000-0000-0000-0000-000000000000}"/>
  <bookViews>
    <workbookView xWindow="28680" yWindow="-120" windowWidth="29040" windowHeight="15840" firstSheet="1" activeTab="1" xr2:uid="{00000000-000D-0000-FFFF-FFFF00000000}"/>
  </bookViews>
  <sheets>
    <sheet name="___Dropdown values" sheetId="4" state="hidden" r:id="rId1"/>
    <sheet name="Method" sheetId="2" r:id="rId2"/>
    <sheet name="Worklist" sheetId="3" r:id="rId3"/>
    <sheet name="TestLog" sheetId="22" r:id="rId4"/>
    <sheet name="PrepList" sheetId="19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5" i="2" l="1"/>
  <c r="C65" i="2"/>
  <c r="E3" i="3" l="1"/>
  <c r="E2" i="3"/>
  <c r="G141" i="2"/>
  <c r="G131" i="2"/>
  <c r="G115" i="2"/>
  <c r="G108" i="2"/>
  <c r="G101" i="2"/>
  <c r="G89" i="2"/>
  <c r="G78" i="2"/>
  <c r="G71" i="2"/>
  <c r="G90" i="2"/>
  <c r="E53" i="2"/>
  <c r="E52" i="2"/>
  <c r="E16" i="2"/>
  <c r="A3" i="3"/>
  <c r="E15" i="2"/>
  <c r="E13" i="2"/>
  <c r="A2" i="3"/>
</calcChain>
</file>

<file path=xl/sharedStrings.xml><?xml version="1.0" encoding="utf-8"?>
<sst xmlns="http://schemas.openxmlformats.org/spreadsheetml/2006/main" count="709" uniqueCount="246">
  <si>
    <t>Plate Types</t>
  </si>
  <si>
    <t>Desalting Volume</t>
  </si>
  <si>
    <t>Building Block Enable Disable Options</t>
  </si>
  <si>
    <t>96 Well PCR Plate</t>
  </si>
  <si>
    <t>SizeX:100</t>
  </si>
  <si>
    <t>Liquid Transfer</t>
  </si>
  <si>
    <t>Dilute</t>
  </si>
  <si>
    <t>Desalt</t>
  </si>
  <si>
    <t>Notify</t>
  </si>
  <si>
    <t>Cooler Store</t>
  </si>
  <si>
    <t>Incubate</t>
  </si>
  <si>
    <t>Wait</t>
  </si>
  <si>
    <t>Starstedt 56 Well Rack 2mL</t>
  </si>
  <si>
    <t>SizeX:100,SizeX:100</t>
  </si>
  <si>
    <t>Waters TRV 48 Well Rack</t>
  </si>
  <si>
    <t>DISABLED: Liquid Transfer</t>
  </si>
  <si>
    <t>DISABLED: Dilute</t>
  </si>
  <si>
    <t>DISABLED: Desalt</t>
  </si>
  <si>
    <t>DISABLED: Notify</t>
  </si>
  <si>
    <t>DISABLED: Cooler Store</t>
  </si>
  <si>
    <t>DISABLED: Incubate</t>
  </si>
  <si>
    <t>DISABLED: Wait</t>
  </si>
  <si>
    <t>Starstedt 56 Well Rack 500uL</t>
  </si>
  <si>
    <t>Liquid Type</t>
  </si>
  <si>
    <t>Yes / No</t>
  </si>
  <si>
    <t>General Reagent</t>
  </si>
  <si>
    <t>Yes</t>
  </si>
  <si>
    <t>Reductant</t>
  </si>
  <si>
    <t>No</t>
  </si>
  <si>
    <t>Alkylant</t>
  </si>
  <si>
    <t>Quench</t>
  </si>
  <si>
    <t>Starting Position</t>
  </si>
  <si>
    <t>Buffer/Diluent</t>
  </si>
  <si>
    <t>Sample Start Position</t>
  </si>
  <si>
    <t>Denaturant</t>
  </si>
  <si>
    <t>Plate Start Position (A1)</t>
  </si>
  <si>
    <t>Enzyme</t>
  </si>
  <si>
    <t>Plate</t>
  </si>
  <si>
    <t>Vacuum Options</t>
  </si>
  <si>
    <t>Storage Condition</t>
  </si>
  <si>
    <t>Low</t>
  </si>
  <si>
    <t>Ambient</t>
  </si>
  <si>
    <t>Normal</t>
  </si>
  <si>
    <t>Cold</t>
  </si>
  <si>
    <t>High</t>
  </si>
  <si>
    <t>Manual (Remove validation then enter custom value)</t>
  </si>
  <si>
    <t>Vacuum Plates</t>
  </si>
  <si>
    <t>0.45um Self Poured ProA Plate</t>
  </si>
  <si>
    <t>Comments</t>
  </si>
  <si>
    <t>Name</t>
  </si>
  <si>
    <t>Sample</t>
  </si>
  <si>
    <t>This plate is always included. Method workflow requires the samples start in a 96well plate (For Now)</t>
  </si>
  <si>
    <t>Type</t>
  </si>
  <si>
    <t>Start Method Below</t>
  </si>
  <si>
    <t>Annealing</t>
  </si>
  <si>
    <t>Source</t>
  </si>
  <si>
    <t>Diluent</t>
  </si>
  <si>
    <t>DEPC Water</t>
  </si>
  <si>
    <t>Starting Concentration (mg/mL)</t>
  </si>
  <si>
    <t>Target Concentration (mg/mL)</t>
  </si>
  <si>
    <t>Target Volume (uL)</t>
  </si>
  <si>
    <t>``</t>
  </si>
  <si>
    <t>Max Source Volume (uL)</t>
  </si>
  <si>
    <t>10x Rnase H reaction buffer</t>
  </si>
  <si>
    <t>Volume (uL)</t>
  </si>
  <si>
    <t>Mix?</t>
  </si>
  <si>
    <t>50 uM Probe</t>
  </si>
  <si>
    <t>Temp Program (C) (comma delimited)</t>
  </si>
  <si>
    <t>80,75,70,60,50,45,35,30,22,30</t>
  </si>
  <si>
    <t>Time Program (min) (comma delimited)</t>
  </si>
  <si>
    <t>5,2,2,2,2,5,5,2,2,2</t>
  </si>
  <si>
    <t>Rnase H</t>
  </si>
  <si>
    <t>Split Plate</t>
  </si>
  <si>
    <t>Plate Choice</t>
  </si>
  <si>
    <t>Concurrent</t>
  </si>
  <si>
    <t>Plate Name 1</t>
  </si>
  <si>
    <t>Plate Name 2</t>
  </si>
  <si>
    <t>Dynabeads</t>
  </si>
  <si>
    <t>Temp (C)</t>
  </si>
  <si>
    <t>Time (min)</t>
  </si>
  <si>
    <t>Shake (rpm)</t>
  </si>
  <si>
    <t>Magnetic Beads</t>
  </si>
  <si>
    <t>Storage Buffer</t>
  </si>
  <si>
    <t>B&amp;W Buffer</t>
  </si>
  <si>
    <t>Hold Time (min)</t>
  </si>
  <si>
    <t>Solution B</t>
  </si>
  <si>
    <t>Elution Solution</t>
  </si>
  <si>
    <t>Final</t>
  </si>
  <si>
    <t>Wait On User</t>
  </si>
  <si>
    <t>Subject</t>
  </si>
  <si>
    <t>5Cap Assay run Finished</t>
  </si>
  <si>
    <t>Message</t>
  </si>
  <si>
    <t>Congratulations, your run is finished. Hooray!</t>
  </si>
  <si>
    <t>Finish</t>
  </si>
  <si>
    <t>Sample #</t>
  </si>
  <si>
    <t>Description</t>
  </si>
  <si>
    <t>Repititions</t>
  </si>
  <si>
    <t>[Module]</t>
  </si>
  <si>
    <t>Heater</t>
  </si>
  <si>
    <t>[Command]</t>
  </si>
  <si>
    <t>AcquireReservation</t>
  </si>
  <si>
    <t>[PlateName]</t>
  </si>
  <si>
    <t>[Temperature]</t>
  </si>
  <si>
    <t>[RPM]</t>
  </si>
  <si>
    <t>Step Title: Plate</t>
  </si>
  <si>
    <t>Excel Location (Row,Col): (7,3)</t>
  </si>
  <si>
    <t>Name: Annealing</t>
  </si>
  <si>
    <t>Type: 96 Well PCR Plate</t>
  </si>
  <si>
    <t>Test</t>
  </si>
  <si>
    <t>Step Title: Dilute</t>
  </si>
  <si>
    <t>Excel Location (Row,Col): (11,3)</t>
  </si>
  <si>
    <t>Source: Sample</t>
  </si>
  <si>
    <t>Diluent: DEPC Water</t>
  </si>
  <si>
    <t xml:space="preserve">Starting Concentration (mg/mL): Starting Concentration (mg/mL) (Worklist Column) </t>
  </si>
  <si>
    <t>Target Concentration (mg/mL): 0.6534828235294118</t>
  </si>
  <si>
    <t>Target Volume (uL): 85.0</t>
  </si>
  <si>
    <t>Max Source Volume (uL): 85.0</t>
  </si>
  <si>
    <t>Pipette</t>
  </si>
  <si>
    <t>GetLiquidClassStrings</t>
  </si>
  <si>
    <t>[TransferVolume]</t>
  </si>
  <si>
    <t>[LiquidCategory]</t>
  </si>
  <si>
    <t>Water</t>
  </si>
  <si>
    <t>Wate</t>
  </si>
  <si>
    <t>##3.1##</t>
  </si>
  <si>
    <t>GetTipSequenceStrings</t>
  </si>
  <si>
    <t>##3.2##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</si>
  <si>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</si>
  <si>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</si>
  <si>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</si>
  <si>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</si>
  <si>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</si>
  <si>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</si>
  <si>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</si>
  <si>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</si>
  <si>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</si>
  <si>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[KeepTips]</t>
  </si>
  <si>
    <t>##3.3##</t>
  </si>
  <si>
    <t>##3.4##</t>
  </si>
  <si>
    <t>##3.5##</t>
  </si>
  <si>
    <t>##3.6##</t>
  </si>
  <si>
    <t>Step Title: Liquid Transfer</t>
  </si>
  <si>
    <t>Excel Location (Row,Col): (19,3)</t>
  </si>
  <si>
    <t>Source: 10x Rnase H reaction buffer</t>
  </si>
  <si>
    <t>Liquid Type: Buffer/Diluent</t>
  </si>
  <si>
    <t>Storage Condition: Ambient</t>
  </si>
  <si>
    <t>Volume (uL): 10.0</t>
  </si>
  <si>
    <t>Mix?: Yes</t>
  </si>
  <si>
    <t>##4.1##</t>
  </si>
  <si>
    <t>##4.2##</t>
  </si>
  <si>
    <t>##4.3##</t>
  </si>
  <si>
    <t>Excel Location (Row,Col): (26,3)</t>
  </si>
  <si>
    <t>Source: 50 uM Probe</t>
  </si>
  <si>
    <t>Liquid Type: General Reagent</t>
  </si>
  <si>
    <t>Volume (uL): 5.0</t>
  </si>
  <si>
    <t>##5.1##</t>
  </si>
  <si>
    <t>##5.2##</t>
  </si>
  <si>
    <t>##5.3##</t>
  </si>
  <si>
    <t>DISABLED: Thermocycle</t>
  </si>
  <si>
    <t>Magnetic Beads Plate</t>
  </si>
  <si>
    <t>Storage Buffer Volume (uL)</t>
  </si>
  <si>
    <t>Time to start thermocycling step</t>
  </si>
  <si>
    <t>Please thermocycle the Annealing Plate with the following program. (Temp,Time) 80,5;75,2;</t>
  </si>
  <si>
    <t>N/A</t>
  </si>
  <si>
    <t>Step Title: Notify</t>
  </si>
  <si>
    <t>Excel Location (Row,Col): (37,3)</t>
  </si>
  <si>
    <t>Wait On User: Yes</t>
  </si>
  <si>
    <t>Subject: Time to start thermocycling step</t>
  </si>
  <si>
    <t>Message: Please thermocycle the Annealing Plate with the following program. (Temp,Time) 80,5;75,2;</t>
  </si>
  <si>
    <t>Excel Location (Row,Col): (42,3)</t>
  </si>
  <si>
    <t>Source: Rnase H</t>
  </si>
  <si>
    <t>Liquid Type: Enzyme</t>
  </si>
  <si>
    <t>##7.1##</t>
  </si>
  <si>
    <t>##7.2##</t>
  </si>
  <si>
    <t>##7.3##</t>
  </si>
  <si>
    <t>Step Title: Split Plate</t>
  </si>
  <si>
    <t>Excel Location (Row,Col): (49,3)</t>
  </si>
  <si>
    <t>Plate Choice: Concurrent</t>
  </si>
  <si>
    <t>Plate Name 1: Annealing</t>
  </si>
  <si>
    <t>Step Title: Incubate</t>
  </si>
  <si>
    <t>Excel Location (Row,Col): (58,1)</t>
  </si>
  <si>
    <t>Temp (C): 37.0</t>
  </si>
  <si>
    <t>Time (min): 60.0</t>
  </si>
  <si>
    <t>Shake (rpm): 0.0</t>
  </si>
  <si>
    <t>Labware</t>
  </si>
  <si>
    <t>GetSequenceStrings</t>
  </si>
  <si>
    <t>[PlateNames]</t>
  </si>
  <si>
    <t>Annealin</t>
  </si>
  <si>
    <t>##9.1##</t>
  </si>
  <si>
    <t>GetLabwareTypes</t>
  </si>
  <si>
    <t>##9.2##</t>
  </si>
  <si>
    <t>GetReservationHeaterSequenceString</t>
  </si>
  <si>
    <t>##9.3##</t>
  </si>
  <si>
    <t>##9.4##</t>
  </si>
  <si>
    <t>Lid</t>
  </si>
  <si>
    <t>##9.5##</t>
  </si>
  <si>
    <t>GetReservationLidSequenceString</t>
  </si>
  <si>
    <t>##9.6##</t>
  </si>
  <si>
    <t>##9.7##</t>
  </si>
  <si>
    <t>##9.8##</t>
  </si>
  <si>
    <t>##9.9##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</si>
  <si>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</si>
  <si>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</si>
  <si>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</si>
  <si>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</si>
  <si>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</si>
  <si>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</si>
  <si>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</si>
  <si>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</si>
  <si>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Fals</t>
  </si>
  <si>
    <t>##9.10##</t>
  </si>
  <si>
    <t>##9.11##</t>
  </si>
  <si>
    <t>StartReservation</t>
  </si>
  <si>
    <t>##9.12##</t>
  </si>
  <si>
    <t>Excel Location (Row,Col): (58,5)</t>
  </si>
  <si>
    <t>Source: Dynabeads</t>
  </si>
  <si>
    <t>Volume (uL): 100.0</t>
  </si>
  <si>
    <t>##10.1##</t>
  </si>
  <si>
    <t>Beads</t>
  </si>
  <si>
    <t>Plate Name 2: Beads</t>
  </si>
  <si>
    <t>Spike</t>
  </si>
  <si>
    <t>Spike Volume</t>
  </si>
  <si>
    <t>Add Spike? (Yes or No)</t>
  </si>
  <si>
    <t>Sample 1</t>
  </si>
  <si>
    <t>Sample 2</t>
  </si>
  <si>
    <t>Merge Plates</t>
  </si>
  <si>
    <t>Plate Name</t>
  </si>
  <si>
    <t>Continue Here?</t>
  </si>
  <si>
    <t>Waste</t>
  </si>
  <si>
    <t>[DestinationPipettingOffset]</t>
  </si>
  <si>
    <t>GetReservationHeaterTransportType</t>
  </si>
  <si>
    <t>GetReservationLidTransportType</t>
  </si>
  <si>
    <t>60mL Reagent Reservior</t>
  </si>
  <si>
    <t>Reagent</t>
  </si>
  <si>
    <t>Hamilton 1.5mL FlipTube</t>
  </si>
  <si>
    <t>Sample: 200uL Biorad 96 Well PCR Plate</t>
  </si>
  <si>
    <t>A1: 15.554604000000001uL</t>
  </si>
  <si>
    <t>A2: 13.703069333333334uL</t>
  </si>
  <si>
    <t>Minimum Volume: 160.0uL</t>
  </si>
  <si>
    <t>Reagent Lot</t>
  </si>
  <si>
    <t>Reagent Volume</t>
  </si>
  <si>
    <t>Diluent Lot</t>
  </si>
  <si>
    <t>Diluent Volume</t>
  </si>
  <si>
    <t>Minimum Volume: 170.0uL</t>
  </si>
  <si>
    <t>Minimum Volume: 350.0uL</t>
  </si>
  <si>
    <t>Minimum Volume: 2660.74uL</t>
  </si>
  <si>
    <t>Minimum Volume: 2520.0uL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</si>
</sst>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1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Border="1" applyAlignment="1">
      <alignment horizontal="center"/>
    </xf>
    <xf numFmtId="0" fontId="1" fillId="0" borderId="0" xfId="0" applyFont="1"/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3" borderId="9" xfId="0" applyFont="1" applyFill="1" applyBorder="1" applyAlignment="1">
      <alignment horizontal="center"/>
    </xf>
    <xf numFmtId="0" fontId="0" fillId="6" borderId="10" xfId="0" applyFill="1" applyBorder="1" applyAlignment="1">
      <alignment vertical="center" wrapText="1"/>
    </xf>
    <xf numFmtId="0" fontId="0" fillId="6" borderId="12" xfId="0" applyFill="1" applyBorder="1" applyAlignment="1">
      <alignment vertical="center" wrapText="1"/>
    </xf>
    <xf numFmtId="0" fontId="0" fillId="0" borderId="0" xfId="0"/>
    <xf numFmtId="0" fontId="0" fillId="0" borderId="5" xfId="0" applyBorder="1"/>
    <xf numFmtId="0" fontId="0" fillId="3" borderId="3" xfId="0" applyFill="1" applyBorder="1"/>
    <xf numFmtId="0" fontId="0" fillId="3" borderId="5" xfId="0" applyFill="1" applyBorder="1"/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1" fillId="0" borderId="9" xfId="0" applyFont="1" applyBorder="1" applyAlignment="1">
      <alignment horizontal="center" vertical="center"/>
    </xf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10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2" borderId="10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0" fillId="6" borderId="10" xfId="0" applyFill="1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5" borderId="10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0" fillId="4" borderId="10" xfId="0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10" xfId="0" applyBorder="1" applyAlignment="1">
      <alignment horizontal="center"/>
    </xf>
    <xf numFmtId="0" fontId="0" fillId="0" borderId="13" xfId="0" applyBorder="1"/>
    <xf numFmtId="0" fontId="0" fillId="0" borderId="7" xfId="0" applyBorder="1"/>
    <xf numFmtId="0" fontId="0" fillId="0" borderId="12" xfId="0" applyBorder="1" applyAlignment="1">
      <alignment horizontal="center"/>
    </xf>
    <xf numFmtId="0" fontId="0" fillId="0" borderId="21" xfId="0" applyBorder="1"/>
    <xf numFmtId="0" fontId="3" fillId="0" borderId="20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0" fillId="0" borderId="19" xfId="0" applyBorder="1"/>
    <xf numFmtId="0" fontId="0" fillId="0" borderId="16" xfId="0" applyBorder="1"/>
    <xf numFmtId="0" fontId="0" fillId="0" borderId="0" xfId="0" applyBorder="1"/>
    <xf numFmtId="0" fontId="0" fillId="0" borderId="13" xfId="0" applyBorder="1"/>
    <xf numFmtId="0" fontId="0" fillId="0" borderId="8" xfId="0" applyBorder="1"/>
    <xf numFmtId="0" fontId="0" fillId="0" borderId="22" xfId="0" applyBorder="1"/>
    <xf numFmtId="0" fontId="0" fillId="0" borderId="17" xfId="0" applyBorder="1"/>
    <xf numFmtId="0" fontId="0" fillId="0" borderId="7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5"/>
  <sheetViews>
    <sheetView topLeftCell="A10" workbookViewId="0">
      <selection activeCell="D25" sqref="D25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30" t="s">
        <v>0</v>
      </c>
      <c r="C3" s="30"/>
      <c r="D3" s="30" t="s">
        <v>1</v>
      </c>
      <c r="F3" s="52" t="s">
        <v>2</v>
      </c>
      <c r="G3" s="52"/>
      <c r="H3" s="52"/>
      <c r="I3" s="52"/>
      <c r="J3" s="52"/>
      <c r="K3" s="52"/>
      <c r="L3" s="52"/>
    </row>
    <row r="4" spans="2:12" x14ac:dyDescent="0.25">
      <c r="B4" t="s">
        <v>3</v>
      </c>
      <c r="D4" s="32" t="s">
        <v>4</v>
      </c>
      <c r="F4" s="30" t="s">
        <v>5</v>
      </c>
      <c r="G4" s="30" t="s">
        <v>6</v>
      </c>
      <c r="H4" s="30" t="s">
        <v>7</v>
      </c>
      <c r="I4" s="30" t="s">
        <v>8</v>
      </c>
      <c r="J4" s="30" t="s">
        <v>9</v>
      </c>
      <c r="K4" s="30" t="s">
        <v>10</v>
      </c>
      <c r="L4" s="30" t="s">
        <v>11</v>
      </c>
    </row>
    <row r="5" spans="2:12" x14ac:dyDescent="0.25">
      <c r="B5" t="s">
        <v>12</v>
      </c>
      <c r="D5" s="32" t="s">
        <v>13</v>
      </c>
      <c r="F5" t="s">
        <v>5</v>
      </c>
      <c r="G5" t="s">
        <v>6</v>
      </c>
      <c r="H5" t="s">
        <v>7</v>
      </c>
      <c r="I5" t="s">
        <v>8</v>
      </c>
      <c r="J5" t="s">
        <v>9</v>
      </c>
      <c r="K5" t="s">
        <v>10</v>
      </c>
      <c r="L5" t="s">
        <v>11</v>
      </c>
    </row>
    <row r="6" spans="2:12" x14ac:dyDescent="0.25">
      <c r="B6" t="s">
        <v>14</v>
      </c>
      <c r="D6" s="32"/>
      <c r="F6" t="s">
        <v>15</v>
      </c>
      <c r="G6" t="s">
        <v>16</v>
      </c>
      <c r="H6" t="s">
        <v>17</v>
      </c>
      <c r="I6" t="s">
        <v>18</v>
      </c>
      <c r="J6" t="s">
        <v>19</v>
      </c>
      <c r="K6" t="s">
        <v>20</v>
      </c>
      <c r="L6" t="s">
        <v>21</v>
      </c>
    </row>
    <row r="7" spans="2:12" x14ac:dyDescent="0.25">
      <c r="B7" t="s">
        <v>22</v>
      </c>
      <c r="D7" s="32"/>
    </row>
    <row r="9" spans="2:12" x14ac:dyDescent="0.25">
      <c r="B9" s="30" t="s">
        <v>23</v>
      </c>
      <c r="D9" s="30" t="s">
        <v>24</v>
      </c>
    </row>
    <row r="10" spans="2:12" x14ac:dyDescent="0.25">
      <c r="B10" t="s">
        <v>25</v>
      </c>
      <c r="D10" t="s">
        <v>26</v>
      </c>
    </row>
    <row r="11" spans="2:12" x14ac:dyDescent="0.25">
      <c r="B11" t="s">
        <v>27</v>
      </c>
      <c r="D11" t="s">
        <v>28</v>
      </c>
    </row>
    <row r="12" spans="2:12" x14ac:dyDescent="0.25">
      <c r="B12" t="s">
        <v>29</v>
      </c>
    </row>
    <row r="13" spans="2:12" x14ac:dyDescent="0.25">
      <c r="B13" t="s">
        <v>30</v>
      </c>
      <c r="D13" s="30" t="s">
        <v>31</v>
      </c>
    </row>
    <row r="14" spans="2:12" x14ac:dyDescent="0.25">
      <c r="B14" t="s">
        <v>32</v>
      </c>
      <c r="D14" t="s">
        <v>33</v>
      </c>
    </row>
    <row r="15" spans="2:12" x14ac:dyDescent="0.25">
      <c r="B15" t="s">
        <v>34</v>
      </c>
      <c r="D15" t="s">
        <v>35</v>
      </c>
    </row>
    <row r="16" spans="2:12" x14ac:dyDescent="0.25">
      <c r="B16" t="s">
        <v>36</v>
      </c>
    </row>
    <row r="17" spans="2:4" x14ac:dyDescent="0.25">
      <c r="B17" t="s">
        <v>37</v>
      </c>
    </row>
    <row r="18" spans="2:4" x14ac:dyDescent="0.25">
      <c r="D18" s="30" t="s">
        <v>38</v>
      </c>
    </row>
    <row r="19" spans="2:4" x14ac:dyDescent="0.25">
      <c r="B19" s="30" t="s">
        <v>39</v>
      </c>
      <c r="D19" t="s">
        <v>40</v>
      </c>
    </row>
    <row r="20" spans="2:4" x14ac:dyDescent="0.25">
      <c r="B20" t="s">
        <v>41</v>
      </c>
      <c r="D20" t="s">
        <v>42</v>
      </c>
    </row>
    <row r="21" spans="2:4" x14ac:dyDescent="0.25">
      <c r="B21" t="s">
        <v>43</v>
      </c>
      <c r="D21" t="s">
        <v>44</v>
      </c>
    </row>
    <row r="22" spans="2:4" x14ac:dyDescent="0.25">
      <c r="D22" t="s">
        <v>45</v>
      </c>
    </row>
    <row r="24" spans="2:4" x14ac:dyDescent="0.25">
      <c r="D24" s="30" t="s">
        <v>46</v>
      </c>
    </row>
    <row r="25" spans="2:4" x14ac:dyDescent="0.25">
      <c r="D25" t="s">
        <v>47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51"/>
  <sheetViews>
    <sheetView tabSelected="1" topLeftCell="A28" zoomScale="90" zoomScaleNormal="90" workbookViewId="0">
      <selection activeCell="E69" sqref="E69"/>
    </sheetView>
  </sheetViews>
  <sheetFormatPr defaultRowHeight="15" x14ac:dyDescent="0.25"/>
  <cols>
    <col min="1" max="1" width="19.28515625" customWidth="1"/>
    <col min="2" max="2" width="22" customWidth="1"/>
    <col min="3" max="3" width="43" bestFit="1" customWidth="1"/>
    <col min="4" max="4" width="36.8554687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21.5703125" bestFit="1" customWidth="1"/>
    <col min="11" max="11" width="17.7109375" customWidth="1"/>
    <col min="12" max="12" width="10.5703125" bestFit="1" customWidth="1"/>
    <col min="14" max="14" width="9.5703125" customWidth="1"/>
  </cols>
  <sheetData>
    <row r="1" spans="4:6" ht="15.75" thickBot="1" x14ac:dyDescent="0.3"/>
    <row r="2" spans="4:6" x14ac:dyDescent="0.25">
      <c r="D2" s="64" t="s">
        <v>37</v>
      </c>
      <c r="E2" s="65"/>
      <c r="F2" s="25" t="s">
        <v>48</v>
      </c>
    </row>
    <row r="3" spans="4:6" x14ac:dyDescent="0.25">
      <c r="D3" s="26" t="s">
        <v>49</v>
      </c>
      <c r="E3" s="29" t="s">
        <v>50</v>
      </c>
      <c r="F3" s="53" t="s">
        <v>51</v>
      </c>
    </row>
    <row r="4" spans="4:6" ht="15.75" thickBot="1" x14ac:dyDescent="0.3">
      <c r="D4" s="1" t="s">
        <v>52</v>
      </c>
      <c r="E4" s="15" t="s">
        <v>3</v>
      </c>
      <c r="F4" s="54"/>
    </row>
    <row r="6" spans="4:6" s="2" customFormat="1" ht="15.75" thickBot="1" x14ac:dyDescent="0.3">
      <c r="D6" s="89" t="s">
        <v>53</v>
      </c>
      <c r="E6" s="89"/>
    </row>
    <row r="7" spans="4:6" ht="15.75" thickBot="1" x14ac:dyDescent="0.3"/>
    <row r="8" spans="4:6" x14ac:dyDescent="0.25">
      <c r="D8" s="64" t="s">
        <v>37</v>
      </c>
      <c r="E8" s="65"/>
      <c r="F8" s="25" t="s">
        <v>48</v>
      </c>
    </row>
    <row r="9" spans="4:6" x14ac:dyDescent="0.25">
      <c r="D9" s="26" t="s">
        <v>49</v>
      </c>
      <c r="E9" s="29" t="s">
        <v>54</v>
      </c>
      <c r="F9" s="53"/>
    </row>
    <row r="10" spans="4:6" ht="15.75" thickBot="1" x14ac:dyDescent="0.3">
      <c r="D10" s="1" t="s">
        <v>52</v>
      </c>
      <c r="E10" s="28" t="s">
        <v>3</v>
      </c>
      <c r="F10" s="54"/>
    </row>
    <row r="11" spans="4:6" ht="15.75" thickBot="1" x14ac:dyDescent="0.3"/>
    <row r="12" spans="4:6" x14ac:dyDescent="0.25">
      <c r="D12" s="84" t="s">
        <v>6</v>
      </c>
      <c r="E12" s="85"/>
      <c r="F12" s="22" t="s">
        <v>48</v>
      </c>
    </row>
    <row r="13" spans="4:6" x14ac:dyDescent="0.25">
      <c r="D13" s="5" t="s">
        <v>55</v>
      </c>
      <c r="E13" s="13" t="str">
        <f>E3</f>
        <v>Sample</v>
      </c>
      <c r="F13" s="86"/>
    </row>
    <row r="14" spans="4:6" x14ac:dyDescent="0.25">
      <c r="D14" s="5" t="s">
        <v>56</v>
      </c>
      <c r="E14" s="13" t="s">
        <v>57</v>
      </c>
      <c r="F14" s="87"/>
    </row>
    <row r="15" spans="4:6" x14ac:dyDescent="0.25">
      <c r="D15" s="5" t="s">
        <v>58</v>
      </c>
      <c r="E15" s="13" t="str">
        <f>Worklist!C1</f>
        <v>Starting Concentration (mg/mL)</v>
      </c>
      <c r="F15" s="87"/>
    </row>
    <row r="16" spans="4:6" x14ac:dyDescent="0.25">
      <c r="D16" s="5" t="s">
        <v>59</v>
      </c>
      <c r="E16" s="13">
        <f>40*1388651*0.000001/E17</f>
        <v>0.65348282352941178</v>
      </c>
      <c r="F16" s="87"/>
    </row>
    <row r="17" spans="1:6" x14ac:dyDescent="0.25">
      <c r="D17" s="5" t="s">
        <v>60</v>
      </c>
      <c r="E17" s="13">
        <v>85</v>
      </c>
      <c r="F17" s="87"/>
    </row>
    <row r="18" spans="1:6" ht="15.75" thickBot="1" x14ac:dyDescent="0.3">
      <c r="A18" t="s">
        <v>61</v>
      </c>
      <c r="D18" s="6" t="s">
        <v>62</v>
      </c>
      <c r="E18" s="14">
        <v>85</v>
      </c>
      <c r="F18" s="88"/>
    </row>
    <row r="19" spans="1:6" ht="15.75" thickBot="1" x14ac:dyDescent="0.3"/>
    <row r="20" spans="1:6" x14ac:dyDescent="0.25">
      <c r="D20" s="69" t="s">
        <v>5</v>
      </c>
      <c r="E20" s="70"/>
      <c r="F20" s="24" t="s">
        <v>48</v>
      </c>
    </row>
    <row r="21" spans="1:6" x14ac:dyDescent="0.25">
      <c r="D21" s="3" t="s">
        <v>55</v>
      </c>
      <c r="E21" s="11" t="s">
        <v>63</v>
      </c>
      <c r="F21" s="71"/>
    </row>
    <row r="22" spans="1:6" x14ac:dyDescent="0.25">
      <c r="D22" s="3" t="s">
        <v>23</v>
      </c>
      <c r="E22" s="11" t="s">
        <v>32</v>
      </c>
      <c r="F22" s="72"/>
    </row>
    <row r="23" spans="1:6" x14ac:dyDescent="0.25">
      <c r="D23" s="3" t="s">
        <v>39</v>
      </c>
      <c r="E23" s="11" t="s">
        <v>41</v>
      </c>
      <c r="F23" s="72"/>
    </row>
    <row r="24" spans="1:6" x14ac:dyDescent="0.25">
      <c r="D24" s="3" t="s">
        <v>64</v>
      </c>
      <c r="E24" s="11">
        <v>10</v>
      </c>
      <c r="F24" s="72"/>
    </row>
    <row r="25" spans="1:6" ht="15.75" thickBot="1" x14ac:dyDescent="0.3">
      <c r="D25" s="4" t="s">
        <v>65</v>
      </c>
      <c r="E25" s="12" t="s">
        <v>26</v>
      </c>
      <c r="F25" s="73"/>
    </row>
    <row r="26" spans="1:6" ht="15.75" thickBot="1" x14ac:dyDescent="0.3"/>
    <row r="27" spans="1:6" x14ac:dyDescent="0.25">
      <c r="D27" s="69" t="s">
        <v>5</v>
      </c>
      <c r="E27" s="70"/>
      <c r="F27" s="24" t="s">
        <v>48</v>
      </c>
    </row>
    <row r="28" spans="1:6" x14ac:dyDescent="0.25">
      <c r="D28" s="3" t="s">
        <v>55</v>
      </c>
      <c r="E28" s="11" t="s">
        <v>66</v>
      </c>
      <c r="F28" s="71"/>
    </row>
    <row r="29" spans="1:6" x14ac:dyDescent="0.25">
      <c r="D29" s="3" t="s">
        <v>23</v>
      </c>
      <c r="E29" s="11" t="s">
        <v>25</v>
      </c>
      <c r="F29" s="72"/>
    </row>
    <row r="30" spans="1:6" x14ac:dyDescent="0.25">
      <c r="D30" s="3" t="s">
        <v>39</v>
      </c>
      <c r="E30" s="11" t="s">
        <v>41</v>
      </c>
      <c r="F30" s="72"/>
    </row>
    <row r="31" spans="1:6" x14ac:dyDescent="0.25">
      <c r="D31" s="3" t="s">
        <v>64</v>
      </c>
      <c r="E31" s="11">
        <v>5</v>
      </c>
      <c r="F31" s="72"/>
    </row>
    <row r="32" spans="1:6" ht="15.75" thickBot="1" x14ac:dyDescent="0.3">
      <c r="D32" s="4" t="s">
        <v>65</v>
      </c>
      <c r="E32" s="12" t="s">
        <v>26</v>
      </c>
      <c r="F32" s="73"/>
    </row>
    <row r="33" spans="4:6" ht="15.75" thickBot="1" x14ac:dyDescent="0.3"/>
    <row r="34" spans="4:6" x14ac:dyDescent="0.25">
      <c r="D34" s="74" t="s">
        <v>157</v>
      </c>
      <c r="E34" s="75"/>
      <c r="F34" s="23" t="s">
        <v>48</v>
      </c>
    </row>
    <row r="35" spans="4:6" x14ac:dyDescent="0.25">
      <c r="D35" s="9" t="s">
        <v>67</v>
      </c>
      <c r="E35" s="19" t="s">
        <v>68</v>
      </c>
      <c r="F35" s="36"/>
    </row>
    <row r="36" spans="4:6" ht="15.75" thickBot="1" x14ac:dyDescent="0.3">
      <c r="D36" s="10" t="s">
        <v>69</v>
      </c>
      <c r="E36" s="20" t="s">
        <v>70</v>
      </c>
      <c r="F36" s="37"/>
    </row>
    <row r="37" spans="4:6" ht="15.75" thickBot="1" x14ac:dyDescent="0.3"/>
    <row r="38" spans="4:6" x14ac:dyDescent="0.25">
      <c r="D38" s="64" t="s">
        <v>8</v>
      </c>
      <c r="E38" s="65"/>
      <c r="F38" s="47" t="s">
        <v>48</v>
      </c>
    </row>
    <row r="39" spans="4:6" x14ac:dyDescent="0.25">
      <c r="D39" s="45" t="s">
        <v>88</v>
      </c>
      <c r="E39" s="46" t="s">
        <v>26</v>
      </c>
      <c r="F39" s="66"/>
    </row>
    <row r="40" spans="4:6" x14ac:dyDescent="0.25">
      <c r="D40" s="45" t="s">
        <v>89</v>
      </c>
      <c r="E40" s="49" t="s">
        <v>160</v>
      </c>
      <c r="F40" s="67"/>
    </row>
    <row r="41" spans="4:6" ht="30.75" thickBot="1" x14ac:dyDescent="0.3">
      <c r="D41" s="39" t="s">
        <v>91</v>
      </c>
      <c r="E41" s="48" t="s">
        <v>161</v>
      </c>
      <c r="F41" s="68"/>
    </row>
    <row r="42" spans="4:6" ht="15.75" thickBot="1" x14ac:dyDescent="0.3"/>
    <row r="43" spans="4:6" x14ac:dyDescent="0.25">
      <c r="D43" s="69" t="s">
        <v>5</v>
      </c>
      <c r="E43" s="70"/>
      <c r="F43" s="24" t="s">
        <v>48</v>
      </c>
    </row>
    <row r="44" spans="4:6" x14ac:dyDescent="0.25">
      <c r="D44" s="3" t="s">
        <v>55</v>
      </c>
      <c r="E44" s="11" t="s">
        <v>71</v>
      </c>
      <c r="F44" s="71"/>
    </row>
    <row r="45" spans="4:6" x14ac:dyDescent="0.25">
      <c r="D45" s="3" t="s">
        <v>23</v>
      </c>
      <c r="E45" s="11" t="s">
        <v>36</v>
      </c>
      <c r="F45" s="72"/>
    </row>
    <row r="46" spans="4:6" x14ac:dyDescent="0.25">
      <c r="D46" s="3" t="s">
        <v>39</v>
      </c>
      <c r="E46" s="11" t="s">
        <v>41</v>
      </c>
      <c r="F46" s="72"/>
    </row>
    <row r="47" spans="4:6" x14ac:dyDescent="0.25">
      <c r="D47" s="3" t="s">
        <v>64</v>
      </c>
      <c r="E47" s="11">
        <v>10</v>
      </c>
      <c r="F47" s="72"/>
    </row>
    <row r="48" spans="4:6" ht="15.75" thickBot="1" x14ac:dyDescent="0.3">
      <c r="D48" s="4" t="s">
        <v>65</v>
      </c>
      <c r="E48" s="12" t="s">
        <v>26</v>
      </c>
      <c r="F48" s="73"/>
    </row>
    <row r="49" spans="2:8" ht="15.75" thickBot="1" x14ac:dyDescent="0.3"/>
    <row r="50" spans="2:8" x14ac:dyDescent="0.25">
      <c r="D50" s="79" t="s">
        <v>72</v>
      </c>
      <c r="E50" s="80"/>
      <c r="F50" s="21" t="s">
        <v>48</v>
      </c>
    </row>
    <row r="51" spans="2:8" x14ac:dyDescent="0.25">
      <c r="D51" s="7" t="s">
        <v>73</v>
      </c>
      <c r="E51" s="16" t="s">
        <v>74</v>
      </c>
      <c r="F51" s="81"/>
    </row>
    <row r="52" spans="2:8" x14ac:dyDescent="0.25">
      <c r="D52" s="7" t="s">
        <v>75</v>
      </c>
      <c r="E52" s="16" t="str">
        <f>C56</f>
        <v>Annealing</v>
      </c>
      <c r="F52" s="82"/>
    </row>
    <row r="53" spans="2:8" ht="15.75" thickBot="1" x14ac:dyDescent="0.3">
      <c r="D53" s="8" t="s">
        <v>76</v>
      </c>
      <c r="E53" s="17" t="str">
        <f>G56</f>
        <v>Beads</v>
      </c>
      <c r="F53" s="83"/>
    </row>
    <row r="54" spans="2:8" ht="15.75" thickBot="1" x14ac:dyDescent="0.3"/>
    <row r="55" spans="2:8" x14ac:dyDescent="0.25">
      <c r="B55" s="64" t="s">
        <v>37</v>
      </c>
      <c r="C55" s="65"/>
      <c r="D55" s="25" t="s">
        <v>48</v>
      </c>
      <c r="F55" s="64" t="s">
        <v>37</v>
      </c>
      <c r="G55" s="65"/>
      <c r="H55" s="25" t="s">
        <v>48</v>
      </c>
    </row>
    <row r="56" spans="2:8" x14ac:dyDescent="0.25">
      <c r="B56" s="26" t="s">
        <v>49</v>
      </c>
      <c r="C56" s="29" t="s">
        <v>54</v>
      </c>
      <c r="D56" s="53"/>
      <c r="F56" s="26" t="s">
        <v>49</v>
      </c>
      <c r="G56" s="29" t="s">
        <v>217</v>
      </c>
      <c r="H56" s="53"/>
    </row>
    <row r="57" spans="2:8" ht="15.75" thickBot="1" x14ac:dyDescent="0.3">
      <c r="B57" s="1" t="s">
        <v>52</v>
      </c>
      <c r="C57" s="28" t="s">
        <v>3</v>
      </c>
      <c r="D57" s="54"/>
      <c r="F57" s="1" t="s">
        <v>52</v>
      </c>
      <c r="G57" s="28" t="s">
        <v>3</v>
      </c>
      <c r="H57" s="54"/>
    </row>
    <row r="58" spans="2:8" ht="15.75" thickBot="1" x14ac:dyDescent="0.3"/>
    <row r="59" spans="2:8" x14ac:dyDescent="0.25">
      <c r="B59" s="74" t="s">
        <v>10</v>
      </c>
      <c r="C59" s="75"/>
      <c r="D59" s="23" t="s">
        <v>48</v>
      </c>
      <c r="F59" s="69" t="s">
        <v>5</v>
      </c>
      <c r="G59" s="70"/>
      <c r="H59" s="24" t="s">
        <v>48</v>
      </c>
    </row>
    <row r="60" spans="2:8" x14ac:dyDescent="0.25">
      <c r="B60" s="9" t="s">
        <v>78</v>
      </c>
      <c r="C60" s="19">
        <v>37</v>
      </c>
      <c r="D60" s="76"/>
      <c r="F60" s="3" t="s">
        <v>55</v>
      </c>
      <c r="G60" s="11" t="s">
        <v>77</v>
      </c>
      <c r="H60" s="71"/>
    </row>
    <row r="61" spans="2:8" x14ac:dyDescent="0.25">
      <c r="B61" s="9" t="s">
        <v>79</v>
      </c>
      <c r="C61" s="19">
        <v>60</v>
      </c>
      <c r="D61" s="77"/>
      <c r="F61" s="3" t="s">
        <v>23</v>
      </c>
      <c r="G61" s="11" t="s">
        <v>25</v>
      </c>
      <c r="H61" s="72"/>
    </row>
    <row r="62" spans="2:8" ht="15.75" thickBot="1" x14ac:dyDescent="0.3">
      <c r="B62" s="10" t="s">
        <v>80</v>
      </c>
      <c r="C62" s="20">
        <v>0</v>
      </c>
      <c r="D62" s="78"/>
      <c r="F62" s="3" t="s">
        <v>39</v>
      </c>
      <c r="G62" s="11" t="s">
        <v>41</v>
      </c>
      <c r="H62" s="72"/>
    </row>
    <row r="63" spans="2:8" ht="15.75" thickBot="1" x14ac:dyDescent="0.3">
      <c r="F63" s="3" t="s">
        <v>64</v>
      </c>
      <c r="G63" s="11">
        <v>100</v>
      </c>
      <c r="H63" s="72"/>
    </row>
    <row r="64" spans="2:8" ht="15.75" thickBot="1" x14ac:dyDescent="0.3">
      <c r="B64" s="64" t="s">
        <v>224</v>
      </c>
      <c r="C64" s="65"/>
      <c r="D64" s="25" t="s">
        <v>48</v>
      </c>
      <c r="F64" s="4" t="s">
        <v>65</v>
      </c>
      <c r="G64" s="12" t="s">
        <v>26</v>
      </c>
      <c r="H64" s="73"/>
    </row>
    <row r="65" spans="1:8" ht="15.75" thickBot="1" x14ac:dyDescent="0.3">
      <c r="B65" s="90" t="s">
        <v>225</v>
      </c>
      <c r="C65" s="91" t="str">
        <f>G67</f>
        <v>Waste</v>
      </c>
      <c r="D65" s="92"/>
    </row>
    <row r="66" spans="1:8" ht="15.75" thickBot="1" x14ac:dyDescent="0.3">
      <c r="B66" s="93" t="s">
        <v>226</v>
      </c>
      <c r="C66" s="94" t="s">
        <v>28</v>
      </c>
      <c r="D66" s="95"/>
      <c r="F66" s="64" t="s">
        <v>37</v>
      </c>
      <c r="G66" s="65"/>
      <c r="H66" s="25" t="s">
        <v>48</v>
      </c>
    </row>
    <row r="67" spans="1:8" x14ac:dyDescent="0.25">
      <c r="B67" s="38"/>
      <c r="C67" s="38"/>
      <c r="D67" s="38"/>
      <c r="F67" s="26" t="s">
        <v>49</v>
      </c>
      <c r="G67" s="29" t="s">
        <v>227</v>
      </c>
      <c r="H67" s="53"/>
    </row>
    <row r="68" spans="1:8" ht="15.75" thickBot="1" x14ac:dyDescent="0.3">
      <c r="B68" s="38"/>
      <c r="C68" s="38"/>
      <c r="D68" s="38"/>
      <c r="F68" s="1" t="s">
        <v>52</v>
      </c>
      <c r="G68" s="28" t="s">
        <v>3</v>
      </c>
      <c r="H68" s="54"/>
    </row>
    <row r="69" spans="1:8" ht="15.75" thickBot="1" x14ac:dyDescent="0.3">
      <c r="A69" s="38"/>
      <c r="B69" s="38"/>
      <c r="C69" s="38"/>
      <c r="D69" s="38"/>
      <c r="E69" s="38"/>
    </row>
    <row r="70" spans="1:8" x14ac:dyDescent="0.25">
      <c r="A70" s="38"/>
      <c r="B70" s="38"/>
      <c r="C70" s="38"/>
      <c r="D70" s="38"/>
      <c r="E70" s="38"/>
      <c r="F70" s="55" t="s">
        <v>81</v>
      </c>
      <c r="G70" s="56"/>
      <c r="H70" s="35" t="s">
        <v>48</v>
      </c>
    </row>
    <row r="71" spans="1:8" x14ac:dyDescent="0.25">
      <c r="A71" s="38"/>
      <c r="B71" s="38"/>
      <c r="C71" s="38"/>
      <c r="D71" s="38"/>
      <c r="E71" s="38"/>
      <c r="F71" s="40" t="s">
        <v>158</v>
      </c>
      <c r="G71" s="18" t="str">
        <f>G$56</f>
        <v>Beads</v>
      </c>
      <c r="H71" s="57"/>
    </row>
    <row r="72" spans="1:8" x14ac:dyDescent="0.25">
      <c r="A72" s="38"/>
      <c r="B72" s="38"/>
      <c r="C72" s="38"/>
      <c r="D72" s="38"/>
      <c r="E72" s="38"/>
      <c r="F72" s="40" t="s">
        <v>82</v>
      </c>
      <c r="G72" s="18" t="s">
        <v>83</v>
      </c>
      <c r="H72" s="58"/>
    </row>
    <row r="73" spans="1:8" x14ac:dyDescent="0.25">
      <c r="A73" s="38"/>
      <c r="B73" s="38"/>
      <c r="C73" s="38"/>
      <c r="D73" s="38"/>
      <c r="F73" s="40" t="s">
        <v>159</v>
      </c>
      <c r="G73" s="18">
        <v>150</v>
      </c>
      <c r="H73" s="58"/>
    </row>
    <row r="74" spans="1:8" x14ac:dyDescent="0.25">
      <c r="A74" s="38"/>
      <c r="B74" s="38"/>
      <c r="C74" s="38"/>
      <c r="D74" s="38"/>
      <c r="F74" s="40" t="s">
        <v>84</v>
      </c>
      <c r="G74" s="18">
        <v>2</v>
      </c>
      <c r="H74" s="58"/>
    </row>
    <row r="75" spans="1:8" ht="15.75" thickBot="1" x14ac:dyDescent="0.3">
      <c r="A75" s="38"/>
      <c r="B75" s="38"/>
      <c r="C75" s="38"/>
      <c r="D75" s="38"/>
      <c r="F75" s="41" t="s">
        <v>96</v>
      </c>
      <c r="G75" s="43">
        <v>3</v>
      </c>
      <c r="H75" s="59"/>
    </row>
    <row r="76" spans="1:8" ht="15.75" thickBot="1" x14ac:dyDescent="0.3">
      <c r="B76" s="38"/>
      <c r="C76" s="38"/>
      <c r="D76" s="38"/>
    </row>
    <row r="77" spans="1:8" s="38" customFormat="1" x14ac:dyDescent="0.25">
      <c r="A77"/>
      <c r="F77" s="55" t="s">
        <v>81</v>
      </c>
      <c r="G77" s="56"/>
      <c r="H77" s="44" t="s">
        <v>48</v>
      </c>
    </row>
    <row r="78" spans="1:8" s="38" customFormat="1" x14ac:dyDescent="0.25">
      <c r="A78"/>
      <c r="F78" s="40" t="s">
        <v>158</v>
      </c>
      <c r="G78" s="42" t="str">
        <f>G$56</f>
        <v>Beads</v>
      </c>
      <c r="H78" s="57"/>
    </row>
    <row r="79" spans="1:8" s="38" customFormat="1" x14ac:dyDescent="0.25">
      <c r="A79"/>
      <c r="F79" s="40" t="s">
        <v>82</v>
      </c>
      <c r="G79" s="42" t="s">
        <v>85</v>
      </c>
      <c r="H79" s="58"/>
    </row>
    <row r="80" spans="1:8" s="38" customFormat="1" x14ac:dyDescent="0.25">
      <c r="F80" s="40" t="s">
        <v>159</v>
      </c>
      <c r="G80" s="42">
        <v>150</v>
      </c>
      <c r="H80" s="58"/>
    </row>
    <row r="81" spans="1:8" s="38" customFormat="1" x14ac:dyDescent="0.25">
      <c r="F81" s="40" t="s">
        <v>84</v>
      </c>
      <c r="G81" s="42">
        <v>2</v>
      </c>
      <c r="H81" s="58"/>
    </row>
    <row r="82" spans="1:8" s="38" customFormat="1" ht="15.75" thickBot="1" x14ac:dyDescent="0.3">
      <c r="F82" s="41" t="s">
        <v>96</v>
      </c>
      <c r="G82" s="43">
        <v>2</v>
      </c>
      <c r="H82" s="59"/>
    </row>
    <row r="83" spans="1:8" s="38" customFormat="1" ht="15.75" thickBot="1" x14ac:dyDescent="0.3"/>
    <row r="84" spans="1:8" x14ac:dyDescent="0.25">
      <c r="A84" s="38"/>
      <c r="B84" s="38"/>
      <c r="C84" s="38"/>
      <c r="D84" s="38"/>
      <c r="E84" s="38"/>
      <c r="F84" s="64" t="s">
        <v>224</v>
      </c>
      <c r="G84" s="65"/>
      <c r="H84" s="25" t="s">
        <v>48</v>
      </c>
    </row>
    <row r="85" spans="1:8" x14ac:dyDescent="0.25">
      <c r="A85" s="38"/>
      <c r="B85" s="38"/>
      <c r="C85" s="38"/>
      <c r="D85" s="38"/>
      <c r="E85" s="38"/>
      <c r="F85" s="90" t="s">
        <v>225</v>
      </c>
      <c r="G85" s="91" t="str">
        <f>C56</f>
        <v>Annealing</v>
      </c>
      <c r="H85" s="92"/>
    </row>
    <row r="86" spans="1:8" ht="15.75" thickBot="1" x14ac:dyDescent="0.3">
      <c r="A86" s="38"/>
      <c r="B86" s="38"/>
      <c r="C86" s="38"/>
      <c r="D86" s="38"/>
      <c r="E86" s="38"/>
      <c r="F86" s="93" t="s">
        <v>226</v>
      </c>
      <c r="G86" s="94" t="s">
        <v>26</v>
      </c>
      <c r="H86" s="95"/>
    </row>
    <row r="87" spans="1:8" ht="15.75" thickBot="1" x14ac:dyDescent="0.3">
      <c r="A87" s="38"/>
      <c r="B87" s="38"/>
      <c r="C87" s="38"/>
      <c r="D87" s="38"/>
      <c r="E87" s="38"/>
    </row>
    <row r="88" spans="1:8" s="38" customFormat="1" x14ac:dyDescent="0.25">
      <c r="F88" s="55" t="s">
        <v>81</v>
      </c>
      <c r="G88" s="56"/>
      <c r="H88" s="44" t="s">
        <v>48</v>
      </c>
    </row>
    <row r="89" spans="1:8" s="38" customFormat="1" x14ac:dyDescent="0.25">
      <c r="F89" s="40" t="s">
        <v>158</v>
      </c>
      <c r="G89" s="42" t="str">
        <f>G$56</f>
        <v>Beads</v>
      </c>
      <c r="H89" s="57"/>
    </row>
    <row r="90" spans="1:8" s="38" customFormat="1" x14ac:dyDescent="0.25">
      <c r="F90" s="40" t="s">
        <v>82</v>
      </c>
      <c r="G90" s="42" t="str">
        <f>C56</f>
        <v>Annealing</v>
      </c>
      <c r="H90" s="58"/>
    </row>
    <row r="91" spans="1:8" s="38" customFormat="1" x14ac:dyDescent="0.25">
      <c r="F91" s="40" t="s">
        <v>159</v>
      </c>
      <c r="G91" s="42">
        <v>100</v>
      </c>
      <c r="H91" s="58"/>
    </row>
    <row r="92" spans="1:8" s="38" customFormat="1" x14ac:dyDescent="0.25">
      <c r="F92" s="40" t="s">
        <v>84</v>
      </c>
      <c r="G92" s="42">
        <v>2</v>
      </c>
      <c r="H92" s="58"/>
    </row>
    <row r="93" spans="1:8" s="38" customFormat="1" ht="15.75" thickBot="1" x14ac:dyDescent="0.3">
      <c r="F93" s="41" t="s">
        <v>96</v>
      </c>
      <c r="G93" s="43">
        <v>1</v>
      </c>
      <c r="H93" s="59"/>
    </row>
    <row r="94" spans="1:8" s="38" customFormat="1" ht="15.75" thickBot="1" x14ac:dyDescent="0.3"/>
    <row r="95" spans="1:8" s="38" customFormat="1" x14ac:dyDescent="0.25">
      <c r="F95" s="74" t="s">
        <v>10</v>
      </c>
      <c r="G95" s="75"/>
      <c r="H95" s="23" t="s">
        <v>48</v>
      </c>
    </row>
    <row r="96" spans="1:8" s="38" customFormat="1" x14ac:dyDescent="0.25">
      <c r="F96" s="9" t="s">
        <v>78</v>
      </c>
      <c r="G96" s="19">
        <v>25</v>
      </c>
      <c r="H96" s="76"/>
    </row>
    <row r="97" spans="6:8" s="38" customFormat="1" x14ac:dyDescent="0.25">
      <c r="F97" s="9" t="s">
        <v>79</v>
      </c>
      <c r="G97" s="19">
        <v>30</v>
      </c>
      <c r="H97" s="77"/>
    </row>
    <row r="98" spans="6:8" s="38" customFormat="1" ht="15.75" thickBot="1" x14ac:dyDescent="0.3">
      <c r="F98" s="10" t="s">
        <v>80</v>
      </c>
      <c r="G98" s="20">
        <v>650</v>
      </c>
      <c r="H98" s="78"/>
    </row>
    <row r="99" spans="6:8" s="38" customFormat="1" ht="15.75" thickBot="1" x14ac:dyDescent="0.3">
      <c r="F99"/>
      <c r="G99"/>
      <c r="H99"/>
    </row>
    <row r="100" spans="6:8" s="38" customFormat="1" x14ac:dyDescent="0.25">
      <c r="F100" s="55" t="s">
        <v>81</v>
      </c>
      <c r="G100" s="56"/>
      <c r="H100" s="44" t="s">
        <v>48</v>
      </c>
    </row>
    <row r="101" spans="6:8" s="38" customFormat="1" x14ac:dyDescent="0.25">
      <c r="F101" s="40" t="s">
        <v>158</v>
      </c>
      <c r="G101" s="42" t="str">
        <f>G$56</f>
        <v>Beads</v>
      </c>
      <c r="H101" s="57"/>
    </row>
    <row r="102" spans="6:8" s="38" customFormat="1" x14ac:dyDescent="0.25">
      <c r="F102" s="40" t="s">
        <v>82</v>
      </c>
      <c r="G102" s="42" t="s">
        <v>83</v>
      </c>
      <c r="H102" s="58"/>
    </row>
    <row r="103" spans="6:8" s="38" customFormat="1" x14ac:dyDescent="0.25">
      <c r="F103" s="40" t="s">
        <v>159</v>
      </c>
      <c r="G103" s="42">
        <v>200</v>
      </c>
      <c r="H103" s="58"/>
    </row>
    <row r="104" spans="6:8" s="38" customFormat="1" x14ac:dyDescent="0.25">
      <c r="F104" s="40" t="s">
        <v>84</v>
      </c>
      <c r="G104" s="42">
        <v>2</v>
      </c>
      <c r="H104" s="58"/>
    </row>
    <row r="105" spans="6:8" s="38" customFormat="1" ht="15.75" thickBot="1" x14ac:dyDescent="0.3">
      <c r="F105" s="41" t="s">
        <v>96</v>
      </c>
      <c r="G105" s="43">
        <v>2</v>
      </c>
      <c r="H105" s="59"/>
    </row>
    <row r="106" spans="6:8" s="38" customFormat="1" ht="15.75" thickBot="1" x14ac:dyDescent="0.3"/>
    <row r="107" spans="6:8" s="38" customFormat="1" x14ac:dyDescent="0.25">
      <c r="F107" s="55" t="s">
        <v>81</v>
      </c>
      <c r="G107" s="56"/>
      <c r="H107" s="44" t="s">
        <v>48</v>
      </c>
    </row>
    <row r="108" spans="6:8" s="38" customFormat="1" x14ac:dyDescent="0.25">
      <c r="F108" s="40" t="s">
        <v>158</v>
      </c>
      <c r="G108" s="42" t="str">
        <f>G$56</f>
        <v>Beads</v>
      </c>
      <c r="H108" s="57"/>
    </row>
    <row r="109" spans="6:8" s="38" customFormat="1" x14ac:dyDescent="0.25">
      <c r="F109" s="40" t="s">
        <v>82</v>
      </c>
      <c r="G109" s="42" t="s">
        <v>57</v>
      </c>
      <c r="H109" s="58"/>
    </row>
    <row r="110" spans="6:8" s="38" customFormat="1" x14ac:dyDescent="0.25">
      <c r="F110" s="40" t="s">
        <v>159</v>
      </c>
      <c r="G110" s="42">
        <v>200</v>
      </c>
      <c r="H110" s="58"/>
    </row>
    <row r="111" spans="6:8" s="38" customFormat="1" x14ac:dyDescent="0.25">
      <c r="F111" s="40" t="s">
        <v>84</v>
      </c>
      <c r="G111" s="42">
        <v>2</v>
      </c>
      <c r="H111" s="58"/>
    </row>
    <row r="112" spans="6:8" s="38" customFormat="1" ht="15.75" thickBot="1" x14ac:dyDescent="0.3">
      <c r="F112" s="41" t="s">
        <v>96</v>
      </c>
      <c r="G112" s="43">
        <v>4</v>
      </c>
      <c r="H112" s="59"/>
    </row>
    <row r="113" spans="2:8" s="38" customFormat="1" ht="15.75" thickBot="1" x14ac:dyDescent="0.3"/>
    <row r="114" spans="2:8" s="38" customFormat="1" x14ac:dyDescent="0.25">
      <c r="F114" s="55" t="s">
        <v>81</v>
      </c>
      <c r="G114" s="56"/>
      <c r="H114" s="44" t="s">
        <v>48</v>
      </c>
    </row>
    <row r="115" spans="2:8" s="38" customFormat="1" x14ac:dyDescent="0.25">
      <c r="F115" s="40" t="s">
        <v>158</v>
      </c>
      <c r="G115" s="42" t="str">
        <f>G$56</f>
        <v>Beads</v>
      </c>
      <c r="H115" s="57"/>
    </row>
    <row r="116" spans="2:8" s="38" customFormat="1" x14ac:dyDescent="0.25">
      <c r="F116" s="40" t="s">
        <v>82</v>
      </c>
      <c r="G116" s="42" t="s">
        <v>86</v>
      </c>
      <c r="H116" s="58"/>
    </row>
    <row r="117" spans="2:8" s="38" customFormat="1" x14ac:dyDescent="0.25">
      <c r="F117" s="40" t="s">
        <v>159</v>
      </c>
      <c r="G117" s="42">
        <v>100</v>
      </c>
      <c r="H117" s="58"/>
    </row>
    <row r="118" spans="2:8" s="38" customFormat="1" x14ac:dyDescent="0.25">
      <c r="F118" s="40" t="s">
        <v>84</v>
      </c>
      <c r="G118" s="42">
        <v>2</v>
      </c>
      <c r="H118" s="58"/>
    </row>
    <row r="119" spans="2:8" s="38" customFormat="1" ht="15.75" thickBot="1" x14ac:dyDescent="0.3">
      <c r="F119" s="41" t="s">
        <v>96</v>
      </c>
      <c r="G119" s="43">
        <v>1</v>
      </c>
      <c r="H119" s="59"/>
    </row>
    <row r="120" spans="2:8" s="38" customFormat="1" ht="15.75" thickBot="1" x14ac:dyDescent="0.3">
      <c r="F120"/>
      <c r="G120"/>
      <c r="H120"/>
    </row>
    <row r="121" spans="2:8" s="38" customFormat="1" x14ac:dyDescent="0.25">
      <c r="F121" s="74" t="s">
        <v>10</v>
      </c>
      <c r="G121" s="75"/>
      <c r="H121" s="23" t="s">
        <v>48</v>
      </c>
    </row>
    <row r="122" spans="2:8" s="38" customFormat="1" x14ac:dyDescent="0.25">
      <c r="D122"/>
      <c r="F122" s="9" t="s">
        <v>78</v>
      </c>
      <c r="G122" s="19">
        <v>90</v>
      </c>
      <c r="H122" s="76"/>
    </row>
    <row r="123" spans="2:8" s="38" customFormat="1" x14ac:dyDescent="0.25">
      <c r="D123"/>
      <c r="F123" s="9" t="s">
        <v>79</v>
      </c>
      <c r="G123" s="19">
        <v>5</v>
      </c>
      <c r="H123" s="77"/>
    </row>
    <row r="124" spans="2:8" s="38" customFormat="1" ht="15.75" thickBot="1" x14ac:dyDescent="0.3">
      <c r="D124"/>
      <c r="F124" s="10" t="s">
        <v>80</v>
      </c>
      <c r="G124" s="20">
        <v>350</v>
      </c>
      <c r="H124" s="78"/>
    </row>
    <row r="125" spans="2:8" s="38" customFormat="1" ht="15.75" thickBot="1" x14ac:dyDescent="0.3">
      <c r="B125"/>
      <c r="C125"/>
      <c r="D125"/>
      <c r="F125"/>
      <c r="G125"/>
      <c r="H125"/>
    </row>
    <row r="126" spans="2:8" s="38" customFormat="1" x14ac:dyDescent="0.25">
      <c r="B126"/>
      <c r="C126"/>
      <c r="D126"/>
      <c r="F126" s="64" t="s">
        <v>37</v>
      </c>
      <c r="G126" s="65"/>
      <c r="H126" s="25" t="s">
        <v>48</v>
      </c>
    </row>
    <row r="127" spans="2:8" s="38" customFormat="1" x14ac:dyDescent="0.25">
      <c r="B127"/>
      <c r="C127"/>
      <c r="D127"/>
      <c r="F127" s="26" t="s">
        <v>49</v>
      </c>
      <c r="G127" s="29" t="s">
        <v>87</v>
      </c>
      <c r="H127" s="53"/>
    </row>
    <row r="128" spans="2:8" s="38" customFormat="1" ht="15.75" thickBot="1" x14ac:dyDescent="0.3">
      <c r="B128"/>
      <c r="C128"/>
      <c r="D128"/>
      <c r="F128" s="1" t="s">
        <v>52</v>
      </c>
      <c r="G128" s="28" t="s">
        <v>3</v>
      </c>
      <c r="H128" s="54"/>
    </row>
    <row r="129" spans="1:8" s="38" customFormat="1" ht="15.75" thickBot="1" x14ac:dyDescent="0.3">
      <c r="B129"/>
      <c r="C129"/>
      <c r="D129"/>
    </row>
    <row r="130" spans="1:8" s="38" customFormat="1" x14ac:dyDescent="0.25">
      <c r="B130"/>
      <c r="C130"/>
      <c r="D130"/>
      <c r="F130" s="55" t="s">
        <v>81</v>
      </c>
      <c r="G130" s="56"/>
      <c r="H130" s="44" t="s">
        <v>48</v>
      </c>
    </row>
    <row r="131" spans="1:8" s="38" customFormat="1" x14ac:dyDescent="0.25">
      <c r="B131"/>
      <c r="C131"/>
      <c r="D131"/>
      <c r="F131" s="40" t="s">
        <v>158</v>
      </c>
      <c r="G131" s="42" t="str">
        <f>G$56</f>
        <v>Beads</v>
      </c>
      <c r="H131" s="57"/>
    </row>
    <row r="132" spans="1:8" s="38" customFormat="1" x14ac:dyDescent="0.25">
      <c r="B132"/>
      <c r="C132"/>
      <c r="D132"/>
      <c r="F132" s="40" t="s">
        <v>82</v>
      </c>
      <c r="G132" s="42" t="s">
        <v>162</v>
      </c>
      <c r="H132" s="58"/>
    </row>
    <row r="133" spans="1:8" s="38" customFormat="1" x14ac:dyDescent="0.25">
      <c r="B133"/>
      <c r="C133"/>
      <c r="D133"/>
      <c r="F133" s="40" t="s">
        <v>159</v>
      </c>
      <c r="G133" s="42">
        <v>0</v>
      </c>
      <c r="H133" s="58"/>
    </row>
    <row r="134" spans="1:8" s="38" customFormat="1" x14ac:dyDescent="0.25">
      <c r="B134"/>
      <c r="C134"/>
      <c r="D134"/>
      <c r="F134" s="40" t="s">
        <v>84</v>
      </c>
      <c r="G134" s="42">
        <v>2</v>
      </c>
      <c r="H134" s="58"/>
    </row>
    <row r="135" spans="1:8" s="38" customFormat="1" ht="15.75" thickBot="1" x14ac:dyDescent="0.3">
      <c r="B135"/>
      <c r="C135"/>
      <c r="D135"/>
      <c r="F135" s="41" t="s">
        <v>96</v>
      </c>
      <c r="G135" s="43">
        <v>1</v>
      </c>
      <c r="H135" s="59"/>
    </row>
    <row r="136" spans="1:8" s="38" customFormat="1" ht="15.75" thickBot="1" x14ac:dyDescent="0.3">
      <c r="B136"/>
      <c r="C136"/>
      <c r="D136"/>
      <c r="F136"/>
      <c r="G136"/>
      <c r="H136"/>
    </row>
    <row r="137" spans="1:8" s="38" customFormat="1" x14ac:dyDescent="0.25">
      <c r="B137"/>
      <c r="C137"/>
      <c r="D137"/>
      <c r="F137" s="69" t="s">
        <v>5</v>
      </c>
      <c r="G137" s="70"/>
      <c r="H137" s="24" t="s">
        <v>48</v>
      </c>
    </row>
    <row r="138" spans="1:8" s="38" customFormat="1" x14ac:dyDescent="0.25">
      <c r="B138"/>
      <c r="C138"/>
      <c r="D138"/>
      <c r="F138" s="3" t="s">
        <v>55</v>
      </c>
      <c r="G138" s="11" t="s">
        <v>219</v>
      </c>
      <c r="H138" s="71"/>
    </row>
    <row r="139" spans="1:8" s="38" customFormat="1" x14ac:dyDescent="0.25">
      <c r="B139"/>
      <c r="C139"/>
      <c r="D139"/>
      <c r="E139"/>
      <c r="F139" s="3" t="s">
        <v>23</v>
      </c>
      <c r="G139" s="11" t="s">
        <v>25</v>
      </c>
      <c r="H139" s="72"/>
    </row>
    <row r="140" spans="1:8" s="38" customFormat="1" x14ac:dyDescent="0.25">
      <c r="B140"/>
      <c r="C140"/>
      <c r="D140"/>
      <c r="E140"/>
      <c r="F140" s="3" t="s">
        <v>39</v>
      </c>
      <c r="G140" s="11" t="s">
        <v>41</v>
      </c>
      <c r="H140" s="72"/>
    </row>
    <row r="141" spans="1:8" s="38" customFormat="1" x14ac:dyDescent="0.25">
      <c r="B141"/>
      <c r="C141"/>
      <c r="D141"/>
      <c r="E141"/>
      <c r="F141" s="3" t="s">
        <v>64</v>
      </c>
      <c r="G141" s="11" t="str">
        <f>Worklist!E1</f>
        <v>Spike Volume</v>
      </c>
      <c r="H141" s="72"/>
    </row>
    <row r="142" spans="1:8" s="38" customFormat="1" ht="15.75" thickBot="1" x14ac:dyDescent="0.3">
      <c r="A142"/>
      <c r="B142"/>
      <c r="C142"/>
      <c r="D142"/>
      <c r="E142"/>
      <c r="F142" s="4" t="s">
        <v>65</v>
      </c>
      <c r="G142" s="12" t="s">
        <v>26</v>
      </c>
      <c r="H142" s="73"/>
    </row>
    <row r="143" spans="1:8" s="38" customFormat="1" ht="15.75" thickBot="1" x14ac:dyDescent="0.3">
      <c r="A143"/>
      <c r="B143"/>
      <c r="C143"/>
      <c r="D143"/>
      <c r="E143"/>
    </row>
    <row r="144" spans="1:8" s="38" customFormat="1" x14ac:dyDescent="0.25">
      <c r="A144"/>
      <c r="B144"/>
      <c r="C144"/>
      <c r="D144"/>
      <c r="E144"/>
      <c r="F144" s="64" t="s">
        <v>8</v>
      </c>
      <c r="G144" s="65"/>
      <c r="H144" s="31" t="s">
        <v>48</v>
      </c>
    </row>
    <row r="145" spans="1:8" s="38" customFormat="1" x14ac:dyDescent="0.25">
      <c r="A145"/>
      <c r="B145"/>
      <c r="C145"/>
      <c r="D145"/>
      <c r="E145"/>
      <c r="F145" s="26" t="s">
        <v>88</v>
      </c>
      <c r="G145" s="27" t="s">
        <v>28</v>
      </c>
      <c r="H145" s="66"/>
    </row>
    <row r="146" spans="1:8" s="38" customFormat="1" x14ac:dyDescent="0.25">
      <c r="A146"/>
      <c r="B146"/>
      <c r="C146"/>
      <c r="D146"/>
      <c r="E146"/>
      <c r="F146" s="26" t="s">
        <v>89</v>
      </c>
      <c r="G146" s="34" t="s">
        <v>90</v>
      </c>
      <c r="H146" s="67"/>
    </row>
    <row r="147" spans="1:8" s="38" customFormat="1" ht="15.75" thickBot="1" x14ac:dyDescent="0.3">
      <c r="A147"/>
      <c r="B147"/>
      <c r="C147"/>
      <c r="D147"/>
      <c r="E147"/>
      <c r="F147" s="1" t="s">
        <v>91</v>
      </c>
      <c r="G147" s="33" t="s">
        <v>92</v>
      </c>
      <c r="H147" s="68"/>
    </row>
    <row r="148" spans="1:8" s="38" customFormat="1" ht="15.75" thickBot="1" x14ac:dyDescent="0.3">
      <c r="A148"/>
      <c r="B148"/>
      <c r="C148"/>
      <c r="D148"/>
      <c r="E148"/>
      <c r="F148"/>
      <c r="G148"/>
      <c r="H148"/>
    </row>
    <row r="149" spans="1:8" s="38" customFormat="1" x14ac:dyDescent="0.25">
      <c r="A149"/>
      <c r="B149"/>
      <c r="C149"/>
      <c r="D149"/>
      <c r="E149"/>
      <c r="F149" s="64" t="s">
        <v>93</v>
      </c>
      <c r="G149" s="65"/>
      <c r="H149" s="25" t="s">
        <v>48</v>
      </c>
    </row>
    <row r="150" spans="1:8" x14ac:dyDescent="0.25">
      <c r="F150" s="60"/>
      <c r="G150" s="61"/>
      <c r="H150" s="53"/>
    </row>
    <row r="151" spans="1:8" ht="15.75" thickBot="1" x14ac:dyDescent="0.3">
      <c r="F151" s="62"/>
      <c r="G151" s="63"/>
      <c r="H151" s="54"/>
    </row>
  </sheetData>
  <mergeCells count="59">
    <mergeCell ref="D38:E38"/>
    <mergeCell ref="F77:G77"/>
    <mergeCell ref="H78:H82"/>
    <mergeCell ref="F88:G88"/>
    <mergeCell ref="H89:H93"/>
    <mergeCell ref="F66:G66"/>
    <mergeCell ref="H67:H68"/>
    <mergeCell ref="H71:H75"/>
    <mergeCell ref="F39:F41"/>
    <mergeCell ref="H56:H57"/>
    <mergeCell ref="D43:E43"/>
    <mergeCell ref="F44:F48"/>
    <mergeCell ref="F84:G84"/>
    <mergeCell ref="H85:H86"/>
    <mergeCell ref="H60:H64"/>
    <mergeCell ref="D8:E8"/>
    <mergeCell ref="F9:F10"/>
    <mergeCell ref="D12:E12"/>
    <mergeCell ref="F13:F18"/>
    <mergeCell ref="D2:E2"/>
    <mergeCell ref="F3:F4"/>
    <mergeCell ref="D6:E6"/>
    <mergeCell ref="D20:E20"/>
    <mergeCell ref="F21:F25"/>
    <mergeCell ref="D27:E27"/>
    <mergeCell ref="F28:F32"/>
    <mergeCell ref="D34:E34"/>
    <mergeCell ref="B59:C59"/>
    <mergeCell ref="D60:D62"/>
    <mergeCell ref="D50:E50"/>
    <mergeCell ref="F51:F53"/>
    <mergeCell ref="B55:C55"/>
    <mergeCell ref="D56:D57"/>
    <mergeCell ref="F55:G55"/>
    <mergeCell ref="F59:G59"/>
    <mergeCell ref="F70:G70"/>
    <mergeCell ref="B64:C64"/>
    <mergeCell ref="D65:D66"/>
    <mergeCell ref="F95:G95"/>
    <mergeCell ref="H96:H98"/>
    <mergeCell ref="F100:G100"/>
    <mergeCell ref="H101:H105"/>
    <mergeCell ref="F107:G107"/>
    <mergeCell ref="H108:H112"/>
    <mergeCell ref="F114:G114"/>
    <mergeCell ref="H115:H119"/>
    <mergeCell ref="F121:G121"/>
    <mergeCell ref="H122:H124"/>
    <mergeCell ref="F126:G126"/>
    <mergeCell ref="H127:H128"/>
    <mergeCell ref="F130:G130"/>
    <mergeCell ref="H131:H135"/>
    <mergeCell ref="F150:G151"/>
    <mergeCell ref="H150:H151"/>
    <mergeCell ref="F144:G144"/>
    <mergeCell ref="H145:H147"/>
    <mergeCell ref="F149:G149"/>
    <mergeCell ref="F137:G137"/>
    <mergeCell ref="H138:H14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'___Dropdown values'!$B$4:$B$6</xm:f>
          </x14:formula1>
          <xm:sqref>E4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3"/>
  <sheetViews>
    <sheetView workbookViewId="0">
      <selection activeCell="F1" sqref="F1:F1048576"/>
    </sheetView>
  </sheetViews>
  <sheetFormatPr defaultRowHeight="15" x14ac:dyDescent="0.25"/>
  <cols>
    <col min="1" max="1" width="9" bestFit="1" customWidth="1"/>
    <col min="2" max="2" width="11.140625" bestFit="1" customWidth="1"/>
    <col min="3" max="3" width="29.42578125" bestFit="1" customWidth="1"/>
    <col min="4" max="4" width="21.42578125" bestFit="1" customWidth="1"/>
    <col min="5" max="5" width="17.85546875" customWidth="1"/>
  </cols>
  <sheetData>
    <row r="1" spans="1:5" x14ac:dyDescent="0.25">
      <c r="A1" t="s">
        <v>94</v>
      </c>
      <c r="B1" t="s">
        <v>95</v>
      </c>
      <c r="C1" t="s">
        <v>58</v>
      </c>
      <c r="D1" t="s">
        <v>221</v>
      </c>
      <c r="E1" t="s">
        <v>220</v>
      </c>
    </row>
    <row r="2" spans="1:5" x14ac:dyDescent="0.25">
      <c r="A2">
        <f t="shared" ref="A2:A3" si="0">ROW(A1)</f>
        <v>1</v>
      </c>
      <c r="B2" t="s">
        <v>222</v>
      </c>
      <c r="C2">
        <v>10</v>
      </c>
      <c r="D2" t="s">
        <v>26</v>
      </c>
      <c r="E2">
        <f>IF(D2="Yes",10,0)</f>
        <v>10</v>
      </c>
    </row>
    <row r="3" spans="1:5" x14ac:dyDescent="0.25">
      <c r="A3">
        <f t="shared" si="0"/>
        <v>2</v>
      </c>
      <c r="B3" t="s">
        <v>223</v>
      </c>
      <c r="C3">
        <v>15</v>
      </c>
      <c r="D3" t="s">
        <v>28</v>
      </c>
      <c r="E3" s="38">
        <f t="shared" ref="E3" si="1">IF(D3="Yes",10,0)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9DD99-A0FC-4EF9-8AD0-8018B10182AC}">
  <sheetPr codeName="Sheet6"/>
  <dimension ref="B3:F330"/>
  <sheetViews>
    <sheetView workbookViewId="0"/>
  </sheetViews>
  <sheetFormatPr defaultRowHeight="15" x14ac:dyDescent="0.25"/>
  <sheetData>
    <row r="3" spans="4:5" x14ac:dyDescent="0.25">
      <c r="D3" t="s">
        <v>97</v>
      </c>
      <c r="E3" t="s">
        <v>98</v>
      </c>
    </row>
    <row r="4" spans="4:5" x14ac:dyDescent="0.25">
      <c r="D4" t="s">
        <v>99</v>
      </c>
      <c r="E4" t="s">
        <v>100</v>
      </c>
    </row>
    <row r="5" spans="4:5" x14ac:dyDescent="0.25">
      <c r="D5" t="s">
        <v>101</v>
      </c>
      <c r="E5" t="s">
        <v>54</v>
      </c>
    </row>
    <row r="6" spans="4:5" x14ac:dyDescent="0.25">
      <c r="D6" t="s">
        <v>102</v>
      </c>
      <c r="E6">
        <v>37</v>
      </c>
    </row>
    <row r="7" spans="4:5" x14ac:dyDescent="0.25">
      <c r="D7" t="s">
        <v>103</v>
      </c>
      <c r="E7">
        <v>0</v>
      </c>
    </row>
    <row r="9" spans="4:5" x14ac:dyDescent="0.25">
      <c r="D9" t="s">
        <v>97</v>
      </c>
      <c r="E9" t="s">
        <v>98</v>
      </c>
    </row>
    <row r="10" spans="4:5" x14ac:dyDescent="0.25">
      <c r="D10" t="s">
        <v>99</v>
      </c>
      <c r="E10" t="s">
        <v>100</v>
      </c>
    </row>
    <row r="11" spans="4:5" x14ac:dyDescent="0.25">
      <c r="D11" t="s">
        <v>101</v>
      </c>
      <c r="E11" t="s">
        <v>227</v>
      </c>
    </row>
    <row r="12" spans="4:5" x14ac:dyDescent="0.25">
      <c r="D12" t="s">
        <v>102</v>
      </c>
      <c r="E12">
        <v>25</v>
      </c>
    </row>
    <row r="13" spans="4:5" x14ac:dyDescent="0.25">
      <c r="D13" t="s">
        <v>103</v>
      </c>
      <c r="E13">
        <v>650</v>
      </c>
    </row>
    <row r="18" spans="2:3" x14ac:dyDescent="0.25">
      <c r="B18" t="s">
        <v>104</v>
      </c>
    </row>
    <row r="19" spans="2:3" x14ac:dyDescent="0.25">
      <c r="B19" t="s">
        <v>105</v>
      </c>
    </row>
    <row r="20" spans="2:3" x14ac:dyDescent="0.25">
      <c r="B20" t="s">
        <v>106</v>
      </c>
    </row>
    <row r="21" spans="2:3" x14ac:dyDescent="0.25">
      <c r="B21" t="s">
        <v>107</v>
      </c>
    </row>
    <row r="23" spans="2:3" x14ac:dyDescent="0.25">
      <c r="C23" t="s">
        <v>108</v>
      </c>
    </row>
    <row r="28" spans="2:3" x14ac:dyDescent="0.25">
      <c r="B28" t="s">
        <v>109</v>
      </c>
    </row>
    <row r="29" spans="2:3" x14ac:dyDescent="0.25">
      <c r="B29" t="s">
        <v>110</v>
      </c>
    </row>
    <row r="30" spans="2:3" x14ac:dyDescent="0.25">
      <c r="B30" t="s">
        <v>111</v>
      </c>
    </row>
    <row r="31" spans="2:3" x14ac:dyDescent="0.25">
      <c r="B31" t="s">
        <v>112</v>
      </c>
    </row>
    <row r="32" spans="2:3" x14ac:dyDescent="0.25">
      <c r="B32" t="s">
        <v>113</v>
      </c>
    </row>
    <row r="33" spans="2:6" x14ac:dyDescent="0.25">
      <c r="B33" t="s">
        <v>114</v>
      </c>
    </row>
    <row r="34" spans="2:6" x14ac:dyDescent="0.25">
      <c r="B34" t="s">
        <v>115</v>
      </c>
    </row>
    <row r="35" spans="2:6" x14ac:dyDescent="0.25">
      <c r="B35" t="s">
        <v>116</v>
      </c>
    </row>
    <row r="37" spans="2:6" x14ac:dyDescent="0.25">
      <c r="C37" t="s">
        <v>108</v>
      </c>
    </row>
    <row r="39" spans="2:6" x14ac:dyDescent="0.25">
      <c r="D39" t="s">
        <v>97</v>
      </c>
      <c r="E39" t="s">
        <v>117</v>
      </c>
    </row>
    <row r="40" spans="2:6" x14ac:dyDescent="0.25">
      <c r="D40" t="s">
        <v>99</v>
      </c>
      <c r="E40" t="s">
        <v>118</v>
      </c>
    </row>
    <row r="41" spans="2:6" x14ac:dyDescent="0.25">
      <c r="D41" t="s">
        <v>119</v>
      </c>
      <c r="E41">
        <v>79.445396000000002</v>
      </c>
      <c r="F41">
        <v>81.296930666666597</v>
      </c>
    </row>
    <row r="42" spans="2:6" x14ac:dyDescent="0.25">
      <c r="D42" t="s">
        <v>120</v>
      </c>
      <c r="E42" t="s">
        <v>121</v>
      </c>
      <c r="F42" t="s">
        <v>122</v>
      </c>
    </row>
    <row r="43" spans="2:6" x14ac:dyDescent="0.25">
      <c r="D43" t="s">
        <v>123</v>
      </c>
    </row>
    <row r="45" spans="2:6" x14ac:dyDescent="0.25">
      <c r="D45" t="s">
        <v>97</v>
      </c>
      <c r="E45" t="s">
        <v>117</v>
      </c>
    </row>
    <row r="46" spans="2:6" x14ac:dyDescent="0.25">
      <c r="D46" t="s">
        <v>99</v>
      </c>
      <c r="E46" t="s">
        <v>124</v>
      </c>
    </row>
    <row r="47" spans="2:6" x14ac:dyDescent="0.25">
      <c r="D47" t="s">
        <v>119</v>
      </c>
      <c r="E47">
        <v>79.445396000000002</v>
      </c>
      <c r="F47">
        <v>81.296930666666597</v>
      </c>
    </row>
    <row r="48" spans="2:6" x14ac:dyDescent="0.25">
      <c r="D48" t="s">
        <v>125</v>
      </c>
    </row>
    <row r="50" spans="4:6" x14ac:dyDescent="0.25">
      <c r="D50" t="s">
        <v>97</v>
      </c>
      <c r="E50" t="s">
        <v>117</v>
      </c>
    </row>
    <row r="51" spans="4:6" x14ac:dyDescent="0.25">
      <c r="D51" t="s">
        <v>99</v>
      </c>
      <c r="E51" t="s">
        <v>118</v>
      </c>
    </row>
    <row r="52" spans="4:6" x14ac:dyDescent="0.25">
      <c r="D52" t="s">
        <v>119</v>
      </c>
      <c r="E52">
        <v>5.5546040000000003</v>
      </c>
      <c r="F52">
        <v>3.70306933333333</v>
      </c>
    </row>
    <row r="53" spans="4:6" x14ac:dyDescent="0.25">
      <c r="D53" t="s">
        <v>120</v>
      </c>
      <c r="E53" t="s">
        <v>121</v>
      </c>
      <c r="F53" t="s">
        <v>122</v>
      </c>
    </row>
    <row r="54" spans="4:6" x14ac:dyDescent="0.25">
      <c r="D54" t="s">
        <v>136</v>
      </c>
    </row>
    <row r="56" spans="4:6" x14ac:dyDescent="0.25">
      <c r="D56" t="s">
        <v>97</v>
      </c>
      <c r="E56" t="s">
        <v>117</v>
      </c>
    </row>
    <row r="57" spans="4:6" x14ac:dyDescent="0.25">
      <c r="D57" t="s">
        <v>99</v>
      </c>
      <c r="E57" t="s">
        <v>124</v>
      </c>
    </row>
    <row r="58" spans="4:6" x14ac:dyDescent="0.25">
      <c r="D58" t="s">
        <v>119</v>
      </c>
      <c r="E58">
        <v>5.5546040000000003</v>
      </c>
      <c r="F58">
        <v>3.70306933333333</v>
      </c>
    </row>
    <row r="59" spans="4:6" x14ac:dyDescent="0.25">
      <c r="D59" t="s">
        <v>137</v>
      </c>
    </row>
    <row r="61" spans="4:6" x14ac:dyDescent="0.25">
      <c r="D61" t="s">
        <v>97</v>
      </c>
      <c r="E61" t="s">
        <v>117</v>
      </c>
    </row>
    <row r="62" spans="4:6" x14ac:dyDescent="0.25">
      <c r="D62" t="s">
        <v>99</v>
      </c>
      <c r="E62" t="s">
        <v>126</v>
      </c>
    </row>
    <row r="63" spans="4:6" x14ac:dyDescent="0.25">
      <c r="D63" t="s">
        <v>127</v>
      </c>
      <c r="E63" t="s">
        <v>54</v>
      </c>
      <c r="F63" t="s">
        <v>54</v>
      </c>
    </row>
    <row r="64" spans="4:6" x14ac:dyDescent="0.25">
      <c r="D64" t="s">
        <v>128</v>
      </c>
      <c r="E64">
        <v>1</v>
      </c>
      <c r="F64">
        <v>2</v>
      </c>
    </row>
    <row r="65" spans="4:6" x14ac:dyDescent="0.25">
      <c r="D65" t="s">
        <v>129</v>
      </c>
      <c r="E65" t="s">
        <v>57</v>
      </c>
      <c r="F65" t="s">
        <v>57</v>
      </c>
    </row>
    <row r="66" spans="4:6" x14ac:dyDescent="0.25">
      <c r="D66" t="s">
        <v>130</v>
      </c>
      <c r="E66">
        <v>1</v>
      </c>
      <c r="F66">
        <v>2</v>
      </c>
    </row>
    <row r="67" spans="4:6" x14ac:dyDescent="0.25">
      <c r="D67" t="s">
        <v>119</v>
      </c>
      <c r="E67">
        <v>79.445396000000002</v>
      </c>
      <c r="F67">
        <v>81.296930666666597</v>
      </c>
    </row>
    <row r="68" spans="4:6" x14ac:dyDescent="0.25">
      <c r="D68" t="s">
        <v>131</v>
      </c>
      <c r="E68">
        <v>0</v>
      </c>
      <c r="F68">
        <v>0</v>
      </c>
    </row>
    <row r="69" spans="4:6" x14ac:dyDescent="0.25">
      <c r="D69" t="s">
        <v>132</v>
      </c>
      <c r="E69" t="s">
        <v>28</v>
      </c>
      <c r="F69" t="s">
        <v>28</v>
      </c>
    </row>
    <row r="70" spans="4:6" x14ac:dyDescent="0.25">
      <c r="D70" t="s">
        <v>133</v>
      </c>
    </row>
    <row r="71" spans="4:6" x14ac:dyDescent="0.25">
      <c r="D71" t="s">
        <v>134</v>
      </c>
    </row>
    <row r="72" spans="4:6" x14ac:dyDescent="0.25">
      <c r="D72" t="s">
        <v>228</v>
      </c>
      <c r="E72">
        <v>0</v>
      </c>
    </row>
    <row r="73" spans="4:6" x14ac:dyDescent="0.25">
      <c r="D73" t="s">
        <v>135</v>
      </c>
      <c r="E73" t="s">
        <v>208</v>
      </c>
    </row>
    <row r="74" spans="4:6" x14ac:dyDescent="0.25">
      <c r="D74" t="s">
        <v>138</v>
      </c>
    </row>
    <row r="76" spans="4:6" x14ac:dyDescent="0.25">
      <c r="D76" t="s">
        <v>97</v>
      </c>
      <c r="E76" t="s">
        <v>117</v>
      </c>
    </row>
    <row r="77" spans="4:6" x14ac:dyDescent="0.25">
      <c r="D77" t="s">
        <v>99</v>
      </c>
      <c r="E77" t="s">
        <v>126</v>
      </c>
    </row>
    <row r="78" spans="4:6" x14ac:dyDescent="0.25">
      <c r="D78" t="s">
        <v>127</v>
      </c>
      <c r="E78" t="s">
        <v>54</v>
      </c>
      <c r="F78" t="s">
        <v>54</v>
      </c>
    </row>
    <row r="79" spans="4:6" x14ac:dyDescent="0.25">
      <c r="D79" t="s">
        <v>128</v>
      </c>
      <c r="E79">
        <v>1</v>
      </c>
      <c r="F79">
        <v>2</v>
      </c>
    </row>
    <row r="80" spans="4:6" x14ac:dyDescent="0.25">
      <c r="D80" t="s">
        <v>129</v>
      </c>
      <c r="E80" t="s">
        <v>50</v>
      </c>
      <c r="F80" t="s">
        <v>50</v>
      </c>
    </row>
    <row r="81" spans="2:6" x14ac:dyDescent="0.25">
      <c r="D81" t="s">
        <v>130</v>
      </c>
      <c r="E81">
        <v>1</v>
      </c>
      <c r="F81">
        <v>2</v>
      </c>
    </row>
    <row r="82" spans="2:6" x14ac:dyDescent="0.25">
      <c r="D82" t="s">
        <v>119</v>
      </c>
      <c r="E82">
        <v>5.5546040000000003</v>
      </c>
      <c r="F82">
        <v>3.70306933333333</v>
      </c>
    </row>
    <row r="83" spans="2:6" x14ac:dyDescent="0.25">
      <c r="D83" t="s">
        <v>131</v>
      </c>
      <c r="E83">
        <v>79.445396000000002</v>
      </c>
      <c r="F83">
        <v>81.296930666666597</v>
      </c>
    </row>
    <row r="84" spans="2:6" x14ac:dyDescent="0.25">
      <c r="D84" t="s">
        <v>132</v>
      </c>
      <c r="E84" t="s">
        <v>26</v>
      </c>
      <c r="F84" t="s">
        <v>26</v>
      </c>
    </row>
    <row r="85" spans="2:6" x14ac:dyDescent="0.25">
      <c r="D85" t="s">
        <v>133</v>
      </c>
    </row>
    <row r="86" spans="2:6" x14ac:dyDescent="0.25">
      <c r="D86" t="s">
        <v>134</v>
      </c>
    </row>
    <row r="87" spans="2:6" x14ac:dyDescent="0.25">
      <c r="D87" t="s">
        <v>228</v>
      </c>
      <c r="E87">
        <v>0</v>
      </c>
    </row>
    <row r="88" spans="2:6" x14ac:dyDescent="0.25">
      <c r="D88" t="s">
        <v>135</v>
      </c>
      <c r="E88" t="s">
        <v>208</v>
      </c>
    </row>
    <row r="89" spans="2:6" x14ac:dyDescent="0.25">
      <c r="D89" t="s">
        <v>139</v>
      </c>
    </row>
    <row r="94" spans="2:6" x14ac:dyDescent="0.25">
      <c r="B94" t="s">
        <v>140</v>
      </c>
    </row>
    <row r="95" spans="2:6" x14ac:dyDescent="0.25">
      <c r="B95" t="s">
        <v>141</v>
      </c>
    </row>
    <row r="96" spans="2:6" x14ac:dyDescent="0.25">
      <c r="B96" t="s">
        <v>142</v>
      </c>
    </row>
    <row r="97" spans="2:6" x14ac:dyDescent="0.25">
      <c r="B97" t="s">
        <v>143</v>
      </c>
    </row>
    <row r="98" spans="2:6" x14ac:dyDescent="0.25">
      <c r="B98" t="s">
        <v>144</v>
      </c>
    </row>
    <row r="99" spans="2:6" x14ac:dyDescent="0.25">
      <c r="B99" t="s">
        <v>145</v>
      </c>
    </row>
    <row r="100" spans="2:6" x14ac:dyDescent="0.25">
      <c r="B100" t="s">
        <v>146</v>
      </c>
    </row>
    <row r="102" spans="2:6" x14ac:dyDescent="0.25">
      <c r="C102" t="s">
        <v>108</v>
      </c>
    </row>
    <row r="104" spans="2:6" x14ac:dyDescent="0.25">
      <c r="D104" t="s">
        <v>97</v>
      </c>
      <c r="E104" t="s">
        <v>117</v>
      </c>
    </row>
    <row r="105" spans="2:6" x14ac:dyDescent="0.25">
      <c r="D105" t="s">
        <v>99</v>
      </c>
      <c r="E105" t="s">
        <v>118</v>
      </c>
    </row>
    <row r="106" spans="2:6" x14ac:dyDescent="0.25">
      <c r="D106" t="s">
        <v>119</v>
      </c>
      <c r="E106">
        <v>10</v>
      </c>
      <c r="F106">
        <v>10</v>
      </c>
    </row>
    <row r="107" spans="2:6" x14ac:dyDescent="0.25">
      <c r="D107" t="s">
        <v>120</v>
      </c>
      <c r="E107" t="s">
        <v>121</v>
      </c>
      <c r="F107" t="s">
        <v>122</v>
      </c>
    </row>
    <row r="108" spans="2:6" x14ac:dyDescent="0.25">
      <c r="D108" t="s">
        <v>147</v>
      </c>
    </row>
    <row r="110" spans="2:6" x14ac:dyDescent="0.25">
      <c r="D110" t="s">
        <v>97</v>
      </c>
      <c r="E110" t="s">
        <v>117</v>
      </c>
    </row>
    <row r="111" spans="2:6" x14ac:dyDescent="0.25">
      <c r="D111" t="s">
        <v>99</v>
      </c>
      <c r="E111" t="s">
        <v>124</v>
      </c>
    </row>
    <row r="112" spans="2:6" x14ac:dyDescent="0.25">
      <c r="D112" t="s">
        <v>119</v>
      </c>
      <c r="E112">
        <v>10</v>
      </c>
      <c r="F112">
        <v>10</v>
      </c>
    </row>
    <row r="113" spans="4:6" x14ac:dyDescent="0.25">
      <c r="D113" t="s">
        <v>148</v>
      </c>
    </row>
    <row r="115" spans="4:6" x14ac:dyDescent="0.25">
      <c r="D115" t="s">
        <v>97</v>
      </c>
      <c r="E115" t="s">
        <v>117</v>
      </c>
    </row>
    <row r="116" spans="4:6" x14ac:dyDescent="0.25">
      <c r="D116" t="s">
        <v>99</v>
      </c>
      <c r="E116" t="s">
        <v>126</v>
      </c>
    </row>
    <row r="117" spans="4:6" x14ac:dyDescent="0.25">
      <c r="D117" t="s">
        <v>127</v>
      </c>
      <c r="E117" t="s">
        <v>54</v>
      </c>
      <c r="F117" t="s">
        <v>54</v>
      </c>
    </row>
    <row r="118" spans="4:6" x14ac:dyDescent="0.25">
      <c r="D118" t="s">
        <v>128</v>
      </c>
      <c r="E118">
        <v>1</v>
      </c>
      <c r="F118">
        <v>2</v>
      </c>
    </row>
    <row r="119" spans="4:6" x14ac:dyDescent="0.25">
      <c r="D119" t="s">
        <v>129</v>
      </c>
      <c r="E119" t="s">
        <v>63</v>
      </c>
      <c r="F119" t="s">
        <v>63</v>
      </c>
    </row>
    <row r="120" spans="4:6" x14ac:dyDescent="0.25">
      <c r="D120" t="s">
        <v>130</v>
      </c>
      <c r="E120">
        <v>1</v>
      </c>
      <c r="F120">
        <v>2</v>
      </c>
    </row>
    <row r="121" spans="4:6" x14ac:dyDescent="0.25">
      <c r="D121" t="s">
        <v>119</v>
      </c>
      <c r="E121">
        <v>10</v>
      </c>
      <c r="F121">
        <v>10</v>
      </c>
    </row>
    <row r="122" spans="4:6" x14ac:dyDescent="0.25">
      <c r="D122" t="s">
        <v>131</v>
      </c>
      <c r="E122">
        <v>85</v>
      </c>
      <c r="F122">
        <v>85</v>
      </c>
    </row>
    <row r="123" spans="4:6" x14ac:dyDescent="0.25">
      <c r="D123" t="s">
        <v>132</v>
      </c>
      <c r="E123" t="s">
        <v>26</v>
      </c>
      <c r="F123" t="s">
        <v>26</v>
      </c>
    </row>
    <row r="124" spans="4:6" x14ac:dyDescent="0.25">
      <c r="D124" t="s">
        <v>133</v>
      </c>
    </row>
    <row r="125" spans="4:6" x14ac:dyDescent="0.25">
      <c r="D125" t="s">
        <v>134</v>
      </c>
    </row>
    <row r="126" spans="4:6" x14ac:dyDescent="0.25">
      <c r="D126" t="s">
        <v>228</v>
      </c>
      <c r="E126">
        <v>0</v>
      </c>
    </row>
    <row r="127" spans="4:6" x14ac:dyDescent="0.25">
      <c r="D127" t="s">
        <v>135</v>
      </c>
      <c r="E127" t="s">
        <v>208</v>
      </c>
    </row>
    <row r="128" spans="4:6" x14ac:dyDescent="0.25">
      <c r="D128" t="s">
        <v>149</v>
      </c>
    </row>
    <row r="133" spans="2:5" x14ac:dyDescent="0.25">
      <c r="B133" t="s">
        <v>140</v>
      </c>
    </row>
    <row r="134" spans="2:5" x14ac:dyDescent="0.25">
      <c r="B134" t="s">
        <v>150</v>
      </c>
    </row>
    <row r="135" spans="2:5" x14ac:dyDescent="0.25">
      <c r="B135" t="s">
        <v>151</v>
      </c>
    </row>
    <row r="136" spans="2:5" x14ac:dyDescent="0.25">
      <c r="B136" t="s">
        <v>152</v>
      </c>
    </row>
    <row r="137" spans="2:5" x14ac:dyDescent="0.25">
      <c r="B137" t="s">
        <v>144</v>
      </c>
    </row>
    <row r="138" spans="2:5" x14ac:dyDescent="0.25">
      <c r="B138" t="s">
        <v>153</v>
      </c>
    </row>
    <row r="139" spans="2:5" x14ac:dyDescent="0.25">
      <c r="B139" t="s">
        <v>146</v>
      </c>
    </row>
    <row r="141" spans="2:5" x14ac:dyDescent="0.25">
      <c r="C141" t="s">
        <v>108</v>
      </c>
    </row>
    <row r="143" spans="2:5" x14ac:dyDescent="0.25">
      <c r="D143" t="s">
        <v>97</v>
      </c>
      <c r="E143" t="s">
        <v>117</v>
      </c>
    </row>
    <row r="144" spans="2:5" x14ac:dyDescent="0.25">
      <c r="D144" t="s">
        <v>99</v>
      </c>
      <c r="E144" t="s">
        <v>118</v>
      </c>
    </row>
    <row r="145" spans="4:6" x14ac:dyDescent="0.25">
      <c r="D145" t="s">
        <v>119</v>
      </c>
      <c r="E145">
        <v>5</v>
      </c>
      <c r="F145">
        <v>5</v>
      </c>
    </row>
    <row r="146" spans="4:6" x14ac:dyDescent="0.25">
      <c r="D146" t="s">
        <v>120</v>
      </c>
      <c r="E146" t="s">
        <v>121</v>
      </c>
      <c r="F146" t="s">
        <v>122</v>
      </c>
    </row>
    <row r="147" spans="4:6" x14ac:dyDescent="0.25">
      <c r="D147" t="s">
        <v>154</v>
      </c>
    </row>
    <row r="149" spans="4:6" x14ac:dyDescent="0.25">
      <c r="D149" t="s">
        <v>97</v>
      </c>
      <c r="E149" t="s">
        <v>117</v>
      </c>
    </row>
    <row r="150" spans="4:6" x14ac:dyDescent="0.25">
      <c r="D150" t="s">
        <v>99</v>
      </c>
      <c r="E150" t="s">
        <v>124</v>
      </c>
    </row>
    <row r="151" spans="4:6" x14ac:dyDescent="0.25">
      <c r="D151" t="s">
        <v>119</v>
      </c>
      <c r="E151">
        <v>5</v>
      </c>
      <c r="F151">
        <v>5</v>
      </c>
    </row>
    <row r="152" spans="4:6" x14ac:dyDescent="0.25">
      <c r="D152" t="s">
        <v>155</v>
      </c>
    </row>
    <row r="154" spans="4:6" x14ac:dyDescent="0.25">
      <c r="D154" t="s">
        <v>97</v>
      </c>
      <c r="E154" t="s">
        <v>117</v>
      </c>
    </row>
    <row r="155" spans="4:6" x14ac:dyDescent="0.25">
      <c r="D155" t="s">
        <v>99</v>
      </c>
      <c r="E155" t="s">
        <v>126</v>
      </c>
    </row>
    <row r="156" spans="4:6" x14ac:dyDescent="0.25">
      <c r="D156" t="s">
        <v>127</v>
      </c>
      <c r="E156" t="s">
        <v>54</v>
      </c>
      <c r="F156" t="s">
        <v>54</v>
      </c>
    </row>
    <row r="157" spans="4:6" x14ac:dyDescent="0.25">
      <c r="D157" t="s">
        <v>128</v>
      </c>
      <c r="E157">
        <v>1</v>
      </c>
      <c r="F157">
        <v>2</v>
      </c>
    </row>
    <row r="158" spans="4:6" x14ac:dyDescent="0.25">
      <c r="D158" t="s">
        <v>129</v>
      </c>
      <c r="E158" t="s">
        <v>66</v>
      </c>
      <c r="F158" t="s">
        <v>66</v>
      </c>
    </row>
    <row r="159" spans="4:6" x14ac:dyDescent="0.25">
      <c r="D159" t="s">
        <v>130</v>
      </c>
      <c r="E159">
        <v>1</v>
      </c>
      <c r="F159">
        <v>2</v>
      </c>
    </row>
    <row r="160" spans="4:6" x14ac:dyDescent="0.25">
      <c r="D160" t="s">
        <v>119</v>
      </c>
      <c r="E160">
        <v>5</v>
      </c>
      <c r="F160">
        <v>5</v>
      </c>
    </row>
    <row r="161" spans="2:6" x14ac:dyDescent="0.25">
      <c r="D161" t="s">
        <v>131</v>
      </c>
      <c r="E161">
        <v>95</v>
      </c>
      <c r="F161">
        <v>95</v>
      </c>
    </row>
    <row r="162" spans="2:6" x14ac:dyDescent="0.25">
      <c r="D162" t="s">
        <v>132</v>
      </c>
      <c r="E162" t="s">
        <v>26</v>
      </c>
      <c r="F162" t="s">
        <v>26</v>
      </c>
    </row>
    <row r="163" spans="2:6" x14ac:dyDescent="0.25">
      <c r="D163" t="s">
        <v>133</v>
      </c>
    </row>
    <row r="164" spans="2:6" x14ac:dyDescent="0.25">
      <c r="D164" t="s">
        <v>134</v>
      </c>
    </row>
    <row r="165" spans="2:6" x14ac:dyDescent="0.25">
      <c r="D165" t="s">
        <v>228</v>
      </c>
      <c r="E165">
        <v>0</v>
      </c>
    </row>
    <row r="166" spans="2:6" x14ac:dyDescent="0.25">
      <c r="D166" t="s">
        <v>135</v>
      </c>
      <c r="E166" t="s">
        <v>208</v>
      </c>
    </row>
    <row r="167" spans="2:6" x14ac:dyDescent="0.25">
      <c r="D167" t="s">
        <v>156</v>
      </c>
    </row>
    <row r="172" spans="2:6" x14ac:dyDescent="0.25">
      <c r="B172" t="s">
        <v>163</v>
      </c>
    </row>
    <row r="173" spans="2:6" x14ac:dyDescent="0.25">
      <c r="B173" t="s">
        <v>164</v>
      </c>
    </row>
    <row r="174" spans="2:6" x14ac:dyDescent="0.25">
      <c r="B174" t="s">
        <v>165</v>
      </c>
    </row>
    <row r="175" spans="2:6" x14ac:dyDescent="0.25">
      <c r="B175" t="s">
        <v>166</v>
      </c>
    </row>
    <row r="176" spans="2:6" x14ac:dyDescent="0.25">
      <c r="B176" t="s">
        <v>167</v>
      </c>
    </row>
    <row r="178" spans="2:3" x14ac:dyDescent="0.25">
      <c r="C178" t="s">
        <v>108</v>
      </c>
    </row>
    <row r="183" spans="2:3" x14ac:dyDescent="0.25">
      <c r="B183" t="s">
        <v>140</v>
      </c>
    </row>
    <row r="184" spans="2:3" x14ac:dyDescent="0.25">
      <c r="B184" t="s">
        <v>168</v>
      </c>
    </row>
    <row r="185" spans="2:3" x14ac:dyDescent="0.25">
      <c r="B185" t="s">
        <v>169</v>
      </c>
    </row>
    <row r="186" spans="2:3" x14ac:dyDescent="0.25">
      <c r="B186" t="s">
        <v>170</v>
      </c>
    </row>
    <row r="187" spans="2:3" x14ac:dyDescent="0.25">
      <c r="B187" t="s">
        <v>144</v>
      </c>
    </row>
    <row r="188" spans="2:3" x14ac:dyDescent="0.25">
      <c r="B188" t="s">
        <v>145</v>
      </c>
    </row>
    <row r="189" spans="2:3" x14ac:dyDescent="0.25">
      <c r="B189" t="s">
        <v>146</v>
      </c>
    </row>
    <row r="191" spans="2:3" x14ac:dyDescent="0.25">
      <c r="C191" t="s">
        <v>108</v>
      </c>
    </row>
    <row r="193" spans="4:6" x14ac:dyDescent="0.25">
      <c r="D193" t="s">
        <v>97</v>
      </c>
      <c r="E193" t="s">
        <v>117</v>
      </c>
    </row>
    <row r="194" spans="4:6" x14ac:dyDescent="0.25">
      <c r="D194" t="s">
        <v>99</v>
      </c>
      <c r="E194" t="s">
        <v>118</v>
      </c>
    </row>
    <row r="195" spans="4:6" x14ac:dyDescent="0.25">
      <c r="D195" t="s">
        <v>119</v>
      </c>
      <c r="E195">
        <v>10</v>
      </c>
      <c r="F195">
        <v>10</v>
      </c>
    </row>
    <row r="196" spans="4:6" x14ac:dyDescent="0.25">
      <c r="D196" t="s">
        <v>120</v>
      </c>
      <c r="E196" t="s">
        <v>121</v>
      </c>
      <c r="F196" t="s">
        <v>122</v>
      </c>
    </row>
    <row r="197" spans="4:6" x14ac:dyDescent="0.25">
      <c r="D197" t="s">
        <v>171</v>
      </c>
    </row>
    <row r="199" spans="4:6" x14ac:dyDescent="0.25">
      <c r="D199" t="s">
        <v>97</v>
      </c>
      <c r="E199" t="s">
        <v>117</v>
      </c>
    </row>
    <row r="200" spans="4:6" x14ac:dyDescent="0.25">
      <c r="D200" t="s">
        <v>99</v>
      </c>
      <c r="E200" t="s">
        <v>124</v>
      </c>
    </row>
    <row r="201" spans="4:6" x14ac:dyDescent="0.25">
      <c r="D201" t="s">
        <v>119</v>
      </c>
      <c r="E201">
        <v>10</v>
      </c>
      <c r="F201">
        <v>10</v>
      </c>
    </row>
    <row r="202" spans="4:6" x14ac:dyDescent="0.25">
      <c r="D202" t="s">
        <v>172</v>
      </c>
    </row>
    <row r="204" spans="4:6" x14ac:dyDescent="0.25">
      <c r="D204" t="s">
        <v>97</v>
      </c>
      <c r="E204" t="s">
        <v>117</v>
      </c>
    </row>
    <row r="205" spans="4:6" x14ac:dyDescent="0.25">
      <c r="D205" t="s">
        <v>99</v>
      </c>
      <c r="E205" t="s">
        <v>126</v>
      </c>
    </row>
    <row r="206" spans="4:6" x14ac:dyDescent="0.25">
      <c r="D206" t="s">
        <v>127</v>
      </c>
      <c r="E206" t="s">
        <v>54</v>
      </c>
      <c r="F206" t="s">
        <v>54</v>
      </c>
    </row>
    <row r="207" spans="4:6" x14ac:dyDescent="0.25">
      <c r="D207" t="s">
        <v>128</v>
      </c>
      <c r="E207">
        <v>1</v>
      </c>
      <c r="F207">
        <v>2</v>
      </c>
    </row>
    <row r="208" spans="4:6" x14ac:dyDescent="0.25">
      <c r="D208" t="s">
        <v>129</v>
      </c>
      <c r="E208" t="s">
        <v>71</v>
      </c>
      <c r="F208" t="s">
        <v>71</v>
      </c>
    </row>
    <row r="209" spans="2:6" x14ac:dyDescent="0.25">
      <c r="D209" t="s">
        <v>130</v>
      </c>
      <c r="E209">
        <v>1</v>
      </c>
      <c r="F209">
        <v>2</v>
      </c>
    </row>
    <row r="210" spans="2:6" x14ac:dyDescent="0.25">
      <c r="D210" t="s">
        <v>119</v>
      </c>
      <c r="E210">
        <v>10</v>
      </c>
      <c r="F210">
        <v>10</v>
      </c>
    </row>
    <row r="211" spans="2:6" x14ac:dyDescent="0.25">
      <c r="D211" t="s">
        <v>131</v>
      </c>
      <c r="E211">
        <v>100</v>
      </c>
      <c r="F211">
        <v>100</v>
      </c>
    </row>
    <row r="212" spans="2:6" x14ac:dyDescent="0.25">
      <c r="D212" t="s">
        <v>132</v>
      </c>
      <c r="E212" t="s">
        <v>26</v>
      </c>
      <c r="F212" t="s">
        <v>26</v>
      </c>
    </row>
    <row r="213" spans="2:6" x14ac:dyDescent="0.25">
      <c r="D213" t="s">
        <v>133</v>
      </c>
    </row>
    <row r="214" spans="2:6" x14ac:dyDescent="0.25">
      <c r="D214" t="s">
        <v>134</v>
      </c>
    </row>
    <row r="215" spans="2:6" x14ac:dyDescent="0.25">
      <c r="D215" t="s">
        <v>228</v>
      </c>
      <c r="E215">
        <v>0</v>
      </c>
    </row>
    <row r="216" spans="2:6" x14ac:dyDescent="0.25">
      <c r="D216" t="s">
        <v>135</v>
      </c>
      <c r="E216" t="s">
        <v>208</v>
      </c>
    </row>
    <row r="217" spans="2:6" x14ac:dyDescent="0.25">
      <c r="D217" t="s">
        <v>173</v>
      </c>
    </row>
    <row r="222" spans="2:6" x14ac:dyDescent="0.25">
      <c r="B222" t="s">
        <v>174</v>
      </c>
    </row>
    <row r="223" spans="2:6" x14ac:dyDescent="0.25">
      <c r="B223" t="s">
        <v>175</v>
      </c>
    </row>
    <row r="224" spans="2:6" x14ac:dyDescent="0.25">
      <c r="B224" t="s">
        <v>176</v>
      </c>
    </row>
    <row r="225" spans="2:3" x14ac:dyDescent="0.25">
      <c r="B225" t="s">
        <v>177</v>
      </c>
    </row>
    <row r="226" spans="2:3" x14ac:dyDescent="0.25">
      <c r="B226" t="s">
        <v>218</v>
      </c>
    </row>
    <row r="228" spans="2:3" x14ac:dyDescent="0.25">
      <c r="C228" t="s">
        <v>108</v>
      </c>
    </row>
    <row r="233" spans="2:3" x14ac:dyDescent="0.25">
      <c r="B233" t="s">
        <v>178</v>
      </c>
    </row>
    <row r="234" spans="2:3" x14ac:dyDescent="0.25">
      <c r="B234" t="s">
        <v>179</v>
      </c>
    </row>
    <row r="235" spans="2:3" x14ac:dyDescent="0.25">
      <c r="B235" t="s">
        <v>180</v>
      </c>
    </row>
    <row r="236" spans="2:3" x14ac:dyDescent="0.25">
      <c r="B236" t="s">
        <v>181</v>
      </c>
    </row>
    <row r="237" spans="2:3" x14ac:dyDescent="0.25">
      <c r="B237" t="s">
        <v>182</v>
      </c>
    </row>
    <row r="239" spans="2:3" x14ac:dyDescent="0.25">
      <c r="C239" t="s">
        <v>108</v>
      </c>
    </row>
    <row r="241" spans="4:5" x14ac:dyDescent="0.25">
      <c r="D241" t="s">
        <v>97</v>
      </c>
      <c r="E241" t="s">
        <v>183</v>
      </c>
    </row>
    <row r="242" spans="4:5" x14ac:dyDescent="0.25">
      <c r="D242" t="s">
        <v>99</v>
      </c>
      <c r="E242" t="s">
        <v>184</v>
      </c>
    </row>
    <row r="243" spans="4:5" x14ac:dyDescent="0.25">
      <c r="D243" t="s">
        <v>185</v>
      </c>
      <c r="E243" t="s">
        <v>186</v>
      </c>
    </row>
    <row r="244" spans="4:5" x14ac:dyDescent="0.25">
      <c r="D244" t="s">
        <v>187</v>
      </c>
    </row>
    <row r="246" spans="4:5" x14ac:dyDescent="0.25">
      <c r="D246" t="s">
        <v>97</v>
      </c>
      <c r="E246" t="s">
        <v>183</v>
      </c>
    </row>
    <row r="247" spans="4:5" x14ac:dyDescent="0.25">
      <c r="D247" t="s">
        <v>99</v>
      </c>
      <c r="E247" t="s">
        <v>188</v>
      </c>
    </row>
    <row r="248" spans="4:5" x14ac:dyDescent="0.25">
      <c r="D248" t="s">
        <v>185</v>
      </c>
      <c r="E248" t="s">
        <v>186</v>
      </c>
    </row>
    <row r="249" spans="4:5" x14ac:dyDescent="0.25">
      <c r="D249" t="s">
        <v>189</v>
      </c>
    </row>
    <row r="251" spans="4:5" x14ac:dyDescent="0.25">
      <c r="D251" t="s">
        <v>97</v>
      </c>
      <c r="E251" t="s">
        <v>98</v>
      </c>
    </row>
    <row r="252" spans="4:5" x14ac:dyDescent="0.25">
      <c r="D252" t="s">
        <v>99</v>
      </c>
      <c r="E252" t="s">
        <v>190</v>
      </c>
    </row>
    <row r="253" spans="4:5" x14ac:dyDescent="0.25">
      <c r="D253" t="s">
        <v>101</v>
      </c>
      <c r="E253" t="s">
        <v>186</v>
      </c>
    </row>
    <row r="254" spans="4:5" x14ac:dyDescent="0.25">
      <c r="D254" t="s">
        <v>191</v>
      </c>
    </row>
    <row r="256" spans="4:5" x14ac:dyDescent="0.25">
      <c r="D256" t="s">
        <v>97</v>
      </c>
      <c r="E256" t="s">
        <v>98</v>
      </c>
    </row>
    <row r="257" spans="4:5" x14ac:dyDescent="0.25">
      <c r="D257" t="s">
        <v>99</v>
      </c>
      <c r="E257" t="s">
        <v>229</v>
      </c>
    </row>
    <row r="258" spans="4:5" x14ac:dyDescent="0.25">
      <c r="D258" t="s">
        <v>101</v>
      </c>
      <c r="E258" t="s">
        <v>186</v>
      </c>
    </row>
    <row r="259" spans="4:5" x14ac:dyDescent="0.25">
      <c r="D259" t="s">
        <v>192</v>
      </c>
    </row>
    <row r="261" spans="4:5" x14ac:dyDescent="0.25">
      <c r="D261" t="s">
        <v>97</v>
      </c>
      <c r="E261" t="s">
        <v>193</v>
      </c>
    </row>
    <row r="262" spans="4:5" x14ac:dyDescent="0.25">
      <c r="D262" t="s">
        <v>99</v>
      </c>
      <c r="E262" t="s">
        <v>100</v>
      </c>
    </row>
    <row r="263" spans="4:5" x14ac:dyDescent="0.25">
      <c r="D263" t="s">
        <v>101</v>
      </c>
      <c r="E263" t="s">
        <v>186</v>
      </c>
    </row>
    <row r="264" spans="4:5" x14ac:dyDescent="0.25">
      <c r="D264" t="s">
        <v>194</v>
      </c>
    </row>
    <row r="266" spans="4:5" x14ac:dyDescent="0.25">
      <c r="D266" t="s">
        <v>97</v>
      </c>
      <c r="E266" t="s">
        <v>193</v>
      </c>
    </row>
    <row r="267" spans="4:5" x14ac:dyDescent="0.25">
      <c r="D267" t="s">
        <v>99</v>
      </c>
      <c r="E267" t="s">
        <v>195</v>
      </c>
    </row>
    <row r="268" spans="4:5" x14ac:dyDescent="0.25">
      <c r="D268" t="s">
        <v>101</v>
      </c>
      <c r="E268" t="s">
        <v>186</v>
      </c>
    </row>
    <row r="269" spans="4:5" x14ac:dyDescent="0.25">
      <c r="D269" t="s">
        <v>196</v>
      </c>
    </row>
    <row r="271" spans="4:5" x14ac:dyDescent="0.25">
      <c r="D271" t="s">
        <v>97</v>
      </c>
      <c r="E271" t="s">
        <v>193</v>
      </c>
    </row>
    <row r="272" spans="4:5" x14ac:dyDescent="0.25">
      <c r="D272" t="s">
        <v>99</v>
      </c>
      <c r="E272" t="s">
        <v>230</v>
      </c>
    </row>
    <row r="273" spans="4:5" x14ac:dyDescent="0.25">
      <c r="D273" t="s">
        <v>101</v>
      </c>
      <c r="E273" t="s">
        <v>186</v>
      </c>
    </row>
    <row r="274" spans="4:5" x14ac:dyDescent="0.25">
      <c r="D274" t="s">
        <v>197</v>
      </c>
    </row>
    <row r="276" spans="4:5" x14ac:dyDescent="0.25">
      <c r="D276" t="s">
        <v>97</v>
      </c>
      <c r="E276" t="s">
        <v>98</v>
      </c>
    </row>
    <row r="277" spans="4:5" x14ac:dyDescent="0.25">
      <c r="D277" t="s">
        <v>99</v>
      </c>
      <c r="E277" t="s">
        <v>195</v>
      </c>
    </row>
    <row r="278" spans="4:5" x14ac:dyDescent="0.25">
      <c r="D278" t="s">
        <v>101</v>
      </c>
      <c r="E278" t="s">
        <v>186</v>
      </c>
    </row>
    <row r="279" spans="4:5" x14ac:dyDescent="0.25">
      <c r="D279" t="s">
        <v>198</v>
      </c>
    </row>
    <row r="281" spans="4:5" x14ac:dyDescent="0.25">
      <c r="D281" t="s">
        <v>97</v>
      </c>
      <c r="E281" t="s">
        <v>98</v>
      </c>
    </row>
    <row r="282" spans="4:5" x14ac:dyDescent="0.25">
      <c r="D282" t="s">
        <v>99</v>
      </c>
      <c r="E282" t="s">
        <v>230</v>
      </c>
    </row>
    <row r="283" spans="4:5" x14ac:dyDescent="0.25">
      <c r="D283" t="s">
        <v>101</v>
      </c>
      <c r="E283" t="s">
        <v>186</v>
      </c>
    </row>
    <row r="284" spans="4:5" x14ac:dyDescent="0.25">
      <c r="D284" t="s">
        <v>199</v>
      </c>
    </row>
    <row r="286" spans="4:5" x14ac:dyDescent="0.25">
      <c r="D286" t="s">
        <v>97</v>
      </c>
      <c r="E286" t="s">
        <v>200</v>
      </c>
    </row>
    <row r="287" spans="4:5" x14ac:dyDescent="0.25">
      <c r="D287" t="s">
        <v>99</v>
      </c>
      <c r="E287" t="s">
        <v>201</v>
      </c>
    </row>
    <row r="288" spans="4:5" x14ac:dyDescent="0.25">
      <c r="D288" t="s">
        <v>202</v>
      </c>
    </row>
    <row r="289" spans="4:5" x14ac:dyDescent="0.25">
      <c r="D289" t="s">
        <v>203</v>
      </c>
    </row>
    <row r="290" spans="4:5" x14ac:dyDescent="0.25">
      <c r="D290" t="s">
        <v>204</v>
      </c>
    </row>
    <row r="291" spans="4:5" x14ac:dyDescent="0.25">
      <c r="D291" t="s">
        <v>205</v>
      </c>
    </row>
    <row r="292" spans="4:5" x14ac:dyDescent="0.25">
      <c r="D292" t="s">
        <v>206</v>
      </c>
      <c r="E292" t="b">
        <v>0</v>
      </c>
    </row>
    <row r="293" spans="4:5" x14ac:dyDescent="0.25">
      <c r="D293" t="s">
        <v>207</v>
      </c>
      <c r="E293" t="s">
        <v>208</v>
      </c>
    </row>
    <row r="294" spans="4:5" x14ac:dyDescent="0.25">
      <c r="D294" t="s">
        <v>209</v>
      </c>
    </row>
    <row r="296" spans="4:5" x14ac:dyDescent="0.25">
      <c r="D296" t="s">
        <v>97</v>
      </c>
      <c r="E296" t="s">
        <v>200</v>
      </c>
    </row>
    <row r="297" spans="4:5" x14ac:dyDescent="0.25">
      <c r="D297" t="s">
        <v>99</v>
      </c>
      <c r="E297" t="s">
        <v>201</v>
      </c>
    </row>
    <row r="298" spans="4:5" x14ac:dyDescent="0.25">
      <c r="D298" t="s">
        <v>202</v>
      </c>
    </row>
    <row r="299" spans="4:5" x14ac:dyDescent="0.25">
      <c r="D299" t="s">
        <v>203</v>
      </c>
    </row>
    <row r="300" spans="4:5" x14ac:dyDescent="0.25">
      <c r="D300" t="s">
        <v>204</v>
      </c>
    </row>
    <row r="301" spans="4:5" x14ac:dyDescent="0.25">
      <c r="D301" t="s">
        <v>205</v>
      </c>
    </row>
    <row r="302" spans="4:5" x14ac:dyDescent="0.25">
      <c r="D302" t="s">
        <v>206</v>
      </c>
      <c r="E302" t="b">
        <v>1</v>
      </c>
    </row>
    <row r="303" spans="4:5" x14ac:dyDescent="0.25">
      <c r="D303" t="s">
        <v>207</v>
      </c>
      <c r="E303" t="s">
        <v>208</v>
      </c>
    </row>
    <row r="304" spans="4:5" x14ac:dyDescent="0.25">
      <c r="D304" t="s">
        <v>210</v>
      </c>
    </row>
    <row r="306" spans="2:5" x14ac:dyDescent="0.25">
      <c r="D306" t="s">
        <v>97</v>
      </c>
      <c r="E306" t="s">
        <v>98</v>
      </c>
    </row>
    <row r="307" spans="2:5" x14ac:dyDescent="0.25">
      <c r="D307" t="s">
        <v>99</v>
      </c>
      <c r="E307" t="s">
        <v>211</v>
      </c>
    </row>
    <row r="308" spans="2:5" x14ac:dyDescent="0.25">
      <c r="D308" t="s">
        <v>101</v>
      </c>
      <c r="E308" t="s">
        <v>54</v>
      </c>
    </row>
    <row r="309" spans="2:5" x14ac:dyDescent="0.25">
      <c r="D309" t="s">
        <v>102</v>
      </c>
      <c r="E309">
        <v>37</v>
      </c>
    </row>
    <row r="310" spans="2:5" x14ac:dyDescent="0.25">
      <c r="D310" t="s">
        <v>103</v>
      </c>
      <c r="E310">
        <v>0</v>
      </c>
    </row>
    <row r="311" spans="2:5" x14ac:dyDescent="0.25">
      <c r="D311" t="s">
        <v>212</v>
      </c>
    </row>
    <row r="316" spans="2:5" x14ac:dyDescent="0.25">
      <c r="B316" t="s">
        <v>140</v>
      </c>
    </row>
    <row r="317" spans="2:5" x14ac:dyDescent="0.25">
      <c r="B317" t="s">
        <v>213</v>
      </c>
    </row>
    <row r="318" spans="2:5" x14ac:dyDescent="0.25">
      <c r="B318" t="s">
        <v>214</v>
      </c>
    </row>
    <row r="319" spans="2:5" x14ac:dyDescent="0.25">
      <c r="B319" t="s">
        <v>152</v>
      </c>
    </row>
    <row r="320" spans="2:5" x14ac:dyDescent="0.25">
      <c r="B320" t="s">
        <v>144</v>
      </c>
    </row>
    <row r="321" spans="2:6" x14ac:dyDescent="0.25">
      <c r="B321" t="s">
        <v>215</v>
      </c>
    </row>
    <row r="322" spans="2:6" x14ac:dyDescent="0.25">
      <c r="B322" t="s">
        <v>146</v>
      </c>
    </row>
    <row r="324" spans="2:6" x14ac:dyDescent="0.25">
      <c r="C324" t="s">
        <v>108</v>
      </c>
    </row>
    <row r="326" spans="2:6" x14ac:dyDescent="0.25">
      <c r="D326" t="s">
        <v>97</v>
      </c>
      <c r="E326" t="s">
        <v>117</v>
      </c>
    </row>
    <row r="327" spans="2:6" x14ac:dyDescent="0.25">
      <c r="D327" t="s">
        <v>99</v>
      </c>
      <c r="E327" t="s">
        <v>118</v>
      </c>
    </row>
    <row r="328" spans="2:6" x14ac:dyDescent="0.25">
      <c r="D328" t="s">
        <v>119</v>
      </c>
      <c r="E328">
        <v>100</v>
      </c>
      <c r="F328">
        <v>100</v>
      </c>
    </row>
    <row r="329" spans="2:6" x14ac:dyDescent="0.25">
      <c r="D329" t="s">
        <v>120</v>
      </c>
      <c r="E329" t="s">
        <v>121</v>
      </c>
      <c r="F329" t="s">
        <v>122</v>
      </c>
    </row>
    <row r="330" spans="2:6" x14ac:dyDescent="0.25">
      <c r="D330" t="s">
        <v>216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3AEE8-4B7B-40A4-8469-5BA24229CC18}">
  <sheetPr codeName="Sheet5"/>
  <dimension ref="B1:M47"/>
  <sheetViews>
    <sheetView topLeftCell="A7" workbookViewId="0">
      <selection activeCell="B28" sqref="B28:F28"/>
    </sheetView>
  </sheetViews>
  <sheetFormatPr defaultRowHeight="15" x14ac:dyDescent="0.25"/>
  <cols>
    <col min="2" max="2" width="24.28515625" bestFit="1" customWidth="1"/>
  </cols>
  <sheetData>
    <row r="1" spans="2:13" ht="15.75" thickBot="1" x14ac:dyDescent="0.3"/>
    <row r="2" spans="2:13" ht="27" thickBot="1" x14ac:dyDescent="0.45">
      <c r="B2" s="97" t="s">
        <v>234</v>
      </c>
      <c r="C2" s="98"/>
      <c r="D2" s="98"/>
      <c r="E2" s="98"/>
      <c r="F2" s="98"/>
      <c r="G2" s="98"/>
      <c r="H2" s="98"/>
      <c r="I2" s="98"/>
      <c r="J2" s="98"/>
      <c r="K2" s="98"/>
      <c r="L2" s="98"/>
      <c r="M2" s="99"/>
    </row>
    <row r="3" spans="2:13" x14ac:dyDescent="0.25">
      <c r="B3" s="100" t="s">
        <v>235</v>
      </c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2"/>
    </row>
    <row r="4" spans="2:13" x14ac:dyDescent="0.25">
      <c r="B4" s="103" t="s">
        <v>236</v>
      </c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5"/>
    </row>
    <row r="5" spans="2:13" x14ac:dyDescent="0.25">
      <c r="B5" s="103"/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5"/>
    </row>
    <row r="6" spans="2:13" x14ac:dyDescent="0.25">
      <c r="B6" s="103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5"/>
    </row>
    <row r="7" spans="2:13" x14ac:dyDescent="0.25">
      <c r="B7" s="103"/>
      <c r="C7" s="104"/>
      <c r="D7" s="104"/>
      <c r="E7" s="104"/>
      <c r="F7" s="104"/>
      <c r="G7" s="104"/>
      <c r="H7" s="104"/>
      <c r="I7" s="104"/>
      <c r="J7" s="104"/>
      <c r="K7" s="104"/>
      <c r="L7" s="104"/>
      <c r="M7" s="105"/>
    </row>
    <row r="8" spans="2:13" x14ac:dyDescent="0.25">
      <c r="B8" s="103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5"/>
    </row>
    <row r="9" spans="2:13" x14ac:dyDescent="0.25">
      <c r="B9" s="103"/>
      <c r="C9" s="104"/>
      <c r="D9" s="104"/>
      <c r="E9" s="104"/>
      <c r="F9" s="104"/>
      <c r="G9" s="104"/>
      <c r="H9" s="104"/>
      <c r="I9" s="104"/>
      <c r="J9" s="104"/>
      <c r="K9" s="104"/>
      <c r="L9" s="104"/>
      <c r="M9" s="105"/>
    </row>
    <row r="10" spans="2:13" ht="15.75" thickBot="1" x14ac:dyDescent="0.3">
      <c r="B10" s="50"/>
      <c r="C10" s="106"/>
      <c r="D10" s="106"/>
      <c r="E10" s="106"/>
      <c r="F10" s="106"/>
      <c r="G10" s="106"/>
      <c r="H10" s="106"/>
      <c r="I10" s="106"/>
      <c r="J10" s="106"/>
      <c r="K10" s="106"/>
      <c r="L10" s="106"/>
      <c r="M10" s="51"/>
    </row>
    <row r="14" spans="2:13" ht="15.75" thickBot="1" x14ac:dyDescent="0.3"/>
    <row r="15" spans="2:13" ht="19.5" thickBot="1" x14ac:dyDescent="0.35">
      <c r="B15" s="107" t="s">
        <v>66</v>
      </c>
      <c r="C15" s="108"/>
      <c r="D15" s="108"/>
      <c r="E15" s="108"/>
      <c r="F15" s="109"/>
      <c r="I15" s="107" t="s">
        <v>71</v>
      </c>
      <c r="J15" s="108"/>
      <c r="K15" s="108"/>
      <c r="L15" s="108"/>
      <c r="M15" s="109"/>
    </row>
    <row r="16" spans="2:13" ht="16.5" thickBot="1" x14ac:dyDescent="0.3">
      <c r="B16" s="110" t="s">
        <v>233</v>
      </c>
      <c r="C16" s="111"/>
      <c r="D16" s="111"/>
      <c r="E16" s="111"/>
      <c r="F16" s="112"/>
      <c r="I16" s="110" t="s">
        <v>233</v>
      </c>
      <c r="J16" s="111"/>
      <c r="K16" s="111"/>
      <c r="L16" s="111"/>
      <c r="M16" s="112"/>
    </row>
    <row r="17" spans="2:13" ht="16.5" thickBot="1" x14ac:dyDescent="0.3">
      <c r="B17" s="110" t="s">
        <v>237</v>
      </c>
      <c r="C17" s="111"/>
      <c r="D17" s="111"/>
      <c r="E17" s="111"/>
      <c r="F17" s="112"/>
      <c r="I17" s="110" t="s">
        <v>242</v>
      </c>
      <c r="J17" s="111"/>
      <c r="K17" s="111"/>
      <c r="L17" s="111"/>
      <c r="M17" s="112"/>
    </row>
    <row r="18" spans="2:13" x14ac:dyDescent="0.25">
      <c r="B18" s="96" t="s">
        <v>232</v>
      </c>
      <c r="C18" s="113"/>
      <c r="D18" s="113"/>
      <c r="E18" s="113"/>
      <c r="F18" s="118"/>
      <c r="I18" s="96" t="s">
        <v>232</v>
      </c>
      <c r="J18" s="113"/>
      <c r="K18" s="113"/>
      <c r="L18" s="113"/>
      <c r="M18" s="118"/>
    </row>
    <row r="19" spans="2:13" x14ac:dyDescent="0.25">
      <c r="B19" s="114" t="s">
        <v>238</v>
      </c>
      <c r="C19" s="115"/>
      <c r="D19" s="115"/>
      <c r="E19" s="115"/>
      <c r="F19" s="119"/>
      <c r="I19" s="114" t="s">
        <v>238</v>
      </c>
      <c r="J19" s="115"/>
      <c r="K19" s="115"/>
      <c r="L19" s="115"/>
      <c r="M19" s="119"/>
    </row>
    <row r="20" spans="2:13" x14ac:dyDescent="0.25">
      <c r="B20" s="114" t="s">
        <v>239</v>
      </c>
      <c r="C20" s="115"/>
      <c r="D20" s="115"/>
      <c r="E20" s="115"/>
      <c r="F20" s="119"/>
      <c r="I20" s="114" t="s">
        <v>239</v>
      </c>
      <c r="J20" s="115"/>
      <c r="K20" s="115"/>
      <c r="L20" s="115"/>
      <c r="M20" s="119"/>
    </row>
    <row r="21" spans="2:13" x14ac:dyDescent="0.25">
      <c r="B21" s="114" t="s">
        <v>56</v>
      </c>
      <c r="C21" s="115"/>
      <c r="D21" s="115"/>
      <c r="E21" s="115"/>
      <c r="F21" s="119"/>
      <c r="I21" s="114" t="s">
        <v>56</v>
      </c>
      <c r="J21" s="115"/>
      <c r="K21" s="115"/>
      <c r="L21" s="115"/>
      <c r="M21" s="119"/>
    </row>
    <row r="22" spans="2:13" x14ac:dyDescent="0.25">
      <c r="B22" s="114" t="s">
        <v>240</v>
      </c>
      <c r="C22" s="115"/>
      <c r="D22" s="115"/>
      <c r="E22" s="115"/>
      <c r="F22" s="119"/>
      <c r="I22" s="114" t="s">
        <v>240</v>
      </c>
      <c r="J22" s="115"/>
      <c r="K22" s="115"/>
      <c r="L22" s="115"/>
      <c r="M22" s="119"/>
    </row>
    <row r="23" spans="2:13" ht="15.75" thickBot="1" x14ac:dyDescent="0.3">
      <c r="B23" s="116" t="s">
        <v>241</v>
      </c>
      <c r="C23" s="117"/>
      <c r="D23" s="117"/>
      <c r="E23" s="117"/>
      <c r="F23" s="120"/>
      <c r="I23" s="116" t="s">
        <v>241</v>
      </c>
      <c r="J23" s="117"/>
      <c r="K23" s="117"/>
      <c r="L23" s="117"/>
      <c r="M23" s="120"/>
    </row>
    <row r="26" spans="2:13" ht="15.75" thickBot="1" x14ac:dyDescent="0.3"/>
    <row r="27" spans="2:13" ht="19.5" thickBot="1" x14ac:dyDescent="0.35">
      <c r="B27" s="107" t="s">
        <v>77</v>
      </c>
      <c r="C27" s="108"/>
      <c r="D27" s="108"/>
      <c r="E27" s="108"/>
      <c r="F27" s="109"/>
      <c r="I27" s="107" t="s">
        <v>219</v>
      </c>
      <c r="J27" s="108"/>
      <c r="K27" s="108"/>
      <c r="L27" s="108"/>
      <c r="M27" s="109"/>
    </row>
    <row r="28" spans="2:13" ht="16.5" thickBot="1" x14ac:dyDescent="0.3">
      <c r="B28" s="110" t="s">
        <v>233</v>
      </c>
      <c r="C28" s="111"/>
      <c r="D28" s="111"/>
      <c r="E28" s="111"/>
      <c r="F28" s="112"/>
      <c r="I28" s="110" t="s">
        <v>233</v>
      </c>
      <c r="J28" s="111"/>
      <c r="K28" s="111"/>
      <c r="L28" s="111"/>
      <c r="M28" s="112"/>
    </row>
    <row r="29" spans="2:13" ht="16.5" thickBot="1" x14ac:dyDescent="0.3">
      <c r="B29" s="110" t="s">
        <v>243</v>
      </c>
      <c r="C29" s="111"/>
      <c r="D29" s="111"/>
      <c r="E29" s="111"/>
      <c r="F29" s="112"/>
      <c r="I29" s="110" t="s">
        <v>237</v>
      </c>
      <c r="J29" s="111"/>
      <c r="K29" s="111"/>
      <c r="L29" s="111"/>
      <c r="M29" s="112"/>
    </row>
    <row r="30" spans="2:13" x14ac:dyDescent="0.25">
      <c r="B30" s="96" t="s">
        <v>232</v>
      </c>
      <c r="C30" s="113"/>
      <c r="D30" s="113"/>
      <c r="E30" s="113"/>
      <c r="F30" s="118"/>
      <c r="I30" s="96" t="s">
        <v>232</v>
      </c>
      <c r="J30" s="113"/>
      <c r="K30" s="113"/>
      <c r="L30" s="113"/>
      <c r="M30" s="118"/>
    </row>
    <row r="31" spans="2:13" x14ac:dyDescent="0.25">
      <c r="B31" s="114" t="s">
        <v>238</v>
      </c>
      <c r="C31" s="115"/>
      <c r="D31" s="115"/>
      <c r="E31" s="115"/>
      <c r="F31" s="119"/>
      <c r="I31" s="114" t="s">
        <v>238</v>
      </c>
      <c r="J31" s="115"/>
      <c r="K31" s="115"/>
      <c r="L31" s="115"/>
      <c r="M31" s="119"/>
    </row>
    <row r="32" spans="2:13" x14ac:dyDescent="0.25">
      <c r="B32" s="114" t="s">
        <v>239</v>
      </c>
      <c r="C32" s="115"/>
      <c r="D32" s="115"/>
      <c r="E32" s="115"/>
      <c r="F32" s="119"/>
      <c r="I32" s="114" t="s">
        <v>239</v>
      </c>
      <c r="J32" s="115"/>
      <c r="K32" s="115"/>
      <c r="L32" s="115"/>
      <c r="M32" s="119"/>
    </row>
    <row r="33" spans="2:13" x14ac:dyDescent="0.25">
      <c r="B33" s="114" t="s">
        <v>56</v>
      </c>
      <c r="C33" s="115"/>
      <c r="D33" s="115"/>
      <c r="E33" s="115"/>
      <c r="F33" s="119"/>
      <c r="I33" s="114" t="s">
        <v>56</v>
      </c>
      <c r="J33" s="115"/>
      <c r="K33" s="115"/>
      <c r="L33" s="115"/>
      <c r="M33" s="119"/>
    </row>
    <row r="34" spans="2:13" x14ac:dyDescent="0.25">
      <c r="B34" s="114" t="s">
        <v>240</v>
      </c>
      <c r="C34" s="115"/>
      <c r="D34" s="115"/>
      <c r="E34" s="115"/>
      <c r="F34" s="119"/>
      <c r="I34" s="114" t="s">
        <v>240</v>
      </c>
      <c r="J34" s="115"/>
      <c r="K34" s="115"/>
      <c r="L34" s="115"/>
      <c r="M34" s="119"/>
    </row>
    <row r="35" spans="2:13" ht="15.75" thickBot="1" x14ac:dyDescent="0.3">
      <c r="B35" s="116" t="s">
        <v>241</v>
      </c>
      <c r="C35" s="117"/>
      <c r="D35" s="117"/>
      <c r="E35" s="117"/>
      <c r="F35" s="120"/>
      <c r="I35" s="116" t="s">
        <v>241</v>
      </c>
      <c r="J35" s="117"/>
      <c r="K35" s="117"/>
      <c r="L35" s="117"/>
      <c r="M35" s="120"/>
    </row>
    <row r="38" spans="2:13" ht="15.75" thickBot="1" x14ac:dyDescent="0.3"/>
    <row r="39" spans="2:13" ht="19.5" thickBot="1" x14ac:dyDescent="0.35">
      <c r="B39" s="107" t="s">
        <v>57</v>
      </c>
      <c r="C39" s="108"/>
      <c r="D39" s="108"/>
      <c r="E39" s="108"/>
      <c r="F39" s="109"/>
      <c r="I39" s="107" t="s">
        <v>63</v>
      </c>
      <c r="J39" s="108"/>
      <c r="K39" s="108"/>
      <c r="L39" s="108"/>
      <c r="M39" s="109"/>
    </row>
    <row r="40" spans="2:13" ht="16.5" thickBot="1" x14ac:dyDescent="0.3">
      <c r="B40" s="110" t="s">
        <v>231</v>
      </c>
      <c r="C40" s="111"/>
      <c r="D40" s="111"/>
      <c r="E40" s="111"/>
      <c r="F40" s="112"/>
      <c r="I40" s="110" t="s">
        <v>231</v>
      </c>
      <c r="J40" s="111"/>
      <c r="K40" s="111"/>
      <c r="L40" s="111"/>
      <c r="M40" s="112"/>
    </row>
    <row r="41" spans="2:13" ht="16.5" thickBot="1" x14ac:dyDescent="0.3">
      <c r="B41" s="110" t="s">
        <v>244</v>
      </c>
      <c r="C41" s="111"/>
      <c r="D41" s="111"/>
      <c r="E41" s="111"/>
      <c r="F41" s="112"/>
      <c r="I41" s="110" t="s">
        <v>245</v>
      </c>
      <c r="J41" s="111"/>
      <c r="K41" s="111"/>
      <c r="L41" s="111"/>
      <c r="M41" s="112"/>
    </row>
    <row r="42" spans="2:13" x14ac:dyDescent="0.25">
      <c r="B42" s="96" t="s">
        <v>232</v>
      </c>
      <c r="C42" s="113"/>
      <c r="D42" s="113"/>
      <c r="E42" s="113"/>
      <c r="F42" s="118"/>
      <c r="I42" s="96" t="s">
        <v>232</v>
      </c>
      <c r="J42" s="113"/>
      <c r="K42" s="113"/>
      <c r="L42" s="113"/>
      <c r="M42" s="118"/>
    </row>
    <row r="43" spans="2:13" x14ac:dyDescent="0.25">
      <c r="B43" s="114" t="s">
        <v>238</v>
      </c>
      <c r="C43" s="115"/>
      <c r="D43" s="115"/>
      <c r="E43" s="115"/>
      <c r="F43" s="119"/>
      <c r="I43" s="114" t="s">
        <v>238</v>
      </c>
      <c r="J43" s="115"/>
      <c r="K43" s="115"/>
      <c r="L43" s="115"/>
      <c r="M43" s="119"/>
    </row>
    <row r="44" spans="2:13" x14ac:dyDescent="0.25">
      <c r="B44" s="114" t="s">
        <v>239</v>
      </c>
      <c r="C44" s="115"/>
      <c r="D44" s="115"/>
      <c r="E44" s="115"/>
      <c r="F44" s="119"/>
      <c r="I44" s="114" t="s">
        <v>239</v>
      </c>
      <c r="J44" s="115"/>
      <c r="K44" s="115"/>
      <c r="L44" s="115"/>
      <c r="M44" s="119"/>
    </row>
    <row r="45" spans="2:13" x14ac:dyDescent="0.25">
      <c r="B45" s="114" t="s">
        <v>56</v>
      </c>
      <c r="C45" s="115"/>
      <c r="D45" s="115"/>
      <c r="E45" s="115"/>
      <c r="F45" s="119"/>
      <c r="I45" s="114" t="s">
        <v>56</v>
      </c>
      <c r="J45" s="115"/>
      <c r="K45" s="115"/>
      <c r="L45" s="115"/>
      <c r="M45" s="119"/>
    </row>
    <row r="46" spans="2:13" x14ac:dyDescent="0.25">
      <c r="B46" s="114" t="s">
        <v>240</v>
      </c>
      <c r="C46" s="115"/>
      <c r="D46" s="115"/>
      <c r="E46" s="115"/>
      <c r="F46" s="119"/>
      <c r="I46" s="114" t="s">
        <v>240</v>
      </c>
      <c r="J46" s="115"/>
      <c r="K46" s="115"/>
      <c r="L46" s="115"/>
      <c r="M46" s="119"/>
    </row>
    <row r="47" spans="2:13" ht="15.75" thickBot="1" x14ac:dyDescent="0.3">
      <c r="B47" s="116" t="s">
        <v>241</v>
      </c>
      <c r="C47" s="117"/>
      <c r="D47" s="117"/>
      <c r="E47" s="117"/>
      <c r="F47" s="120"/>
      <c r="I47" s="116" t="s">
        <v>241</v>
      </c>
      <c r="J47" s="117"/>
      <c r="K47" s="117"/>
      <c r="L47" s="117"/>
      <c r="M47" s="120"/>
    </row>
  </sheetData>
  <mergeCells count="91">
    <mergeCell ref="K47:M47"/>
    <mergeCell ref="I43:J43"/>
    <mergeCell ref="I44:J44"/>
    <mergeCell ref="I45:J45"/>
    <mergeCell ref="I46:J46"/>
    <mergeCell ref="I47:J47"/>
    <mergeCell ref="K42:M42"/>
    <mergeCell ref="K43:M43"/>
    <mergeCell ref="K44:M44"/>
    <mergeCell ref="K45:M45"/>
    <mergeCell ref="K46:M46"/>
    <mergeCell ref="B44:C44"/>
    <mergeCell ref="B45:C45"/>
    <mergeCell ref="B46:C46"/>
    <mergeCell ref="B47:C47"/>
    <mergeCell ref="D42:F42"/>
    <mergeCell ref="D43:F43"/>
    <mergeCell ref="D44:F44"/>
    <mergeCell ref="D45:F45"/>
    <mergeCell ref="D46:F46"/>
    <mergeCell ref="D47:F47"/>
    <mergeCell ref="K35:M35"/>
    <mergeCell ref="B39:F39"/>
    <mergeCell ref="B40:F40"/>
    <mergeCell ref="B41:F41"/>
    <mergeCell ref="B42:C42"/>
    <mergeCell ref="B43:C43"/>
    <mergeCell ref="I39:M39"/>
    <mergeCell ref="I40:M40"/>
    <mergeCell ref="I41:M41"/>
    <mergeCell ref="I42:J42"/>
    <mergeCell ref="I31:J31"/>
    <mergeCell ref="I32:J32"/>
    <mergeCell ref="I33:J33"/>
    <mergeCell ref="I34:J34"/>
    <mergeCell ref="I35:J35"/>
    <mergeCell ref="K30:M30"/>
    <mergeCell ref="K31:M31"/>
    <mergeCell ref="K32:M32"/>
    <mergeCell ref="K33:M33"/>
    <mergeCell ref="K34:M34"/>
    <mergeCell ref="B32:C32"/>
    <mergeCell ref="B33:C33"/>
    <mergeCell ref="B34:C34"/>
    <mergeCell ref="B35:C35"/>
    <mergeCell ref="D30:F30"/>
    <mergeCell ref="D31:F31"/>
    <mergeCell ref="D32:F32"/>
    <mergeCell ref="D33:F33"/>
    <mergeCell ref="D34:F34"/>
    <mergeCell ref="D35:F35"/>
    <mergeCell ref="K23:M23"/>
    <mergeCell ref="B27:F27"/>
    <mergeCell ref="B28:F28"/>
    <mergeCell ref="B29:F29"/>
    <mergeCell ref="B30:C30"/>
    <mergeCell ref="B31:C31"/>
    <mergeCell ref="I27:M27"/>
    <mergeCell ref="I28:M28"/>
    <mergeCell ref="I29:M29"/>
    <mergeCell ref="I30:J30"/>
    <mergeCell ref="I19:J19"/>
    <mergeCell ref="I20:J20"/>
    <mergeCell ref="I21:J21"/>
    <mergeCell ref="I22:J22"/>
    <mergeCell ref="I23:J23"/>
    <mergeCell ref="K18:M18"/>
    <mergeCell ref="K19:M19"/>
    <mergeCell ref="K20:M20"/>
    <mergeCell ref="K21:M21"/>
    <mergeCell ref="K22:M22"/>
    <mergeCell ref="B20:C20"/>
    <mergeCell ref="B21:C21"/>
    <mergeCell ref="B22:C22"/>
    <mergeCell ref="B23:C23"/>
    <mergeCell ref="D18:F18"/>
    <mergeCell ref="D19:F19"/>
    <mergeCell ref="D20:F20"/>
    <mergeCell ref="D21:F21"/>
    <mergeCell ref="D22:F22"/>
    <mergeCell ref="D23:F23"/>
    <mergeCell ref="B2:M2"/>
    <mergeCell ref="B15:F15"/>
    <mergeCell ref="B16:F16"/>
    <mergeCell ref="B17:F17"/>
    <mergeCell ref="B18:C18"/>
    <mergeCell ref="B19:C19"/>
    <mergeCell ref="I15:M15"/>
    <mergeCell ref="I16:M16"/>
    <mergeCell ref="I17:M17"/>
    <mergeCell ref="I18:J1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3A61C9D3DF41942A30B0F19463269B8" ma:contentTypeVersion="2" ma:contentTypeDescription="Create a new document." ma:contentTypeScope="" ma:versionID="db64cd9a9471e43bac007a484dff8f6d">
  <xsd:schema xmlns:xsd="http://www.w3.org/2001/XMLSchema" xmlns:xs="http://www.w3.org/2001/XMLSchema" xmlns:p="http://schemas.microsoft.com/office/2006/metadata/properties" xmlns:ns2="a9bd107e-1940-4cd6-8058-0558cc3d6638" targetNamespace="http://schemas.microsoft.com/office/2006/metadata/properties" ma:root="true" ma:fieldsID="5ae7a757381906b34bab361f4120feaa" ns2:_="">
    <xsd:import namespace="a9bd107e-1940-4cd6-8058-0558cc3d663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bd107e-1940-4cd6-8058-0558cc3d66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schemas.microsoft.com/office/2006/documentManagement/types"/>
    <ds:schemaRef ds:uri="http://purl.org/dc/elements/1.1/"/>
    <ds:schemaRef ds:uri="http://purl.org/dc/dcmitype/"/>
    <ds:schemaRef ds:uri="http://schemas.microsoft.com/office/2006/metadata/properties"/>
    <ds:schemaRef ds:uri="http://purl.org/dc/terms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a9bd107e-1940-4cd6-8058-0558cc3d6638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B7026A9-D827-4785-96B6-89A9596ADD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bd107e-1940-4cd6-8058-0558cc3d66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___Dropdown values</vt:lpstr>
      <vt:lpstr>Method</vt:lpstr>
      <vt:lpstr>Worklist</vt:lpstr>
      <vt:lpstr>TestLog</vt:lpstr>
      <vt:lpstr>PrepList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Bare, Bradley</dc:creator>
  <cp:keywords/>
  <dc:description/>
  <cp:lastModifiedBy>Bare, Bradley</cp:lastModifiedBy>
  <cp:revision/>
  <dcterms:created xsi:type="dcterms:W3CDTF">2021-02-05T21:39:59Z</dcterms:created>
  <dcterms:modified xsi:type="dcterms:W3CDTF">2022-02-07T16:04:58Z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0x01010093A61C9D3DF41942A30B0F19463269B8</vt:lpwstr>
  </property>
</Properties>
</file>