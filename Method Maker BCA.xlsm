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5440" windowHeight="15390" activeTab="1"/>
  </bookViews>
  <sheets>
    <sheet name="Worklist" sheetId="3" r:id="rId1"/>
    <sheet name="TestLog" sheetId="26" r:id="rId2"/>
    <sheet name="Method" sheetId="14" r:id="rId3"/>
    <sheet name="Solutions" sheetId="17" r:id="rId4"/>
    <sheet name="Method Notes" sheetId="22" r:id="rId5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14" l="1"/>
  <c r="E28" i="14"/>
  <c r="E12" i="14"/>
  <c r="E9" i="14"/>
  <c r="E25" i="3" l="1"/>
  <c r="F25" i="3" s="1"/>
  <c r="A25" i="3"/>
  <c r="B25" i="3" s="1"/>
  <c r="E24" i="3"/>
  <c r="F24" i="3" s="1"/>
  <c r="A24" i="3"/>
  <c r="B24" i="3" s="1"/>
  <c r="E23" i="3"/>
  <c r="F23" i="3" s="1"/>
  <c r="A23" i="3"/>
  <c r="B23" i="3" s="1"/>
  <c r="E22" i="3"/>
  <c r="F22" i="3" s="1"/>
  <c r="A22" i="3"/>
  <c r="B22" i="3" s="1"/>
  <c r="E21" i="3"/>
  <c r="F21" i="3" s="1"/>
  <c r="A21" i="3"/>
  <c r="B21" i="3" s="1"/>
  <c r="E20" i="3"/>
  <c r="F20" i="3" s="1"/>
  <c r="A20" i="3"/>
  <c r="B20" i="3" s="1"/>
  <c r="E19" i="3"/>
  <c r="F19" i="3" s="1"/>
  <c r="A19" i="3"/>
  <c r="B19" i="3" s="1"/>
  <c r="E18" i="3"/>
  <c r="F18" i="3" s="1"/>
  <c r="A18" i="3"/>
  <c r="B18" i="3" s="1"/>
  <c r="E17" i="3"/>
  <c r="F17" i="3" s="1"/>
  <c r="A17" i="3"/>
  <c r="B17" i="3" s="1"/>
  <c r="E16" i="3"/>
  <c r="F16" i="3" s="1"/>
  <c r="A16" i="3"/>
  <c r="B16" i="3" s="1"/>
  <c r="E15" i="3"/>
  <c r="F15" i="3" s="1"/>
  <c r="A15" i="3"/>
  <c r="B15" i="3" s="1"/>
  <c r="E14" i="3"/>
  <c r="F14" i="3" s="1"/>
  <c r="A14" i="3"/>
  <c r="B14" i="3" s="1"/>
  <c r="E13" i="3"/>
  <c r="F13" i="3" s="1"/>
  <c r="A13" i="3"/>
  <c r="B13" i="3" s="1"/>
  <c r="E12" i="3"/>
  <c r="F12" i="3" s="1"/>
  <c r="A12" i="3"/>
  <c r="B12" i="3" s="1"/>
  <c r="E9" i="3"/>
  <c r="F9" i="3" s="1"/>
  <c r="E11" i="3"/>
  <c r="F11" i="3" s="1"/>
  <c r="E10" i="3"/>
  <c r="F10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2" i="3"/>
  <c r="F2" i="3" s="1"/>
  <c r="A11" i="3"/>
  <c r="B11" i="3" s="1"/>
  <c r="A2" i="3" l="1"/>
  <c r="B2" i="3" s="1"/>
  <c r="A3" i="3"/>
  <c r="B3" i="3" s="1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</calcChain>
</file>

<file path=xl/sharedStrings.xml><?xml version="1.0" encoding="utf-8"?>
<sst xmlns="http://schemas.openxmlformats.org/spreadsheetml/2006/main" count="1162" uniqueCount="257">
  <si>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</si>
  <si>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</si>
  <si>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</si>
  <si>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</si>
  <si>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</si>
  <si>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</si>
  <si>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</si>
  <si>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</si>
  <si>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</si>
  <si>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</si>
  <si>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</si>
  <si>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</si>
  <si>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</si>
  <si>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</si>
  <si>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</si>
  <si>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</si>
  <si>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</si>
  <si>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</si>
  <si>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</si>
  <si>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</si>
  <si>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</si>
  <si>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</si>
  <si>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</si>
  <si>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</si>
  <si>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</si>
  <si>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</si>
  <si>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</si>
  <si>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</si>
  <si>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</si>
  <si>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</si>
  <si>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</si>
  <si>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</si>
  <si>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</si>
  <si>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</si>
  <si>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</si>
  <si>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</si>
  <si>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</si>
  <si>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</si>
  <si>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</si>
  <si>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</si>
  <si>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</si>
  <si>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</si>
  <si>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Diluent</t>
  </si>
  <si>
    <t>Temp (C)</t>
  </si>
  <si>
    <t>Time (min)</t>
  </si>
  <si>
    <t>Shake (rpm)</t>
  </si>
  <si>
    <t>Incubate - (Click Here to Update)</t>
  </si>
  <si>
    <t>Starting Concentration (mg/mL)</t>
  </si>
  <si>
    <t>Target Concentration (mg/mL)</t>
  </si>
  <si>
    <t>Target Volume (uL)</t>
  </si>
  <si>
    <t>Max Source Volume (uL)</t>
  </si>
  <si>
    <t>Wait On User</t>
  </si>
  <si>
    <t>Subject</t>
  </si>
  <si>
    <t>Message</t>
  </si>
  <si>
    <t>BCA Std Curve</t>
  </si>
  <si>
    <t>Blank</t>
  </si>
  <si>
    <t>Conentration (mg/mL)</t>
  </si>
  <si>
    <t>A</t>
  </si>
  <si>
    <t>C</t>
  </si>
  <si>
    <t>D</t>
  </si>
  <si>
    <t>E</t>
  </si>
  <si>
    <t>F</t>
  </si>
  <si>
    <t>G</t>
  </si>
  <si>
    <t>B</t>
  </si>
  <si>
    <t>Dilute - (Click Here to Update)</t>
  </si>
  <si>
    <t>1mg/mL BCA</t>
  </si>
  <si>
    <t>0.2% Formic Acid</t>
  </si>
  <si>
    <t>0.2% Formic Acid - (Click Here to Update)</t>
  </si>
  <si>
    <t>1mg/mL BCA - (Click Here to Update)</t>
  </si>
  <si>
    <t>BCA Reagent</t>
  </si>
  <si>
    <t>BCA Reagent - (Click Here to Update)</t>
  </si>
  <si>
    <t>_SampleSequence</t>
  </si>
  <si>
    <t>Sample Volume</t>
  </si>
  <si>
    <t>Formic Volume</t>
  </si>
  <si>
    <t>Sample - (Click Here to Update)</t>
  </si>
  <si>
    <t>No</t>
  </si>
  <si>
    <t>Buffer/Diluent</t>
  </si>
  <si>
    <t>Notify - (Click Here to Update)</t>
  </si>
  <si>
    <t>Urgent Message</t>
  </si>
  <si>
    <t>Hurry! The BCA samples are ready to measure!</t>
  </si>
  <si>
    <t>These are the STD curve samples. This should never be changed</t>
  </si>
  <si>
    <t>96 Well UV Plate</t>
  </si>
  <si>
    <t>Plate</t>
  </si>
  <si>
    <t>Notify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</si>
  <si>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</si>
  <si>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</si>
  <si>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</si>
  <si>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</si>
  <si>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</si>
  <si>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</si>
  <si>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</si>
  <si>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Dilute</t>
  </si>
  <si>
    <t>Excel Location (Row,Col): (7,3)</t>
  </si>
  <si>
    <t>Source: 1mg/mL BCA</t>
  </si>
  <si>
    <t>Diluent: 0.2% Formic Acid</t>
  </si>
  <si>
    <t>Starting Concentration (mg/mL): 1.0</t>
  </si>
  <si>
    <t xml:space="preserve">Target Concentration (mg/mL): Conentration (mg/mL) (Worklist Column) </t>
  </si>
  <si>
    <t>Target Volume (uL): 20.0</t>
  </si>
  <si>
    <t>Max Source Volume (uL): 20.0</t>
  </si>
  <si>
    <t>Pipette</t>
  </si>
  <si>
    <t>GetLiquidClassStrings</t>
  </si>
  <si>
    <t>[TransferVolume]</t>
  </si>
  <si>
    <t>[LiquidCategory]</t>
  </si>
  <si>
    <t>Water</t>
  </si>
  <si>
    <t>Wate</t>
  </si>
  <si>
    <t>##2.1##</t>
  </si>
  <si>
    <t>GetTipSequenceStrings</t>
  </si>
  <si>
    <t>##2.2##</t>
  </si>
  <si>
    <t>##2.3##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</si>
  <si>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</si>
  <si>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</si>
  <si>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</si>
  <si>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</si>
  <si>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</si>
  <si>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</si>
  <si>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</si>
  <si>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</si>
  <si>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</si>
  <si>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</si>
  <si>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</si>
  <si>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</si>
  <si>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Step Title: Liquid Transfer</t>
  </si>
  <si>
    <t>Source: Sample</t>
  </si>
  <si>
    <t>Liquid Type: General Reagent</t>
  </si>
  <si>
    <t>Storage Condition: Ambient</t>
  </si>
  <si>
    <t xml:space="preserve">Volume (uL): Sample Volume (Worklist Column) </t>
  </si>
  <si>
    <t>Mix?: Yes</t>
  </si>
  <si>
    <t>##3.1##</t>
  </si>
  <si>
    <t>Source: 0.2% Formic Acid</t>
  </si>
  <si>
    <t xml:space="preserve">Volume (uL): Formic Volume (Worklist Column) </t>
  </si>
  <si>
    <t>##4.1##</t>
  </si>
  <si>
    <t>##4.2##</t>
  </si>
  <si>
    <t>##4.3##</t>
  </si>
  <si>
    <t>Source: BCA Reagent</t>
  </si>
  <si>
    <t>Liquid Type: Buffer/Diluent</t>
  </si>
  <si>
    <t>Volume (uL): 180.0</t>
  </si>
  <si>
    <t>Mix?: No</t>
  </si>
  <si>
    <t>##5.1##</t>
  </si>
  <si>
    <t>##5.2##</t>
  </si>
  <si>
    <t>##5.3##</t>
  </si>
  <si>
    <t>Step Title: Incubate</t>
  </si>
  <si>
    <t>Temp (C): 37.0</t>
  </si>
  <si>
    <t>Time (min): 15.0</t>
  </si>
  <si>
    <t>Shake (rpm): 0.0</t>
  </si>
  <si>
    <t>Labware</t>
  </si>
  <si>
    <t>GetSequenceStrings</t>
  </si>
  <si>
    <t>[PlateNames]</t>
  </si>
  <si>
    <t>BCA Std Curv</t>
  </si>
  <si>
    <t>##6.1##</t>
  </si>
  <si>
    <t>GetLabwareTypes</t>
  </si>
  <si>
    <t>##6.2##</t>
  </si>
  <si>
    <t>GetReservationHeaterSequenceString</t>
  </si>
  <si>
    <t>##6.3##</t>
  </si>
  <si>
    <t>GetReservationHeaterTransportType</t>
  </si>
  <si>
    <t>Lid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</si>
  <si>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</si>
  <si>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</si>
  <si>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</si>
  <si>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</si>
  <si>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</si>
  <si>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</si>
  <si>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</si>
  <si>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</si>
  <si>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</si>
  <si>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</si>
  <si>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</si>
  <si>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Timer</t>
  </si>
  <si>
    <t>Start</t>
  </si>
  <si>
    <t>[WaitTime]</t>
  </si>
  <si>
    <t>Wai</t>
  </si>
  <si>
    <t>EndReservation</t>
  </si>
  <si>
    <t>Afte</t>
  </si>
  <si>
    <t>ReleaseReservation</t>
  </si>
  <si>
    <t>Step Title: Notify</t>
  </si>
  <si>
    <t>Excel Location (Row,Col): (51,3)</t>
  </si>
  <si>
    <t>Wait On User: Yes</t>
  </si>
  <si>
    <t>Subject: Urgent Message</t>
  </si>
  <si>
    <t>Message: Hurry! The BCA samples are ready to measure!</t>
  </si>
  <si>
    <t>SendMessage</t>
  </si>
  <si>
    <t>[Subject]</t>
  </si>
  <si>
    <t>[Body]</t>
  </si>
  <si>
    <t>[WaitForUser]</t>
  </si>
  <si>
    <t>Ye</t>
  </si>
  <si>
    <t>##7.1##</t>
  </si>
  <si>
    <t>Step Title: Finish</t>
  </si>
  <si>
    <t>Excel Location (Row,Col): (58,3)</t>
  </si>
  <si>
    <t>BCA Std Curve plate deactivated</t>
  </si>
  <si>
    <t>PreRun</t>
  </si>
  <si>
    <t>Samples</t>
  </si>
  <si>
    <t>[SampleNumber]</t>
  </si>
  <si>
    <t>[Name]</t>
  </si>
  <si>
    <t>[LabwareSequence]</t>
  </si>
  <si>
    <t>Carrier38_Pos3_CorningCostar96WellUVPlate360uL</t>
  </si>
  <si>
    <t>F1</t>
  </si>
  <si>
    <t>F2</t>
  </si>
  <si>
    <t>R2</t>
  </si>
  <si>
    <t>[LidSequence]</t>
  </si>
  <si>
    <t>[LoadingLocation]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</si>
  <si>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</si>
  <si>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</si>
  <si>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</si>
  <si>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</si>
  <si>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</si>
  <si>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</si>
  <si>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</si>
  <si>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</si>
  <si>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400uL Corning Costar 96 Well UV Plate</t>
  </si>
  <si>
    <t>Hamilton 1.5mL FlipTube</t>
  </si>
  <si>
    <t>60mL Reagent Reservio</t>
  </si>
  <si>
    <t>Heate</t>
  </si>
  <si>
    <t>Notif</t>
  </si>
  <si>
    <t>Time</t>
  </si>
  <si>
    <t>Transpor</t>
  </si>
  <si>
    <t>StatusUpdat</t>
  </si>
  <si>
    <t>Li</t>
  </si>
  <si>
    <t>EN</t>
  </si>
  <si>
    <t>Sample Transfer Complete</t>
  </si>
  <si>
    <t>You may remove the sample now</t>
  </si>
  <si>
    <t>Excel Location (Row,Col): (16,3)</t>
  </si>
  <si>
    <t>Wait On User: No</t>
  </si>
  <si>
    <t>Subject: Sample Transfer Complete</t>
  </si>
  <si>
    <t>Message: You may remove the sample now</t>
  </si>
  <si>
    <t>N</t>
  </si>
  <si>
    <t>Excel Location (Row,Col): (23,3)</t>
  </si>
  <si>
    <t>Excel Location (Row,Col): (32,3)</t>
  </si>
  <si>
    <t>##5.4##</t>
  </si>
  <si>
    <t>##5.5##</t>
  </si>
  <si>
    <t>##5.6##</t>
  </si>
  <si>
    <t>Excel Location (Row,Col): (42,3)</t>
  </si>
  <si>
    <t>##7.2##</t>
  </si>
  <si>
    <t>##7.3##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</si>
  <si>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</si>
  <si>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</si>
  <si>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</si>
  <si>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</si>
  <si>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</si>
  <si>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</si>
  <si>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</si>
  <si>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</si>
  <si>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##7.12##</t>
  </si>
  <si>
    <t>##7.13##</t>
  </si>
  <si>
    <t>##7.14##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</si>
  <si>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</si>
  <si>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</si>
  <si>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</si>
  <si>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</si>
  <si>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</si>
  <si>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</si>
  <si>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</si>
  <si>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</si>
  <si>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</si>
  <si>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</si>
  <si>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</si>
  <si>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</si>
  <si>
    <t>##8.1##</t>
  </si>
  <si>
    <t>Excel Location (Row,Col): (65,3)</t>
  </si>
  <si>
    <t>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</si>
</sst>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0CBCB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/>
    </xf>
    <xf numFmtId="0" fontId="2" fillId="2" borderId="18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left" vertical="center"/>
    </xf>
    <xf numFmtId="0" fontId="2" fillId="4" borderId="19" xfId="0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left" vertical="center"/>
    </xf>
    <xf numFmtId="0" fontId="2" fillId="8" borderId="19" xfId="0" applyFont="1" applyFill="1" applyBorder="1" applyAlignment="1">
      <alignment horizontal="left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 wrapText="1"/>
    </xf>
    <xf numFmtId="0" fontId="2" fillId="8" borderId="20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/>
    </xf>
    <xf numFmtId="0" fontId="2" fillId="7" borderId="19" xfId="0" applyFont="1" applyFill="1" applyBorder="1" applyAlignment="1">
      <alignment horizontal="left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/>
    </xf>
    <xf numFmtId="0" fontId="2" fillId="6" borderId="19" xfId="0" applyFont="1" applyFill="1" applyBorder="1" applyAlignment="1">
      <alignment horizontal="left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0</xdr:row>
          <xdr:rowOff>95250</xdr:rowOff>
        </xdr:from>
        <xdr:to>
          <xdr:col>14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6</xdr:row>
          <xdr:rowOff>66675</xdr:rowOff>
        </xdr:from>
        <xdr:to>
          <xdr:col>14</xdr:col>
          <xdr:colOff>571500</xdr:colOff>
          <xdr:row>10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5"/>
  <sheetViews>
    <sheetView workbookViewId="0">
      <selection activeCell="G13" sqref="G13"/>
    </sheetView>
  </sheetViews>
  <sheetFormatPr defaultRowHeight="15" x14ac:dyDescent="0.25"/>
  <cols>
    <col min="1" max="1" width="9" bestFit="1" customWidth="1"/>
    <col min="2" max="2" width="18.5703125" bestFit="1" customWidth="1"/>
    <col min="3" max="3" width="13.140625" bestFit="1" customWidth="1"/>
    <col min="4" max="4" width="21.85546875" customWidth="1"/>
    <col min="5" max="5" width="15.140625" bestFit="1" customWidth="1"/>
    <col min="6" max="6" width="14.5703125" bestFit="1" customWidth="1"/>
    <col min="7" max="7" width="38.28515625" customWidth="1"/>
  </cols>
  <sheetData>
    <row r="1" spans="1:7" ht="15.75" thickBot="1" x14ac:dyDescent="0.3">
      <c r="A1" t="s">
        <v>2</v>
      </c>
      <c r="B1" t="s">
        <v>71</v>
      </c>
      <c r="C1" t="s">
        <v>1</v>
      </c>
      <c r="D1" t="s">
        <v>56</v>
      </c>
      <c r="E1" t="s">
        <v>72</v>
      </c>
      <c r="F1" t="s">
        <v>73</v>
      </c>
      <c r="G1" t="s">
        <v>5</v>
      </c>
    </row>
    <row r="2" spans="1:7" x14ac:dyDescent="0.25">
      <c r="A2" s="30">
        <f t="shared" ref="A2:A25" si="0">ROW(A1)</f>
        <v>1</v>
      </c>
      <c r="B2" s="25" t="str">
        <f>CONCATENATE(ROW(A2)-2+A2,",",ROW(A2)-1+A2)</f>
        <v>1,2</v>
      </c>
      <c r="C2" s="25" t="s">
        <v>62</v>
      </c>
      <c r="D2" s="25">
        <v>1</v>
      </c>
      <c r="E2" s="25">
        <f t="shared" ref="E2:E8" si="1">IF(D2=0,1,0)</f>
        <v>0</v>
      </c>
      <c r="F2" s="25">
        <f>IF(E2=0,0,20-E2)</f>
        <v>0</v>
      </c>
      <c r="G2" s="31" t="s">
        <v>80</v>
      </c>
    </row>
    <row r="3" spans="1:7" x14ac:dyDescent="0.25">
      <c r="A3" s="21">
        <f t="shared" ref="A3:A9" si="2">ROW(A2)</f>
        <v>2</v>
      </c>
      <c r="B3" s="22" t="str">
        <f t="shared" ref="B3:B9" si="3">CONCATENATE(ROW(A3)-2+A3,",",ROW(A3)-1+A3)</f>
        <v>3,4</v>
      </c>
      <c r="C3" s="22" t="s">
        <v>61</v>
      </c>
      <c r="D3" s="22">
        <v>0.5</v>
      </c>
      <c r="E3" s="22">
        <f t="shared" si="1"/>
        <v>0</v>
      </c>
      <c r="F3" s="22">
        <f t="shared" ref="F3:F11" si="4">IF(E3=0,0,20-E3)</f>
        <v>0</v>
      </c>
      <c r="G3" s="32"/>
    </row>
    <row r="4" spans="1:7" x14ac:dyDescent="0.25">
      <c r="A4" s="21">
        <f t="shared" si="2"/>
        <v>3</v>
      </c>
      <c r="B4" s="22" t="str">
        <f t="shared" si="3"/>
        <v>5,6</v>
      </c>
      <c r="C4" s="22" t="s">
        <v>60</v>
      </c>
      <c r="D4" s="22">
        <v>0.25</v>
      </c>
      <c r="E4" s="22">
        <f t="shared" si="1"/>
        <v>0</v>
      </c>
      <c r="F4" s="22">
        <f t="shared" si="4"/>
        <v>0</v>
      </c>
      <c r="G4" s="32"/>
    </row>
    <row r="5" spans="1:7" x14ac:dyDescent="0.25">
      <c r="A5" s="21">
        <f t="shared" si="2"/>
        <v>4</v>
      </c>
      <c r="B5" s="22" t="str">
        <f t="shared" si="3"/>
        <v>7,8</v>
      </c>
      <c r="C5" s="22" t="s">
        <v>59</v>
      </c>
      <c r="D5" s="22">
        <v>0.125</v>
      </c>
      <c r="E5" s="22">
        <f t="shared" si="1"/>
        <v>0</v>
      </c>
      <c r="F5" s="22">
        <f t="shared" si="4"/>
        <v>0</v>
      </c>
      <c r="G5" s="32"/>
    </row>
    <row r="6" spans="1:7" x14ac:dyDescent="0.25">
      <c r="A6" s="21">
        <f t="shared" si="2"/>
        <v>5</v>
      </c>
      <c r="B6" s="22" t="str">
        <f t="shared" si="3"/>
        <v>9,10</v>
      </c>
      <c r="C6" s="22" t="s">
        <v>58</v>
      </c>
      <c r="D6" s="22">
        <v>6.25E-2</v>
      </c>
      <c r="E6" s="22">
        <f t="shared" si="1"/>
        <v>0</v>
      </c>
      <c r="F6" s="22">
        <f t="shared" si="4"/>
        <v>0</v>
      </c>
      <c r="G6" s="32"/>
    </row>
    <row r="7" spans="1:7" x14ac:dyDescent="0.25">
      <c r="A7" s="21">
        <f t="shared" si="2"/>
        <v>6</v>
      </c>
      <c r="B7" s="22" t="str">
        <f t="shared" si="3"/>
        <v>11,12</v>
      </c>
      <c r="C7" s="22" t="s">
        <v>63</v>
      </c>
      <c r="D7" s="22">
        <v>3.1300000000000001E-2</v>
      </c>
      <c r="E7" s="22">
        <f t="shared" si="1"/>
        <v>0</v>
      </c>
      <c r="F7" s="22">
        <f t="shared" si="4"/>
        <v>0</v>
      </c>
      <c r="G7" s="32"/>
    </row>
    <row r="8" spans="1:7" x14ac:dyDescent="0.25">
      <c r="A8" s="21">
        <f t="shared" si="2"/>
        <v>7</v>
      </c>
      <c r="B8" s="22" t="str">
        <f t="shared" si="3"/>
        <v>13,14</v>
      </c>
      <c r="C8" s="22" t="s">
        <v>57</v>
      </c>
      <c r="D8" s="22">
        <v>1.5599999999999999E-2</v>
      </c>
      <c r="E8" s="22">
        <f t="shared" si="1"/>
        <v>0</v>
      </c>
      <c r="F8" s="22">
        <f t="shared" si="4"/>
        <v>0</v>
      </c>
      <c r="G8" s="32"/>
    </row>
    <row r="9" spans="1:7" ht="15.75" thickBot="1" x14ac:dyDescent="0.3">
      <c r="A9" s="23">
        <f t="shared" si="2"/>
        <v>8</v>
      </c>
      <c r="B9" s="24" t="str">
        <f t="shared" si="3"/>
        <v>15,16</v>
      </c>
      <c r="C9" s="24" t="s">
        <v>55</v>
      </c>
      <c r="D9" s="24">
        <v>0</v>
      </c>
      <c r="E9" s="24">
        <f>IF(D9=0,IF(C9="Blank",0,1),0)</f>
        <v>0</v>
      </c>
      <c r="F9" s="24">
        <f t="shared" si="4"/>
        <v>0</v>
      </c>
      <c r="G9" s="33"/>
    </row>
    <row r="10" spans="1:7" x14ac:dyDescent="0.25">
      <c r="A10">
        <f t="shared" si="0"/>
        <v>9</v>
      </c>
      <c r="B10">
        <f t="shared" ref="B10:B25" si="5">17-9+A10</f>
        <v>17</v>
      </c>
      <c r="C10" t="s">
        <v>8</v>
      </c>
      <c r="D10">
        <v>0</v>
      </c>
      <c r="E10">
        <f t="shared" ref="E10:E25" si="6">IF(D10=0,IF(C10="Blank",0,IF(C10=C9,10,20)),0)</f>
        <v>20</v>
      </c>
      <c r="F10">
        <f t="shared" si="4"/>
        <v>0</v>
      </c>
    </row>
    <row r="11" spans="1:7" x14ac:dyDescent="0.25">
      <c r="A11">
        <f t="shared" si="0"/>
        <v>10</v>
      </c>
      <c r="B11">
        <f t="shared" si="5"/>
        <v>18</v>
      </c>
      <c r="C11" t="s">
        <v>8</v>
      </c>
      <c r="D11">
        <v>0</v>
      </c>
      <c r="E11">
        <f t="shared" si="6"/>
        <v>10</v>
      </c>
      <c r="F11">
        <f t="shared" si="4"/>
        <v>10</v>
      </c>
    </row>
    <row r="12" spans="1:7" x14ac:dyDescent="0.25">
      <c r="A12">
        <f t="shared" si="0"/>
        <v>11</v>
      </c>
      <c r="B12">
        <f t="shared" si="5"/>
        <v>19</v>
      </c>
      <c r="C12" t="s">
        <v>8</v>
      </c>
      <c r="D12">
        <v>0</v>
      </c>
      <c r="E12">
        <f t="shared" si="6"/>
        <v>10</v>
      </c>
      <c r="F12">
        <f t="shared" ref="F12:F25" si="7">IF(E12=0,0,20-E12)</f>
        <v>10</v>
      </c>
    </row>
    <row r="13" spans="1:7" x14ac:dyDescent="0.25">
      <c r="A13">
        <f t="shared" si="0"/>
        <v>12</v>
      </c>
      <c r="B13">
        <f t="shared" si="5"/>
        <v>20</v>
      </c>
      <c r="C13" t="s">
        <v>8</v>
      </c>
      <c r="D13">
        <v>0</v>
      </c>
      <c r="E13">
        <f t="shared" si="6"/>
        <v>10</v>
      </c>
      <c r="F13">
        <f t="shared" si="7"/>
        <v>10</v>
      </c>
    </row>
    <row r="14" spans="1:7" x14ac:dyDescent="0.25">
      <c r="A14">
        <f t="shared" si="0"/>
        <v>13</v>
      </c>
      <c r="B14">
        <f t="shared" si="5"/>
        <v>21</v>
      </c>
      <c r="C14" t="s">
        <v>8</v>
      </c>
      <c r="D14">
        <v>0</v>
      </c>
      <c r="E14">
        <f t="shared" si="6"/>
        <v>10</v>
      </c>
      <c r="F14">
        <f t="shared" si="7"/>
        <v>10</v>
      </c>
    </row>
    <row r="15" spans="1:7" x14ac:dyDescent="0.25">
      <c r="A15">
        <f t="shared" si="0"/>
        <v>14</v>
      </c>
      <c r="B15">
        <f t="shared" si="5"/>
        <v>22</v>
      </c>
      <c r="C15" t="s">
        <v>8</v>
      </c>
      <c r="D15">
        <v>0</v>
      </c>
      <c r="E15">
        <f t="shared" si="6"/>
        <v>10</v>
      </c>
      <c r="F15">
        <f t="shared" si="7"/>
        <v>10</v>
      </c>
    </row>
    <row r="16" spans="1:7" x14ac:dyDescent="0.25">
      <c r="A16">
        <f t="shared" si="0"/>
        <v>15</v>
      </c>
      <c r="B16">
        <f t="shared" si="5"/>
        <v>23</v>
      </c>
      <c r="C16" t="s">
        <v>8</v>
      </c>
      <c r="D16">
        <v>0</v>
      </c>
      <c r="E16">
        <f t="shared" si="6"/>
        <v>10</v>
      </c>
      <c r="F16">
        <f t="shared" si="7"/>
        <v>10</v>
      </c>
    </row>
    <row r="17" spans="1:6" x14ac:dyDescent="0.25">
      <c r="A17">
        <f t="shared" si="0"/>
        <v>16</v>
      </c>
      <c r="B17">
        <f t="shared" si="5"/>
        <v>24</v>
      </c>
      <c r="C17" t="s">
        <v>8</v>
      </c>
      <c r="D17">
        <v>0</v>
      </c>
      <c r="E17">
        <f t="shared" si="6"/>
        <v>10</v>
      </c>
      <c r="F17">
        <f t="shared" si="7"/>
        <v>10</v>
      </c>
    </row>
    <row r="18" spans="1:6" x14ac:dyDescent="0.25">
      <c r="A18">
        <f t="shared" si="0"/>
        <v>17</v>
      </c>
      <c r="B18">
        <f t="shared" si="5"/>
        <v>25</v>
      </c>
      <c r="C18" t="s">
        <v>8</v>
      </c>
      <c r="D18">
        <v>0</v>
      </c>
      <c r="E18">
        <f t="shared" si="6"/>
        <v>10</v>
      </c>
      <c r="F18">
        <f t="shared" si="7"/>
        <v>10</v>
      </c>
    </row>
    <row r="19" spans="1:6" x14ac:dyDescent="0.25">
      <c r="A19">
        <f t="shared" si="0"/>
        <v>18</v>
      </c>
      <c r="B19">
        <f t="shared" si="5"/>
        <v>26</v>
      </c>
      <c r="C19" t="s">
        <v>8</v>
      </c>
      <c r="D19">
        <v>0</v>
      </c>
      <c r="E19">
        <f t="shared" si="6"/>
        <v>10</v>
      </c>
      <c r="F19">
        <f t="shared" si="7"/>
        <v>10</v>
      </c>
    </row>
    <row r="20" spans="1:6" x14ac:dyDescent="0.25">
      <c r="A20">
        <f t="shared" si="0"/>
        <v>19</v>
      </c>
      <c r="B20">
        <f t="shared" si="5"/>
        <v>27</v>
      </c>
      <c r="C20" t="s">
        <v>8</v>
      </c>
      <c r="D20">
        <v>0</v>
      </c>
      <c r="E20">
        <f t="shared" si="6"/>
        <v>10</v>
      </c>
      <c r="F20">
        <f t="shared" si="7"/>
        <v>10</v>
      </c>
    </row>
    <row r="21" spans="1:6" x14ac:dyDescent="0.25">
      <c r="A21">
        <f t="shared" si="0"/>
        <v>20</v>
      </c>
      <c r="B21">
        <f t="shared" si="5"/>
        <v>28</v>
      </c>
      <c r="C21" t="s">
        <v>8</v>
      </c>
      <c r="D21">
        <v>0</v>
      </c>
      <c r="E21">
        <f t="shared" si="6"/>
        <v>10</v>
      </c>
      <c r="F21">
        <f t="shared" si="7"/>
        <v>10</v>
      </c>
    </row>
    <row r="22" spans="1:6" x14ac:dyDescent="0.25">
      <c r="A22">
        <f t="shared" si="0"/>
        <v>21</v>
      </c>
      <c r="B22">
        <f t="shared" si="5"/>
        <v>29</v>
      </c>
      <c r="C22" t="s">
        <v>8</v>
      </c>
      <c r="D22">
        <v>0</v>
      </c>
      <c r="E22">
        <f t="shared" si="6"/>
        <v>10</v>
      </c>
      <c r="F22">
        <f t="shared" si="7"/>
        <v>10</v>
      </c>
    </row>
    <row r="23" spans="1:6" x14ac:dyDescent="0.25">
      <c r="A23">
        <f t="shared" si="0"/>
        <v>22</v>
      </c>
      <c r="B23">
        <f t="shared" si="5"/>
        <v>30</v>
      </c>
      <c r="C23" t="s">
        <v>8</v>
      </c>
      <c r="D23">
        <v>0</v>
      </c>
      <c r="E23">
        <f t="shared" si="6"/>
        <v>10</v>
      </c>
      <c r="F23">
        <f t="shared" si="7"/>
        <v>10</v>
      </c>
    </row>
    <row r="24" spans="1:6" x14ac:dyDescent="0.25">
      <c r="A24">
        <f t="shared" si="0"/>
        <v>23</v>
      </c>
      <c r="B24">
        <f t="shared" si="5"/>
        <v>31</v>
      </c>
      <c r="C24" t="s">
        <v>8</v>
      </c>
      <c r="D24">
        <v>0</v>
      </c>
      <c r="E24">
        <f t="shared" si="6"/>
        <v>10</v>
      </c>
      <c r="F24">
        <f t="shared" si="7"/>
        <v>10</v>
      </c>
    </row>
    <row r="25" spans="1:6" x14ac:dyDescent="0.25">
      <c r="A25">
        <f t="shared" si="0"/>
        <v>24</v>
      </c>
      <c r="B25">
        <f t="shared" si="5"/>
        <v>32</v>
      </c>
      <c r="C25" t="s">
        <v>8</v>
      </c>
      <c r="D25">
        <v>0</v>
      </c>
      <c r="E25">
        <f t="shared" si="6"/>
        <v>10</v>
      </c>
      <c r="F25">
        <f t="shared" si="7"/>
        <v>10</v>
      </c>
    </row>
  </sheetData>
  <mergeCells count="1">
    <mergeCell ref="G2:G9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11</xdr:col>
                    <xdr:colOff>257175</xdr:colOff>
                    <xdr:row>0</xdr:row>
                    <xdr:rowOff>95250</xdr:rowOff>
                  </from>
                  <to>
                    <xdr:col>14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11</xdr:col>
                    <xdr:colOff>238125</xdr:colOff>
                    <xdr:row>6</xdr:row>
                    <xdr:rowOff>66675</xdr:rowOff>
                  </from>
                  <to>
                    <xdr:col>14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G439"/>
  <sheetViews>
    <sheetView tabSelected="1" workbookViewId="0"/>
  </sheetViews>
  <sheetFormatPr defaultRowHeight="15" x14ac:dyDescent="0.25"/>
  <sheetData>
    <row r="3" spans="2:5" x14ac:dyDescent="0.25">
      <c r="D3" t="s">
        <v>84</v>
      </c>
      <c r="E3" t="s">
        <v>85</v>
      </c>
    </row>
    <row r="4" spans="2:5" x14ac:dyDescent="0.25">
      <c r="D4" t="s">
        <v>86</v>
      </c>
      <c r="E4" t="s">
        <v>87</v>
      </c>
    </row>
    <row r="5" spans="2:5" x14ac:dyDescent="0.25">
      <c r="D5" t="s">
        <v>88</v>
      </c>
      <c r="E5" t="s">
        <v>54</v>
      </c>
    </row>
    <row r="6" spans="2:5" x14ac:dyDescent="0.25">
      <c r="D6" t="s">
        <v>89</v>
      </c>
      <c r="E6">
        <v>37</v>
      </c>
    </row>
    <row r="7" spans="2:5" x14ac:dyDescent="0.25">
      <c r="D7" t="s">
        <v>90</v>
      </c>
      <c r="E7">
        <v>0</v>
      </c>
    </row>
    <row r="12" spans="2:5" x14ac:dyDescent="0.25">
      <c r="B12" t="s">
        <v>121</v>
      </c>
    </row>
    <row r="13" spans="2:5" x14ac:dyDescent="0.25">
      <c r="B13" t="s">
        <v>92</v>
      </c>
    </row>
    <row r="14" spans="2:5" x14ac:dyDescent="0.25">
      <c r="B14" t="s">
        <v>122</v>
      </c>
    </row>
    <row r="15" spans="2:5" x14ac:dyDescent="0.25">
      <c r="B15" t="s">
        <v>123</v>
      </c>
    </row>
    <row r="16" spans="2:5" x14ac:dyDescent="0.25">
      <c r="B16" t="s">
        <v>124</v>
      </c>
    </row>
    <row r="17" spans="2:20" x14ac:dyDescent="0.25">
      <c r="B17" t="s">
        <v>125</v>
      </c>
    </row>
    <row r="18" spans="2:20" x14ac:dyDescent="0.25">
      <c r="B18" t="s">
        <v>126</v>
      </c>
    </row>
    <row r="20" spans="2:20" x14ac:dyDescent="0.25">
      <c r="C20" t="s">
        <v>24</v>
      </c>
    </row>
    <row r="22" spans="2:20" x14ac:dyDescent="0.25">
      <c r="D22" t="s">
        <v>84</v>
      </c>
      <c r="E22" t="s">
        <v>99</v>
      </c>
    </row>
    <row r="23" spans="2:20" x14ac:dyDescent="0.25">
      <c r="D23" t="s">
        <v>86</v>
      </c>
      <c r="E23" t="s">
        <v>100</v>
      </c>
    </row>
    <row r="24" spans="2:20" x14ac:dyDescent="0.25">
      <c r="D24" t="s">
        <v>101</v>
      </c>
      <c r="E24">
        <v>20</v>
      </c>
      <c r="F24">
        <v>10</v>
      </c>
      <c r="G24">
        <v>10</v>
      </c>
      <c r="H24">
        <v>10</v>
      </c>
      <c r="I24">
        <v>10</v>
      </c>
      <c r="J24">
        <v>10</v>
      </c>
      <c r="K24">
        <v>10</v>
      </c>
      <c r="L24">
        <v>10</v>
      </c>
      <c r="M24">
        <v>10</v>
      </c>
      <c r="N24">
        <v>10</v>
      </c>
      <c r="O24">
        <v>10</v>
      </c>
      <c r="P24">
        <v>10</v>
      </c>
      <c r="Q24">
        <v>10</v>
      </c>
      <c r="R24">
        <v>10</v>
      </c>
      <c r="S24">
        <v>10</v>
      </c>
      <c r="T24">
        <v>10</v>
      </c>
    </row>
    <row r="25" spans="2:20" x14ac:dyDescent="0.25">
      <c r="D25" t="s">
        <v>102</v>
      </c>
      <c r="E25" t="s">
        <v>103</v>
      </c>
      <c r="F25" t="s">
        <v>103</v>
      </c>
      <c r="G25" t="s">
        <v>103</v>
      </c>
      <c r="H25" t="s">
        <v>103</v>
      </c>
      <c r="I25" t="s">
        <v>103</v>
      </c>
      <c r="J25" t="s">
        <v>103</v>
      </c>
      <c r="K25" t="s">
        <v>103</v>
      </c>
      <c r="L25" t="s">
        <v>103</v>
      </c>
      <c r="M25" t="s">
        <v>103</v>
      </c>
      <c r="N25" t="s">
        <v>103</v>
      </c>
      <c r="O25" t="s">
        <v>103</v>
      </c>
      <c r="P25" t="s">
        <v>103</v>
      </c>
      <c r="Q25" t="s">
        <v>103</v>
      </c>
      <c r="R25" t="s">
        <v>103</v>
      </c>
      <c r="S25" t="s">
        <v>103</v>
      </c>
      <c r="T25" t="s">
        <v>104</v>
      </c>
    </row>
    <row r="26" spans="2:20" x14ac:dyDescent="0.25">
      <c r="D26" t="s">
        <v>105</v>
      </c>
    </row>
    <row r="28" spans="2:20" x14ac:dyDescent="0.25">
      <c r="D28" t="s">
        <v>84</v>
      </c>
      <c r="E28" t="s">
        <v>99</v>
      </c>
    </row>
    <row r="29" spans="2:20" x14ac:dyDescent="0.25">
      <c r="D29" t="s">
        <v>86</v>
      </c>
      <c r="E29" t="s">
        <v>106</v>
      </c>
    </row>
    <row r="30" spans="2:20" x14ac:dyDescent="0.25">
      <c r="D30" t="s">
        <v>101</v>
      </c>
      <c r="E30">
        <v>20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  <c r="P30">
        <v>10</v>
      </c>
      <c r="Q30">
        <v>10</v>
      </c>
      <c r="R30">
        <v>10</v>
      </c>
      <c r="S30">
        <v>10</v>
      </c>
      <c r="T30">
        <v>10</v>
      </c>
    </row>
    <row r="31" spans="2:20" x14ac:dyDescent="0.25">
      <c r="D31" t="s">
        <v>107</v>
      </c>
    </row>
    <row r="33" spans="4:20" x14ac:dyDescent="0.25">
      <c r="D33" t="s">
        <v>84</v>
      </c>
      <c r="E33" t="s">
        <v>99</v>
      </c>
    </row>
    <row r="34" spans="4:20" x14ac:dyDescent="0.25">
      <c r="D34" t="s">
        <v>86</v>
      </c>
      <c r="E34" t="s">
        <v>109</v>
      </c>
    </row>
    <row r="35" spans="4:20" x14ac:dyDescent="0.25">
      <c r="D35" t="s">
        <v>110</v>
      </c>
      <c r="E35" t="s">
        <v>54</v>
      </c>
      <c r="F35" t="s">
        <v>54</v>
      </c>
      <c r="G35" t="s">
        <v>54</v>
      </c>
      <c r="H35" t="s">
        <v>54</v>
      </c>
      <c r="I35" t="s">
        <v>54</v>
      </c>
      <c r="J35" t="s">
        <v>54</v>
      </c>
      <c r="K35" t="s">
        <v>54</v>
      </c>
      <c r="L35" t="s">
        <v>54</v>
      </c>
      <c r="M35" t="s">
        <v>54</v>
      </c>
      <c r="N35" t="s">
        <v>54</v>
      </c>
      <c r="O35" t="s">
        <v>54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</row>
    <row r="36" spans="4:20" x14ac:dyDescent="0.25">
      <c r="D36" t="s">
        <v>111</v>
      </c>
      <c r="E36">
        <v>17</v>
      </c>
      <c r="F36">
        <v>18</v>
      </c>
      <c r="G36">
        <v>19</v>
      </c>
      <c r="H36">
        <v>20</v>
      </c>
      <c r="I36">
        <v>21</v>
      </c>
      <c r="J36">
        <v>22</v>
      </c>
      <c r="K36">
        <v>23</v>
      </c>
      <c r="L36">
        <v>24</v>
      </c>
      <c r="M36">
        <v>25</v>
      </c>
      <c r="N36">
        <v>26</v>
      </c>
      <c r="O36">
        <v>27</v>
      </c>
      <c r="P36">
        <v>28</v>
      </c>
      <c r="Q36">
        <v>29</v>
      </c>
      <c r="R36">
        <v>30</v>
      </c>
      <c r="S36">
        <v>31</v>
      </c>
      <c r="T36">
        <v>32</v>
      </c>
    </row>
    <row r="37" spans="4:20" x14ac:dyDescent="0.25">
      <c r="D37" t="s">
        <v>112</v>
      </c>
      <c r="E37" t="s">
        <v>8</v>
      </c>
      <c r="F37" t="s">
        <v>8</v>
      </c>
      <c r="G37" t="s">
        <v>8</v>
      </c>
      <c r="H37" t="s">
        <v>8</v>
      </c>
      <c r="I37" t="s">
        <v>8</v>
      </c>
      <c r="J37" t="s">
        <v>8</v>
      </c>
      <c r="K37" t="s">
        <v>8</v>
      </c>
      <c r="L37" t="s">
        <v>8</v>
      </c>
      <c r="M37" t="s">
        <v>8</v>
      </c>
      <c r="N37" t="s">
        <v>8</v>
      </c>
      <c r="O37" t="s">
        <v>8</v>
      </c>
      <c r="P37" t="s">
        <v>8</v>
      </c>
      <c r="Q37" t="s">
        <v>8</v>
      </c>
      <c r="R37" t="s">
        <v>8</v>
      </c>
      <c r="S37" t="s">
        <v>8</v>
      </c>
      <c r="T37" t="s">
        <v>8</v>
      </c>
    </row>
    <row r="38" spans="4:20" x14ac:dyDescent="0.25">
      <c r="D38" t="s">
        <v>113</v>
      </c>
      <c r="E38">
        <v>17</v>
      </c>
      <c r="F38">
        <v>18</v>
      </c>
      <c r="G38">
        <v>19</v>
      </c>
      <c r="H38">
        <v>20</v>
      </c>
      <c r="I38">
        <v>21</v>
      </c>
      <c r="J38">
        <v>22</v>
      </c>
      <c r="K38">
        <v>23</v>
      </c>
      <c r="L38">
        <v>24</v>
      </c>
      <c r="M38">
        <v>25</v>
      </c>
      <c r="N38">
        <v>26</v>
      </c>
      <c r="O38">
        <v>27</v>
      </c>
      <c r="P38">
        <v>28</v>
      </c>
      <c r="Q38">
        <v>29</v>
      </c>
      <c r="R38">
        <v>30</v>
      </c>
      <c r="S38">
        <v>31</v>
      </c>
      <c r="T38">
        <v>32</v>
      </c>
    </row>
    <row r="39" spans="4:20" x14ac:dyDescent="0.25">
      <c r="D39" t="s">
        <v>101</v>
      </c>
      <c r="E39">
        <v>20</v>
      </c>
      <c r="F39">
        <v>10</v>
      </c>
      <c r="G39">
        <v>10</v>
      </c>
      <c r="H39">
        <v>10</v>
      </c>
      <c r="I39">
        <v>10</v>
      </c>
      <c r="J39">
        <v>10</v>
      </c>
      <c r="K39">
        <v>10</v>
      </c>
      <c r="L39">
        <v>10</v>
      </c>
      <c r="M39">
        <v>10</v>
      </c>
      <c r="N39">
        <v>10</v>
      </c>
      <c r="O39">
        <v>10</v>
      </c>
      <c r="P39">
        <v>10</v>
      </c>
      <c r="Q39">
        <v>10</v>
      </c>
      <c r="R39">
        <v>10</v>
      </c>
      <c r="S39">
        <v>10</v>
      </c>
      <c r="T39">
        <v>10</v>
      </c>
    </row>
    <row r="40" spans="4:20" x14ac:dyDescent="0.25">
      <c r="D40" t="s">
        <v>114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4:20" x14ac:dyDescent="0.25">
      <c r="D41" t="s">
        <v>115</v>
      </c>
      <c r="E41" t="s">
        <v>22</v>
      </c>
      <c r="F41" t="s">
        <v>22</v>
      </c>
      <c r="G41" t="s">
        <v>22</v>
      </c>
      <c r="H41" t="s">
        <v>22</v>
      </c>
      <c r="I41" t="s">
        <v>22</v>
      </c>
      <c r="J41" t="s">
        <v>22</v>
      </c>
      <c r="K41" t="s">
        <v>22</v>
      </c>
      <c r="L41" t="s">
        <v>22</v>
      </c>
      <c r="M41" t="s">
        <v>22</v>
      </c>
      <c r="N41" t="s">
        <v>22</v>
      </c>
      <c r="O41" t="s">
        <v>22</v>
      </c>
      <c r="P41" t="s">
        <v>22</v>
      </c>
      <c r="Q41" t="s">
        <v>22</v>
      </c>
      <c r="R41" t="s">
        <v>22</v>
      </c>
      <c r="S41" t="s">
        <v>22</v>
      </c>
      <c r="T41" t="s">
        <v>22</v>
      </c>
    </row>
    <row r="42" spans="4:20" x14ac:dyDescent="0.25">
      <c r="D42" t="s">
        <v>116</v>
      </c>
    </row>
    <row r="43" spans="4:20" x14ac:dyDescent="0.25">
      <c r="D43" t="s">
        <v>117</v>
      </c>
    </row>
    <row r="44" spans="4:20" x14ac:dyDescent="0.25">
      <c r="D44" t="s">
        <v>118</v>
      </c>
      <c r="E44">
        <v>0</v>
      </c>
    </row>
    <row r="45" spans="4:20" x14ac:dyDescent="0.25">
      <c r="D45" t="s">
        <v>119</v>
      </c>
      <c r="E45" t="s">
        <v>120</v>
      </c>
    </row>
    <row r="46" spans="4:20" x14ac:dyDescent="0.25">
      <c r="D46" t="s">
        <v>108</v>
      </c>
    </row>
    <row r="51" spans="2:5" x14ac:dyDescent="0.25">
      <c r="B51" t="s">
        <v>173</v>
      </c>
    </row>
    <row r="52" spans="2:5" x14ac:dyDescent="0.25">
      <c r="B52" t="s">
        <v>218</v>
      </c>
    </row>
    <row r="53" spans="2:5" x14ac:dyDescent="0.25">
      <c r="B53" t="s">
        <v>219</v>
      </c>
    </row>
    <row r="54" spans="2:5" x14ac:dyDescent="0.25">
      <c r="B54" t="s">
        <v>220</v>
      </c>
    </row>
    <row r="55" spans="2:5" x14ac:dyDescent="0.25">
      <c r="B55" t="s">
        <v>221</v>
      </c>
    </row>
    <row r="57" spans="2:5" x14ac:dyDescent="0.25">
      <c r="C57" t="s">
        <v>24</v>
      </c>
    </row>
    <row r="59" spans="2:5" x14ac:dyDescent="0.25">
      <c r="D59" t="s">
        <v>84</v>
      </c>
      <c r="E59" t="s">
        <v>83</v>
      </c>
    </row>
    <row r="60" spans="2:5" x14ac:dyDescent="0.25">
      <c r="D60" t="s">
        <v>86</v>
      </c>
      <c r="E60" t="s">
        <v>178</v>
      </c>
    </row>
    <row r="61" spans="2:5" x14ac:dyDescent="0.25">
      <c r="D61" t="s">
        <v>179</v>
      </c>
      <c r="E61" t="s">
        <v>216</v>
      </c>
    </row>
    <row r="62" spans="2:5" x14ac:dyDescent="0.25">
      <c r="D62" t="s">
        <v>180</v>
      </c>
      <c r="E62" t="s">
        <v>217</v>
      </c>
    </row>
    <row r="63" spans="2:5" x14ac:dyDescent="0.25">
      <c r="D63" t="s">
        <v>181</v>
      </c>
      <c r="E63" t="s">
        <v>222</v>
      </c>
    </row>
    <row r="64" spans="2:5" x14ac:dyDescent="0.25">
      <c r="D64" t="s">
        <v>127</v>
      </c>
    </row>
    <row r="69" spans="2:5" x14ac:dyDescent="0.25">
      <c r="B69" t="s">
        <v>121</v>
      </c>
    </row>
    <row r="70" spans="2:5" x14ac:dyDescent="0.25">
      <c r="B70" t="s">
        <v>223</v>
      </c>
    </row>
    <row r="71" spans="2:5" x14ac:dyDescent="0.25">
      <c r="B71" t="s">
        <v>128</v>
      </c>
    </row>
    <row r="72" spans="2:5" x14ac:dyDescent="0.25">
      <c r="B72" t="s">
        <v>123</v>
      </c>
    </row>
    <row r="73" spans="2:5" x14ac:dyDescent="0.25">
      <c r="B73" t="s">
        <v>124</v>
      </c>
    </row>
    <row r="74" spans="2:5" x14ac:dyDescent="0.25">
      <c r="B74" t="s">
        <v>129</v>
      </c>
    </row>
    <row r="75" spans="2:5" x14ac:dyDescent="0.25">
      <c r="B75" t="s">
        <v>126</v>
      </c>
    </row>
    <row r="77" spans="2:5" x14ac:dyDescent="0.25">
      <c r="C77" t="s">
        <v>24</v>
      </c>
    </row>
    <row r="79" spans="2:5" x14ac:dyDescent="0.25">
      <c r="D79" t="s">
        <v>84</v>
      </c>
      <c r="E79" t="s">
        <v>99</v>
      </c>
    </row>
    <row r="80" spans="2:5" x14ac:dyDescent="0.25">
      <c r="D80" t="s">
        <v>86</v>
      </c>
      <c r="E80" t="s">
        <v>100</v>
      </c>
    </row>
    <row r="81" spans="4:19" x14ac:dyDescent="0.25">
      <c r="D81" t="s">
        <v>101</v>
      </c>
      <c r="E81">
        <v>10</v>
      </c>
      <c r="F81">
        <v>10</v>
      </c>
      <c r="G81">
        <v>10</v>
      </c>
      <c r="H81">
        <v>10</v>
      </c>
      <c r="I81">
        <v>10</v>
      </c>
      <c r="J81">
        <v>10</v>
      </c>
      <c r="K81">
        <v>10</v>
      </c>
      <c r="L81">
        <v>10</v>
      </c>
      <c r="M81">
        <v>10</v>
      </c>
      <c r="N81">
        <v>10</v>
      </c>
      <c r="O81">
        <v>10</v>
      </c>
      <c r="P81">
        <v>10</v>
      </c>
      <c r="Q81">
        <v>10</v>
      </c>
      <c r="R81">
        <v>10</v>
      </c>
      <c r="S81">
        <v>10</v>
      </c>
    </row>
    <row r="82" spans="4:19" x14ac:dyDescent="0.25">
      <c r="D82" t="s">
        <v>102</v>
      </c>
      <c r="E82" t="s">
        <v>103</v>
      </c>
      <c r="F82" t="s">
        <v>103</v>
      </c>
      <c r="G82" t="s">
        <v>103</v>
      </c>
      <c r="H82" t="s">
        <v>103</v>
      </c>
      <c r="I82" t="s">
        <v>103</v>
      </c>
      <c r="J82" t="s">
        <v>103</v>
      </c>
      <c r="K82" t="s">
        <v>103</v>
      </c>
      <c r="L82" t="s">
        <v>103</v>
      </c>
      <c r="M82" t="s">
        <v>103</v>
      </c>
      <c r="N82" t="s">
        <v>103</v>
      </c>
      <c r="O82" t="s">
        <v>103</v>
      </c>
      <c r="P82" t="s">
        <v>103</v>
      </c>
      <c r="Q82" t="s">
        <v>103</v>
      </c>
      <c r="R82" t="s">
        <v>103</v>
      </c>
      <c r="S82" t="s">
        <v>104</v>
      </c>
    </row>
    <row r="83" spans="4:19" x14ac:dyDescent="0.25">
      <c r="D83" t="s">
        <v>130</v>
      </c>
    </row>
    <row r="85" spans="4:19" x14ac:dyDescent="0.25">
      <c r="D85" t="s">
        <v>84</v>
      </c>
      <c r="E85" t="s">
        <v>99</v>
      </c>
    </row>
    <row r="86" spans="4:19" x14ac:dyDescent="0.25">
      <c r="D86" t="s">
        <v>86</v>
      </c>
      <c r="E86" t="s">
        <v>106</v>
      </c>
    </row>
    <row r="87" spans="4:19" x14ac:dyDescent="0.25">
      <c r="D87" t="s">
        <v>101</v>
      </c>
      <c r="E87">
        <v>10</v>
      </c>
      <c r="F87">
        <v>10</v>
      </c>
      <c r="G87">
        <v>10</v>
      </c>
      <c r="H87">
        <v>10</v>
      </c>
      <c r="I87">
        <v>10</v>
      </c>
      <c r="J87">
        <v>10</v>
      </c>
      <c r="K87">
        <v>10</v>
      </c>
      <c r="L87">
        <v>10</v>
      </c>
      <c r="M87">
        <v>10</v>
      </c>
      <c r="N87">
        <v>10</v>
      </c>
      <c r="O87">
        <v>10</v>
      </c>
      <c r="P87">
        <v>10</v>
      </c>
      <c r="Q87">
        <v>10</v>
      </c>
      <c r="R87">
        <v>10</v>
      </c>
      <c r="S87">
        <v>10</v>
      </c>
    </row>
    <row r="88" spans="4:19" x14ac:dyDescent="0.25">
      <c r="D88" t="s">
        <v>131</v>
      </c>
    </row>
    <row r="90" spans="4:19" x14ac:dyDescent="0.25">
      <c r="D90" t="s">
        <v>84</v>
      </c>
      <c r="E90" t="s">
        <v>99</v>
      </c>
    </row>
    <row r="91" spans="4:19" x14ac:dyDescent="0.25">
      <c r="D91" t="s">
        <v>86</v>
      </c>
      <c r="E91" t="s">
        <v>109</v>
      </c>
    </row>
    <row r="92" spans="4:19" x14ac:dyDescent="0.25">
      <c r="D92" t="s">
        <v>110</v>
      </c>
      <c r="E92" t="s">
        <v>54</v>
      </c>
      <c r="F92" t="s">
        <v>54</v>
      </c>
      <c r="G92" t="s">
        <v>54</v>
      </c>
      <c r="H92" t="s">
        <v>54</v>
      </c>
      <c r="I92" t="s">
        <v>54</v>
      </c>
      <c r="J92" t="s">
        <v>54</v>
      </c>
      <c r="K92" t="s">
        <v>54</v>
      </c>
      <c r="L92" t="s">
        <v>54</v>
      </c>
      <c r="M92" t="s">
        <v>54</v>
      </c>
      <c r="N92" t="s">
        <v>54</v>
      </c>
      <c r="O92" t="s">
        <v>54</v>
      </c>
      <c r="P92" t="s">
        <v>54</v>
      </c>
      <c r="Q92" t="s">
        <v>54</v>
      </c>
      <c r="R92" t="s">
        <v>54</v>
      </c>
      <c r="S92" t="s">
        <v>54</v>
      </c>
    </row>
    <row r="93" spans="4:19" x14ac:dyDescent="0.25">
      <c r="D93" t="s">
        <v>111</v>
      </c>
      <c r="E93">
        <v>18</v>
      </c>
      <c r="F93">
        <v>19</v>
      </c>
      <c r="G93">
        <v>20</v>
      </c>
      <c r="H93">
        <v>21</v>
      </c>
      <c r="I93">
        <v>22</v>
      </c>
      <c r="J93">
        <v>23</v>
      </c>
      <c r="K93">
        <v>24</v>
      </c>
      <c r="L93">
        <v>25</v>
      </c>
      <c r="M93">
        <v>26</v>
      </c>
      <c r="N93">
        <v>27</v>
      </c>
      <c r="O93">
        <v>28</v>
      </c>
      <c r="P93">
        <v>29</v>
      </c>
      <c r="Q93">
        <v>30</v>
      </c>
      <c r="R93">
        <v>31</v>
      </c>
      <c r="S93">
        <v>32</v>
      </c>
    </row>
    <row r="94" spans="4:19" x14ac:dyDescent="0.25">
      <c r="D94" t="s">
        <v>112</v>
      </c>
      <c r="E94" t="s">
        <v>66</v>
      </c>
      <c r="F94" t="s">
        <v>66</v>
      </c>
      <c r="G94" t="s">
        <v>66</v>
      </c>
      <c r="H94" t="s">
        <v>66</v>
      </c>
      <c r="I94" t="s">
        <v>66</v>
      </c>
      <c r="J94" t="s">
        <v>66</v>
      </c>
      <c r="K94" t="s">
        <v>66</v>
      </c>
      <c r="L94" t="s">
        <v>66</v>
      </c>
      <c r="M94" t="s">
        <v>66</v>
      </c>
      <c r="N94" t="s">
        <v>66</v>
      </c>
      <c r="O94" t="s">
        <v>66</v>
      </c>
      <c r="P94" t="s">
        <v>66</v>
      </c>
      <c r="Q94" t="s">
        <v>66</v>
      </c>
      <c r="R94" t="s">
        <v>66</v>
      </c>
      <c r="S94" t="s">
        <v>66</v>
      </c>
    </row>
    <row r="95" spans="4:19" x14ac:dyDescent="0.25">
      <c r="D95" t="s">
        <v>113</v>
      </c>
      <c r="E95">
        <v>18</v>
      </c>
      <c r="F95">
        <v>19</v>
      </c>
      <c r="G95">
        <v>20</v>
      </c>
      <c r="H95">
        <v>21</v>
      </c>
      <c r="I95">
        <v>22</v>
      </c>
      <c r="J95">
        <v>23</v>
      </c>
      <c r="K95">
        <v>24</v>
      </c>
      <c r="L95">
        <v>25</v>
      </c>
      <c r="M95">
        <v>26</v>
      </c>
      <c r="N95">
        <v>27</v>
      </c>
      <c r="O95">
        <v>28</v>
      </c>
      <c r="P95">
        <v>29</v>
      </c>
      <c r="Q95">
        <v>30</v>
      </c>
      <c r="R95">
        <v>31</v>
      </c>
      <c r="S95">
        <v>32</v>
      </c>
    </row>
    <row r="96" spans="4:19" x14ac:dyDescent="0.25">
      <c r="D96" t="s">
        <v>101</v>
      </c>
      <c r="E96">
        <v>10</v>
      </c>
      <c r="F96">
        <v>10</v>
      </c>
      <c r="G96">
        <v>10</v>
      </c>
      <c r="H96">
        <v>10</v>
      </c>
      <c r="I96">
        <v>10</v>
      </c>
      <c r="J96">
        <v>10</v>
      </c>
      <c r="K96">
        <v>10</v>
      </c>
      <c r="L96">
        <v>10</v>
      </c>
      <c r="M96">
        <v>10</v>
      </c>
      <c r="N96">
        <v>10</v>
      </c>
      <c r="O96">
        <v>10</v>
      </c>
      <c r="P96">
        <v>10</v>
      </c>
      <c r="Q96">
        <v>10</v>
      </c>
      <c r="R96">
        <v>10</v>
      </c>
      <c r="S96">
        <v>10</v>
      </c>
    </row>
    <row r="97" spans="2:19" x14ac:dyDescent="0.25">
      <c r="D97" t="s">
        <v>114</v>
      </c>
      <c r="E97">
        <v>10</v>
      </c>
      <c r="F97">
        <v>10</v>
      </c>
      <c r="G97">
        <v>10</v>
      </c>
      <c r="H97">
        <v>10</v>
      </c>
      <c r="I97">
        <v>10</v>
      </c>
      <c r="J97">
        <v>10</v>
      </c>
      <c r="K97">
        <v>10</v>
      </c>
      <c r="L97">
        <v>10</v>
      </c>
      <c r="M97">
        <v>10</v>
      </c>
      <c r="N97">
        <v>10</v>
      </c>
      <c r="O97">
        <v>10</v>
      </c>
      <c r="P97">
        <v>10</v>
      </c>
      <c r="Q97">
        <v>10</v>
      </c>
      <c r="R97">
        <v>10</v>
      </c>
      <c r="S97">
        <v>10</v>
      </c>
    </row>
    <row r="98" spans="2:19" x14ac:dyDescent="0.25">
      <c r="D98" t="s">
        <v>115</v>
      </c>
      <c r="E98" t="s">
        <v>22</v>
      </c>
      <c r="F98" t="s">
        <v>22</v>
      </c>
      <c r="G98" t="s">
        <v>22</v>
      </c>
      <c r="H98" t="s">
        <v>22</v>
      </c>
      <c r="I98" t="s">
        <v>22</v>
      </c>
      <c r="J98" t="s">
        <v>22</v>
      </c>
      <c r="K98" t="s">
        <v>22</v>
      </c>
      <c r="L98" t="s">
        <v>22</v>
      </c>
      <c r="M98" t="s">
        <v>22</v>
      </c>
      <c r="N98" t="s">
        <v>22</v>
      </c>
      <c r="O98" t="s">
        <v>22</v>
      </c>
      <c r="P98" t="s">
        <v>22</v>
      </c>
      <c r="Q98" t="s">
        <v>22</v>
      </c>
      <c r="R98" t="s">
        <v>22</v>
      </c>
      <c r="S98" t="s">
        <v>22</v>
      </c>
    </row>
    <row r="99" spans="2:19" x14ac:dyDescent="0.25">
      <c r="D99" t="s">
        <v>116</v>
      </c>
    </row>
    <row r="100" spans="2:19" x14ac:dyDescent="0.25">
      <c r="D100" t="s">
        <v>117</v>
      </c>
    </row>
    <row r="101" spans="2:19" x14ac:dyDescent="0.25">
      <c r="D101" t="s">
        <v>118</v>
      </c>
      <c r="E101">
        <v>0</v>
      </c>
    </row>
    <row r="102" spans="2:19" x14ac:dyDescent="0.25">
      <c r="D102" t="s">
        <v>119</v>
      </c>
      <c r="E102" t="s">
        <v>120</v>
      </c>
    </row>
    <row r="103" spans="2:19" x14ac:dyDescent="0.25">
      <c r="D103" t="s">
        <v>132</v>
      </c>
    </row>
    <row r="108" spans="2:19" x14ac:dyDescent="0.25">
      <c r="B108" t="s">
        <v>91</v>
      </c>
    </row>
    <row r="109" spans="2:19" x14ac:dyDescent="0.25">
      <c r="B109" t="s">
        <v>224</v>
      </c>
    </row>
    <row r="110" spans="2:19" x14ac:dyDescent="0.25">
      <c r="B110" t="s">
        <v>93</v>
      </c>
    </row>
    <row r="111" spans="2:19" x14ac:dyDescent="0.25">
      <c r="B111" t="s">
        <v>94</v>
      </c>
    </row>
    <row r="112" spans="2:19" x14ac:dyDescent="0.25">
      <c r="B112" t="s">
        <v>95</v>
      </c>
    </row>
    <row r="113" spans="2:36" x14ac:dyDescent="0.25">
      <c r="B113" t="s">
        <v>96</v>
      </c>
    </row>
    <row r="114" spans="2:36" x14ac:dyDescent="0.25">
      <c r="B114" t="s">
        <v>97</v>
      </c>
    </row>
    <row r="115" spans="2:36" x14ac:dyDescent="0.25">
      <c r="B115" t="s">
        <v>98</v>
      </c>
    </row>
    <row r="117" spans="2:36" x14ac:dyDescent="0.25">
      <c r="C117" t="s">
        <v>24</v>
      </c>
    </row>
    <row r="119" spans="2:36" x14ac:dyDescent="0.25">
      <c r="D119" t="s">
        <v>84</v>
      </c>
      <c r="E119" t="s">
        <v>99</v>
      </c>
    </row>
    <row r="120" spans="2:36" x14ac:dyDescent="0.25">
      <c r="D120" t="s">
        <v>86</v>
      </c>
      <c r="E120" t="s">
        <v>100</v>
      </c>
    </row>
    <row r="121" spans="2:36" x14ac:dyDescent="0.25">
      <c r="D121" t="s">
        <v>101</v>
      </c>
      <c r="E121">
        <v>20</v>
      </c>
      <c r="F121">
        <v>20</v>
      </c>
      <c r="G121">
        <v>10</v>
      </c>
      <c r="H121">
        <v>10</v>
      </c>
      <c r="I121">
        <v>15</v>
      </c>
      <c r="J121">
        <v>15</v>
      </c>
      <c r="K121">
        <v>17.5</v>
      </c>
      <c r="L121">
        <v>17.5</v>
      </c>
      <c r="M121">
        <v>18.75</v>
      </c>
      <c r="N121">
        <v>18.75</v>
      </c>
      <c r="O121">
        <v>19.373999999999999</v>
      </c>
      <c r="P121">
        <v>19.373999999999999</v>
      </c>
      <c r="Q121">
        <v>19.687999999999999</v>
      </c>
      <c r="R121">
        <v>19.687999999999999</v>
      </c>
      <c r="S121">
        <v>20</v>
      </c>
      <c r="T121">
        <v>20</v>
      </c>
      <c r="U121">
        <v>20</v>
      </c>
      <c r="V121">
        <v>20</v>
      </c>
      <c r="W121">
        <v>20</v>
      </c>
      <c r="X121">
        <v>20</v>
      </c>
      <c r="Y121">
        <v>20</v>
      </c>
      <c r="Z121">
        <v>20</v>
      </c>
      <c r="AA121">
        <v>20</v>
      </c>
      <c r="AB121">
        <v>20</v>
      </c>
      <c r="AC121">
        <v>20</v>
      </c>
      <c r="AD121">
        <v>20</v>
      </c>
      <c r="AE121">
        <v>20</v>
      </c>
      <c r="AF121">
        <v>20</v>
      </c>
      <c r="AG121">
        <v>20</v>
      </c>
      <c r="AH121">
        <v>20</v>
      </c>
      <c r="AI121">
        <v>20</v>
      </c>
      <c r="AJ121">
        <v>20</v>
      </c>
    </row>
    <row r="122" spans="2:36" x14ac:dyDescent="0.25">
      <c r="D122" t="s">
        <v>102</v>
      </c>
      <c r="E122" t="s">
        <v>103</v>
      </c>
      <c r="F122" t="s">
        <v>103</v>
      </c>
      <c r="G122" t="s">
        <v>103</v>
      </c>
      <c r="H122" t="s">
        <v>103</v>
      </c>
      <c r="I122" t="s">
        <v>103</v>
      </c>
      <c r="J122" t="s">
        <v>103</v>
      </c>
      <c r="K122" t="s">
        <v>103</v>
      </c>
      <c r="L122" t="s">
        <v>103</v>
      </c>
      <c r="M122" t="s">
        <v>103</v>
      </c>
      <c r="N122" t="s">
        <v>103</v>
      </c>
      <c r="O122" t="s">
        <v>103</v>
      </c>
      <c r="P122" t="s">
        <v>103</v>
      </c>
      <c r="Q122" t="s">
        <v>103</v>
      </c>
      <c r="R122" t="s">
        <v>103</v>
      </c>
      <c r="S122" t="s">
        <v>103</v>
      </c>
      <c r="T122" t="s">
        <v>103</v>
      </c>
      <c r="U122" t="s">
        <v>103</v>
      </c>
      <c r="V122" t="s">
        <v>103</v>
      </c>
      <c r="W122" t="s">
        <v>103</v>
      </c>
      <c r="X122" t="s">
        <v>103</v>
      </c>
      <c r="Y122" t="s">
        <v>103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F122" t="s">
        <v>103</v>
      </c>
      <c r="AG122" t="s">
        <v>103</v>
      </c>
      <c r="AH122" t="s">
        <v>103</v>
      </c>
      <c r="AI122" t="s">
        <v>103</v>
      </c>
      <c r="AJ122" t="s">
        <v>104</v>
      </c>
    </row>
    <row r="123" spans="2:36" x14ac:dyDescent="0.25">
      <c r="D123" t="s">
        <v>137</v>
      </c>
    </row>
    <row r="125" spans="2:36" x14ac:dyDescent="0.25">
      <c r="D125" t="s">
        <v>84</v>
      </c>
      <c r="E125" t="s">
        <v>99</v>
      </c>
    </row>
    <row r="126" spans="2:36" x14ac:dyDescent="0.25">
      <c r="D126" t="s">
        <v>86</v>
      </c>
      <c r="E126" t="s">
        <v>106</v>
      </c>
    </row>
    <row r="127" spans="2:36" x14ac:dyDescent="0.25">
      <c r="D127" t="s">
        <v>101</v>
      </c>
      <c r="E127">
        <v>20</v>
      </c>
      <c r="F127">
        <v>20</v>
      </c>
      <c r="G127">
        <v>10</v>
      </c>
      <c r="H127">
        <v>10</v>
      </c>
      <c r="I127">
        <v>15</v>
      </c>
      <c r="J127">
        <v>15</v>
      </c>
      <c r="K127">
        <v>17.5</v>
      </c>
      <c r="L127">
        <v>17.5</v>
      </c>
      <c r="M127">
        <v>18.75</v>
      </c>
      <c r="N127">
        <v>18.75</v>
      </c>
      <c r="O127">
        <v>19.373999999999999</v>
      </c>
      <c r="P127">
        <v>19.373999999999999</v>
      </c>
      <c r="Q127">
        <v>19.687999999999999</v>
      </c>
      <c r="R127">
        <v>19.687999999999999</v>
      </c>
      <c r="S127">
        <v>20</v>
      </c>
      <c r="T127">
        <v>20</v>
      </c>
      <c r="U127">
        <v>20</v>
      </c>
      <c r="V127">
        <v>20</v>
      </c>
      <c r="W127">
        <v>20</v>
      </c>
      <c r="X127">
        <v>20</v>
      </c>
      <c r="Y127">
        <v>20</v>
      </c>
      <c r="Z127">
        <v>20</v>
      </c>
      <c r="AA127">
        <v>20</v>
      </c>
      <c r="AB127">
        <v>20</v>
      </c>
      <c r="AC127">
        <v>20</v>
      </c>
      <c r="AD127">
        <v>20</v>
      </c>
      <c r="AE127">
        <v>20</v>
      </c>
      <c r="AF127">
        <v>20</v>
      </c>
      <c r="AG127">
        <v>20</v>
      </c>
      <c r="AH127">
        <v>20</v>
      </c>
      <c r="AI127">
        <v>20</v>
      </c>
      <c r="AJ127">
        <v>20</v>
      </c>
    </row>
    <row r="128" spans="2:36" x14ac:dyDescent="0.25">
      <c r="D128" t="s">
        <v>138</v>
      </c>
    </row>
    <row r="130" spans="4:36" x14ac:dyDescent="0.25">
      <c r="D130" t="s">
        <v>84</v>
      </c>
      <c r="E130" t="s">
        <v>99</v>
      </c>
    </row>
    <row r="131" spans="4:36" x14ac:dyDescent="0.25">
      <c r="D131" t="s">
        <v>86</v>
      </c>
      <c r="E131" t="s">
        <v>100</v>
      </c>
    </row>
    <row r="132" spans="4:36" x14ac:dyDescent="0.25">
      <c r="D132" t="s">
        <v>101</v>
      </c>
      <c r="E132">
        <v>10</v>
      </c>
      <c r="F132">
        <v>10</v>
      </c>
      <c r="G132">
        <v>5</v>
      </c>
      <c r="H132">
        <v>5</v>
      </c>
      <c r="I132">
        <v>2.5</v>
      </c>
      <c r="J132">
        <v>2.5</v>
      </c>
      <c r="K132">
        <v>1.25</v>
      </c>
      <c r="L132">
        <v>1.25</v>
      </c>
      <c r="M132">
        <v>0.626</v>
      </c>
      <c r="N132">
        <v>0.626</v>
      </c>
      <c r="O132">
        <v>0.312</v>
      </c>
      <c r="P132">
        <v>0.312</v>
      </c>
    </row>
    <row r="133" spans="4:36" x14ac:dyDescent="0.25">
      <c r="D133" t="s">
        <v>102</v>
      </c>
      <c r="E133" t="s">
        <v>103</v>
      </c>
      <c r="F133" t="s">
        <v>103</v>
      </c>
      <c r="G133" t="s">
        <v>103</v>
      </c>
      <c r="H133" t="s">
        <v>103</v>
      </c>
      <c r="I133" t="s">
        <v>103</v>
      </c>
      <c r="J133" t="s">
        <v>103</v>
      </c>
      <c r="K133" t="s">
        <v>103</v>
      </c>
      <c r="L133" t="s">
        <v>103</v>
      </c>
      <c r="M133" t="s">
        <v>103</v>
      </c>
      <c r="N133" t="s">
        <v>103</v>
      </c>
      <c r="O133" t="s">
        <v>103</v>
      </c>
      <c r="P133" t="s">
        <v>104</v>
      </c>
    </row>
    <row r="134" spans="4:36" x14ac:dyDescent="0.25">
      <c r="D134" t="s">
        <v>139</v>
      </c>
    </row>
    <row r="136" spans="4:36" x14ac:dyDescent="0.25">
      <c r="D136" t="s">
        <v>84</v>
      </c>
      <c r="E136" t="s">
        <v>99</v>
      </c>
    </row>
    <row r="137" spans="4:36" x14ac:dyDescent="0.25">
      <c r="D137" t="s">
        <v>86</v>
      </c>
      <c r="E137" t="s">
        <v>106</v>
      </c>
    </row>
    <row r="138" spans="4:36" x14ac:dyDescent="0.25">
      <c r="D138" t="s">
        <v>101</v>
      </c>
      <c r="E138">
        <v>10</v>
      </c>
      <c r="F138">
        <v>10</v>
      </c>
      <c r="G138">
        <v>5</v>
      </c>
      <c r="H138">
        <v>5</v>
      </c>
      <c r="I138">
        <v>2.5</v>
      </c>
      <c r="J138">
        <v>2.5</v>
      </c>
      <c r="K138">
        <v>1.25</v>
      </c>
      <c r="L138">
        <v>1.25</v>
      </c>
      <c r="M138">
        <v>0.626</v>
      </c>
      <c r="N138">
        <v>0.626</v>
      </c>
      <c r="O138">
        <v>0.312</v>
      </c>
      <c r="P138">
        <v>0.31</v>
      </c>
    </row>
    <row r="139" spans="4:36" x14ac:dyDescent="0.25">
      <c r="D139" t="s">
        <v>225</v>
      </c>
    </row>
    <row r="141" spans="4:36" x14ac:dyDescent="0.25">
      <c r="D141" t="s">
        <v>84</v>
      </c>
      <c r="E141" t="s">
        <v>99</v>
      </c>
    </row>
    <row r="142" spans="4:36" x14ac:dyDescent="0.25">
      <c r="D142" t="s">
        <v>86</v>
      </c>
      <c r="E142" t="s">
        <v>109</v>
      </c>
    </row>
    <row r="143" spans="4:36" x14ac:dyDescent="0.25">
      <c r="D143" t="s">
        <v>110</v>
      </c>
      <c r="E143" t="s">
        <v>54</v>
      </c>
      <c r="F143" t="s">
        <v>54</v>
      </c>
      <c r="G143" t="s">
        <v>54</v>
      </c>
      <c r="H143" t="s">
        <v>54</v>
      </c>
      <c r="I143" t="s">
        <v>54</v>
      </c>
      <c r="J143" t="s">
        <v>54</v>
      </c>
      <c r="K143" t="s">
        <v>54</v>
      </c>
      <c r="L143" t="s">
        <v>54</v>
      </c>
      <c r="M143" t="s">
        <v>54</v>
      </c>
      <c r="N143" t="s">
        <v>54</v>
      </c>
      <c r="O143" t="s">
        <v>54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t="s">
        <v>54</v>
      </c>
      <c r="Y143" t="s">
        <v>54</v>
      </c>
      <c r="Z143" t="s">
        <v>54</v>
      </c>
      <c r="AA143" t="s">
        <v>54</v>
      </c>
      <c r="AB143" t="s">
        <v>54</v>
      </c>
      <c r="AC143" t="s">
        <v>54</v>
      </c>
      <c r="AD143" t="s">
        <v>54</v>
      </c>
      <c r="AE143" t="s">
        <v>54</v>
      </c>
      <c r="AF143" t="s">
        <v>54</v>
      </c>
      <c r="AG143" t="s">
        <v>54</v>
      </c>
      <c r="AH143" t="s">
        <v>54</v>
      </c>
      <c r="AI143" t="s">
        <v>54</v>
      </c>
      <c r="AJ143" t="s">
        <v>54</v>
      </c>
    </row>
    <row r="144" spans="4:36" x14ac:dyDescent="0.25">
      <c r="D144" t="s">
        <v>111</v>
      </c>
      <c r="E144">
        <v>1</v>
      </c>
      <c r="F144">
        <v>2</v>
      </c>
      <c r="G144">
        <v>3</v>
      </c>
      <c r="H144">
        <v>4</v>
      </c>
      <c r="I144">
        <v>5</v>
      </c>
      <c r="J144">
        <v>6</v>
      </c>
      <c r="K144">
        <v>7</v>
      </c>
      <c r="L144">
        <v>8</v>
      </c>
      <c r="M144">
        <v>9</v>
      </c>
      <c r="N144">
        <v>10</v>
      </c>
      <c r="O144">
        <v>11</v>
      </c>
      <c r="P144">
        <v>12</v>
      </c>
      <c r="Q144">
        <v>13</v>
      </c>
      <c r="R144">
        <v>14</v>
      </c>
      <c r="S144">
        <v>15</v>
      </c>
      <c r="T144">
        <v>16</v>
      </c>
      <c r="U144">
        <v>17</v>
      </c>
      <c r="V144">
        <v>18</v>
      </c>
      <c r="W144">
        <v>19</v>
      </c>
      <c r="X144">
        <v>20</v>
      </c>
      <c r="Y144">
        <v>21</v>
      </c>
      <c r="Z144">
        <v>22</v>
      </c>
      <c r="AA144">
        <v>23</v>
      </c>
      <c r="AB144">
        <v>24</v>
      </c>
      <c r="AC144">
        <v>25</v>
      </c>
      <c r="AD144">
        <v>26</v>
      </c>
      <c r="AE144">
        <v>27</v>
      </c>
      <c r="AF144">
        <v>28</v>
      </c>
      <c r="AG144">
        <v>29</v>
      </c>
      <c r="AH144">
        <v>30</v>
      </c>
      <c r="AI144">
        <v>31</v>
      </c>
      <c r="AJ144">
        <v>32</v>
      </c>
    </row>
    <row r="145" spans="4:36" x14ac:dyDescent="0.25">
      <c r="D145" t="s">
        <v>112</v>
      </c>
      <c r="E145" t="s">
        <v>65</v>
      </c>
      <c r="F145" t="s">
        <v>65</v>
      </c>
      <c r="G145" t="s">
        <v>66</v>
      </c>
      <c r="H145" t="s">
        <v>66</v>
      </c>
      <c r="I145" t="s">
        <v>66</v>
      </c>
      <c r="J145" t="s">
        <v>66</v>
      </c>
      <c r="K145" t="s">
        <v>66</v>
      </c>
      <c r="L145" t="s">
        <v>66</v>
      </c>
      <c r="M145" t="s">
        <v>66</v>
      </c>
      <c r="N145" t="s">
        <v>66</v>
      </c>
      <c r="O145" t="s">
        <v>66</v>
      </c>
      <c r="P145" t="s">
        <v>66</v>
      </c>
      <c r="Q145" t="s">
        <v>66</v>
      </c>
      <c r="R145" t="s">
        <v>66</v>
      </c>
      <c r="S145" t="s">
        <v>66</v>
      </c>
      <c r="T145" t="s">
        <v>66</v>
      </c>
      <c r="U145" t="s">
        <v>66</v>
      </c>
      <c r="V145" t="s">
        <v>66</v>
      </c>
      <c r="W145" t="s">
        <v>66</v>
      </c>
      <c r="X145" t="s">
        <v>66</v>
      </c>
      <c r="Y145" t="s">
        <v>66</v>
      </c>
      <c r="Z145" t="s">
        <v>66</v>
      </c>
      <c r="AA145" t="s">
        <v>66</v>
      </c>
      <c r="AB145" t="s">
        <v>66</v>
      </c>
      <c r="AC145" t="s">
        <v>66</v>
      </c>
      <c r="AD145" t="s">
        <v>66</v>
      </c>
      <c r="AE145" t="s">
        <v>66</v>
      </c>
      <c r="AF145" t="s">
        <v>66</v>
      </c>
      <c r="AG145" t="s">
        <v>66</v>
      </c>
      <c r="AH145" t="s">
        <v>66</v>
      </c>
      <c r="AI145" t="s">
        <v>66</v>
      </c>
      <c r="AJ145" t="s">
        <v>66</v>
      </c>
    </row>
    <row r="146" spans="4:36" x14ac:dyDescent="0.25">
      <c r="D146" t="s">
        <v>113</v>
      </c>
      <c r="E146">
        <v>1</v>
      </c>
      <c r="F146">
        <v>2</v>
      </c>
      <c r="G146">
        <v>3</v>
      </c>
      <c r="H146">
        <v>4</v>
      </c>
      <c r="I146">
        <v>5</v>
      </c>
      <c r="J146">
        <v>6</v>
      </c>
      <c r="K146">
        <v>7</v>
      </c>
      <c r="L146">
        <v>8</v>
      </c>
      <c r="M146">
        <v>9</v>
      </c>
      <c r="N146">
        <v>10</v>
      </c>
      <c r="O146">
        <v>11</v>
      </c>
      <c r="P146">
        <v>12</v>
      </c>
      <c r="Q146">
        <v>13</v>
      </c>
      <c r="R146">
        <v>14</v>
      </c>
      <c r="S146">
        <v>15</v>
      </c>
      <c r="T146">
        <v>16</v>
      </c>
      <c r="U146">
        <v>17</v>
      </c>
      <c r="V146">
        <v>18</v>
      </c>
      <c r="W146">
        <v>19</v>
      </c>
      <c r="X146">
        <v>20</v>
      </c>
      <c r="Y146">
        <v>21</v>
      </c>
      <c r="Z146">
        <v>22</v>
      </c>
      <c r="AA146">
        <v>23</v>
      </c>
      <c r="AB146">
        <v>24</v>
      </c>
      <c r="AC146">
        <v>25</v>
      </c>
      <c r="AD146">
        <v>26</v>
      </c>
      <c r="AE146">
        <v>27</v>
      </c>
      <c r="AF146">
        <v>28</v>
      </c>
      <c r="AG146">
        <v>29</v>
      </c>
      <c r="AH146">
        <v>30</v>
      </c>
      <c r="AI146">
        <v>31</v>
      </c>
      <c r="AJ146">
        <v>32</v>
      </c>
    </row>
    <row r="147" spans="4:36" x14ac:dyDescent="0.25">
      <c r="D147" t="s">
        <v>101</v>
      </c>
      <c r="E147">
        <v>20</v>
      </c>
      <c r="F147">
        <v>20</v>
      </c>
      <c r="G147">
        <v>10</v>
      </c>
      <c r="H147">
        <v>10</v>
      </c>
      <c r="I147">
        <v>15</v>
      </c>
      <c r="J147">
        <v>15</v>
      </c>
      <c r="K147">
        <v>17.5</v>
      </c>
      <c r="L147">
        <v>17.5</v>
      </c>
      <c r="M147">
        <v>18.75</v>
      </c>
      <c r="N147">
        <v>18.75</v>
      </c>
      <c r="O147">
        <v>19.373999999999999</v>
      </c>
      <c r="P147">
        <v>19.373999999999999</v>
      </c>
      <c r="Q147">
        <v>19.687999999999999</v>
      </c>
      <c r="R147">
        <v>19.687999999999999</v>
      </c>
      <c r="S147">
        <v>20</v>
      </c>
      <c r="T147">
        <v>20</v>
      </c>
      <c r="U147">
        <v>20</v>
      </c>
      <c r="V147">
        <v>20</v>
      </c>
      <c r="W147">
        <v>20</v>
      </c>
      <c r="X147">
        <v>20</v>
      </c>
      <c r="Y147">
        <v>20</v>
      </c>
      <c r="Z147">
        <v>20</v>
      </c>
      <c r="AA147">
        <v>20</v>
      </c>
      <c r="AB147">
        <v>20</v>
      </c>
      <c r="AC147">
        <v>20</v>
      </c>
      <c r="AD147">
        <v>20</v>
      </c>
      <c r="AE147">
        <v>20</v>
      </c>
      <c r="AF147">
        <v>20</v>
      </c>
      <c r="AG147">
        <v>20</v>
      </c>
      <c r="AH147">
        <v>20</v>
      </c>
      <c r="AI147">
        <v>20</v>
      </c>
      <c r="AJ147">
        <v>20</v>
      </c>
    </row>
    <row r="148" spans="4:36" x14ac:dyDescent="0.25">
      <c r="D148" t="s">
        <v>114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20</v>
      </c>
      <c r="V148">
        <v>20</v>
      </c>
      <c r="W148">
        <v>20</v>
      </c>
      <c r="X148">
        <v>20</v>
      </c>
      <c r="Y148">
        <v>20</v>
      </c>
      <c r="Z148">
        <v>20</v>
      </c>
      <c r="AA148">
        <v>20</v>
      </c>
      <c r="AB148">
        <v>20</v>
      </c>
      <c r="AC148">
        <v>20</v>
      </c>
      <c r="AD148">
        <v>20</v>
      </c>
      <c r="AE148">
        <v>20</v>
      </c>
      <c r="AF148">
        <v>20</v>
      </c>
      <c r="AG148">
        <v>20</v>
      </c>
      <c r="AH148">
        <v>20</v>
      </c>
      <c r="AI148">
        <v>20</v>
      </c>
      <c r="AJ148">
        <v>20</v>
      </c>
    </row>
    <row r="149" spans="4:36" x14ac:dyDescent="0.25">
      <c r="D149" t="s">
        <v>115</v>
      </c>
      <c r="E149" t="s">
        <v>22</v>
      </c>
      <c r="F149" t="s">
        <v>22</v>
      </c>
      <c r="G149" t="s">
        <v>22</v>
      </c>
      <c r="H149" t="s">
        <v>22</v>
      </c>
      <c r="I149" t="s">
        <v>22</v>
      </c>
      <c r="J149" t="s">
        <v>22</v>
      </c>
      <c r="K149" t="s">
        <v>22</v>
      </c>
      <c r="L149" t="s">
        <v>22</v>
      </c>
      <c r="M149" t="s">
        <v>22</v>
      </c>
      <c r="N149" t="s">
        <v>22</v>
      </c>
      <c r="O149" t="s">
        <v>22</v>
      </c>
      <c r="P149" t="s">
        <v>22</v>
      </c>
      <c r="Q149" t="s">
        <v>22</v>
      </c>
      <c r="R149" t="s">
        <v>22</v>
      </c>
      <c r="S149" t="s">
        <v>22</v>
      </c>
      <c r="T149" t="s">
        <v>22</v>
      </c>
      <c r="U149" t="s">
        <v>22</v>
      </c>
      <c r="V149" t="s">
        <v>22</v>
      </c>
      <c r="W149" t="s">
        <v>22</v>
      </c>
      <c r="X149" t="s">
        <v>22</v>
      </c>
      <c r="Y149" t="s">
        <v>22</v>
      </c>
      <c r="Z149" t="s">
        <v>22</v>
      </c>
      <c r="AA149" t="s">
        <v>22</v>
      </c>
      <c r="AB149" t="s">
        <v>22</v>
      </c>
      <c r="AC149" t="s">
        <v>22</v>
      </c>
      <c r="AD149" t="s">
        <v>22</v>
      </c>
      <c r="AE149" t="s">
        <v>22</v>
      </c>
      <c r="AF149" t="s">
        <v>22</v>
      </c>
      <c r="AG149" t="s">
        <v>22</v>
      </c>
      <c r="AH149" t="s">
        <v>22</v>
      </c>
      <c r="AI149" t="s">
        <v>22</v>
      </c>
      <c r="AJ149" t="s">
        <v>22</v>
      </c>
    </row>
    <row r="150" spans="4:36" x14ac:dyDescent="0.25">
      <c r="D150" t="s">
        <v>116</v>
      </c>
    </row>
    <row r="151" spans="4:36" x14ac:dyDescent="0.25">
      <c r="D151" t="s">
        <v>117</v>
      </c>
    </row>
    <row r="152" spans="4:36" x14ac:dyDescent="0.25">
      <c r="D152" t="s">
        <v>118</v>
      </c>
      <c r="E152">
        <v>0</v>
      </c>
    </row>
    <row r="153" spans="4:36" x14ac:dyDescent="0.25">
      <c r="D153" t="s">
        <v>119</v>
      </c>
      <c r="E153" t="s">
        <v>120</v>
      </c>
    </row>
    <row r="154" spans="4:36" x14ac:dyDescent="0.25">
      <c r="D154" t="s">
        <v>226</v>
      </c>
    </row>
    <row r="156" spans="4:36" x14ac:dyDescent="0.25">
      <c r="D156" t="s">
        <v>84</v>
      </c>
      <c r="E156" t="s">
        <v>99</v>
      </c>
    </row>
    <row r="157" spans="4:36" x14ac:dyDescent="0.25">
      <c r="D157" t="s">
        <v>86</v>
      </c>
      <c r="E157" t="s">
        <v>109</v>
      </c>
    </row>
    <row r="158" spans="4:36" x14ac:dyDescent="0.25">
      <c r="D158" t="s">
        <v>110</v>
      </c>
      <c r="E158" t="s">
        <v>54</v>
      </c>
      <c r="F158" t="s">
        <v>54</v>
      </c>
      <c r="G158" t="s">
        <v>54</v>
      </c>
      <c r="H158" t="s">
        <v>54</v>
      </c>
      <c r="I158" t="s">
        <v>54</v>
      </c>
      <c r="J158" t="s">
        <v>54</v>
      </c>
      <c r="K158" t="s">
        <v>54</v>
      </c>
      <c r="L158" t="s">
        <v>54</v>
      </c>
      <c r="M158" t="s">
        <v>54</v>
      </c>
      <c r="N158" t="s">
        <v>54</v>
      </c>
      <c r="O158" t="s">
        <v>54</v>
      </c>
      <c r="P158" t="s">
        <v>54</v>
      </c>
    </row>
    <row r="159" spans="4:36" x14ac:dyDescent="0.25">
      <c r="D159" t="s">
        <v>111</v>
      </c>
      <c r="E159">
        <v>3</v>
      </c>
      <c r="F159">
        <v>4</v>
      </c>
      <c r="G159">
        <v>5</v>
      </c>
      <c r="H159">
        <v>6</v>
      </c>
      <c r="I159">
        <v>7</v>
      </c>
      <c r="J159">
        <v>8</v>
      </c>
      <c r="K159">
        <v>9</v>
      </c>
      <c r="L159">
        <v>10</v>
      </c>
      <c r="M159">
        <v>11</v>
      </c>
      <c r="N159">
        <v>12</v>
      </c>
      <c r="O159">
        <v>13</v>
      </c>
      <c r="P159">
        <v>14</v>
      </c>
    </row>
    <row r="160" spans="4:36" x14ac:dyDescent="0.25">
      <c r="D160" t="s">
        <v>112</v>
      </c>
      <c r="E160" t="s">
        <v>65</v>
      </c>
      <c r="F160" t="s">
        <v>65</v>
      </c>
      <c r="G160" t="s">
        <v>65</v>
      </c>
      <c r="H160" t="s">
        <v>65</v>
      </c>
      <c r="I160" t="s">
        <v>65</v>
      </c>
      <c r="J160" t="s">
        <v>65</v>
      </c>
      <c r="K160" t="s">
        <v>65</v>
      </c>
      <c r="L160" t="s">
        <v>65</v>
      </c>
      <c r="M160" t="s">
        <v>65</v>
      </c>
      <c r="N160" t="s">
        <v>65</v>
      </c>
      <c r="O160" t="s">
        <v>65</v>
      </c>
      <c r="P160" t="s">
        <v>65</v>
      </c>
    </row>
    <row r="161" spans="2:16" x14ac:dyDescent="0.25">
      <c r="D161" t="s">
        <v>113</v>
      </c>
      <c r="E161">
        <v>3</v>
      </c>
      <c r="F161">
        <v>4</v>
      </c>
      <c r="G161">
        <v>5</v>
      </c>
      <c r="H161">
        <v>6</v>
      </c>
      <c r="I161">
        <v>7</v>
      </c>
      <c r="J161">
        <v>8</v>
      </c>
      <c r="K161">
        <v>9</v>
      </c>
      <c r="L161">
        <v>10</v>
      </c>
      <c r="M161">
        <v>11</v>
      </c>
      <c r="N161">
        <v>12</v>
      </c>
      <c r="O161">
        <v>13</v>
      </c>
      <c r="P161">
        <v>14</v>
      </c>
    </row>
    <row r="162" spans="2:16" x14ac:dyDescent="0.25">
      <c r="D162" t="s">
        <v>101</v>
      </c>
      <c r="E162">
        <v>10</v>
      </c>
      <c r="F162">
        <v>10</v>
      </c>
      <c r="G162">
        <v>5</v>
      </c>
      <c r="H162">
        <v>5</v>
      </c>
      <c r="I162">
        <v>2.5</v>
      </c>
      <c r="J162">
        <v>2.5</v>
      </c>
      <c r="K162">
        <v>1.25</v>
      </c>
      <c r="L162">
        <v>1.25</v>
      </c>
      <c r="M162">
        <v>0.626</v>
      </c>
      <c r="N162">
        <v>0.626</v>
      </c>
      <c r="O162">
        <v>0.312</v>
      </c>
      <c r="P162">
        <v>0.312</v>
      </c>
    </row>
    <row r="163" spans="2:16" x14ac:dyDescent="0.25">
      <c r="D163" t="s">
        <v>114</v>
      </c>
      <c r="E163">
        <v>10</v>
      </c>
      <c r="F163">
        <v>10</v>
      </c>
      <c r="G163">
        <v>15</v>
      </c>
      <c r="H163">
        <v>15</v>
      </c>
      <c r="I163">
        <v>17.5</v>
      </c>
      <c r="J163">
        <v>17.5</v>
      </c>
      <c r="K163">
        <v>18.75</v>
      </c>
      <c r="L163">
        <v>18.75</v>
      </c>
      <c r="M163">
        <v>19.373999999999999</v>
      </c>
      <c r="N163">
        <v>19.373999999999999</v>
      </c>
      <c r="O163">
        <v>19.687999999999999</v>
      </c>
      <c r="P163">
        <v>19.687999999999999</v>
      </c>
    </row>
    <row r="164" spans="2:16" x14ac:dyDescent="0.25">
      <c r="D164" t="s">
        <v>115</v>
      </c>
      <c r="E164" t="s">
        <v>22</v>
      </c>
      <c r="F164" t="s">
        <v>22</v>
      </c>
      <c r="G164" t="s">
        <v>22</v>
      </c>
      <c r="H164" t="s">
        <v>22</v>
      </c>
      <c r="I164" t="s">
        <v>22</v>
      </c>
      <c r="J164" t="s">
        <v>22</v>
      </c>
      <c r="K164" t="s">
        <v>22</v>
      </c>
      <c r="L164" t="s">
        <v>22</v>
      </c>
      <c r="M164" t="s">
        <v>22</v>
      </c>
      <c r="N164" t="s">
        <v>22</v>
      </c>
      <c r="O164" t="s">
        <v>22</v>
      </c>
      <c r="P164" t="s">
        <v>22</v>
      </c>
    </row>
    <row r="165" spans="2:16" x14ac:dyDescent="0.25">
      <c r="D165" t="s">
        <v>116</v>
      </c>
    </row>
    <row r="166" spans="2:16" x14ac:dyDescent="0.25">
      <c r="D166" t="s">
        <v>117</v>
      </c>
    </row>
    <row r="167" spans="2:16" x14ac:dyDescent="0.25">
      <c r="D167" t="s">
        <v>118</v>
      </c>
      <c r="E167">
        <v>0</v>
      </c>
    </row>
    <row r="168" spans="2:16" x14ac:dyDescent="0.25">
      <c r="D168" t="s">
        <v>119</v>
      </c>
      <c r="E168" t="s">
        <v>120</v>
      </c>
    </row>
    <row r="169" spans="2:16" x14ac:dyDescent="0.25">
      <c r="D169" t="s">
        <v>227</v>
      </c>
    </row>
    <row r="174" spans="2:16" x14ac:dyDescent="0.25">
      <c r="B174" t="s">
        <v>121</v>
      </c>
    </row>
    <row r="175" spans="2:16" x14ac:dyDescent="0.25">
      <c r="B175" t="s">
        <v>228</v>
      </c>
    </row>
    <row r="176" spans="2:16" x14ac:dyDescent="0.25">
      <c r="B176" t="s">
        <v>133</v>
      </c>
    </row>
    <row r="177" spans="2:36" x14ac:dyDescent="0.25">
      <c r="B177" t="s">
        <v>134</v>
      </c>
    </row>
    <row r="178" spans="2:36" x14ac:dyDescent="0.25">
      <c r="B178" t="s">
        <v>124</v>
      </c>
    </row>
    <row r="179" spans="2:36" x14ac:dyDescent="0.25">
      <c r="B179" t="s">
        <v>135</v>
      </c>
    </row>
    <row r="180" spans="2:36" x14ac:dyDescent="0.25">
      <c r="B180" t="s">
        <v>136</v>
      </c>
    </row>
    <row r="182" spans="2:36" x14ac:dyDescent="0.25">
      <c r="C182" t="s">
        <v>24</v>
      </c>
    </row>
    <row r="184" spans="2:36" x14ac:dyDescent="0.25">
      <c r="D184" t="s">
        <v>84</v>
      </c>
      <c r="E184" t="s">
        <v>99</v>
      </c>
    </row>
    <row r="185" spans="2:36" x14ac:dyDescent="0.25">
      <c r="D185" t="s">
        <v>86</v>
      </c>
      <c r="E185" t="s">
        <v>100</v>
      </c>
    </row>
    <row r="186" spans="2:36" x14ac:dyDescent="0.25">
      <c r="D186" t="s">
        <v>101</v>
      </c>
      <c r="E186">
        <v>180</v>
      </c>
      <c r="F186">
        <v>180</v>
      </c>
      <c r="G186">
        <v>180</v>
      </c>
      <c r="H186">
        <v>180</v>
      </c>
      <c r="I186">
        <v>180</v>
      </c>
      <c r="J186">
        <v>180</v>
      </c>
      <c r="K186">
        <v>180</v>
      </c>
      <c r="L186">
        <v>180</v>
      </c>
      <c r="M186">
        <v>180</v>
      </c>
      <c r="N186">
        <v>180</v>
      </c>
      <c r="O186">
        <v>180</v>
      </c>
      <c r="P186">
        <v>180</v>
      </c>
      <c r="Q186">
        <v>180</v>
      </c>
      <c r="R186">
        <v>180</v>
      </c>
      <c r="S186">
        <v>180</v>
      </c>
      <c r="T186">
        <v>180</v>
      </c>
      <c r="U186">
        <v>180</v>
      </c>
      <c r="V186">
        <v>180</v>
      </c>
      <c r="W186">
        <v>180</v>
      </c>
      <c r="X186">
        <v>180</v>
      </c>
      <c r="Y186">
        <v>180</v>
      </c>
      <c r="Z186">
        <v>180</v>
      </c>
      <c r="AA186">
        <v>180</v>
      </c>
      <c r="AB186">
        <v>180</v>
      </c>
      <c r="AC186">
        <v>180</v>
      </c>
      <c r="AD186">
        <v>180</v>
      </c>
      <c r="AE186">
        <v>180</v>
      </c>
      <c r="AF186">
        <v>180</v>
      </c>
      <c r="AG186">
        <v>180</v>
      </c>
      <c r="AH186">
        <v>180</v>
      </c>
      <c r="AI186">
        <v>180</v>
      </c>
      <c r="AJ186">
        <v>180</v>
      </c>
    </row>
    <row r="187" spans="2:36" x14ac:dyDescent="0.25">
      <c r="D187" t="s">
        <v>102</v>
      </c>
      <c r="E187" t="s">
        <v>103</v>
      </c>
      <c r="F187" t="s">
        <v>103</v>
      </c>
      <c r="G187" t="s">
        <v>103</v>
      </c>
      <c r="H187" t="s">
        <v>103</v>
      </c>
      <c r="I187" t="s">
        <v>103</v>
      </c>
      <c r="J187" t="s">
        <v>103</v>
      </c>
      <c r="K187" t="s">
        <v>103</v>
      </c>
      <c r="L187" t="s">
        <v>103</v>
      </c>
      <c r="M187" t="s">
        <v>103</v>
      </c>
      <c r="N187" t="s">
        <v>103</v>
      </c>
      <c r="O187" t="s">
        <v>103</v>
      </c>
      <c r="P187" t="s">
        <v>103</v>
      </c>
      <c r="Q187" t="s">
        <v>103</v>
      </c>
      <c r="R187" t="s">
        <v>103</v>
      </c>
      <c r="S187" t="s">
        <v>103</v>
      </c>
      <c r="T187" t="s">
        <v>103</v>
      </c>
      <c r="U187" t="s">
        <v>103</v>
      </c>
      <c r="V187" t="s">
        <v>103</v>
      </c>
      <c r="W187" t="s">
        <v>103</v>
      </c>
      <c r="X187" t="s">
        <v>103</v>
      </c>
      <c r="Y187" t="s">
        <v>103</v>
      </c>
      <c r="Z187" t="s">
        <v>103</v>
      </c>
      <c r="AA187" t="s">
        <v>103</v>
      </c>
      <c r="AB187" t="s">
        <v>103</v>
      </c>
      <c r="AC187" t="s">
        <v>103</v>
      </c>
      <c r="AD187" t="s">
        <v>103</v>
      </c>
      <c r="AE187" t="s">
        <v>103</v>
      </c>
      <c r="AF187" t="s">
        <v>103</v>
      </c>
      <c r="AG187" t="s">
        <v>103</v>
      </c>
      <c r="AH187" t="s">
        <v>103</v>
      </c>
      <c r="AI187" t="s">
        <v>103</v>
      </c>
      <c r="AJ187" t="s">
        <v>104</v>
      </c>
    </row>
    <row r="188" spans="2:36" x14ac:dyDescent="0.25">
      <c r="D188" t="s">
        <v>148</v>
      </c>
    </row>
    <row r="190" spans="2:36" x14ac:dyDescent="0.25">
      <c r="D190" t="s">
        <v>84</v>
      </c>
      <c r="E190" t="s">
        <v>99</v>
      </c>
    </row>
    <row r="191" spans="2:36" x14ac:dyDescent="0.25">
      <c r="D191" t="s">
        <v>86</v>
      </c>
      <c r="E191" t="s">
        <v>106</v>
      </c>
    </row>
    <row r="192" spans="2:36" x14ac:dyDescent="0.25">
      <c r="D192" t="s">
        <v>101</v>
      </c>
      <c r="E192">
        <v>180</v>
      </c>
      <c r="F192">
        <v>180</v>
      </c>
      <c r="G192">
        <v>180</v>
      </c>
      <c r="H192">
        <v>180</v>
      </c>
      <c r="I192">
        <v>180</v>
      </c>
      <c r="J192">
        <v>180</v>
      </c>
      <c r="K192">
        <v>180</v>
      </c>
      <c r="L192">
        <v>180</v>
      </c>
      <c r="M192">
        <v>180</v>
      </c>
      <c r="N192">
        <v>180</v>
      </c>
      <c r="O192">
        <v>180</v>
      </c>
      <c r="P192">
        <v>180</v>
      </c>
      <c r="Q192">
        <v>180</v>
      </c>
      <c r="R192">
        <v>180</v>
      </c>
      <c r="S192">
        <v>180</v>
      </c>
      <c r="T192">
        <v>180</v>
      </c>
      <c r="U192">
        <v>180</v>
      </c>
      <c r="V192">
        <v>180</v>
      </c>
      <c r="W192">
        <v>180</v>
      </c>
      <c r="X192">
        <v>180</v>
      </c>
      <c r="Y192">
        <v>180</v>
      </c>
      <c r="Z192">
        <v>180</v>
      </c>
      <c r="AA192">
        <v>180</v>
      </c>
      <c r="AB192">
        <v>180</v>
      </c>
      <c r="AC192">
        <v>180</v>
      </c>
      <c r="AD192">
        <v>180</v>
      </c>
      <c r="AE192">
        <v>180</v>
      </c>
      <c r="AF192">
        <v>180</v>
      </c>
      <c r="AG192">
        <v>180</v>
      </c>
      <c r="AH192">
        <v>180</v>
      </c>
      <c r="AI192">
        <v>180</v>
      </c>
      <c r="AJ192">
        <v>180</v>
      </c>
    </row>
    <row r="193" spans="4:36" x14ac:dyDescent="0.25">
      <c r="D193" t="s">
        <v>150</v>
      </c>
    </row>
    <row r="195" spans="4:36" x14ac:dyDescent="0.25">
      <c r="D195" t="s">
        <v>84</v>
      </c>
      <c r="E195" t="s">
        <v>99</v>
      </c>
    </row>
    <row r="196" spans="4:36" x14ac:dyDescent="0.25">
      <c r="D196" t="s">
        <v>86</v>
      </c>
      <c r="E196" t="s">
        <v>109</v>
      </c>
    </row>
    <row r="197" spans="4:36" x14ac:dyDescent="0.25">
      <c r="D197" t="s">
        <v>110</v>
      </c>
      <c r="E197" t="s">
        <v>54</v>
      </c>
      <c r="F197" t="s">
        <v>54</v>
      </c>
      <c r="G197" t="s">
        <v>54</v>
      </c>
      <c r="H197" t="s">
        <v>54</v>
      </c>
      <c r="I197" t="s">
        <v>54</v>
      </c>
      <c r="J197" t="s">
        <v>54</v>
      </c>
      <c r="K197" t="s">
        <v>54</v>
      </c>
      <c r="L197" t="s">
        <v>54</v>
      </c>
      <c r="M197" t="s">
        <v>54</v>
      </c>
      <c r="N197" t="s">
        <v>54</v>
      </c>
      <c r="O197" t="s">
        <v>54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t="s">
        <v>54</v>
      </c>
      <c r="Y197" t="s">
        <v>54</v>
      </c>
      <c r="Z197" t="s">
        <v>54</v>
      </c>
      <c r="AA197" t="s">
        <v>54</v>
      </c>
      <c r="AB197" t="s">
        <v>54</v>
      </c>
      <c r="AC197" t="s">
        <v>54</v>
      </c>
      <c r="AD197" t="s">
        <v>54</v>
      </c>
      <c r="AE197" t="s">
        <v>54</v>
      </c>
      <c r="AF197" t="s">
        <v>54</v>
      </c>
      <c r="AG197" t="s">
        <v>54</v>
      </c>
      <c r="AH197" t="s">
        <v>54</v>
      </c>
      <c r="AI197" t="s">
        <v>54</v>
      </c>
      <c r="AJ197" t="s">
        <v>54</v>
      </c>
    </row>
    <row r="198" spans="4:36" x14ac:dyDescent="0.25">
      <c r="D198" t="s">
        <v>111</v>
      </c>
      <c r="E198">
        <v>1</v>
      </c>
      <c r="F198">
        <v>2</v>
      </c>
      <c r="G198">
        <v>3</v>
      </c>
      <c r="H198">
        <v>4</v>
      </c>
      <c r="I198">
        <v>5</v>
      </c>
      <c r="J198">
        <v>6</v>
      </c>
      <c r="K198">
        <v>7</v>
      </c>
      <c r="L198">
        <v>8</v>
      </c>
      <c r="M198">
        <v>9</v>
      </c>
      <c r="N198">
        <v>10</v>
      </c>
      <c r="O198">
        <v>11</v>
      </c>
      <c r="P198">
        <v>12</v>
      </c>
      <c r="Q198">
        <v>13</v>
      </c>
      <c r="R198">
        <v>14</v>
      </c>
      <c r="S198">
        <v>15</v>
      </c>
      <c r="T198">
        <v>16</v>
      </c>
      <c r="U198">
        <v>17</v>
      </c>
      <c r="V198">
        <v>18</v>
      </c>
      <c r="W198">
        <v>19</v>
      </c>
      <c r="X198">
        <v>20</v>
      </c>
      <c r="Y198">
        <v>21</v>
      </c>
      <c r="Z198">
        <v>22</v>
      </c>
      <c r="AA198">
        <v>23</v>
      </c>
      <c r="AB198">
        <v>24</v>
      </c>
      <c r="AC198">
        <v>25</v>
      </c>
      <c r="AD198">
        <v>26</v>
      </c>
      <c r="AE198">
        <v>27</v>
      </c>
      <c r="AF198">
        <v>28</v>
      </c>
      <c r="AG198">
        <v>29</v>
      </c>
      <c r="AH198">
        <v>30</v>
      </c>
      <c r="AI198">
        <v>31</v>
      </c>
      <c r="AJ198">
        <v>32</v>
      </c>
    </row>
    <row r="199" spans="4:36" x14ac:dyDescent="0.25">
      <c r="D199" t="s">
        <v>112</v>
      </c>
      <c r="E199" t="s">
        <v>69</v>
      </c>
      <c r="F199" t="s">
        <v>69</v>
      </c>
      <c r="G199" t="s">
        <v>69</v>
      </c>
      <c r="H199" t="s">
        <v>69</v>
      </c>
      <c r="I199" t="s">
        <v>69</v>
      </c>
      <c r="J199" t="s">
        <v>69</v>
      </c>
      <c r="K199" t="s">
        <v>69</v>
      </c>
      <c r="L199" t="s">
        <v>69</v>
      </c>
      <c r="M199" t="s">
        <v>69</v>
      </c>
      <c r="N199" t="s">
        <v>69</v>
      </c>
      <c r="O199" t="s">
        <v>69</v>
      </c>
      <c r="P199" t="s">
        <v>69</v>
      </c>
      <c r="Q199" t="s">
        <v>69</v>
      </c>
      <c r="R199" t="s">
        <v>69</v>
      </c>
      <c r="S199" t="s">
        <v>69</v>
      </c>
      <c r="T199" t="s">
        <v>69</v>
      </c>
      <c r="U199" t="s">
        <v>69</v>
      </c>
      <c r="V199" t="s">
        <v>69</v>
      </c>
      <c r="W199" t="s">
        <v>69</v>
      </c>
      <c r="X199" t="s">
        <v>69</v>
      </c>
      <c r="Y199" t="s">
        <v>69</v>
      </c>
      <c r="Z199" t="s">
        <v>69</v>
      </c>
      <c r="AA199" t="s">
        <v>69</v>
      </c>
      <c r="AB199" t="s">
        <v>69</v>
      </c>
      <c r="AC199" t="s">
        <v>69</v>
      </c>
      <c r="AD199" t="s">
        <v>69</v>
      </c>
      <c r="AE199" t="s">
        <v>69</v>
      </c>
      <c r="AF199" t="s">
        <v>69</v>
      </c>
      <c r="AG199" t="s">
        <v>69</v>
      </c>
      <c r="AH199" t="s">
        <v>69</v>
      </c>
      <c r="AI199" t="s">
        <v>69</v>
      </c>
      <c r="AJ199" t="s">
        <v>69</v>
      </c>
    </row>
    <row r="200" spans="4:36" x14ac:dyDescent="0.25">
      <c r="D200" t="s">
        <v>113</v>
      </c>
      <c r="E200">
        <v>1</v>
      </c>
      <c r="F200">
        <v>2</v>
      </c>
      <c r="G200">
        <v>3</v>
      </c>
      <c r="H200">
        <v>4</v>
      </c>
      <c r="I200">
        <v>5</v>
      </c>
      <c r="J200">
        <v>6</v>
      </c>
      <c r="K200">
        <v>7</v>
      </c>
      <c r="L200">
        <v>8</v>
      </c>
      <c r="M200">
        <v>9</v>
      </c>
      <c r="N200">
        <v>10</v>
      </c>
      <c r="O200">
        <v>11</v>
      </c>
      <c r="P200">
        <v>12</v>
      </c>
      <c r="Q200">
        <v>13</v>
      </c>
      <c r="R200">
        <v>14</v>
      </c>
      <c r="S200">
        <v>15</v>
      </c>
      <c r="T200">
        <v>16</v>
      </c>
      <c r="U200">
        <v>17</v>
      </c>
      <c r="V200">
        <v>18</v>
      </c>
      <c r="W200">
        <v>19</v>
      </c>
      <c r="X200">
        <v>20</v>
      </c>
      <c r="Y200">
        <v>21</v>
      </c>
      <c r="Z200">
        <v>22</v>
      </c>
      <c r="AA200">
        <v>23</v>
      </c>
      <c r="AB200">
        <v>24</v>
      </c>
      <c r="AC200">
        <v>25</v>
      </c>
      <c r="AD200">
        <v>26</v>
      </c>
      <c r="AE200">
        <v>27</v>
      </c>
      <c r="AF200">
        <v>28</v>
      </c>
      <c r="AG200">
        <v>29</v>
      </c>
      <c r="AH200">
        <v>30</v>
      </c>
      <c r="AI200">
        <v>31</v>
      </c>
      <c r="AJ200">
        <v>32</v>
      </c>
    </row>
    <row r="201" spans="4:36" x14ac:dyDescent="0.25">
      <c r="D201" t="s">
        <v>101</v>
      </c>
      <c r="E201">
        <v>180</v>
      </c>
      <c r="F201">
        <v>180</v>
      </c>
      <c r="G201">
        <v>180</v>
      </c>
      <c r="H201">
        <v>180</v>
      </c>
      <c r="I201">
        <v>180</v>
      </c>
      <c r="J201">
        <v>180</v>
      </c>
      <c r="K201">
        <v>180</v>
      </c>
      <c r="L201">
        <v>180</v>
      </c>
      <c r="M201">
        <v>180</v>
      </c>
      <c r="N201">
        <v>180</v>
      </c>
      <c r="O201">
        <v>180</v>
      </c>
      <c r="P201">
        <v>180</v>
      </c>
      <c r="Q201">
        <v>180</v>
      </c>
      <c r="R201">
        <v>180</v>
      </c>
      <c r="S201">
        <v>180</v>
      </c>
      <c r="T201">
        <v>180</v>
      </c>
      <c r="U201">
        <v>180</v>
      </c>
      <c r="V201">
        <v>180</v>
      </c>
      <c r="W201">
        <v>180</v>
      </c>
      <c r="X201">
        <v>180</v>
      </c>
      <c r="Y201">
        <v>180</v>
      </c>
      <c r="Z201">
        <v>180</v>
      </c>
      <c r="AA201">
        <v>180</v>
      </c>
      <c r="AB201">
        <v>180</v>
      </c>
      <c r="AC201">
        <v>180</v>
      </c>
      <c r="AD201">
        <v>180</v>
      </c>
      <c r="AE201">
        <v>180</v>
      </c>
      <c r="AF201">
        <v>180</v>
      </c>
      <c r="AG201">
        <v>180</v>
      </c>
      <c r="AH201">
        <v>180</v>
      </c>
      <c r="AI201">
        <v>180</v>
      </c>
      <c r="AJ201">
        <v>180</v>
      </c>
    </row>
    <row r="202" spans="4:36" x14ac:dyDescent="0.25">
      <c r="D202" t="s">
        <v>114</v>
      </c>
      <c r="E202">
        <v>20</v>
      </c>
      <c r="F202">
        <v>20</v>
      </c>
      <c r="G202">
        <v>20</v>
      </c>
      <c r="H202">
        <v>20</v>
      </c>
      <c r="I202">
        <v>20</v>
      </c>
      <c r="J202">
        <v>20</v>
      </c>
      <c r="K202">
        <v>20</v>
      </c>
      <c r="L202">
        <v>20</v>
      </c>
      <c r="M202">
        <v>20</v>
      </c>
      <c r="N202">
        <v>20</v>
      </c>
      <c r="O202">
        <v>20</v>
      </c>
      <c r="P202">
        <v>20</v>
      </c>
      <c r="Q202">
        <v>20</v>
      </c>
      <c r="R202">
        <v>20</v>
      </c>
      <c r="S202">
        <v>20</v>
      </c>
      <c r="T202">
        <v>20</v>
      </c>
      <c r="U202">
        <v>40</v>
      </c>
      <c r="V202">
        <v>40</v>
      </c>
      <c r="W202">
        <v>40</v>
      </c>
      <c r="X202">
        <v>40</v>
      </c>
      <c r="Y202">
        <v>40</v>
      </c>
      <c r="Z202">
        <v>40</v>
      </c>
      <c r="AA202">
        <v>40</v>
      </c>
      <c r="AB202">
        <v>40</v>
      </c>
      <c r="AC202">
        <v>40</v>
      </c>
      <c r="AD202">
        <v>40</v>
      </c>
      <c r="AE202">
        <v>40</v>
      </c>
      <c r="AF202">
        <v>40</v>
      </c>
      <c r="AG202">
        <v>40</v>
      </c>
      <c r="AH202">
        <v>40</v>
      </c>
      <c r="AI202">
        <v>40</v>
      </c>
      <c r="AJ202">
        <v>40</v>
      </c>
    </row>
    <row r="203" spans="4:36" x14ac:dyDescent="0.25">
      <c r="D203" t="s">
        <v>115</v>
      </c>
      <c r="E203" t="s">
        <v>75</v>
      </c>
      <c r="F203" t="s">
        <v>75</v>
      </c>
      <c r="G203" t="s">
        <v>75</v>
      </c>
      <c r="H203" t="s">
        <v>75</v>
      </c>
      <c r="I203" t="s">
        <v>75</v>
      </c>
      <c r="J203" t="s">
        <v>75</v>
      </c>
      <c r="K203" t="s">
        <v>75</v>
      </c>
      <c r="L203" t="s">
        <v>75</v>
      </c>
      <c r="M203" t="s">
        <v>75</v>
      </c>
      <c r="N203" t="s">
        <v>75</v>
      </c>
      <c r="O203" t="s">
        <v>75</v>
      </c>
      <c r="P203" t="s">
        <v>75</v>
      </c>
      <c r="Q203" t="s">
        <v>75</v>
      </c>
      <c r="R203" t="s">
        <v>75</v>
      </c>
      <c r="S203" t="s">
        <v>75</v>
      </c>
      <c r="T203" t="s">
        <v>75</v>
      </c>
      <c r="U203" t="s">
        <v>75</v>
      </c>
      <c r="V203" t="s">
        <v>75</v>
      </c>
      <c r="W203" t="s">
        <v>75</v>
      </c>
      <c r="X203" t="s">
        <v>75</v>
      </c>
      <c r="Y203" t="s">
        <v>75</v>
      </c>
      <c r="Z203" t="s">
        <v>75</v>
      </c>
      <c r="AA203" t="s">
        <v>75</v>
      </c>
      <c r="AB203" t="s">
        <v>75</v>
      </c>
      <c r="AC203" t="s">
        <v>75</v>
      </c>
      <c r="AD203" t="s">
        <v>75</v>
      </c>
      <c r="AE203" t="s">
        <v>75</v>
      </c>
      <c r="AF203" t="s">
        <v>75</v>
      </c>
      <c r="AG203" t="s">
        <v>75</v>
      </c>
      <c r="AH203" t="s">
        <v>75</v>
      </c>
      <c r="AI203" t="s">
        <v>75</v>
      </c>
      <c r="AJ203" t="s">
        <v>75</v>
      </c>
    </row>
    <row r="204" spans="4:36" x14ac:dyDescent="0.25">
      <c r="D204" t="s">
        <v>116</v>
      </c>
    </row>
    <row r="205" spans="4:36" x14ac:dyDescent="0.25">
      <c r="D205" t="s">
        <v>117</v>
      </c>
    </row>
    <row r="206" spans="4:36" x14ac:dyDescent="0.25">
      <c r="D206" t="s">
        <v>118</v>
      </c>
      <c r="E206">
        <v>0</v>
      </c>
    </row>
    <row r="207" spans="4:36" x14ac:dyDescent="0.25">
      <c r="D207" t="s">
        <v>119</v>
      </c>
      <c r="E207" t="s">
        <v>120</v>
      </c>
    </row>
    <row r="208" spans="4:36" x14ac:dyDescent="0.25">
      <c r="D208" t="s">
        <v>152</v>
      </c>
    </row>
    <row r="213" spans="2:5" x14ac:dyDescent="0.25">
      <c r="B213" t="s">
        <v>140</v>
      </c>
    </row>
    <row r="214" spans="2:5" x14ac:dyDescent="0.25">
      <c r="B214" t="s">
        <v>174</v>
      </c>
    </row>
    <row r="215" spans="2:5" x14ac:dyDescent="0.25">
      <c r="B215" t="s">
        <v>141</v>
      </c>
    </row>
    <row r="216" spans="2:5" x14ac:dyDescent="0.25">
      <c r="B216" t="s">
        <v>142</v>
      </c>
    </row>
    <row r="217" spans="2:5" x14ac:dyDescent="0.25">
      <c r="B217" t="s">
        <v>143</v>
      </c>
    </row>
    <row r="219" spans="2:5" x14ac:dyDescent="0.25">
      <c r="C219" t="s">
        <v>24</v>
      </c>
    </row>
    <row r="221" spans="2:5" x14ac:dyDescent="0.25">
      <c r="D221" t="s">
        <v>84</v>
      </c>
      <c r="E221" t="s">
        <v>144</v>
      </c>
    </row>
    <row r="222" spans="2:5" x14ac:dyDescent="0.25">
      <c r="D222" t="s">
        <v>86</v>
      </c>
      <c r="E222" t="s">
        <v>145</v>
      </c>
    </row>
    <row r="223" spans="2:5" x14ac:dyDescent="0.25">
      <c r="D223" t="s">
        <v>146</v>
      </c>
      <c r="E223" t="s">
        <v>147</v>
      </c>
    </row>
    <row r="224" spans="2:5" x14ac:dyDescent="0.25">
      <c r="D224" t="s">
        <v>183</v>
      </c>
    </row>
    <row r="226" spans="4:5" x14ac:dyDescent="0.25">
      <c r="D226" t="s">
        <v>84</v>
      </c>
      <c r="E226" t="s">
        <v>144</v>
      </c>
    </row>
    <row r="227" spans="4:5" x14ac:dyDescent="0.25">
      <c r="D227" t="s">
        <v>86</v>
      </c>
      <c r="E227" t="s">
        <v>149</v>
      </c>
    </row>
    <row r="228" spans="4:5" x14ac:dyDescent="0.25">
      <c r="D228" t="s">
        <v>146</v>
      </c>
      <c r="E228" t="s">
        <v>147</v>
      </c>
    </row>
    <row r="229" spans="4:5" x14ac:dyDescent="0.25">
      <c r="D229" t="s">
        <v>229</v>
      </c>
    </row>
    <row r="231" spans="4:5" x14ac:dyDescent="0.25">
      <c r="D231" t="s">
        <v>84</v>
      </c>
      <c r="E231" t="s">
        <v>85</v>
      </c>
    </row>
    <row r="232" spans="4:5" x14ac:dyDescent="0.25">
      <c r="D232" t="s">
        <v>86</v>
      </c>
      <c r="E232" t="s">
        <v>151</v>
      </c>
    </row>
    <row r="233" spans="4:5" x14ac:dyDescent="0.25">
      <c r="D233" t="s">
        <v>88</v>
      </c>
      <c r="E233" t="s">
        <v>147</v>
      </c>
    </row>
    <row r="234" spans="4:5" x14ac:dyDescent="0.25">
      <c r="D234" t="s">
        <v>230</v>
      </c>
    </row>
    <row r="236" spans="4:5" x14ac:dyDescent="0.25">
      <c r="D236" t="s">
        <v>84</v>
      </c>
      <c r="E236" t="s">
        <v>85</v>
      </c>
    </row>
    <row r="237" spans="4:5" x14ac:dyDescent="0.25">
      <c r="D237" t="s">
        <v>86</v>
      </c>
      <c r="E237" t="s">
        <v>153</v>
      </c>
    </row>
    <row r="238" spans="4:5" x14ac:dyDescent="0.25">
      <c r="D238" t="s">
        <v>88</v>
      </c>
      <c r="E238" t="s">
        <v>147</v>
      </c>
    </row>
    <row r="239" spans="4:5" x14ac:dyDescent="0.25">
      <c r="D239" t="s">
        <v>231</v>
      </c>
    </row>
    <row r="241" spans="4:5" x14ac:dyDescent="0.25">
      <c r="D241" t="s">
        <v>84</v>
      </c>
      <c r="E241" t="s">
        <v>154</v>
      </c>
    </row>
    <row r="242" spans="4:5" x14ac:dyDescent="0.25">
      <c r="D242" t="s">
        <v>86</v>
      </c>
      <c r="E242" t="s">
        <v>87</v>
      </c>
    </row>
    <row r="243" spans="4:5" x14ac:dyDescent="0.25">
      <c r="D243" t="s">
        <v>88</v>
      </c>
      <c r="E243" t="s">
        <v>147</v>
      </c>
    </row>
    <row r="244" spans="4:5" x14ac:dyDescent="0.25">
      <c r="D244" t="s">
        <v>232</v>
      </c>
    </row>
    <row r="246" spans="4:5" x14ac:dyDescent="0.25">
      <c r="D246" t="s">
        <v>84</v>
      </c>
      <c r="E246" t="s">
        <v>154</v>
      </c>
    </row>
    <row r="247" spans="4:5" x14ac:dyDescent="0.25">
      <c r="D247" t="s">
        <v>86</v>
      </c>
      <c r="E247" t="s">
        <v>155</v>
      </c>
    </row>
    <row r="248" spans="4:5" x14ac:dyDescent="0.25">
      <c r="D248" t="s">
        <v>88</v>
      </c>
      <c r="E248" t="s">
        <v>147</v>
      </c>
    </row>
    <row r="249" spans="4:5" x14ac:dyDescent="0.25">
      <c r="D249" t="s">
        <v>233</v>
      </c>
    </row>
    <row r="251" spans="4:5" x14ac:dyDescent="0.25">
      <c r="D251" t="s">
        <v>84</v>
      </c>
      <c r="E251" t="s">
        <v>154</v>
      </c>
    </row>
    <row r="252" spans="4:5" x14ac:dyDescent="0.25">
      <c r="D252" t="s">
        <v>86</v>
      </c>
      <c r="E252" t="s">
        <v>156</v>
      </c>
    </row>
    <row r="253" spans="4:5" x14ac:dyDescent="0.25">
      <c r="D253" t="s">
        <v>88</v>
      </c>
      <c r="E253" t="s">
        <v>147</v>
      </c>
    </row>
    <row r="254" spans="4:5" x14ac:dyDescent="0.25">
      <c r="D254" t="s">
        <v>234</v>
      </c>
    </row>
    <row r="256" spans="4:5" x14ac:dyDescent="0.25">
      <c r="D256" t="s">
        <v>84</v>
      </c>
      <c r="E256" t="s">
        <v>85</v>
      </c>
    </row>
    <row r="257" spans="4:5" x14ac:dyDescent="0.25">
      <c r="D257" t="s">
        <v>86</v>
      </c>
      <c r="E257" t="s">
        <v>155</v>
      </c>
    </row>
    <row r="258" spans="4:5" x14ac:dyDescent="0.25">
      <c r="D258" t="s">
        <v>88</v>
      </c>
      <c r="E258" t="s">
        <v>147</v>
      </c>
    </row>
    <row r="259" spans="4:5" x14ac:dyDescent="0.25">
      <c r="D259" t="s">
        <v>235</v>
      </c>
    </row>
    <row r="261" spans="4:5" x14ac:dyDescent="0.25">
      <c r="D261" t="s">
        <v>84</v>
      </c>
      <c r="E261" t="s">
        <v>85</v>
      </c>
    </row>
    <row r="262" spans="4:5" x14ac:dyDescent="0.25">
      <c r="D262" t="s">
        <v>86</v>
      </c>
      <c r="E262" t="s">
        <v>156</v>
      </c>
    </row>
    <row r="263" spans="4:5" x14ac:dyDescent="0.25">
      <c r="D263" t="s">
        <v>88</v>
      </c>
      <c r="E263" t="s">
        <v>147</v>
      </c>
    </row>
    <row r="264" spans="4:5" x14ac:dyDescent="0.25">
      <c r="D264" t="s">
        <v>236</v>
      </c>
    </row>
    <row r="266" spans="4:5" x14ac:dyDescent="0.25">
      <c r="D266" t="s">
        <v>84</v>
      </c>
      <c r="E266" t="s">
        <v>157</v>
      </c>
    </row>
    <row r="267" spans="4:5" x14ac:dyDescent="0.25">
      <c r="D267" t="s">
        <v>86</v>
      </c>
      <c r="E267" t="s">
        <v>158</v>
      </c>
    </row>
    <row r="268" spans="4:5" x14ac:dyDescent="0.25">
      <c r="D268" t="s">
        <v>159</v>
      </c>
    </row>
    <row r="269" spans="4:5" x14ac:dyDescent="0.25">
      <c r="D269" t="s">
        <v>160</v>
      </c>
    </row>
    <row r="270" spans="4:5" x14ac:dyDescent="0.25">
      <c r="D270" t="s">
        <v>161</v>
      </c>
    </row>
    <row r="271" spans="4:5" x14ac:dyDescent="0.25">
      <c r="D271" t="s">
        <v>162</v>
      </c>
    </row>
    <row r="272" spans="4:5" x14ac:dyDescent="0.25">
      <c r="D272" t="s">
        <v>163</v>
      </c>
      <c r="E272" t="b">
        <v>0</v>
      </c>
    </row>
    <row r="273" spans="4:5" x14ac:dyDescent="0.25">
      <c r="D273" t="s">
        <v>164</v>
      </c>
      <c r="E273" t="s">
        <v>120</v>
      </c>
    </row>
    <row r="274" spans="4:5" x14ac:dyDescent="0.25">
      <c r="D274" t="s">
        <v>237</v>
      </c>
    </row>
    <row r="276" spans="4:5" x14ac:dyDescent="0.25">
      <c r="D276" t="s">
        <v>84</v>
      </c>
      <c r="E276" t="s">
        <v>157</v>
      </c>
    </row>
    <row r="277" spans="4:5" x14ac:dyDescent="0.25">
      <c r="D277" t="s">
        <v>86</v>
      </c>
      <c r="E277" t="s">
        <v>158</v>
      </c>
    </row>
    <row r="278" spans="4:5" x14ac:dyDescent="0.25">
      <c r="D278" t="s">
        <v>159</v>
      </c>
    </row>
    <row r="279" spans="4:5" x14ac:dyDescent="0.25">
      <c r="D279" t="s">
        <v>160</v>
      </c>
    </row>
    <row r="280" spans="4:5" x14ac:dyDescent="0.25">
      <c r="D280" t="s">
        <v>161</v>
      </c>
    </row>
    <row r="281" spans="4:5" x14ac:dyDescent="0.25">
      <c r="D281" t="s">
        <v>162</v>
      </c>
    </row>
    <row r="282" spans="4:5" x14ac:dyDescent="0.25">
      <c r="D282" t="s">
        <v>163</v>
      </c>
      <c r="E282" t="b">
        <v>1</v>
      </c>
    </row>
    <row r="283" spans="4:5" x14ac:dyDescent="0.25">
      <c r="D283" t="s">
        <v>164</v>
      </c>
      <c r="E283" t="s">
        <v>120</v>
      </c>
    </row>
    <row r="284" spans="4:5" x14ac:dyDescent="0.25">
      <c r="D284" t="s">
        <v>238</v>
      </c>
    </row>
    <row r="286" spans="4:5" x14ac:dyDescent="0.25">
      <c r="D286" t="s">
        <v>84</v>
      </c>
      <c r="E286" t="s">
        <v>85</v>
      </c>
    </row>
    <row r="287" spans="4:5" x14ac:dyDescent="0.25">
      <c r="D287" t="s">
        <v>86</v>
      </c>
      <c r="E287" t="s">
        <v>165</v>
      </c>
    </row>
    <row r="288" spans="4:5" x14ac:dyDescent="0.25">
      <c r="D288" t="s">
        <v>88</v>
      </c>
      <c r="E288" t="s">
        <v>54</v>
      </c>
    </row>
    <row r="289" spans="4:5" x14ac:dyDescent="0.25">
      <c r="D289" t="s">
        <v>89</v>
      </c>
      <c r="E289">
        <v>37</v>
      </c>
    </row>
    <row r="290" spans="4:5" x14ac:dyDescent="0.25">
      <c r="D290" t="s">
        <v>90</v>
      </c>
      <c r="E290">
        <v>0</v>
      </c>
    </row>
    <row r="291" spans="4:5" x14ac:dyDescent="0.25">
      <c r="D291" t="s">
        <v>239</v>
      </c>
    </row>
    <row r="293" spans="4:5" x14ac:dyDescent="0.25">
      <c r="D293" t="s">
        <v>84</v>
      </c>
      <c r="E293" t="s">
        <v>166</v>
      </c>
    </row>
    <row r="294" spans="4:5" x14ac:dyDescent="0.25">
      <c r="D294" t="s">
        <v>86</v>
      </c>
      <c r="E294" t="s">
        <v>167</v>
      </c>
    </row>
    <row r="295" spans="4:5" x14ac:dyDescent="0.25">
      <c r="D295" t="s">
        <v>168</v>
      </c>
      <c r="E295">
        <v>900</v>
      </c>
    </row>
    <row r="296" spans="4:5" x14ac:dyDescent="0.25">
      <c r="D296" t="s">
        <v>240</v>
      </c>
    </row>
    <row r="298" spans="4:5" x14ac:dyDescent="0.25">
      <c r="D298" t="s">
        <v>84</v>
      </c>
      <c r="E298" t="s">
        <v>166</v>
      </c>
    </row>
    <row r="299" spans="4:5" x14ac:dyDescent="0.25">
      <c r="D299" t="s">
        <v>86</v>
      </c>
      <c r="E299" t="s">
        <v>169</v>
      </c>
    </row>
    <row r="300" spans="4:5" x14ac:dyDescent="0.25">
      <c r="D300" t="s">
        <v>241</v>
      </c>
    </row>
    <row r="302" spans="4:5" x14ac:dyDescent="0.25">
      <c r="D302" t="s">
        <v>84</v>
      </c>
      <c r="E302" t="s">
        <v>85</v>
      </c>
    </row>
    <row r="303" spans="4:5" x14ac:dyDescent="0.25">
      <c r="D303" t="s">
        <v>86</v>
      </c>
      <c r="E303" t="s">
        <v>170</v>
      </c>
    </row>
    <row r="304" spans="4:5" x14ac:dyDescent="0.25">
      <c r="D304" t="s">
        <v>88</v>
      </c>
      <c r="E304" t="s">
        <v>147</v>
      </c>
    </row>
    <row r="305" spans="4:5" x14ac:dyDescent="0.25">
      <c r="D305" t="s">
        <v>242</v>
      </c>
    </row>
    <row r="307" spans="4:5" x14ac:dyDescent="0.25">
      <c r="D307" t="s">
        <v>84</v>
      </c>
      <c r="E307" t="s">
        <v>154</v>
      </c>
    </row>
    <row r="308" spans="4:5" x14ac:dyDescent="0.25">
      <c r="D308" t="s">
        <v>86</v>
      </c>
      <c r="E308" t="s">
        <v>155</v>
      </c>
    </row>
    <row r="309" spans="4:5" x14ac:dyDescent="0.25">
      <c r="D309" t="s">
        <v>88</v>
      </c>
      <c r="E309" t="s">
        <v>147</v>
      </c>
    </row>
    <row r="310" spans="4:5" x14ac:dyDescent="0.25">
      <c r="D310" t="s">
        <v>243</v>
      </c>
    </row>
    <row r="312" spans="4:5" x14ac:dyDescent="0.25">
      <c r="D312" t="s">
        <v>84</v>
      </c>
      <c r="E312" t="s">
        <v>154</v>
      </c>
    </row>
    <row r="313" spans="4:5" x14ac:dyDescent="0.25">
      <c r="D313" t="s">
        <v>86</v>
      </c>
      <c r="E313" t="s">
        <v>156</v>
      </c>
    </row>
    <row r="314" spans="4:5" x14ac:dyDescent="0.25">
      <c r="D314" t="s">
        <v>88</v>
      </c>
      <c r="E314" t="s">
        <v>147</v>
      </c>
    </row>
    <row r="315" spans="4:5" x14ac:dyDescent="0.25">
      <c r="D315" t="s">
        <v>244</v>
      </c>
    </row>
    <row r="317" spans="4:5" x14ac:dyDescent="0.25">
      <c r="D317" t="s">
        <v>84</v>
      </c>
      <c r="E317" t="s">
        <v>85</v>
      </c>
    </row>
    <row r="318" spans="4:5" x14ac:dyDescent="0.25">
      <c r="D318" t="s">
        <v>86</v>
      </c>
      <c r="E318" t="s">
        <v>155</v>
      </c>
    </row>
    <row r="319" spans="4:5" x14ac:dyDescent="0.25">
      <c r="D319" t="s">
        <v>88</v>
      </c>
      <c r="E319" t="s">
        <v>147</v>
      </c>
    </row>
    <row r="320" spans="4:5" x14ac:dyDescent="0.25">
      <c r="D320" t="s">
        <v>245</v>
      </c>
    </row>
    <row r="322" spans="4:5" x14ac:dyDescent="0.25">
      <c r="D322" t="s">
        <v>84</v>
      </c>
      <c r="E322" t="s">
        <v>85</v>
      </c>
    </row>
    <row r="323" spans="4:5" x14ac:dyDescent="0.25">
      <c r="D323" t="s">
        <v>86</v>
      </c>
      <c r="E323" t="s">
        <v>156</v>
      </c>
    </row>
    <row r="324" spans="4:5" x14ac:dyDescent="0.25">
      <c r="D324" t="s">
        <v>88</v>
      </c>
      <c r="E324" t="s">
        <v>147</v>
      </c>
    </row>
    <row r="325" spans="4:5" x14ac:dyDescent="0.25">
      <c r="D325" t="s">
        <v>246</v>
      </c>
    </row>
    <row r="327" spans="4:5" x14ac:dyDescent="0.25">
      <c r="D327" t="s">
        <v>84</v>
      </c>
      <c r="E327" t="s">
        <v>144</v>
      </c>
    </row>
    <row r="328" spans="4:5" x14ac:dyDescent="0.25">
      <c r="D328" t="s">
        <v>86</v>
      </c>
      <c r="E328" t="s">
        <v>145</v>
      </c>
    </row>
    <row r="329" spans="4:5" x14ac:dyDescent="0.25">
      <c r="D329" t="s">
        <v>146</v>
      </c>
      <c r="E329" t="s">
        <v>147</v>
      </c>
    </row>
    <row r="330" spans="4:5" x14ac:dyDescent="0.25">
      <c r="D330" t="s">
        <v>247</v>
      </c>
    </row>
    <row r="332" spans="4:5" x14ac:dyDescent="0.25">
      <c r="D332" t="s">
        <v>84</v>
      </c>
      <c r="E332" t="s">
        <v>144</v>
      </c>
    </row>
    <row r="333" spans="4:5" x14ac:dyDescent="0.25">
      <c r="D333" t="s">
        <v>86</v>
      </c>
      <c r="E333" t="s">
        <v>149</v>
      </c>
    </row>
    <row r="334" spans="4:5" x14ac:dyDescent="0.25">
      <c r="D334" t="s">
        <v>146</v>
      </c>
      <c r="E334" t="s">
        <v>147</v>
      </c>
    </row>
    <row r="335" spans="4:5" x14ac:dyDescent="0.25">
      <c r="D335" t="s">
        <v>248</v>
      </c>
    </row>
    <row r="337" spans="4:5" x14ac:dyDescent="0.25">
      <c r="D337" t="s">
        <v>84</v>
      </c>
      <c r="E337" t="s">
        <v>85</v>
      </c>
    </row>
    <row r="338" spans="4:5" x14ac:dyDescent="0.25">
      <c r="D338" t="s">
        <v>86</v>
      </c>
      <c r="E338" t="s">
        <v>151</v>
      </c>
    </row>
    <row r="339" spans="4:5" x14ac:dyDescent="0.25">
      <c r="D339" t="s">
        <v>88</v>
      </c>
      <c r="E339" t="s">
        <v>147</v>
      </c>
    </row>
    <row r="340" spans="4:5" x14ac:dyDescent="0.25">
      <c r="D340" t="s">
        <v>249</v>
      </c>
    </row>
    <row r="342" spans="4:5" x14ac:dyDescent="0.25">
      <c r="D342" t="s">
        <v>84</v>
      </c>
      <c r="E342" t="s">
        <v>85</v>
      </c>
    </row>
    <row r="343" spans="4:5" x14ac:dyDescent="0.25">
      <c r="D343" t="s">
        <v>86</v>
      </c>
      <c r="E343" t="s">
        <v>153</v>
      </c>
    </row>
    <row r="344" spans="4:5" x14ac:dyDescent="0.25">
      <c r="D344" t="s">
        <v>88</v>
      </c>
      <c r="E344" t="s">
        <v>147</v>
      </c>
    </row>
    <row r="345" spans="4:5" x14ac:dyDescent="0.25">
      <c r="D345" t="s">
        <v>250</v>
      </c>
    </row>
    <row r="347" spans="4:5" x14ac:dyDescent="0.25">
      <c r="D347" t="s">
        <v>84</v>
      </c>
      <c r="E347" t="s">
        <v>157</v>
      </c>
    </row>
    <row r="348" spans="4:5" x14ac:dyDescent="0.25">
      <c r="D348" t="s">
        <v>86</v>
      </c>
      <c r="E348" t="s">
        <v>158</v>
      </c>
    </row>
    <row r="349" spans="4:5" x14ac:dyDescent="0.25">
      <c r="D349" t="s">
        <v>159</v>
      </c>
    </row>
    <row r="350" spans="4:5" x14ac:dyDescent="0.25">
      <c r="D350" t="s">
        <v>160</v>
      </c>
    </row>
    <row r="351" spans="4:5" x14ac:dyDescent="0.25">
      <c r="D351" t="s">
        <v>161</v>
      </c>
    </row>
    <row r="352" spans="4:5" x14ac:dyDescent="0.25">
      <c r="D352" t="s">
        <v>162</v>
      </c>
    </row>
    <row r="353" spans="4:5" x14ac:dyDescent="0.25">
      <c r="D353" t="s">
        <v>163</v>
      </c>
      <c r="E353" t="b">
        <v>0</v>
      </c>
    </row>
    <row r="354" spans="4:5" x14ac:dyDescent="0.25">
      <c r="D354" t="s">
        <v>164</v>
      </c>
      <c r="E354" t="s">
        <v>171</v>
      </c>
    </row>
    <row r="355" spans="4:5" x14ac:dyDescent="0.25">
      <c r="D355" t="s">
        <v>251</v>
      </c>
    </row>
    <row r="357" spans="4:5" x14ac:dyDescent="0.25">
      <c r="D357" t="s">
        <v>84</v>
      </c>
      <c r="E357" t="s">
        <v>157</v>
      </c>
    </row>
    <row r="358" spans="4:5" x14ac:dyDescent="0.25">
      <c r="D358" t="s">
        <v>86</v>
      </c>
      <c r="E358" t="s">
        <v>158</v>
      </c>
    </row>
    <row r="359" spans="4:5" x14ac:dyDescent="0.25">
      <c r="D359" t="s">
        <v>159</v>
      </c>
    </row>
    <row r="360" spans="4:5" x14ac:dyDescent="0.25">
      <c r="D360" t="s">
        <v>160</v>
      </c>
    </row>
    <row r="361" spans="4:5" x14ac:dyDescent="0.25">
      <c r="D361" t="s">
        <v>161</v>
      </c>
    </row>
    <row r="362" spans="4:5" x14ac:dyDescent="0.25">
      <c r="D362" t="s">
        <v>162</v>
      </c>
    </row>
    <row r="363" spans="4:5" x14ac:dyDescent="0.25">
      <c r="D363" t="s">
        <v>163</v>
      </c>
      <c r="E363" t="b">
        <v>1</v>
      </c>
    </row>
    <row r="364" spans="4:5" x14ac:dyDescent="0.25">
      <c r="D364" t="s">
        <v>164</v>
      </c>
      <c r="E364" t="s">
        <v>171</v>
      </c>
    </row>
    <row r="365" spans="4:5" x14ac:dyDescent="0.25">
      <c r="D365" t="s">
        <v>252</v>
      </c>
    </row>
    <row r="367" spans="4:5" x14ac:dyDescent="0.25">
      <c r="D367" t="s">
        <v>84</v>
      </c>
      <c r="E367" t="s">
        <v>85</v>
      </c>
    </row>
    <row r="368" spans="4:5" x14ac:dyDescent="0.25">
      <c r="D368" t="s">
        <v>86</v>
      </c>
      <c r="E368" t="s">
        <v>172</v>
      </c>
    </row>
    <row r="369" spans="2:5" x14ac:dyDescent="0.25">
      <c r="D369" t="s">
        <v>88</v>
      </c>
      <c r="E369" t="s">
        <v>147</v>
      </c>
    </row>
    <row r="371" spans="2:5" x14ac:dyDescent="0.25">
      <c r="D371" t="s">
        <v>84</v>
      </c>
      <c r="E371" t="s">
        <v>154</v>
      </c>
    </row>
    <row r="372" spans="2:5" x14ac:dyDescent="0.25">
      <c r="D372" t="s">
        <v>86</v>
      </c>
      <c r="E372" t="s">
        <v>172</v>
      </c>
    </row>
    <row r="373" spans="2:5" x14ac:dyDescent="0.25">
      <c r="D373" t="s">
        <v>88</v>
      </c>
      <c r="E373" t="s">
        <v>147</v>
      </c>
    </row>
    <row r="374" spans="2:5" x14ac:dyDescent="0.25">
      <c r="D374" t="s">
        <v>253</v>
      </c>
    </row>
    <row r="379" spans="2:5" x14ac:dyDescent="0.25">
      <c r="B379" t="s">
        <v>173</v>
      </c>
    </row>
    <row r="380" spans="2:5" x14ac:dyDescent="0.25">
      <c r="B380" t="s">
        <v>185</v>
      </c>
    </row>
    <row r="381" spans="2:5" x14ac:dyDescent="0.25">
      <c r="B381" t="s">
        <v>175</v>
      </c>
    </row>
    <row r="382" spans="2:5" x14ac:dyDescent="0.25">
      <c r="B382" t="s">
        <v>176</v>
      </c>
    </row>
    <row r="383" spans="2:5" x14ac:dyDescent="0.25">
      <c r="B383" t="s">
        <v>177</v>
      </c>
    </row>
    <row r="385" spans="2:5" x14ac:dyDescent="0.25">
      <c r="C385" t="s">
        <v>24</v>
      </c>
    </row>
    <row r="387" spans="2:5" x14ac:dyDescent="0.25">
      <c r="D387" t="s">
        <v>84</v>
      </c>
      <c r="E387" t="s">
        <v>83</v>
      </c>
    </row>
    <row r="388" spans="2:5" x14ac:dyDescent="0.25">
      <c r="D388" t="s">
        <v>86</v>
      </c>
      <c r="E388" t="s">
        <v>178</v>
      </c>
    </row>
    <row r="389" spans="2:5" x14ac:dyDescent="0.25">
      <c r="D389" t="s">
        <v>179</v>
      </c>
      <c r="E389" t="s">
        <v>78</v>
      </c>
    </row>
    <row r="390" spans="2:5" x14ac:dyDescent="0.25">
      <c r="D390" t="s">
        <v>180</v>
      </c>
      <c r="E390" t="s">
        <v>79</v>
      </c>
    </row>
    <row r="391" spans="2:5" x14ac:dyDescent="0.25">
      <c r="D391" t="s">
        <v>181</v>
      </c>
      <c r="E391" t="s">
        <v>182</v>
      </c>
    </row>
    <row r="392" spans="2:5" x14ac:dyDescent="0.25">
      <c r="D392" t="s">
        <v>254</v>
      </c>
    </row>
    <row r="397" spans="2:5" x14ac:dyDescent="0.25">
      <c r="B397" t="s">
        <v>184</v>
      </c>
    </row>
    <row r="398" spans="2:5" x14ac:dyDescent="0.25">
      <c r="B398" t="s">
        <v>255</v>
      </c>
    </row>
    <row r="400" spans="2:5" x14ac:dyDescent="0.25">
      <c r="C400" t="s">
        <v>186</v>
      </c>
    </row>
    <row r="402" spans="4:9" x14ac:dyDescent="0.25">
      <c r="D402" t="s">
        <v>84</v>
      </c>
      <c r="E402" t="s">
        <v>187</v>
      </c>
    </row>
    <row r="403" spans="4:9" x14ac:dyDescent="0.25">
      <c r="D403" t="s">
        <v>86</v>
      </c>
      <c r="E403" t="s">
        <v>188</v>
      </c>
    </row>
    <row r="404" spans="4:9" x14ac:dyDescent="0.25">
      <c r="D404" t="s">
        <v>189</v>
      </c>
      <c r="E404">
        <v>3</v>
      </c>
    </row>
    <row r="406" spans="4:9" x14ac:dyDescent="0.25">
      <c r="D406" t="s">
        <v>84</v>
      </c>
      <c r="E406" t="s">
        <v>187</v>
      </c>
    </row>
    <row r="407" spans="4:9" x14ac:dyDescent="0.25">
      <c r="D407" t="s">
        <v>86</v>
      </c>
      <c r="E407" t="s">
        <v>144</v>
      </c>
    </row>
    <row r="408" spans="4:9" x14ac:dyDescent="0.25">
      <c r="D408" t="s">
        <v>190</v>
      </c>
      <c r="E408" t="s">
        <v>54</v>
      </c>
      <c r="F408" t="s">
        <v>8</v>
      </c>
      <c r="G408" t="s">
        <v>66</v>
      </c>
      <c r="H408" t="s">
        <v>65</v>
      </c>
      <c r="I408" t="s">
        <v>69</v>
      </c>
    </row>
    <row r="409" spans="4:9" x14ac:dyDescent="0.25">
      <c r="D409" t="s">
        <v>191</v>
      </c>
      <c r="E409" t="s">
        <v>192</v>
      </c>
      <c r="F409" t="s">
        <v>193</v>
      </c>
      <c r="G409" t="s">
        <v>194</v>
      </c>
      <c r="H409" t="s">
        <v>256</v>
      </c>
      <c r="I409" t="s">
        <v>195</v>
      </c>
    </row>
    <row r="410" spans="4:9" x14ac:dyDescent="0.25">
      <c r="D410" t="s">
        <v>196</v>
      </c>
      <c r="E410" t="b">
        <v>0</v>
      </c>
      <c r="F410" t="b">
        <v>1</v>
      </c>
      <c r="G410" t="b">
        <v>1</v>
      </c>
      <c r="H410" t="b">
        <v>1</v>
      </c>
      <c r="I410" t="b">
        <v>0</v>
      </c>
    </row>
    <row r="411" spans="4:9" x14ac:dyDescent="0.25">
      <c r="D411" t="s">
        <v>197</v>
      </c>
      <c r="E411" t="s">
        <v>198</v>
      </c>
      <c r="F411" t="s">
        <v>193</v>
      </c>
      <c r="G411" t="s">
        <v>194</v>
      </c>
      <c r="H411" t="s">
        <v>256</v>
      </c>
      <c r="I411" t="s">
        <v>195</v>
      </c>
    </row>
    <row r="412" spans="4:9" x14ac:dyDescent="0.25">
      <c r="D412" t="s">
        <v>199</v>
      </c>
      <c r="E412">
        <v>230</v>
      </c>
      <c r="F412">
        <v>320</v>
      </c>
      <c r="G412">
        <v>860.62400000000002</v>
      </c>
      <c r="H412">
        <v>229.376</v>
      </c>
      <c r="I412">
        <v>8260</v>
      </c>
    </row>
    <row r="413" spans="4:9" x14ac:dyDescent="0.25">
      <c r="D413" t="s">
        <v>200</v>
      </c>
      <c r="E413" t="s">
        <v>81</v>
      </c>
      <c r="F413" t="s">
        <v>201</v>
      </c>
      <c r="G413" t="s">
        <v>201</v>
      </c>
      <c r="H413" t="s">
        <v>201</v>
      </c>
      <c r="I413" t="s">
        <v>202</v>
      </c>
    </row>
    <row r="414" spans="4:9" x14ac:dyDescent="0.25">
      <c r="D414" t="s">
        <v>203</v>
      </c>
      <c r="E414" t="s">
        <v>82</v>
      </c>
      <c r="F414" t="s">
        <v>204</v>
      </c>
      <c r="G414" t="s">
        <v>204</v>
      </c>
      <c r="H414" t="s">
        <v>204</v>
      </c>
      <c r="I414" t="s">
        <v>204</v>
      </c>
    </row>
    <row r="415" spans="4:9" x14ac:dyDescent="0.25">
      <c r="D415" t="s">
        <v>205</v>
      </c>
      <c r="E415" t="s">
        <v>206</v>
      </c>
      <c r="F415" t="s">
        <v>207</v>
      </c>
      <c r="G415" t="s">
        <v>207</v>
      </c>
      <c r="H415" t="s">
        <v>207</v>
      </c>
      <c r="I415" t="s">
        <v>208</v>
      </c>
    </row>
    <row r="417" spans="4:111" x14ac:dyDescent="0.25">
      <c r="D417" t="s">
        <v>84</v>
      </c>
      <c r="E417" t="s">
        <v>187</v>
      </c>
    </row>
    <row r="418" spans="4:111" x14ac:dyDescent="0.25">
      <c r="D418" t="s">
        <v>86</v>
      </c>
      <c r="E418" t="s">
        <v>99</v>
      </c>
    </row>
    <row r="419" spans="4:111" x14ac:dyDescent="0.25">
      <c r="D419" t="s">
        <v>199</v>
      </c>
      <c r="E419">
        <v>20</v>
      </c>
      <c r="F419">
        <v>10</v>
      </c>
      <c r="G419">
        <v>10</v>
      </c>
      <c r="H419">
        <v>10</v>
      </c>
      <c r="I419">
        <v>10</v>
      </c>
      <c r="J419">
        <v>10</v>
      </c>
      <c r="K419">
        <v>10</v>
      </c>
      <c r="L419">
        <v>10</v>
      </c>
      <c r="M419">
        <v>10</v>
      </c>
      <c r="N419">
        <v>10</v>
      </c>
      <c r="O419">
        <v>10</v>
      </c>
      <c r="P419">
        <v>10</v>
      </c>
      <c r="Q419">
        <v>10</v>
      </c>
      <c r="R419">
        <v>10</v>
      </c>
      <c r="S419">
        <v>10</v>
      </c>
      <c r="T419">
        <v>10</v>
      </c>
      <c r="U419">
        <v>10</v>
      </c>
      <c r="V419">
        <v>10</v>
      </c>
      <c r="W419">
        <v>10</v>
      </c>
      <c r="X419">
        <v>10</v>
      </c>
      <c r="Y419">
        <v>10</v>
      </c>
      <c r="Z419">
        <v>10</v>
      </c>
      <c r="AA419">
        <v>10</v>
      </c>
      <c r="AB419">
        <v>10</v>
      </c>
      <c r="AC419">
        <v>10</v>
      </c>
      <c r="AD419">
        <v>10</v>
      </c>
      <c r="AE419">
        <v>10</v>
      </c>
      <c r="AF419">
        <v>10</v>
      </c>
      <c r="AG419">
        <v>10</v>
      </c>
      <c r="AH419">
        <v>10</v>
      </c>
      <c r="AI419">
        <v>10</v>
      </c>
      <c r="AJ419">
        <v>20</v>
      </c>
      <c r="AK419">
        <v>20</v>
      </c>
      <c r="AL419">
        <v>10</v>
      </c>
      <c r="AM419">
        <v>10</v>
      </c>
      <c r="AN419">
        <v>15</v>
      </c>
      <c r="AO419">
        <v>15</v>
      </c>
      <c r="AP419">
        <v>17.5</v>
      </c>
      <c r="AQ419">
        <v>17.5</v>
      </c>
      <c r="AR419">
        <v>18.75</v>
      </c>
      <c r="AS419">
        <v>18.75</v>
      </c>
      <c r="AT419">
        <v>19.373999999999999</v>
      </c>
      <c r="AU419">
        <v>19.373999999999999</v>
      </c>
      <c r="AV419">
        <v>19.687999999999999</v>
      </c>
      <c r="AW419">
        <v>19.687999999999999</v>
      </c>
      <c r="AX419">
        <v>20</v>
      </c>
      <c r="AY419">
        <v>20</v>
      </c>
      <c r="AZ419">
        <v>20</v>
      </c>
      <c r="BA419">
        <v>20</v>
      </c>
      <c r="BB419">
        <v>20</v>
      </c>
      <c r="BC419">
        <v>20</v>
      </c>
      <c r="BD419">
        <v>20</v>
      </c>
      <c r="BE419">
        <v>20</v>
      </c>
      <c r="BF419">
        <v>20</v>
      </c>
      <c r="BG419">
        <v>20</v>
      </c>
      <c r="BH419">
        <v>20</v>
      </c>
      <c r="BI419">
        <v>20</v>
      </c>
      <c r="BJ419">
        <v>20</v>
      </c>
      <c r="BK419">
        <v>20</v>
      </c>
      <c r="BL419">
        <v>20</v>
      </c>
      <c r="BM419">
        <v>20</v>
      </c>
      <c r="BN419">
        <v>20</v>
      </c>
      <c r="BO419">
        <v>20</v>
      </c>
      <c r="BP419">
        <v>10</v>
      </c>
      <c r="BQ419">
        <v>10</v>
      </c>
      <c r="BR419">
        <v>5</v>
      </c>
      <c r="BS419">
        <v>5</v>
      </c>
      <c r="BT419">
        <v>2.5</v>
      </c>
      <c r="BU419">
        <v>2.5</v>
      </c>
      <c r="BV419">
        <v>1.25</v>
      </c>
      <c r="BW419">
        <v>1.25</v>
      </c>
      <c r="BX419">
        <v>0.626</v>
      </c>
      <c r="BY419">
        <v>0.626</v>
      </c>
      <c r="BZ419">
        <v>0.312</v>
      </c>
      <c r="CA419">
        <v>0.312</v>
      </c>
      <c r="CB419">
        <v>180</v>
      </c>
      <c r="CC419">
        <v>180</v>
      </c>
      <c r="CD419">
        <v>180</v>
      </c>
      <c r="CE419">
        <v>180</v>
      </c>
      <c r="CF419">
        <v>180</v>
      </c>
      <c r="CG419">
        <v>180</v>
      </c>
      <c r="CH419">
        <v>180</v>
      </c>
      <c r="CI419">
        <v>180</v>
      </c>
      <c r="CJ419">
        <v>180</v>
      </c>
      <c r="CK419">
        <v>180</v>
      </c>
      <c r="CL419">
        <v>180</v>
      </c>
      <c r="CM419">
        <v>180</v>
      </c>
      <c r="CN419">
        <v>180</v>
      </c>
      <c r="CO419">
        <v>180</v>
      </c>
      <c r="CP419">
        <v>180</v>
      </c>
      <c r="CQ419">
        <v>180</v>
      </c>
      <c r="CR419">
        <v>180</v>
      </c>
      <c r="CS419">
        <v>180</v>
      </c>
      <c r="CT419">
        <v>180</v>
      </c>
      <c r="CU419">
        <v>180</v>
      </c>
      <c r="CV419">
        <v>180</v>
      </c>
      <c r="CW419">
        <v>180</v>
      </c>
      <c r="CX419">
        <v>180</v>
      </c>
      <c r="CY419">
        <v>180</v>
      </c>
      <c r="CZ419">
        <v>180</v>
      </c>
      <c r="DA419">
        <v>180</v>
      </c>
      <c r="DB419">
        <v>180</v>
      </c>
      <c r="DC419">
        <v>180</v>
      </c>
      <c r="DD419">
        <v>180</v>
      </c>
      <c r="DE419">
        <v>180</v>
      </c>
      <c r="DF419">
        <v>180</v>
      </c>
      <c r="DG419">
        <v>180</v>
      </c>
    </row>
    <row r="421" spans="4:111" x14ac:dyDescent="0.25">
      <c r="D421" t="s">
        <v>84</v>
      </c>
      <c r="E421" t="s">
        <v>187</v>
      </c>
    </row>
    <row r="422" spans="4:111" x14ac:dyDescent="0.25">
      <c r="D422" t="s">
        <v>86</v>
      </c>
      <c r="E422" t="s">
        <v>209</v>
      </c>
    </row>
    <row r="424" spans="4:111" x14ac:dyDescent="0.25">
      <c r="D424" t="s">
        <v>84</v>
      </c>
      <c r="E424" t="s">
        <v>187</v>
      </c>
    </row>
    <row r="425" spans="4:111" x14ac:dyDescent="0.25">
      <c r="D425" t="s">
        <v>86</v>
      </c>
      <c r="E425" t="s">
        <v>210</v>
      </c>
    </row>
    <row r="427" spans="4:111" x14ac:dyDescent="0.25">
      <c r="D427" t="s">
        <v>84</v>
      </c>
      <c r="E427" t="s">
        <v>187</v>
      </c>
    </row>
    <row r="428" spans="4:111" x14ac:dyDescent="0.25">
      <c r="D428" t="s">
        <v>86</v>
      </c>
      <c r="E428" t="s">
        <v>211</v>
      </c>
    </row>
    <row r="430" spans="4:111" x14ac:dyDescent="0.25">
      <c r="D430" t="s">
        <v>84</v>
      </c>
      <c r="E430" t="s">
        <v>187</v>
      </c>
    </row>
    <row r="431" spans="4:111" x14ac:dyDescent="0.25">
      <c r="D431" t="s">
        <v>86</v>
      </c>
      <c r="E431" t="s">
        <v>212</v>
      </c>
    </row>
    <row r="433" spans="4:5" x14ac:dyDescent="0.25">
      <c r="D433" t="s">
        <v>84</v>
      </c>
      <c r="E433" t="s">
        <v>187</v>
      </c>
    </row>
    <row r="434" spans="4:5" x14ac:dyDescent="0.25">
      <c r="D434" t="s">
        <v>86</v>
      </c>
      <c r="E434" t="s">
        <v>213</v>
      </c>
    </row>
    <row r="436" spans="4:5" x14ac:dyDescent="0.25">
      <c r="D436" t="s">
        <v>84</v>
      </c>
      <c r="E436" t="s">
        <v>187</v>
      </c>
    </row>
    <row r="437" spans="4:5" x14ac:dyDescent="0.25">
      <c r="D437" t="s">
        <v>86</v>
      </c>
      <c r="E437" t="s">
        <v>214</v>
      </c>
    </row>
    <row r="439" spans="4:5" x14ac:dyDescent="0.25">
      <c r="D439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F67"/>
  <sheetViews>
    <sheetView topLeftCell="A34" zoomScale="80" zoomScaleNormal="80" workbookViewId="0">
      <selection activeCell="E15" sqref="E15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29.140625" bestFit="1" customWidth="1"/>
    <col min="5" max="5" width="43.85546875" bestFit="1" customWidth="1"/>
    <col min="6" max="6" width="11.5703125" bestFit="1" customWidth="1"/>
    <col min="7" max="7" width="60.140625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3" t="s">
        <v>4</v>
      </c>
      <c r="E2" s="34"/>
      <c r="F2" s="54" t="s">
        <v>5</v>
      </c>
    </row>
    <row r="3" spans="4:6" x14ac:dyDescent="0.25">
      <c r="D3" s="51" t="s">
        <v>0</v>
      </c>
      <c r="E3" s="1" t="s">
        <v>54</v>
      </c>
      <c r="F3" s="55"/>
    </row>
    <row r="4" spans="4:6" ht="15.75" thickBot="1" x14ac:dyDescent="0.3">
      <c r="D4" s="52" t="s">
        <v>7</v>
      </c>
      <c r="E4" s="2" t="s">
        <v>81</v>
      </c>
      <c r="F4" s="56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59" t="s">
        <v>23</v>
      </c>
      <c r="E8" s="36"/>
      <c r="F8" s="60" t="s">
        <v>5</v>
      </c>
    </row>
    <row r="9" spans="4:6" x14ac:dyDescent="0.25">
      <c r="D9" s="57" t="s">
        <v>15</v>
      </c>
      <c r="E9" s="7" t="str">
        <f>Worklist!$C$10</f>
        <v>Sample</v>
      </c>
      <c r="F9" s="61"/>
    </row>
    <row r="10" spans="4:6" x14ac:dyDescent="0.25">
      <c r="D10" s="57" t="s">
        <v>16</v>
      </c>
      <c r="E10" s="7" t="s">
        <v>17</v>
      </c>
      <c r="F10" s="61"/>
    </row>
    <row r="11" spans="4:6" x14ac:dyDescent="0.25">
      <c r="D11" s="57" t="s">
        <v>18</v>
      </c>
      <c r="E11" s="7" t="s">
        <v>19</v>
      </c>
      <c r="F11" s="61"/>
    </row>
    <row r="12" spans="4:6" x14ac:dyDescent="0.25">
      <c r="D12" s="57" t="s">
        <v>20</v>
      </c>
      <c r="E12" s="7" t="str">
        <f>Worklist!$E$1</f>
        <v>Sample Volume</v>
      </c>
      <c r="F12" s="61"/>
    </row>
    <row r="13" spans="4:6" ht="15.75" thickBot="1" x14ac:dyDescent="0.3">
      <c r="D13" s="58" t="s">
        <v>21</v>
      </c>
      <c r="E13" s="10" t="s">
        <v>22</v>
      </c>
      <c r="F13" s="62"/>
    </row>
    <row r="15" spans="4:6" ht="20.25" x14ac:dyDescent="0.25">
      <c r="E15" s="3" t="s">
        <v>6</v>
      </c>
    </row>
    <row r="16" spans="4:6" ht="15.75" thickBot="1" x14ac:dyDescent="0.3"/>
    <row r="17" spans="4:6" ht="15.75" x14ac:dyDescent="0.25">
      <c r="D17" s="65" t="s">
        <v>77</v>
      </c>
      <c r="E17" s="35"/>
      <c r="F17" s="66" t="s">
        <v>5</v>
      </c>
    </row>
    <row r="18" spans="4:6" x14ac:dyDescent="0.25">
      <c r="D18" s="63" t="s">
        <v>51</v>
      </c>
      <c r="E18" s="28" t="s">
        <v>75</v>
      </c>
      <c r="F18" s="67"/>
    </row>
    <row r="19" spans="4:6" x14ac:dyDescent="0.25">
      <c r="D19" s="63" t="s">
        <v>52</v>
      </c>
      <c r="E19" s="28" t="s">
        <v>216</v>
      </c>
      <c r="F19" s="67"/>
    </row>
    <row r="20" spans="4:6" ht="15.75" thickBot="1" x14ac:dyDescent="0.3">
      <c r="D20" s="64" t="s">
        <v>53</v>
      </c>
      <c r="E20" s="29" t="s">
        <v>217</v>
      </c>
      <c r="F20" s="68"/>
    </row>
    <row r="22" spans="4:6" ht="20.25" x14ac:dyDescent="0.25">
      <c r="E22" s="3" t="s">
        <v>6</v>
      </c>
    </row>
    <row r="23" spans="4:6" ht="15.75" thickBot="1" x14ac:dyDescent="0.3"/>
    <row r="24" spans="4:6" ht="15.75" x14ac:dyDescent="0.25">
      <c r="D24" s="59" t="s">
        <v>23</v>
      </c>
      <c r="E24" s="36"/>
      <c r="F24" s="60" t="s">
        <v>5</v>
      </c>
    </row>
    <row r="25" spans="4:6" x14ac:dyDescent="0.25">
      <c r="D25" s="57" t="s">
        <v>15</v>
      </c>
      <c r="E25" s="7" t="s">
        <v>66</v>
      </c>
      <c r="F25" s="61"/>
    </row>
    <row r="26" spans="4:6" x14ac:dyDescent="0.25">
      <c r="D26" s="57" t="s">
        <v>16</v>
      </c>
      <c r="E26" s="7" t="s">
        <v>17</v>
      </c>
      <c r="F26" s="61"/>
    </row>
    <row r="27" spans="4:6" x14ac:dyDescent="0.25">
      <c r="D27" s="57" t="s">
        <v>18</v>
      </c>
      <c r="E27" s="7" t="s">
        <v>19</v>
      </c>
      <c r="F27" s="61"/>
    </row>
    <row r="28" spans="4:6" x14ac:dyDescent="0.25">
      <c r="D28" s="57" t="s">
        <v>20</v>
      </c>
      <c r="E28" s="7" t="str">
        <f>Worklist!$F$1</f>
        <v>Formic Volume</v>
      </c>
      <c r="F28" s="61"/>
    </row>
    <row r="29" spans="4:6" ht="15.75" thickBot="1" x14ac:dyDescent="0.3">
      <c r="D29" s="58" t="s">
        <v>21</v>
      </c>
      <c r="E29" s="10" t="s">
        <v>22</v>
      </c>
      <c r="F29" s="62"/>
    </row>
    <row r="31" spans="4:6" ht="20.25" x14ac:dyDescent="0.25">
      <c r="E31" s="3" t="s">
        <v>6</v>
      </c>
    </row>
    <row r="32" spans="4:6" ht="15.75" thickBot="1" x14ac:dyDescent="0.3"/>
    <row r="33" spans="4:6" ht="15.75" x14ac:dyDescent="0.25">
      <c r="D33" s="71" t="s">
        <v>64</v>
      </c>
      <c r="E33" s="37"/>
      <c r="F33" s="72" t="s">
        <v>5</v>
      </c>
    </row>
    <row r="34" spans="4:6" x14ac:dyDescent="0.25">
      <c r="D34" s="69" t="s">
        <v>15</v>
      </c>
      <c r="E34" s="26" t="s">
        <v>65</v>
      </c>
      <c r="F34" s="73"/>
    </row>
    <row r="35" spans="4:6" x14ac:dyDescent="0.25">
      <c r="D35" s="69" t="s">
        <v>42</v>
      </c>
      <c r="E35" s="26" t="s">
        <v>66</v>
      </c>
      <c r="F35" s="73"/>
    </row>
    <row r="36" spans="4:6" x14ac:dyDescent="0.25">
      <c r="D36" s="69" t="s">
        <v>47</v>
      </c>
      <c r="E36" s="26">
        <v>1</v>
      </c>
      <c r="F36" s="73"/>
    </row>
    <row r="37" spans="4:6" x14ac:dyDescent="0.25">
      <c r="D37" s="69" t="s">
        <v>48</v>
      </c>
      <c r="E37" s="26" t="str">
        <f>Worklist!$D$1</f>
        <v>Conentration (mg/mL)</v>
      </c>
      <c r="F37" s="73"/>
    </row>
    <row r="38" spans="4:6" x14ac:dyDescent="0.25">
      <c r="D38" s="69" t="s">
        <v>49</v>
      </c>
      <c r="E38" s="26">
        <v>20</v>
      </c>
      <c r="F38" s="73"/>
    </row>
    <row r="39" spans="4:6" ht="15.75" thickBot="1" x14ac:dyDescent="0.3">
      <c r="D39" s="70" t="s">
        <v>50</v>
      </c>
      <c r="E39" s="27">
        <v>20</v>
      </c>
      <c r="F39" s="74"/>
    </row>
    <row r="41" spans="4:6" ht="20.25" x14ac:dyDescent="0.25">
      <c r="E41" s="3" t="s">
        <v>6</v>
      </c>
    </row>
    <row r="42" spans="4:6" ht="15.75" thickBot="1" x14ac:dyDescent="0.3"/>
    <row r="43" spans="4:6" ht="15.75" x14ac:dyDescent="0.25">
      <c r="D43" s="59" t="s">
        <v>23</v>
      </c>
      <c r="E43" s="36"/>
      <c r="F43" s="60" t="s">
        <v>5</v>
      </c>
    </row>
    <row r="44" spans="4:6" x14ac:dyDescent="0.25">
      <c r="D44" s="57" t="s">
        <v>15</v>
      </c>
      <c r="E44" s="7" t="s">
        <v>69</v>
      </c>
      <c r="F44" s="61"/>
    </row>
    <row r="45" spans="4:6" x14ac:dyDescent="0.25">
      <c r="D45" s="57" t="s">
        <v>16</v>
      </c>
      <c r="E45" s="7" t="s">
        <v>76</v>
      </c>
      <c r="F45" s="61"/>
    </row>
    <row r="46" spans="4:6" x14ac:dyDescent="0.25">
      <c r="D46" s="57" t="s">
        <v>18</v>
      </c>
      <c r="E46" s="7" t="s">
        <v>19</v>
      </c>
      <c r="F46" s="61"/>
    </row>
    <row r="47" spans="4:6" x14ac:dyDescent="0.25">
      <c r="D47" s="57" t="s">
        <v>20</v>
      </c>
      <c r="E47" s="7">
        <v>180</v>
      </c>
      <c r="F47" s="61"/>
    </row>
    <row r="48" spans="4:6" ht="15.75" thickBot="1" x14ac:dyDescent="0.3">
      <c r="D48" s="58" t="s">
        <v>21</v>
      </c>
      <c r="E48" s="10" t="s">
        <v>75</v>
      </c>
      <c r="F48" s="62"/>
    </row>
    <row r="50" spans="4:6" ht="20.25" x14ac:dyDescent="0.25">
      <c r="E50" s="3" t="s">
        <v>6</v>
      </c>
    </row>
    <row r="51" spans="4:6" ht="15.75" thickBot="1" x14ac:dyDescent="0.3"/>
    <row r="52" spans="4:6" ht="15.75" x14ac:dyDescent="0.25">
      <c r="D52" s="77" t="s">
        <v>46</v>
      </c>
      <c r="E52" s="38"/>
      <c r="F52" s="78" t="s">
        <v>5</v>
      </c>
    </row>
    <row r="53" spans="4:6" x14ac:dyDescent="0.25">
      <c r="D53" s="75" t="s">
        <v>43</v>
      </c>
      <c r="E53" s="19">
        <v>37</v>
      </c>
      <c r="F53" s="79"/>
    </row>
    <row r="54" spans="4:6" x14ac:dyDescent="0.25">
      <c r="D54" s="75" t="s">
        <v>44</v>
      </c>
      <c r="E54" s="19">
        <v>15</v>
      </c>
      <c r="F54" s="79"/>
    </row>
    <row r="55" spans="4:6" ht="15.75" thickBot="1" x14ac:dyDescent="0.3">
      <c r="D55" s="76" t="s">
        <v>45</v>
      </c>
      <c r="E55" s="20">
        <v>0</v>
      </c>
      <c r="F55" s="80"/>
    </row>
    <row r="57" spans="4:6" ht="20.25" x14ac:dyDescent="0.25">
      <c r="E57" s="3" t="s">
        <v>6</v>
      </c>
    </row>
    <row r="58" spans="4:6" ht="15.75" thickBot="1" x14ac:dyDescent="0.3"/>
    <row r="59" spans="4:6" ht="15.75" x14ac:dyDescent="0.25">
      <c r="D59" s="65" t="s">
        <v>77</v>
      </c>
      <c r="E59" s="35"/>
      <c r="F59" s="66" t="s">
        <v>5</v>
      </c>
    </row>
    <row r="60" spans="4:6" x14ac:dyDescent="0.25">
      <c r="D60" s="63" t="s">
        <v>51</v>
      </c>
      <c r="E60" s="28" t="s">
        <v>22</v>
      </c>
      <c r="F60" s="67"/>
    </row>
    <row r="61" spans="4:6" x14ac:dyDescent="0.25">
      <c r="D61" s="63" t="s">
        <v>52</v>
      </c>
      <c r="E61" s="28" t="s">
        <v>78</v>
      </c>
      <c r="F61" s="67"/>
    </row>
    <row r="62" spans="4:6" ht="15.75" thickBot="1" x14ac:dyDescent="0.3">
      <c r="D62" s="64" t="s">
        <v>53</v>
      </c>
      <c r="E62" s="29" t="s">
        <v>79</v>
      </c>
      <c r="F62" s="68"/>
    </row>
    <row r="64" spans="4:6" ht="20.25" x14ac:dyDescent="0.25">
      <c r="E64" s="3" t="s">
        <v>6</v>
      </c>
    </row>
    <row r="65" spans="4:6" ht="15.75" thickBot="1" x14ac:dyDescent="0.3"/>
    <row r="66" spans="4:6" ht="15.75" x14ac:dyDescent="0.25">
      <c r="D66" s="53" t="s">
        <v>35</v>
      </c>
      <c r="E66" s="34"/>
      <c r="F66" s="54" t="s">
        <v>5</v>
      </c>
    </row>
    <row r="67" spans="4:6" ht="15.75" thickBot="1" x14ac:dyDescent="0.3">
      <c r="D67" s="52"/>
      <c r="E67" s="2"/>
      <c r="F67" s="81"/>
    </row>
  </sheetData>
  <mergeCells count="17">
    <mergeCell ref="D2:E2"/>
    <mergeCell ref="F3:F4"/>
    <mergeCell ref="D8:E8"/>
    <mergeCell ref="D52:E52"/>
    <mergeCell ref="F53:F55"/>
    <mergeCell ref="D66:E66"/>
    <mergeCell ref="F9:F13"/>
    <mergeCell ref="D17:E17"/>
    <mergeCell ref="F18:F20"/>
    <mergeCell ref="D24:E24"/>
    <mergeCell ref="F25:F29"/>
    <mergeCell ref="D33:E33"/>
    <mergeCell ref="F34:F39"/>
    <mergeCell ref="D43:E43"/>
    <mergeCell ref="F44:F48"/>
    <mergeCell ref="F60:F62"/>
    <mergeCell ref="D59:E5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84" t="s">
        <v>67</v>
      </c>
      <c r="C2" s="39"/>
      <c r="D2" s="85" t="s">
        <v>5</v>
      </c>
      <c r="F2" s="84" t="s">
        <v>68</v>
      </c>
      <c r="G2" s="39"/>
      <c r="H2" s="85" t="s">
        <v>5</v>
      </c>
      <c r="J2" s="84" t="s">
        <v>70</v>
      </c>
      <c r="K2" s="39"/>
      <c r="L2" s="85" t="s">
        <v>5</v>
      </c>
    </row>
    <row r="3" spans="2:12" x14ac:dyDescent="0.25">
      <c r="B3" s="82" t="s">
        <v>36</v>
      </c>
      <c r="C3" s="17" t="s">
        <v>17</v>
      </c>
      <c r="D3" s="86"/>
      <c r="F3" s="82" t="s">
        <v>36</v>
      </c>
      <c r="G3" s="17" t="s">
        <v>17</v>
      </c>
      <c r="H3" s="86"/>
      <c r="J3" s="82" t="s">
        <v>36</v>
      </c>
      <c r="K3" s="17" t="s">
        <v>17</v>
      </c>
      <c r="L3" s="86"/>
    </row>
    <row r="4" spans="2:12" x14ac:dyDescent="0.25">
      <c r="B4" s="82" t="s">
        <v>18</v>
      </c>
      <c r="C4" s="17" t="s">
        <v>19</v>
      </c>
      <c r="D4" s="86"/>
      <c r="F4" s="82" t="s">
        <v>18</v>
      </c>
      <c r="G4" s="17" t="s">
        <v>19</v>
      </c>
      <c r="H4" s="86"/>
      <c r="J4" s="82" t="s">
        <v>18</v>
      </c>
      <c r="K4" s="17" t="s">
        <v>19</v>
      </c>
      <c r="L4" s="86"/>
    </row>
    <row r="5" spans="2:12" x14ac:dyDescent="0.25">
      <c r="B5" s="82" t="s">
        <v>37</v>
      </c>
      <c r="C5" s="17" t="s">
        <v>40</v>
      </c>
      <c r="D5" s="86"/>
      <c r="F5" s="82" t="s">
        <v>37</v>
      </c>
      <c r="G5" s="17" t="s">
        <v>40</v>
      </c>
      <c r="H5" s="86"/>
      <c r="J5" s="82" t="s">
        <v>37</v>
      </c>
      <c r="K5" s="17" t="s">
        <v>40</v>
      </c>
      <c r="L5" s="86"/>
    </row>
    <row r="6" spans="2:12" x14ac:dyDescent="0.25">
      <c r="B6" s="82" t="s">
        <v>38</v>
      </c>
      <c r="C6" s="17" t="s">
        <v>40</v>
      </c>
      <c r="D6" s="86"/>
      <c r="F6" s="82" t="s">
        <v>38</v>
      </c>
      <c r="G6" s="17" t="s">
        <v>40</v>
      </c>
      <c r="H6" s="86"/>
      <c r="J6" s="82" t="s">
        <v>38</v>
      </c>
      <c r="K6" s="17" t="s">
        <v>40</v>
      </c>
      <c r="L6" s="86"/>
    </row>
    <row r="7" spans="2:12" ht="15.75" thickBot="1" x14ac:dyDescent="0.3">
      <c r="B7" s="83" t="s">
        <v>39</v>
      </c>
      <c r="C7" s="18" t="s">
        <v>41</v>
      </c>
      <c r="D7" s="87"/>
      <c r="F7" s="83" t="s">
        <v>39</v>
      </c>
      <c r="G7" s="18" t="s">
        <v>41</v>
      </c>
      <c r="H7" s="87"/>
      <c r="J7" s="83" t="s">
        <v>39</v>
      </c>
      <c r="K7" s="18" t="s">
        <v>41</v>
      </c>
      <c r="L7" s="87"/>
    </row>
    <row r="9" spans="2:12" ht="15.75" thickBot="1" x14ac:dyDescent="0.3"/>
    <row r="10" spans="2:12" ht="15.75" x14ac:dyDescent="0.25">
      <c r="B10" s="84" t="s">
        <v>74</v>
      </c>
      <c r="C10" s="39"/>
      <c r="D10" s="85" t="s">
        <v>5</v>
      </c>
    </row>
    <row r="11" spans="2:12" x14ac:dyDescent="0.25">
      <c r="B11" s="82" t="s">
        <v>36</v>
      </c>
      <c r="C11" s="17" t="s">
        <v>17</v>
      </c>
      <c r="D11" s="86"/>
    </row>
    <row r="12" spans="2:12" x14ac:dyDescent="0.25">
      <c r="B12" s="82" t="s">
        <v>18</v>
      </c>
      <c r="C12" s="17" t="s">
        <v>19</v>
      </c>
      <c r="D12" s="86"/>
    </row>
    <row r="13" spans="2:12" x14ac:dyDescent="0.25">
      <c r="B13" s="82" t="s">
        <v>37</v>
      </c>
      <c r="C13" s="17" t="s">
        <v>40</v>
      </c>
      <c r="D13" s="86"/>
    </row>
    <row r="14" spans="2:12" x14ac:dyDescent="0.25">
      <c r="B14" s="82" t="s">
        <v>38</v>
      </c>
      <c r="C14" s="17" t="s">
        <v>40</v>
      </c>
      <c r="D14" s="86"/>
    </row>
    <row r="15" spans="2:12" ht="15.75" thickBot="1" x14ac:dyDescent="0.3">
      <c r="B15" s="83" t="s">
        <v>39</v>
      </c>
      <c r="C15" s="18" t="s">
        <v>41</v>
      </c>
      <c r="D15" s="87"/>
    </row>
  </sheetData>
  <mergeCells count="8">
    <mergeCell ref="L3:L7"/>
    <mergeCell ref="B10:C10"/>
    <mergeCell ref="D11:D15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42" t="s">
        <v>4</v>
      </c>
      <c r="E2" s="34"/>
      <c r="F2" s="6" t="s">
        <v>5</v>
      </c>
    </row>
    <row r="3" spans="4:6" x14ac:dyDescent="0.25">
      <c r="D3" s="4" t="s">
        <v>0</v>
      </c>
      <c r="E3" s="1" t="s">
        <v>8</v>
      </c>
      <c r="F3" s="43"/>
    </row>
    <row r="4" spans="4:6" ht="15.75" thickBot="1" x14ac:dyDescent="0.3">
      <c r="D4" s="5" t="s">
        <v>7</v>
      </c>
      <c r="E4" s="2" t="s">
        <v>3</v>
      </c>
      <c r="F4" s="44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42" t="s">
        <v>4</v>
      </c>
      <c r="E8" s="34"/>
      <c r="F8" s="6" t="s">
        <v>5</v>
      </c>
    </row>
    <row r="9" spans="4:6" x14ac:dyDescent="0.25">
      <c r="D9" s="4" t="s">
        <v>0</v>
      </c>
      <c r="E9" s="1" t="s">
        <v>9</v>
      </c>
      <c r="F9" s="43"/>
    </row>
    <row r="10" spans="4:6" ht="15.75" thickBot="1" x14ac:dyDescent="0.3">
      <c r="D10" s="5" t="s">
        <v>7</v>
      </c>
      <c r="E10" s="2" t="s">
        <v>3</v>
      </c>
      <c r="F10" s="44"/>
    </row>
    <row r="12" spans="4:6" ht="20.25" x14ac:dyDescent="0.25">
      <c r="E12" s="3" t="s">
        <v>6</v>
      </c>
    </row>
    <row r="13" spans="4:6" ht="15.75" thickBot="1" x14ac:dyDescent="0.3"/>
    <row r="14" spans="4:6" ht="15.75" x14ac:dyDescent="0.25">
      <c r="D14" s="45" t="s">
        <v>23</v>
      </c>
      <c r="E14" s="36"/>
      <c r="F14" s="11" t="s">
        <v>5</v>
      </c>
    </row>
    <row r="15" spans="4:6" x14ac:dyDescent="0.25">
      <c r="D15" s="8" t="s">
        <v>15</v>
      </c>
      <c r="E15" s="7" t="s">
        <v>24</v>
      </c>
      <c r="F15" s="40"/>
    </row>
    <row r="16" spans="4:6" x14ac:dyDescent="0.25">
      <c r="D16" s="8" t="s">
        <v>16</v>
      </c>
      <c r="E16" s="7" t="s">
        <v>17</v>
      </c>
      <c r="F16" s="40"/>
    </row>
    <row r="17" spans="2:11" x14ac:dyDescent="0.25">
      <c r="D17" s="8" t="s">
        <v>18</v>
      </c>
      <c r="E17" s="7" t="s">
        <v>19</v>
      </c>
      <c r="F17" s="40"/>
      <c r="J17" t="s">
        <v>27</v>
      </c>
    </row>
    <row r="18" spans="2:11" x14ac:dyDescent="0.25">
      <c r="D18" s="8" t="s">
        <v>20</v>
      </c>
      <c r="E18" s="7">
        <v>1</v>
      </c>
      <c r="F18" s="40"/>
      <c r="J18" t="s">
        <v>24</v>
      </c>
    </row>
    <row r="19" spans="2:11" ht="15.75" thickBot="1" x14ac:dyDescent="0.3">
      <c r="D19" s="9" t="s">
        <v>21</v>
      </c>
      <c r="E19" s="10" t="s">
        <v>22</v>
      </c>
      <c r="F19" s="41"/>
      <c r="J19" t="s">
        <v>28</v>
      </c>
    </row>
    <row r="20" spans="2:11" x14ac:dyDescent="0.25">
      <c r="J20" t="s">
        <v>29</v>
      </c>
    </row>
    <row r="21" spans="2:11" ht="20.25" x14ac:dyDescent="0.25">
      <c r="E21" s="3" t="s">
        <v>6</v>
      </c>
      <c r="J21" t="s">
        <v>30</v>
      </c>
      <c r="K21" t="s">
        <v>31</v>
      </c>
    </row>
    <row r="22" spans="2:11" ht="15.75" thickBot="1" x14ac:dyDescent="0.3"/>
    <row r="23" spans="2:11" ht="15.75" x14ac:dyDescent="0.25">
      <c r="D23" s="46" t="s">
        <v>25</v>
      </c>
      <c r="E23" s="47"/>
      <c r="F23" s="16" t="s">
        <v>5</v>
      </c>
    </row>
    <row r="24" spans="2:11" x14ac:dyDescent="0.25">
      <c r="D24" s="13" t="s">
        <v>10</v>
      </c>
      <c r="E24" s="12">
        <v>1</v>
      </c>
      <c r="F24" s="48"/>
      <c r="J24" t="s">
        <v>32</v>
      </c>
    </row>
    <row r="25" spans="2:11" x14ac:dyDescent="0.25">
      <c r="D25" s="13" t="s">
        <v>11</v>
      </c>
      <c r="E25" s="12" t="s">
        <v>12</v>
      </c>
      <c r="F25" s="48"/>
      <c r="J25" t="s">
        <v>33</v>
      </c>
    </row>
    <row r="26" spans="2:11" ht="15.75" thickBot="1" x14ac:dyDescent="0.3">
      <c r="D26" s="14" t="s">
        <v>13</v>
      </c>
      <c r="E26" s="15" t="s">
        <v>14</v>
      </c>
      <c r="F26" s="49"/>
      <c r="J26" t="s">
        <v>34</v>
      </c>
    </row>
    <row r="27" spans="2:11" ht="15.75" thickBot="1" x14ac:dyDescent="0.3"/>
    <row r="28" spans="2:11" ht="15.75" x14ac:dyDescent="0.25">
      <c r="B28" s="42" t="s">
        <v>4</v>
      </c>
      <c r="C28" s="34"/>
      <c r="D28" s="6" t="s">
        <v>5</v>
      </c>
      <c r="F28" s="42" t="s">
        <v>4</v>
      </c>
      <c r="G28" s="34"/>
      <c r="H28" s="6" t="s">
        <v>5</v>
      </c>
    </row>
    <row r="29" spans="2:11" x14ac:dyDescent="0.25">
      <c r="B29" s="4" t="s">
        <v>0</v>
      </c>
      <c r="C29" s="1" t="s">
        <v>12</v>
      </c>
      <c r="D29" s="43"/>
      <c r="E29" s="50" t="s">
        <v>26</v>
      </c>
      <c r="F29" s="4" t="s">
        <v>0</v>
      </c>
      <c r="G29" s="1" t="s">
        <v>14</v>
      </c>
      <c r="H29" s="43"/>
    </row>
    <row r="30" spans="2:11" ht="15.75" thickBot="1" x14ac:dyDescent="0.3">
      <c r="B30" s="5" t="s">
        <v>7</v>
      </c>
      <c r="C30" s="2" t="s">
        <v>3</v>
      </c>
      <c r="D30" s="44"/>
      <c r="E30" s="50"/>
      <c r="F30" s="5" t="s">
        <v>7</v>
      </c>
      <c r="G30" s="2" t="s">
        <v>3</v>
      </c>
      <c r="H30" s="44"/>
    </row>
    <row r="32" spans="2:11" ht="20.25" x14ac:dyDescent="0.25">
      <c r="C32" s="3" t="s">
        <v>6</v>
      </c>
      <c r="G32" s="3" t="s">
        <v>6</v>
      </c>
    </row>
  </sheetData>
  <mergeCells count="13">
    <mergeCell ref="H29:H30"/>
    <mergeCell ref="D23:E23"/>
    <mergeCell ref="F24:F26"/>
    <mergeCell ref="B28:C28"/>
    <mergeCell ref="F28:G28"/>
    <mergeCell ref="D29:D30"/>
    <mergeCell ref="E29:E30"/>
    <mergeCell ref="F15:F19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Worklist</vt:lpstr>
      <vt:lpstr>TestLog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2022-04-13T15:49:08Z</cp:lastPrinted>
  <dcterms:created xsi:type="dcterms:W3CDTF">2021-02-05T21:39:59Z</dcterms:created>
  <dcterms:modified xsi:type="dcterms:W3CDTF">2022-04-14T21:23:55Z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