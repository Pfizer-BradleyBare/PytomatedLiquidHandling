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A8EDB228-2649-49A3-A748-A39D1A7F80A8}" xr6:coauthVersionLast="47" xr6:coauthVersionMax="47" xr10:uidLastSave="{00000000-0000-0000-0000-000000000000}"/>
  <bookViews>
    <workbookView xWindow="-120" yWindow="-120" windowWidth="25440" windowHeight="15390" activeTab="2" xr2:uid="{00000000-000D-0000-FFFF-FFFF00000000}"/>
  </bookViews>
  <sheets>
    <sheet name="Worklist" sheetId="3" r:id="rId1"/>
    <sheet name="TestLog" sheetId="24" r:id="rId2"/>
    <sheet name="Method" sheetId="14" r:id="rId3"/>
    <sheet name="Solutions" sheetId="17" r:id="rId4"/>
    <sheet name="Method Notes" sheetId="2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7" i="14" l="1"/>
  <c r="E28" i="14"/>
  <c r="E12" i="14"/>
  <c r="E9" i="14"/>
  <c r="E25" i="3"/>
  <c r="F25" i="3" s="1"/>
  <c r="A25" i="3"/>
  <c r="B25" i="3" s="1"/>
  <c r="E24" i="3"/>
  <c r="F24" i="3" s="1"/>
  <c r="A24" i="3"/>
  <c r="B24" i="3" s="1"/>
  <c r="E23" i="3"/>
  <c r="F23" i="3" s="1"/>
  <c r="A23" i="3"/>
  <c r="B23" i="3" s="1"/>
  <c r="E22" i="3"/>
  <c r="F22" i="3" s="1"/>
  <c r="A22" i="3"/>
  <c r="B22" i="3" s="1"/>
  <c r="E21" i="3"/>
  <c r="F21" i="3" s="1"/>
  <c r="A21" i="3"/>
  <c r="B21" i="3" s="1"/>
  <c r="E20" i="3"/>
  <c r="F20" i="3" s="1"/>
  <c r="A20" i="3"/>
  <c r="B20" i="3" s="1"/>
  <c r="E19" i="3"/>
  <c r="F19" i="3" s="1"/>
  <c r="A19" i="3"/>
  <c r="B19" i="3" s="1"/>
  <c r="E18" i="3"/>
  <c r="F18" i="3" s="1"/>
  <c r="A18" i="3"/>
  <c r="B18" i="3" s="1"/>
  <c r="E17" i="3"/>
  <c r="F17" i="3" s="1"/>
  <c r="A17" i="3"/>
  <c r="B17" i="3" s="1"/>
  <c r="E16" i="3"/>
  <c r="F16" i="3" s="1"/>
  <c r="A16" i="3"/>
  <c r="B16" i="3" s="1"/>
  <c r="E15" i="3"/>
  <c r="F15" i="3" s="1"/>
  <c r="A15" i="3"/>
  <c r="B15" i="3" s="1"/>
  <c r="E14" i="3"/>
  <c r="F14" i="3" s="1"/>
  <c r="A14" i="3"/>
  <c r="B14" i="3" s="1"/>
  <c r="E13" i="3"/>
  <c r="F13" i="3" s="1"/>
  <c r="A13" i="3"/>
  <c r="B13" i="3" s="1"/>
  <c r="E12" i="3"/>
  <c r="F12" i="3" s="1"/>
  <c r="A12" i="3"/>
  <c r="B12" i="3" s="1"/>
  <c r="E9" i="3"/>
  <c r="F9" i="3" s="1"/>
  <c r="E11" i="3"/>
  <c r="F11" i="3" s="1"/>
  <c r="E10" i="3"/>
  <c r="F10" i="3" s="1"/>
  <c r="E3" i="3"/>
  <c r="F3" i="3" s="1"/>
  <c r="E4" i="3"/>
  <c r="F4" i="3" s="1"/>
  <c r="E5" i="3"/>
  <c r="F5" i="3" s="1"/>
  <c r="E6" i="3"/>
  <c r="F6" i="3" s="1"/>
  <c r="E7" i="3"/>
  <c r="F7" i="3" s="1"/>
  <c r="E8" i="3"/>
  <c r="F8" i="3" s="1"/>
  <c r="E2" i="3"/>
  <c r="F2" i="3" s="1"/>
  <c r="A11" i="3"/>
  <c r="B11" i="3" s="1"/>
  <c r="A2" i="3" l="1"/>
  <c r="B2" i="3" s="1"/>
  <c r="A3" i="3"/>
  <c r="B3" i="3" s="1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</calcChain>
</file>

<file path=xl/sharedStrings.xml><?xml version="1.0" encoding="utf-8"?>
<sst xmlns="http://schemas.openxmlformats.org/spreadsheetml/2006/main" count="1145" uniqueCount="251">
  <si>
    <t>Name</t>
  </si>
  <si>
    <t>Description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</si>
  <si>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</si>
  <si>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</si>
  <si>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</si>
  <si>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</si>
  <si>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</si>
  <si>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</si>
  <si>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</si>
  <si>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</si>
  <si>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</si>
  <si>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</si>
  <si>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</si>
  <si>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</si>
  <si>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</si>
  <si>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</si>
  <si>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</si>
  <si>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</si>
  <si>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</si>
  <si>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</si>
  <si>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</si>
  <si>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</si>
  <si>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</si>
  <si>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</si>
  <si>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</si>
  <si>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</si>
  <si>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</si>
  <si>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</si>
  <si>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</si>
  <si>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</si>
  <si>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</si>
  <si>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</si>
  <si>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</si>
  <si>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</si>
  <si>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</si>
  <si>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</si>
  <si>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</si>
  <si>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</si>
  <si>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</si>
  <si>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</si>
  <si>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</si>
  <si>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</si>
  <si>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Diluent</t>
  </si>
  <si>
    <t>Temp (C)</t>
  </si>
  <si>
    <t>Time (min)</t>
  </si>
  <si>
    <t>Shake (rpm)</t>
  </si>
  <si>
    <t>Incubate - (Click Here to Update)</t>
  </si>
  <si>
    <t>Starting Concentration (mg/mL)</t>
  </si>
  <si>
    <t>Target Concentration (mg/mL)</t>
  </si>
  <si>
    <t>Target Volume (uL)</t>
  </si>
  <si>
    <t>Max Source Volume (uL)</t>
  </si>
  <si>
    <t>Wait On User</t>
  </si>
  <si>
    <t>Subject</t>
  </si>
  <si>
    <t>Message</t>
  </si>
  <si>
    <t>BCA Std Curve</t>
  </si>
  <si>
    <t>Blank</t>
  </si>
  <si>
    <t>Conentration (mg/mL)</t>
  </si>
  <si>
    <t>A</t>
  </si>
  <si>
    <t>C</t>
  </si>
  <si>
    <t>D</t>
  </si>
  <si>
    <t>E</t>
  </si>
  <si>
    <t>F</t>
  </si>
  <si>
    <t>G</t>
  </si>
  <si>
    <t>B</t>
  </si>
  <si>
    <t>Dilute - (Click Here to Update)</t>
  </si>
  <si>
    <t>1mg/mL BCA</t>
  </si>
  <si>
    <t>0.2% Formic Acid</t>
  </si>
  <si>
    <t>0.2% Formic Acid - (Click Here to Update)</t>
  </si>
  <si>
    <t>1mg/mL BCA - (Click Here to Update)</t>
  </si>
  <si>
    <t>BCA Reagent</t>
  </si>
  <si>
    <t>BCA Reagent - (Click Here to Update)</t>
  </si>
  <si>
    <t>_SampleSequence</t>
  </si>
  <si>
    <t>Sample Volume</t>
  </si>
  <si>
    <t>Formic Volume</t>
  </si>
  <si>
    <t>Sample - (Click Here to Update)</t>
  </si>
  <si>
    <t>No</t>
  </si>
  <si>
    <t>Buffer/Diluent</t>
  </si>
  <si>
    <t>Notify - (Click Here to Update)</t>
  </si>
  <si>
    <t>Urgent Message</t>
  </si>
  <si>
    <t>Hurry! The BCA samples are ready to measure!</t>
  </si>
  <si>
    <t>These are the STD curve samples. This should never be changed</t>
  </si>
  <si>
    <t>96 Well UV Plate</t>
  </si>
  <si>
    <t>Plate</t>
  </si>
  <si>
    <t>Notify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</si>
  <si>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</si>
  <si>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</si>
  <si>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</si>
  <si>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</si>
  <si>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</si>
  <si>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</si>
  <si>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</si>
  <si>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Dilute</t>
  </si>
  <si>
    <t>Excel Location (Row,Col): (7,3)</t>
  </si>
  <si>
    <t>Source: 1mg/mL BCA</t>
  </si>
  <si>
    <t>Diluent: 0.2% Formic Acid</t>
  </si>
  <si>
    <t>Starting Concentration (mg/mL): 1.0</t>
  </si>
  <si>
    <t xml:space="preserve">Target Concentration (mg/mL): Conentration (mg/mL) (Worklist Column) </t>
  </si>
  <si>
    <t>Target Volume (uL): 20.0</t>
  </si>
  <si>
    <t>Max Source Volume (uL): 20.0</t>
  </si>
  <si>
    <t>Pipette</t>
  </si>
  <si>
    <t>GetLiquidClassStrings</t>
  </si>
  <si>
    <t>[TransferVolume]</t>
  </si>
  <si>
    <t>[LiquidCategory]</t>
  </si>
  <si>
    <t>Water</t>
  </si>
  <si>
    <t>Wate</t>
  </si>
  <si>
    <t>##2.1##</t>
  </si>
  <si>
    <t>GetTipSequenceStrings</t>
  </si>
  <si>
    <t>##2.2##</t>
  </si>
  <si>
    <t>##2.3##</t>
  </si>
  <si>
    <t>##2.4##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</si>
  <si>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</si>
  <si>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</si>
  <si>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</si>
  <si>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</si>
  <si>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</si>
  <si>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</si>
  <si>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</si>
  <si>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</si>
  <si>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</si>
  <si>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</si>
  <si>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</si>
  <si>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</si>
  <si>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##2.5##</t>
  </si>
  <si>
    <t>##2.6##</t>
  </si>
  <si>
    <t>Step Title: Liquid Transfer</t>
  </si>
  <si>
    <t>Excel Location (Row,Col): (17,3)</t>
  </si>
  <si>
    <t>Source: Sample</t>
  </si>
  <si>
    <t>Liquid Type: General Reagent</t>
  </si>
  <si>
    <t>Storage Condition: Ambient</t>
  </si>
  <si>
    <t xml:space="preserve">Volume (uL): Sample Volume (Worklist Column) </t>
  </si>
  <si>
    <t>Mix?: Yes</t>
  </si>
  <si>
    <t>##3.1##</t>
  </si>
  <si>
    <t>##3.2##</t>
  </si>
  <si>
    <t>##3.3##</t>
  </si>
  <si>
    <t>Excel Location (Row,Col): (26,3)</t>
  </si>
  <si>
    <t>Source: 0.2% Formic Acid</t>
  </si>
  <si>
    <t xml:space="preserve">Volume (uL): Formic Volume (Worklist Column) </t>
  </si>
  <si>
    <t>##4.1##</t>
  </si>
  <si>
    <t>##4.2##</t>
  </si>
  <si>
    <t>##4.3##</t>
  </si>
  <si>
    <t>Excel Location (Row,Col): (35,3)</t>
  </si>
  <si>
    <t>Source: BCA Reagent</t>
  </si>
  <si>
    <t>Liquid Type: Buffer/Diluent</t>
  </si>
  <si>
    <t>Volume (uL): 180.0</t>
  </si>
  <si>
    <t>Mix?: No</t>
  </si>
  <si>
    <t>##5.1##</t>
  </si>
  <si>
    <t>##5.2##</t>
  </si>
  <si>
    <t>##5.3##</t>
  </si>
  <si>
    <t>Step Title: Incubate</t>
  </si>
  <si>
    <t>Excel Location (Row,Col): (44,3)</t>
  </si>
  <si>
    <t>Temp (C): 37.0</t>
  </si>
  <si>
    <t>Time (min): 15.0</t>
  </si>
  <si>
    <t>Shake (rpm): 0.0</t>
  </si>
  <si>
    <t>Labware</t>
  </si>
  <si>
    <t>GetSequenceStrings</t>
  </si>
  <si>
    <t>[PlateNames]</t>
  </si>
  <si>
    <t>BCA Std Curv</t>
  </si>
  <si>
    <t>##6.1##</t>
  </si>
  <si>
    <t>GetLabwareTypes</t>
  </si>
  <si>
    <t>##6.2##</t>
  </si>
  <si>
    <t>GetReservationHeaterSequenceString</t>
  </si>
  <si>
    <t>##6.3##</t>
  </si>
  <si>
    <t>GetReservationHeaterTransportType</t>
  </si>
  <si>
    <t>##6.4##</t>
  </si>
  <si>
    <t>Lid</t>
  </si>
  <si>
    <t>##6.5##</t>
  </si>
  <si>
    <t>GetReservationLidSequenceString</t>
  </si>
  <si>
    <t>##6.6##</t>
  </si>
  <si>
    <t>GetReservationLidTransportType</t>
  </si>
  <si>
    <t>##6.7##</t>
  </si>
  <si>
    <t>##6.8##</t>
  </si>
  <si>
    <t>##6.9##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</si>
  <si>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</si>
  <si>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</si>
  <si>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</si>
  <si>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</si>
  <si>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</si>
  <si>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</si>
  <si>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</si>
  <si>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</si>
  <si>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##6.10##</t>
  </si>
  <si>
    <t>##6.11##</t>
  </si>
  <si>
    <t>StartReservation</t>
  </si>
  <si>
    <t>##6.12##</t>
  </si>
  <si>
    <t>Timer</t>
  </si>
  <si>
    <t>Start</t>
  </si>
  <si>
    <t>[WaitTime]</t>
  </si>
  <si>
    <t>##6.13##</t>
  </si>
  <si>
    <t>Wai</t>
  </si>
  <si>
    <t>##6.14##</t>
  </si>
  <si>
    <t>EndReservation</t>
  </si>
  <si>
    <t>##6.15##</t>
  </si>
  <si>
    <t>##6.16##</t>
  </si>
  <si>
    <t>##6.17##</t>
  </si>
  <si>
    <t>##6.18##</t>
  </si>
  <si>
    <t>##6.19##</t>
  </si>
  <si>
    <t>##6.20##</t>
  </si>
  <si>
    <t>##6.21##</t>
  </si>
  <si>
    <t>##6.22##</t>
  </si>
  <si>
    <t>##6.23##</t>
  </si>
  <si>
    <t>Afte</t>
  </si>
  <si>
    <t>##6.24##</t>
  </si>
  <si>
    <t>##6.25##</t>
  </si>
  <si>
    <t>ReleaseReservation</t>
  </si>
  <si>
    <t>##6.27##</t>
  </si>
  <si>
    <t>Step Title: Notify</t>
  </si>
  <si>
    <t>Excel Location (Row,Col): (51,3)</t>
  </si>
  <si>
    <t>Wait On User: Yes</t>
  </si>
  <si>
    <t>Subject: Urgent Message</t>
  </si>
  <si>
    <t>Message: Hurry! The BCA samples are ready to measure!</t>
  </si>
  <si>
    <t>SendMessage</t>
  </si>
  <si>
    <t>[Subject]</t>
  </si>
  <si>
    <t>[Body]</t>
  </si>
  <si>
    <t>[WaitForUser]</t>
  </si>
  <si>
    <t>Ye</t>
  </si>
  <si>
    <t>##7.1##</t>
  </si>
  <si>
    <t>Step Title: Finish</t>
  </si>
  <si>
    <t>Excel Location (Row,Col): (58,3)</t>
  </si>
  <si>
    <t>BCA Std Curve plate deactivated</t>
  </si>
  <si>
    <t>PreRun</t>
  </si>
  <si>
    <t>Samples</t>
  </si>
  <si>
    <t>[SampleNumber]</t>
  </si>
  <si>
    <t>[Name]</t>
  </si>
  <si>
    <t>[LabwareSequence]</t>
  </si>
  <si>
    <t>Carrier38_Pos3_CorningCostar96WellUVPlate360uL</t>
  </si>
  <si>
    <t>F1</t>
  </si>
  <si>
    <t>F2</t>
  </si>
  <si>
    <t>R2</t>
  </si>
  <si>
    <t>R3</t>
  </si>
  <si>
    <t>[LidSequence]</t>
  </si>
  <si>
    <t>[LoadingLocation]</t>
  </si>
  <si>
    <t>Carrier38_Pos3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</si>
  <si>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</si>
  <si>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</si>
  <si>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</si>
  <si>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</si>
  <si>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</si>
  <si>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</si>
  <si>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</si>
  <si>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400uL Corning Costar 96 Well UV Plate</t>
  </si>
  <si>
    <t>Hamilton 1.5mL FlipTube</t>
  </si>
  <si>
    <t>60mL Reagent Reservio</t>
  </si>
  <si>
    <t>Heate</t>
  </si>
  <si>
    <t>Notif</t>
  </si>
  <si>
    <t>Time</t>
  </si>
  <si>
    <t>Transpor</t>
  </si>
  <si>
    <t>StatusUpdat</t>
  </si>
  <si>
    <t>Li</t>
  </si>
  <si>
    <t>EN</t>
  </si>
  <si>
    <t>Sample Transfer Complete</t>
  </si>
  <si>
    <t>You may remove the sample 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</si>
</sst>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0CBCB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0" borderId="12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" xfId="0" applyBorder="1"/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/>
    </xf>
    <xf numFmtId="0" fontId="2" fillId="7" borderId="19" xfId="0" applyFont="1" applyFill="1" applyBorder="1" applyAlignment="1">
      <alignment horizontal="left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 wrapText="1"/>
    </xf>
    <xf numFmtId="0" fontId="2" fillId="7" borderId="20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left" vertical="center"/>
    </xf>
    <xf numFmtId="0" fontId="2" fillId="4" borderId="19" xfId="0" applyFont="1" applyFill="1" applyBorder="1" applyAlignment="1">
      <alignment horizontal="left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/>
    </xf>
    <xf numFmtId="0" fontId="2" fillId="6" borderId="19" xfId="0" applyFont="1" applyFill="1" applyBorder="1" applyAlignment="1">
      <alignment horizontal="left" vertical="center"/>
    </xf>
    <xf numFmtId="0" fontId="1" fillId="6" borderId="21" xfId="0" applyFont="1" applyFill="1" applyBorder="1" applyAlignment="1">
      <alignment horizontal="center" vertical="center"/>
    </xf>
    <xf numFmtId="0" fontId="1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0" xfId="0" applyFont="1" applyFill="1" applyBorder="1" applyAlignment="1">
      <alignment horizontal="center" vertical="center" wrapText="1"/>
    </xf>
    <xf numFmtId="0" fontId="2" fillId="8" borderId="18" xfId="0" applyFont="1" applyFill="1" applyBorder="1" applyAlignment="1">
      <alignment horizontal="left" vertical="center"/>
    </xf>
    <xf numFmtId="0" fontId="2" fillId="8" borderId="19" xfId="0" applyFont="1" applyFill="1" applyBorder="1" applyAlignment="1">
      <alignment horizontal="left" vertical="center"/>
    </xf>
    <xf numFmtId="0" fontId="1" fillId="8" borderId="21" xfId="0" applyFont="1" applyFill="1" applyBorder="1" applyAlignment="1">
      <alignment horizontal="center" vertical="center"/>
    </xf>
    <xf numFmtId="0" fontId="1" fillId="8" borderId="22" xfId="0" applyFont="1" applyFill="1" applyBorder="1" applyAlignment="1">
      <alignment horizontal="center" vertical="center"/>
    </xf>
    <xf numFmtId="0" fontId="2" fillId="8" borderId="23" xfId="0" applyFont="1" applyFill="1" applyBorder="1" applyAlignment="1">
      <alignment horizontal="center" vertical="center" wrapText="1"/>
    </xf>
    <xf numFmtId="0" fontId="2" fillId="8" borderId="20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0</xdr:row>
          <xdr:rowOff>95250</xdr:rowOff>
        </xdr:from>
        <xdr:to>
          <xdr:col>14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6</xdr:row>
          <xdr:rowOff>66675</xdr:rowOff>
        </xdr:from>
        <xdr:to>
          <xdr:col>14</xdr:col>
          <xdr:colOff>571500</xdr:colOff>
          <xdr:row>10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25"/>
  <sheetViews>
    <sheetView workbookViewId="0">
      <selection activeCell="G13" sqref="G13"/>
    </sheetView>
  </sheetViews>
  <sheetFormatPr defaultRowHeight="15" x14ac:dyDescent="0.25"/>
  <cols>
    <col min="1" max="1" width="9" bestFit="1" customWidth="1"/>
    <col min="2" max="2" width="18.5703125" bestFit="1" customWidth="1"/>
    <col min="3" max="3" width="13.140625" bestFit="1" customWidth="1"/>
    <col min="4" max="4" width="21.85546875" customWidth="1"/>
    <col min="5" max="5" width="15.140625" bestFit="1" customWidth="1"/>
    <col min="6" max="6" width="14.5703125" bestFit="1" customWidth="1"/>
    <col min="7" max="7" width="38.28515625" customWidth="1"/>
  </cols>
  <sheetData>
    <row r="1" spans="1:7" ht="15.75" thickBot="1" x14ac:dyDescent="0.3">
      <c r="A1" t="s">
        <v>2</v>
      </c>
      <c r="B1" t="s">
        <v>71</v>
      </c>
      <c r="C1" t="s">
        <v>1</v>
      </c>
      <c r="D1" t="s">
        <v>56</v>
      </c>
      <c r="E1" t="s">
        <v>72</v>
      </c>
      <c r="F1" t="s">
        <v>73</v>
      </c>
      <c r="G1" t="s">
        <v>5</v>
      </c>
    </row>
    <row r="2" spans="1:7" x14ac:dyDescent="0.25">
      <c r="A2" s="30">
        <f t="shared" ref="A2:A25" si="0">ROW(A1)</f>
        <v>1</v>
      </c>
      <c r="B2" s="25" t="str">
        <f>CONCATENATE(ROW(A2)-2+A2,",",ROW(A2)-1+A2)</f>
        <v>1,2</v>
      </c>
      <c r="C2" s="25" t="s">
        <v>62</v>
      </c>
      <c r="D2" s="25">
        <v>1</v>
      </c>
      <c r="E2" s="25">
        <f t="shared" ref="E2:E8" si="1">IF(D2=0,1,0)</f>
        <v>0</v>
      </c>
      <c r="F2" s="25">
        <f>IF(E2=0,0,20-E2)</f>
        <v>0</v>
      </c>
      <c r="G2" s="31" t="s">
        <v>80</v>
      </c>
    </row>
    <row r="3" spans="1:7" x14ac:dyDescent="0.25">
      <c r="A3" s="21">
        <f t="shared" ref="A3:A9" si="2">ROW(A2)</f>
        <v>2</v>
      </c>
      <c r="B3" s="22" t="str">
        <f t="shared" ref="B3:B9" si="3">CONCATENATE(ROW(A3)-2+A3,",",ROW(A3)-1+A3)</f>
        <v>3,4</v>
      </c>
      <c r="C3" s="22" t="s">
        <v>61</v>
      </c>
      <c r="D3" s="22">
        <v>0.5</v>
      </c>
      <c r="E3" s="22">
        <f t="shared" si="1"/>
        <v>0</v>
      </c>
      <c r="F3" s="22">
        <f t="shared" ref="F3:F11" si="4">IF(E3=0,0,20-E3)</f>
        <v>0</v>
      </c>
      <c r="G3" s="32"/>
    </row>
    <row r="4" spans="1:7" x14ac:dyDescent="0.25">
      <c r="A4" s="21">
        <f t="shared" si="2"/>
        <v>3</v>
      </c>
      <c r="B4" s="22" t="str">
        <f t="shared" si="3"/>
        <v>5,6</v>
      </c>
      <c r="C4" s="22" t="s">
        <v>60</v>
      </c>
      <c r="D4" s="22">
        <v>0.25</v>
      </c>
      <c r="E4" s="22">
        <f t="shared" si="1"/>
        <v>0</v>
      </c>
      <c r="F4" s="22">
        <f t="shared" si="4"/>
        <v>0</v>
      </c>
      <c r="G4" s="32"/>
    </row>
    <row r="5" spans="1:7" x14ac:dyDescent="0.25">
      <c r="A5" s="21">
        <f t="shared" si="2"/>
        <v>4</v>
      </c>
      <c r="B5" s="22" t="str">
        <f t="shared" si="3"/>
        <v>7,8</v>
      </c>
      <c r="C5" s="22" t="s">
        <v>59</v>
      </c>
      <c r="D5" s="22">
        <v>0.125</v>
      </c>
      <c r="E5" s="22">
        <f t="shared" si="1"/>
        <v>0</v>
      </c>
      <c r="F5" s="22">
        <f t="shared" si="4"/>
        <v>0</v>
      </c>
      <c r="G5" s="32"/>
    </row>
    <row r="6" spans="1:7" x14ac:dyDescent="0.25">
      <c r="A6" s="21">
        <f t="shared" si="2"/>
        <v>5</v>
      </c>
      <c r="B6" s="22" t="str">
        <f t="shared" si="3"/>
        <v>9,10</v>
      </c>
      <c r="C6" s="22" t="s">
        <v>58</v>
      </c>
      <c r="D6" s="22">
        <v>6.25E-2</v>
      </c>
      <c r="E6" s="22">
        <f t="shared" si="1"/>
        <v>0</v>
      </c>
      <c r="F6" s="22">
        <f t="shared" si="4"/>
        <v>0</v>
      </c>
      <c r="G6" s="32"/>
    </row>
    <row r="7" spans="1:7" x14ac:dyDescent="0.25">
      <c r="A7" s="21">
        <f t="shared" si="2"/>
        <v>6</v>
      </c>
      <c r="B7" s="22" t="str">
        <f t="shared" si="3"/>
        <v>11,12</v>
      </c>
      <c r="C7" s="22" t="s">
        <v>63</v>
      </c>
      <c r="D7" s="22">
        <v>3.1300000000000001E-2</v>
      </c>
      <c r="E7" s="22">
        <f t="shared" si="1"/>
        <v>0</v>
      </c>
      <c r="F7" s="22">
        <f t="shared" si="4"/>
        <v>0</v>
      </c>
      <c r="G7" s="32"/>
    </row>
    <row r="8" spans="1:7" x14ac:dyDescent="0.25">
      <c r="A8" s="21">
        <f t="shared" si="2"/>
        <v>7</v>
      </c>
      <c r="B8" s="22" t="str">
        <f t="shared" si="3"/>
        <v>13,14</v>
      </c>
      <c r="C8" s="22" t="s">
        <v>57</v>
      </c>
      <c r="D8" s="22">
        <v>1.5599999999999999E-2</v>
      </c>
      <c r="E8" s="22">
        <f t="shared" si="1"/>
        <v>0</v>
      </c>
      <c r="F8" s="22">
        <f t="shared" si="4"/>
        <v>0</v>
      </c>
      <c r="G8" s="32"/>
    </row>
    <row r="9" spans="1:7" ht="15.75" thickBot="1" x14ac:dyDescent="0.3">
      <c r="A9" s="23">
        <f t="shared" si="2"/>
        <v>8</v>
      </c>
      <c r="B9" s="24" t="str">
        <f t="shared" si="3"/>
        <v>15,16</v>
      </c>
      <c r="C9" s="24" t="s">
        <v>55</v>
      </c>
      <c r="D9" s="24">
        <v>0</v>
      </c>
      <c r="E9" s="24">
        <f>IF(D9=0,IF(C9="Blank",0,1),0)</f>
        <v>0</v>
      </c>
      <c r="F9" s="24">
        <f t="shared" si="4"/>
        <v>0</v>
      </c>
      <c r="G9" s="33"/>
    </row>
    <row r="10" spans="1:7" x14ac:dyDescent="0.25">
      <c r="A10">
        <f t="shared" si="0"/>
        <v>9</v>
      </c>
      <c r="B10">
        <f t="shared" ref="B10:B25" si="5">17-9+A10</f>
        <v>17</v>
      </c>
      <c r="C10" t="s">
        <v>8</v>
      </c>
      <c r="D10">
        <v>0</v>
      </c>
      <c r="E10">
        <f t="shared" ref="E10:E25" si="6">IF(D10=0,IF(C10="Blank",0,IF(C10=C9,10,20)),0)</f>
        <v>20</v>
      </c>
      <c r="F10">
        <f t="shared" si="4"/>
        <v>0</v>
      </c>
    </row>
    <row r="11" spans="1:7" x14ac:dyDescent="0.25">
      <c r="A11">
        <f t="shared" si="0"/>
        <v>10</v>
      </c>
      <c r="B11">
        <f t="shared" si="5"/>
        <v>18</v>
      </c>
      <c r="C11" t="s">
        <v>8</v>
      </c>
      <c r="D11">
        <v>0</v>
      </c>
      <c r="E11">
        <f t="shared" si="6"/>
        <v>10</v>
      </c>
      <c r="F11">
        <f t="shared" si="4"/>
        <v>10</v>
      </c>
    </row>
    <row r="12" spans="1:7" x14ac:dyDescent="0.25">
      <c r="A12">
        <f t="shared" si="0"/>
        <v>11</v>
      </c>
      <c r="B12">
        <f t="shared" si="5"/>
        <v>19</v>
      </c>
      <c r="C12" t="s">
        <v>8</v>
      </c>
      <c r="D12">
        <v>0</v>
      </c>
      <c r="E12">
        <f t="shared" si="6"/>
        <v>10</v>
      </c>
      <c r="F12">
        <f t="shared" ref="F12:F25" si="7">IF(E12=0,0,20-E12)</f>
        <v>10</v>
      </c>
    </row>
    <row r="13" spans="1:7" x14ac:dyDescent="0.25">
      <c r="A13">
        <f t="shared" si="0"/>
        <v>12</v>
      </c>
      <c r="B13">
        <f t="shared" si="5"/>
        <v>20</v>
      </c>
      <c r="C13" t="s">
        <v>8</v>
      </c>
      <c r="D13">
        <v>0</v>
      </c>
      <c r="E13">
        <f t="shared" si="6"/>
        <v>10</v>
      </c>
      <c r="F13">
        <f t="shared" si="7"/>
        <v>10</v>
      </c>
    </row>
    <row r="14" spans="1:7" x14ac:dyDescent="0.25">
      <c r="A14">
        <f t="shared" si="0"/>
        <v>13</v>
      </c>
      <c r="B14">
        <f t="shared" si="5"/>
        <v>21</v>
      </c>
      <c r="C14" t="s">
        <v>8</v>
      </c>
      <c r="D14">
        <v>0</v>
      </c>
      <c r="E14">
        <f t="shared" si="6"/>
        <v>10</v>
      </c>
      <c r="F14">
        <f t="shared" si="7"/>
        <v>10</v>
      </c>
    </row>
    <row r="15" spans="1:7" x14ac:dyDescent="0.25">
      <c r="A15">
        <f t="shared" si="0"/>
        <v>14</v>
      </c>
      <c r="B15">
        <f t="shared" si="5"/>
        <v>22</v>
      </c>
      <c r="C15" t="s">
        <v>8</v>
      </c>
      <c r="D15">
        <v>0</v>
      </c>
      <c r="E15">
        <f t="shared" si="6"/>
        <v>10</v>
      </c>
      <c r="F15">
        <f t="shared" si="7"/>
        <v>10</v>
      </c>
    </row>
    <row r="16" spans="1:7" x14ac:dyDescent="0.25">
      <c r="A16">
        <f t="shared" si="0"/>
        <v>15</v>
      </c>
      <c r="B16">
        <f t="shared" si="5"/>
        <v>23</v>
      </c>
      <c r="C16" t="s">
        <v>8</v>
      </c>
      <c r="D16">
        <v>0</v>
      </c>
      <c r="E16">
        <f t="shared" si="6"/>
        <v>10</v>
      </c>
      <c r="F16">
        <f t="shared" si="7"/>
        <v>10</v>
      </c>
    </row>
    <row r="17" spans="1:6" x14ac:dyDescent="0.25">
      <c r="A17">
        <f t="shared" si="0"/>
        <v>16</v>
      </c>
      <c r="B17">
        <f t="shared" si="5"/>
        <v>24</v>
      </c>
      <c r="C17" t="s">
        <v>8</v>
      </c>
      <c r="D17">
        <v>0</v>
      </c>
      <c r="E17">
        <f t="shared" si="6"/>
        <v>10</v>
      </c>
      <c r="F17">
        <f t="shared" si="7"/>
        <v>10</v>
      </c>
    </row>
    <row r="18" spans="1:6" x14ac:dyDescent="0.25">
      <c r="A18">
        <f t="shared" si="0"/>
        <v>17</v>
      </c>
      <c r="B18">
        <f t="shared" si="5"/>
        <v>25</v>
      </c>
      <c r="C18" t="s">
        <v>8</v>
      </c>
      <c r="D18">
        <v>0</v>
      </c>
      <c r="E18">
        <f t="shared" si="6"/>
        <v>10</v>
      </c>
      <c r="F18">
        <f t="shared" si="7"/>
        <v>10</v>
      </c>
    </row>
    <row r="19" spans="1:6" x14ac:dyDescent="0.25">
      <c r="A19">
        <f t="shared" si="0"/>
        <v>18</v>
      </c>
      <c r="B19">
        <f t="shared" si="5"/>
        <v>26</v>
      </c>
      <c r="C19" t="s">
        <v>8</v>
      </c>
      <c r="D19">
        <v>0</v>
      </c>
      <c r="E19">
        <f t="shared" si="6"/>
        <v>10</v>
      </c>
      <c r="F19">
        <f t="shared" si="7"/>
        <v>10</v>
      </c>
    </row>
    <row r="20" spans="1:6" x14ac:dyDescent="0.25">
      <c r="A20">
        <f t="shared" si="0"/>
        <v>19</v>
      </c>
      <c r="B20">
        <f t="shared" si="5"/>
        <v>27</v>
      </c>
      <c r="C20" t="s">
        <v>8</v>
      </c>
      <c r="D20">
        <v>0</v>
      </c>
      <c r="E20">
        <f t="shared" si="6"/>
        <v>10</v>
      </c>
      <c r="F20">
        <f t="shared" si="7"/>
        <v>10</v>
      </c>
    </row>
    <row r="21" spans="1:6" x14ac:dyDescent="0.25">
      <c r="A21">
        <f t="shared" si="0"/>
        <v>20</v>
      </c>
      <c r="B21">
        <f t="shared" si="5"/>
        <v>28</v>
      </c>
      <c r="C21" t="s">
        <v>8</v>
      </c>
      <c r="D21">
        <v>0</v>
      </c>
      <c r="E21">
        <f t="shared" si="6"/>
        <v>10</v>
      </c>
      <c r="F21">
        <f t="shared" si="7"/>
        <v>10</v>
      </c>
    </row>
    <row r="22" spans="1:6" x14ac:dyDescent="0.25">
      <c r="A22">
        <f t="shared" si="0"/>
        <v>21</v>
      </c>
      <c r="B22">
        <f t="shared" si="5"/>
        <v>29</v>
      </c>
      <c r="C22" t="s">
        <v>8</v>
      </c>
      <c r="D22">
        <v>0</v>
      </c>
      <c r="E22">
        <f t="shared" si="6"/>
        <v>10</v>
      </c>
      <c r="F22">
        <f t="shared" si="7"/>
        <v>10</v>
      </c>
    </row>
    <row r="23" spans="1:6" x14ac:dyDescent="0.25">
      <c r="A23">
        <f t="shared" si="0"/>
        <v>22</v>
      </c>
      <c r="B23">
        <f t="shared" si="5"/>
        <v>30</v>
      </c>
      <c r="C23" t="s">
        <v>8</v>
      </c>
      <c r="D23">
        <v>0</v>
      </c>
      <c r="E23">
        <f t="shared" si="6"/>
        <v>10</v>
      </c>
      <c r="F23">
        <f t="shared" si="7"/>
        <v>10</v>
      </c>
    </row>
    <row r="24" spans="1:6" x14ac:dyDescent="0.25">
      <c r="A24">
        <f t="shared" si="0"/>
        <v>23</v>
      </c>
      <c r="B24">
        <f t="shared" si="5"/>
        <v>31</v>
      </c>
      <c r="C24" t="s">
        <v>8</v>
      </c>
      <c r="D24">
        <v>0</v>
      </c>
      <c r="E24">
        <f t="shared" si="6"/>
        <v>10</v>
      </c>
      <c r="F24">
        <f t="shared" si="7"/>
        <v>10</v>
      </c>
    </row>
    <row r="25" spans="1:6" x14ac:dyDescent="0.25">
      <c r="A25">
        <f t="shared" si="0"/>
        <v>24</v>
      </c>
      <c r="B25">
        <f t="shared" si="5"/>
        <v>32</v>
      </c>
      <c r="C25" t="s">
        <v>8</v>
      </c>
      <c r="D25">
        <v>0</v>
      </c>
      <c r="E25">
        <f t="shared" si="6"/>
        <v>10</v>
      </c>
      <c r="F25">
        <f t="shared" si="7"/>
        <v>10</v>
      </c>
    </row>
  </sheetData>
  <mergeCells count="1">
    <mergeCell ref="G2:G9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11</xdr:col>
                    <xdr:colOff>257175</xdr:colOff>
                    <xdr:row>0</xdr:row>
                    <xdr:rowOff>95250</xdr:rowOff>
                  </from>
                  <to>
                    <xdr:col>14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11</xdr:col>
                    <xdr:colOff>238125</xdr:colOff>
                    <xdr:row>6</xdr:row>
                    <xdr:rowOff>66675</xdr:rowOff>
                  </from>
                  <to>
                    <xdr:col>14</xdr:col>
                    <xdr:colOff>571500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675AE-9CE4-41B0-A3A5-F9C1B0CC8BF4}">
  <dimension ref="B3:DG421"/>
  <sheetViews>
    <sheetView workbookViewId="0"/>
  </sheetViews>
  <sheetFormatPr defaultRowHeight="15" x14ac:dyDescent="0.25"/>
  <sheetData>
    <row r="3" spans="2:5" x14ac:dyDescent="0.25">
      <c r="D3" t="s">
        <v>84</v>
      </c>
      <c r="E3" t="s">
        <v>85</v>
      </c>
    </row>
    <row r="4" spans="2:5" x14ac:dyDescent="0.25">
      <c r="D4" t="s">
        <v>86</v>
      </c>
      <c r="E4" t="s">
        <v>87</v>
      </c>
    </row>
    <row r="5" spans="2:5" x14ac:dyDescent="0.25">
      <c r="D5" t="s">
        <v>88</v>
      </c>
      <c r="E5" t="s">
        <v>54</v>
      </c>
    </row>
    <row r="6" spans="2:5" x14ac:dyDescent="0.25">
      <c r="D6" t="s">
        <v>89</v>
      </c>
      <c r="E6">
        <v>37</v>
      </c>
    </row>
    <row r="7" spans="2:5" x14ac:dyDescent="0.25">
      <c r="D7" t="s">
        <v>90</v>
      </c>
      <c r="E7">
        <v>0</v>
      </c>
    </row>
    <row r="12" spans="2:5" x14ac:dyDescent="0.25">
      <c r="B12" t="s">
        <v>91</v>
      </c>
    </row>
    <row r="13" spans="2:5" x14ac:dyDescent="0.25">
      <c r="B13" t="s">
        <v>92</v>
      </c>
    </row>
    <row r="14" spans="2:5" x14ac:dyDescent="0.25">
      <c r="B14" t="s">
        <v>93</v>
      </c>
    </row>
    <row r="15" spans="2:5" x14ac:dyDescent="0.25">
      <c r="B15" t="s">
        <v>94</v>
      </c>
    </row>
    <row r="16" spans="2:5" x14ac:dyDescent="0.25">
      <c r="B16" t="s">
        <v>95</v>
      </c>
    </row>
    <row r="17" spans="2:36" x14ac:dyDescent="0.25">
      <c r="B17" t="s">
        <v>96</v>
      </c>
    </row>
    <row r="18" spans="2:36" x14ac:dyDescent="0.25">
      <c r="B18" t="s">
        <v>97</v>
      </c>
    </row>
    <row r="19" spans="2:36" x14ac:dyDescent="0.25">
      <c r="B19" t="s">
        <v>98</v>
      </c>
    </row>
    <row r="21" spans="2:36" x14ac:dyDescent="0.25">
      <c r="C21" t="s">
        <v>24</v>
      </c>
    </row>
    <row r="23" spans="2:36" x14ac:dyDescent="0.25">
      <c r="D23" t="s">
        <v>84</v>
      </c>
      <c r="E23" t="s">
        <v>99</v>
      </c>
    </row>
    <row r="24" spans="2:36" x14ac:dyDescent="0.25">
      <c r="D24" t="s">
        <v>86</v>
      </c>
      <c r="E24" t="s">
        <v>100</v>
      </c>
    </row>
    <row r="25" spans="2:36" x14ac:dyDescent="0.25">
      <c r="D25" t="s">
        <v>101</v>
      </c>
      <c r="E25">
        <v>20</v>
      </c>
      <c r="F25">
        <v>20</v>
      </c>
      <c r="G25">
        <v>10</v>
      </c>
      <c r="H25">
        <v>10</v>
      </c>
      <c r="I25">
        <v>15</v>
      </c>
      <c r="J25">
        <v>15</v>
      </c>
      <c r="K25">
        <v>17.5</v>
      </c>
      <c r="L25">
        <v>17.5</v>
      </c>
      <c r="M25">
        <v>18.75</v>
      </c>
      <c r="N25">
        <v>18.75</v>
      </c>
      <c r="O25">
        <v>19.373999999999999</v>
      </c>
      <c r="P25">
        <v>19.373999999999999</v>
      </c>
      <c r="Q25">
        <v>19.687999999999999</v>
      </c>
      <c r="R25">
        <v>19.687999999999999</v>
      </c>
      <c r="S25">
        <v>20</v>
      </c>
      <c r="T25">
        <v>20</v>
      </c>
      <c r="U25">
        <v>20</v>
      </c>
      <c r="V25">
        <v>20</v>
      </c>
      <c r="W25">
        <v>20</v>
      </c>
      <c r="X25">
        <v>20</v>
      </c>
      <c r="Y25">
        <v>20</v>
      </c>
      <c r="Z25">
        <v>20</v>
      </c>
      <c r="AA25">
        <v>20</v>
      </c>
      <c r="AB25">
        <v>20</v>
      </c>
      <c r="AC25">
        <v>20</v>
      </c>
      <c r="AD25">
        <v>20</v>
      </c>
      <c r="AE25">
        <v>20</v>
      </c>
      <c r="AF25">
        <v>20</v>
      </c>
      <c r="AG25">
        <v>20</v>
      </c>
      <c r="AH25">
        <v>20</v>
      </c>
      <c r="AI25">
        <v>20</v>
      </c>
      <c r="AJ25">
        <v>20</v>
      </c>
    </row>
    <row r="26" spans="2:36" x14ac:dyDescent="0.25">
      <c r="D26" t="s">
        <v>102</v>
      </c>
      <c r="E26" t="s">
        <v>103</v>
      </c>
      <c r="F26" t="s">
        <v>103</v>
      </c>
      <c r="G26" t="s">
        <v>103</v>
      </c>
      <c r="H26" t="s">
        <v>103</v>
      </c>
      <c r="I26" t="s">
        <v>103</v>
      </c>
      <c r="J26" t="s">
        <v>103</v>
      </c>
      <c r="K26" t="s">
        <v>103</v>
      </c>
      <c r="L26" t="s">
        <v>103</v>
      </c>
      <c r="M26" t="s">
        <v>103</v>
      </c>
      <c r="N26" t="s">
        <v>103</v>
      </c>
      <c r="O26" t="s">
        <v>103</v>
      </c>
      <c r="P26" t="s">
        <v>103</v>
      </c>
      <c r="Q26" t="s">
        <v>103</v>
      </c>
      <c r="R26" t="s">
        <v>103</v>
      </c>
      <c r="S26" t="s">
        <v>103</v>
      </c>
      <c r="T26" t="s">
        <v>103</v>
      </c>
      <c r="U26" t="s">
        <v>103</v>
      </c>
      <c r="V26" t="s">
        <v>103</v>
      </c>
      <c r="W26" t="s">
        <v>103</v>
      </c>
      <c r="X26" t="s">
        <v>103</v>
      </c>
      <c r="Y26" t="s">
        <v>103</v>
      </c>
      <c r="Z26" t="s">
        <v>103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F26" t="s">
        <v>103</v>
      </c>
      <c r="AG26" t="s">
        <v>103</v>
      </c>
      <c r="AH26" t="s">
        <v>103</v>
      </c>
      <c r="AI26" t="s">
        <v>103</v>
      </c>
      <c r="AJ26" t="s">
        <v>104</v>
      </c>
    </row>
    <row r="27" spans="2:36" x14ac:dyDescent="0.25">
      <c r="D27" t="s">
        <v>105</v>
      </c>
    </row>
    <row r="29" spans="2:36" x14ac:dyDescent="0.25">
      <c r="D29" t="s">
        <v>84</v>
      </c>
      <c r="E29" t="s">
        <v>99</v>
      </c>
    </row>
    <row r="30" spans="2:36" x14ac:dyDescent="0.25">
      <c r="D30" t="s">
        <v>86</v>
      </c>
      <c r="E30" t="s">
        <v>106</v>
      </c>
    </row>
    <row r="31" spans="2:36" x14ac:dyDescent="0.25">
      <c r="D31" t="s">
        <v>101</v>
      </c>
      <c r="E31">
        <v>20</v>
      </c>
      <c r="F31">
        <v>20</v>
      </c>
      <c r="G31">
        <v>10</v>
      </c>
      <c r="H31">
        <v>10</v>
      </c>
      <c r="I31">
        <v>15</v>
      </c>
      <c r="J31">
        <v>15</v>
      </c>
      <c r="K31">
        <v>17.5</v>
      </c>
      <c r="L31">
        <v>17.5</v>
      </c>
      <c r="M31">
        <v>18.75</v>
      </c>
      <c r="N31">
        <v>18.75</v>
      </c>
      <c r="O31">
        <v>19.373999999999999</v>
      </c>
      <c r="P31">
        <v>19.373999999999999</v>
      </c>
      <c r="Q31">
        <v>19.687999999999999</v>
      </c>
      <c r="R31">
        <v>19.687999999999999</v>
      </c>
      <c r="S31">
        <v>20</v>
      </c>
      <c r="T31">
        <v>20</v>
      </c>
      <c r="U31">
        <v>20</v>
      </c>
      <c r="V31">
        <v>20</v>
      </c>
      <c r="W31">
        <v>20</v>
      </c>
      <c r="X31">
        <v>20</v>
      </c>
      <c r="Y31">
        <v>20</v>
      </c>
      <c r="Z31">
        <v>20</v>
      </c>
      <c r="AA31">
        <v>20</v>
      </c>
      <c r="AB31">
        <v>20</v>
      </c>
      <c r="AC31">
        <v>20</v>
      </c>
      <c r="AD31">
        <v>20</v>
      </c>
      <c r="AE31">
        <v>20</v>
      </c>
      <c r="AF31">
        <v>20</v>
      </c>
      <c r="AG31">
        <v>20</v>
      </c>
      <c r="AH31">
        <v>20</v>
      </c>
      <c r="AI31">
        <v>20</v>
      </c>
      <c r="AJ31">
        <v>20</v>
      </c>
    </row>
    <row r="32" spans="2:36" x14ac:dyDescent="0.25">
      <c r="D32" t="s">
        <v>107</v>
      </c>
    </row>
    <row r="34" spans="4:36" x14ac:dyDescent="0.25">
      <c r="D34" t="s">
        <v>84</v>
      </c>
      <c r="E34" t="s">
        <v>99</v>
      </c>
    </row>
    <row r="35" spans="4:36" x14ac:dyDescent="0.25">
      <c r="D35" t="s">
        <v>86</v>
      </c>
      <c r="E35" t="s">
        <v>100</v>
      </c>
    </row>
    <row r="36" spans="4:36" x14ac:dyDescent="0.25">
      <c r="D36" t="s">
        <v>101</v>
      </c>
      <c r="E36">
        <v>10</v>
      </c>
      <c r="F36">
        <v>10</v>
      </c>
      <c r="G36">
        <v>5</v>
      </c>
      <c r="H36">
        <v>5</v>
      </c>
      <c r="I36">
        <v>2.5</v>
      </c>
      <c r="J36">
        <v>2.5</v>
      </c>
      <c r="K36">
        <v>1.25</v>
      </c>
      <c r="L36">
        <v>1.25</v>
      </c>
      <c r="M36">
        <v>0.626</v>
      </c>
      <c r="N36">
        <v>0.626</v>
      </c>
      <c r="O36">
        <v>0.312</v>
      </c>
      <c r="P36">
        <v>0.312</v>
      </c>
    </row>
    <row r="37" spans="4:36" x14ac:dyDescent="0.25">
      <c r="D37" t="s">
        <v>102</v>
      </c>
      <c r="E37" t="s">
        <v>103</v>
      </c>
      <c r="F37" t="s">
        <v>103</v>
      </c>
      <c r="G37" t="s">
        <v>103</v>
      </c>
      <c r="H37" t="s">
        <v>103</v>
      </c>
      <c r="I37" t="s">
        <v>103</v>
      </c>
      <c r="J37" t="s">
        <v>103</v>
      </c>
      <c r="K37" t="s">
        <v>103</v>
      </c>
      <c r="L37" t="s">
        <v>103</v>
      </c>
      <c r="M37" t="s">
        <v>103</v>
      </c>
      <c r="N37" t="s">
        <v>103</v>
      </c>
      <c r="O37" t="s">
        <v>103</v>
      </c>
      <c r="P37" t="s">
        <v>104</v>
      </c>
    </row>
    <row r="38" spans="4:36" x14ac:dyDescent="0.25">
      <c r="D38" t="s">
        <v>108</v>
      </c>
    </row>
    <row r="40" spans="4:36" x14ac:dyDescent="0.25">
      <c r="D40" t="s">
        <v>84</v>
      </c>
      <c r="E40" t="s">
        <v>99</v>
      </c>
    </row>
    <row r="41" spans="4:36" x14ac:dyDescent="0.25">
      <c r="D41" t="s">
        <v>86</v>
      </c>
      <c r="E41" t="s">
        <v>106</v>
      </c>
    </row>
    <row r="42" spans="4:36" x14ac:dyDescent="0.25">
      <c r="D42" t="s">
        <v>101</v>
      </c>
      <c r="E42">
        <v>10</v>
      </c>
      <c r="F42">
        <v>10</v>
      </c>
      <c r="G42">
        <v>5</v>
      </c>
      <c r="H42">
        <v>5</v>
      </c>
      <c r="I42">
        <v>2.5</v>
      </c>
      <c r="J42">
        <v>2.5</v>
      </c>
      <c r="K42">
        <v>1.25</v>
      </c>
      <c r="L42">
        <v>1.25</v>
      </c>
      <c r="M42">
        <v>0.626</v>
      </c>
      <c r="N42">
        <v>0.626</v>
      </c>
      <c r="O42">
        <v>0.312</v>
      </c>
      <c r="P42">
        <v>0.31</v>
      </c>
    </row>
    <row r="43" spans="4:36" x14ac:dyDescent="0.25">
      <c r="D43" t="s">
        <v>109</v>
      </c>
    </row>
    <row r="45" spans="4:36" x14ac:dyDescent="0.25">
      <c r="D45" t="s">
        <v>84</v>
      </c>
      <c r="E45" t="s">
        <v>99</v>
      </c>
    </row>
    <row r="46" spans="4:36" x14ac:dyDescent="0.25">
      <c r="D46" t="s">
        <v>86</v>
      </c>
      <c r="E46" t="s">
        <v>110</v>
      </c>
    </row>
    <row r="47" spans="4:36" x14ac:dyDescent="0.25">
      <c r="D47" t="s">
        <v>111</v>
      </c>
      <c r="E47" t="s">
        <v>54</v>
      </c>
      <c r="F47" t="s">
        <v>54</v>
      </c>
      <c r="G47" t="s">
        <v>54</v>
      </c>
      <c r="H47" t="s">
        <v>54</v>
      </c>
      <c r="I47" t="s">
        <v>54</v>
      </c>
      <c r="J47" t="s">
        <v>54</v>
      </c>
      <c r="K47" t="s">
        <v>54</v>
      </c>
      <c r="L47" t="s">
        <v>54</v>
      </c>
      <c r="M47" t="s">
        <v>54</v>
      </c>
      <c r="N47" t="s">
        <v>54</v>
      </c>
      <c r="O47" t="s">
        <v>54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t="s">
        <v>54</v>
      </c>
      <c r="Y47" t="s">
        <v>54</v>
      </c>
      <c r="Z47" t="s">
        <v>54</v>
      </c>
      <c r="AA47" t="s">
        <v>54</v>
      </c>
      <c r="AB47" t="s">
        <v>54</v>
      </c>
      <c r="AC47" t="s">
        <v>54</v>
      </c>
      <c r="AD47" t="s">
        <v>54</v>
      </c>
      <c r="AE47" t="s">
        <v>54</v>
      </c>
      <c r="AF47" t="s">
        <v>54</v>
      </c>
      <c r="AG47" t="s">
        <v>54</v>
      </c>
      <c r="AH47" t="s">
        <v>54</v>
      </c>
      <c r="AI47" t="s">
        <v>54</v>
      </c>
      <c r="AJ47" t="s">
        <v>54</v>
      </c>
    </row>
    <row r="48" spans="4:36" x14ac:dyDescent="0.25">
      <c r="D48" t="s">
        <v>112</v>
      </c>
      <c r="E48">
        <v>1</v>
      </c>
      <c r="F48">
        <v>2</v>
      </c>
      <c r="G48">
        <v>3</v>
      </c>
      <c r="H48">
        <v>4</v>
      </c>
      <c r="I48">
        <v>5</v>
      </c>
      <c r="J48">
        <v>6</v>
      </c>
      <c r="K48">
        <v>7</v>
      </c>
      <c r="L48">
        <v>8</v>
      </c>
      <c r="M48">
        <v>9</v>
      </c>
      <c r="N48">
        <v>10</v>
      </c>
      <c r="O48">
        <v>11</v>
      </c>
      <c r="P48">
        <v>12</v>
      </c>
      <c r="Q48">
        <v>13</v>
      </c>
      <c r="R48">
        <v>14</v>
      </c>
      <c r="S48">
        <v>15</v>
      </c>
      <c r="T48">
        <v>16</v>
      </c>
      <c r="U48">
        <v>17</v>
      </c>
      <c r="V48">
        <v>18</v>
      </c>
      <c r="W48">
        <v>19</v>
      </c>
      <c r="X48">
        <v>20</v>
      </c>
      <c r="Y48">
        <v>21</v>
      </c>
      <c r="Z48">
        <v>22</v>
      </c>
      <c r="AA48">
        <v>23</v>
      </c>
      <c r="AB48">
        <v>24</v>
      </c>
      <c r="AC48">
        <v>25</v>
      </c>
      <c r="AD48">
        <v>26</v>
      </c>
      <c r="AE48">
        <v>27</v>
      </c>
      <c r="AF48">
        <v>28</v>
      </c>
      <c r="AG48">
        <v>29</v>
      </c>
      <c r="AH48">
        <v>30</v>
      </c>
      <c r="AI48">
        <v>31</v>
      </c>
      <c r="AJ48">
        <v>32</v>
      </c>
    </row>
    <row r="49" spans="4:36" x14ac:dyDescent="0.25">
      <c r="D49" t="s">
        <v>113</v>
      </c>
      <c r="E49" t="s">
        <v>65</v>
      </c>
      <c r="F49" t="s">
        <v>65</v>
      </c>
      <c r="G49" t="s">
        <v>66</v>
      </c>
      <c r="H49" t="s">
        <v>66</v>
      </c>
      <c r="I49" t="s">
        <v>66</v>
      </c>
      <c r="J49" t="s">
        <v>66</v>
      </c>
      <c r="K49" t="s">
        <v>66</v>
      </c>
      <c r="L49" t="s">
        <v>66</v>
      </c>
      <c r="M49" t="s">
        <v>66</v>
      </c>
      <c r="N49" t="s">
        <v>66</v>
      </c>
      <c r="O49" t="s">
        <v>66</v>
      </c>
      <c r="P49" t="s">
        <v>66</v>
      </c>
      <c r="Q49" t="s">
        <v>66</v>
      </c>
      <c r="R49" t="s">
        <v>66</v>
      </c>
      <c r="S49" t="s">
        <v>66</v>
      </c>
      <c r="T49" t="s">
        <v>66</v>
      </c>
      <c r="U49" t="s">
        <v>66</v>
      </c>
      <c r="V49" t="s">
        <v>66</v>
      </c>
      <c r="W49" t="s">
        <v>66</v>
      </c>
      <c r="X49" t="s">
        <v>66</v>
      </c>
      <c r="Y49" t="s">
        <v>66</v>
      </c>
      <c r="Z49" t="s">
        <v>66</v>
      </c>
      <c r="AA49" t="s">
        <v>66</v>
      </c>
      <c r="AB49" t="s">
        <v>66</v>
      </c>
      <c r="AC49" t="s">
        <v>66</v>
      </c>
      <c r="AD49" t="s">
        <v>66</v>
      </c>
      <c r="AE49" t="s">
        <v>66</v>
      </c>
      <c r="AF49" t="s">
        <v>66</v>
      </c>
      <c r="AG49" t="s">
        <v>66</v>
      </c>
      <c r="AH49" t="s">
        <v>66</v>
      </c>
      <c r="AI49" t="s">
        <v>66</v>
      </c>
      <c r="AJ49" t="s">
        <v>66</v>
      </c>
    </row>
    <row r="50" spans="4:36" x14ac:dyDescent="0.25">
      <c r="D50" t="s">
        <v>114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K50">
        <v>7</v>
      </c>
      <c r="L50">
        <v>8</v>
      </c>
      <c r="M50">
        <v>9</v>
      </c>
      <c r="N50">
        <v>10</v>
      </c>
      <c r="O50">
        <v>11</v>
      </c>
      <c r="P50">
        <v>12</v>
      </c>
      <c r="Q50">
        <v>13</v>
      </c>
      <c r="R50">
        <v>14</v>
      </c>
      <c r="S50">
        <v>15</v>
      </c>
      <c r="T50">
        <v>16</v>
      </c>
      <c r="U50">
        <v>17</v>
      </c>
      <c r="V50">
        <v>18</v>
      </c>
      <c r="W50">
        <v>19</v>
      </c>
      <c r="X50">
        <v>20</v>
      </c>
      <c r="Y50">
        <v>21</v>
      </c>
      <c r="Z50">
        <v>22</v>
      </c>
      <c r="AA50">
        <v>23</v>
      </c>
      <c r="AB50">
        <v>24</v>
      </c>
      <c r="AC50">
        <v>25</v>
      </c>
      <c r="AD50">
        <v>26</v>
      </c>
      <c r="AE50">
        <v>27</v>
      </c>
      <c r="AF50">
        <v>28</v>
      </c>
      <c r="AG50">
        <v>29</v>
      </c>
      <c r="AH50">
        <v>30</v>
      </c>
      <c r="AI50">
        <v>31</v>
      </c>
      <c r="AJ50">
        <v>32</v>
      </c>
    </row>
    <row r="51" spans="4:36" x14ac:dyDescent="0.25">
      <c r="D51" t="s">
        <v>101</v>
      </c>
      <c r="E51">
        <v>20</v>
      </c>
      <c r="F51">
        <v>20</v>
      </c>
      <c r="G51">
        <v>10</v>
      </c>
      <c r="H51">
        <v>10</v>
      </c>
      <c r="I51">
        <v>15</v>
      </c>
      <c r="J51">
        <v>15</v>
      </c>
      <c r="K51">
        <v>17.5</v>
      </c>
      <c r="L51">
        <v>17.5</v>
      </c>
      <c r="M51">
        <v>18.75</v>
      </c>
      <c r="N51">
        <v>18.75</v>
      </c>
      <c r="O51">
        <v>19.373999999999999</v>
      </c>
      <c r="P51">
        <v>19.373999999999999</v>
      </c>
      <c r="Q51">
        <v>19.687999999999999</v>
      </c>
      <c r="R51">
        <v>19.687999999999999</v>
      </c>
      <c r="S51">
        <v>20</v>
      </c>
      <c r="T51">
        <v>20</v>
      </c>
      <c r="U51">
        <v>20</v>
      </c>
      <c r="V51">
        <v>20</v>
      </c>
      <c r="W51">
        <v>20</v>
      </c>
      <c r="X51">
        <v>20</v>
      </c>
      <c r="Y51">
        <v>20</v>
      </c>
      <c r="Z51">
        <v>20</v>
      </c>
      <c r="AA51">
        <v>20</v>
      </c>
      <c r="AB51">
        <v>20</v>
      </c>
      <c r="AC51">
        <v>20</v>
      </c>
      <c r="AD51">
        <v>20</v>
      </c>
      <c r="AE51">
        <v>20</v>
      </c>
      <c r="AF51">
        <v>20</v>
      </c>
      <c r="AG51">
        <v>20</v>
      </c>
      <c r="AH51">
        <v>20</v>
      </c>
      <c r="AI51">
        <v>20</v>
      </c>
      <c r="AJ51">
        <v>20</v>
      </c>
    </row>
    <row r="52" spans="4:36" x14ac:dyDescent="0.25">
      <c r="D52" t="s">
        <v>115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</row>
    <row r="53" spans="4:36" x14ac:dyDescent="0.25">
      <c r="D53" t="s">
        <v>116</v>
      </c>
      <c r="E53" t="s">
        <v>75</v>
      </c>
      <c r="F53" t="s">
        <v>75</v>
      </c>
      <c r="G53" t="s">
        <v>75</v>
      </c>
      <c r="H53" t="s">
        <v>75</v>
      </c>
      <c r="I53" t="s">
        <v>75</v>
      </c>
      <c r="J53" t="s">
        <v>75</v>
      </c>
      <c r="K53" t="s">
        <v>75</v>
      </c>
      <c r="L53" t="s">
        <v>75</v>
      </c>
      <c r="M53" t="s">
        <v>75</v>
      </c>
      <c r="N53" t="s">
        <v>75</v>
      </c>
      <c r="O53" t="s">
        <v>75</v>
      </c>
      <c r="P53" t="s">
        <v>75</v>
      </c>
      <c r="Q53" t="s">
        <v>75</v>
      </c>
      <c r="R53" t="s">
        <v>75</v>
      </c>
      <c r="S53" t="s">
        <v>75</v>
      </c>
      <c r="T53" t="s">
        <v>75</v>
      </c>
      <c r="U53" t="s">
        <v>75</v>
      </c>
      <c r="V53" t="s">
        <v>75</v>
      </c>
      <c r="W53" t="s">
        <v>75</v>
      </c>
      <c r="X53" t="s">
        <v>75</v>
      </c>
      <c r="Y53" t="s">
        <v>75</v>
      </c>
      <c r="Z53" t="s">
        <v>75</v>
      </c>
      <c r="AA53" t="s">
        <v>75</v>
      </c>
      <c r="AB53" t="s">
        <v>75</v>
      </c>
      <c r="AC53" t="s">
        <v>75</v>
      </c>
      <c r="AD53" t="s">
        <v>75</v>
      </c>
      <c r="AE53" t="s">
        <v>75</v>
      </c>
      <c r="AF53" t="s">
        <v>75</v>
      </c>
      <c r="AG53" t="s">
        <v>75</v>
      </c>
      <c r="AH53" t="s">
        <v>75</v>
      </c>
      <c r="AI53" t="s">
        <v>75</v>
      </c>
      <c r="AJ53" t="s">
        <v>75</v>
      </c>
    </row>
    <row r="54" spans="4:36" x14ac:dyDescent="0.25">
      <c r="D54" t="s">
        <v>117</v>
      </c>
    </row>
    <row r="55" spans="4:36" x14ac:dyDescent="0.25">
      <c r="D55" t="s">
        <v>118</v>
      </c>
    </row>
    <row r="56" spans="4:36" x14ac:dyDescent="0.25">
      <c r="D56" t="s">
        <v>119</v>
      </c>
      <c r="E56">
        <v>0</v>
      </c>
    </row>
    <row r="57" spans="4:36" x14ac:dyDescent="0.25">
      <c r="D57" t="s">
        <v>120</v>
      </c>
      <c r="E57" t="s">
        <v>121</v>
      </c>
    </row>
    <row r="58" spans="4:36" x14ac:dyDescent="0.25">
      <c r="D58" t="s">
        <v>122</v>
      </c>
    </row>
    <row r="60" spans="4:36" x14ac:dyDescent="0.25">
      <c r="D60" t="s">
        <v>84</v>
      </c>
      <c r="E60" t="s">
        <v>99</v>
      </c>
    </row>
    <row r="61" spans="4:36" x14ac:dyDescent="0.25">
      <c r="D61" t="s">
        <v>86</v>
      </c>
      <c r="E61" t="s">
        <v>110</v>
      </c>
    </row>
    <row r="62" spans="4:36" x14ac:dyDescent="0.25">
      <c r="D62" t="s">
        <v>111</v>
      </c>
      <c r="E62" t="s">
        <v>54</v>
      </c>
      <c r="F62" t="s">
        <v>54</v>
      </c>
      <c r="G62" t="s">
        <v>54</v>
      </c>
      <c r="H62" t="s">
        <v>54</v>
      </c>
      <c r="I62" t="s">
        <v>54</v>
      </c>
      <c r="J62" t="s">
        <v>54</v>
      </c>
      <c r="K62" t="s">
        <v>54</v>
      </c>
      <c r="L62" t="s">
        <v>54</v>
      </c>
      <c r="M62" t="s">
        <v>54</v>
      </c>
      <c r="N62" t="s">
        <v>54</v>
      </c>
      <c r="O62" t="s">
        <v>54</v>
      </c>
      <c r="P62" t="s">
        <v>54</v>
      </c>
    </row>
    <row r="63" spans="4:36" x14ac:dyDescent="0.25">
      <c r="D63" t="s">
        <v>112</v>
      </c>
      <c r="E63">
        <v>3</v>
      </c>
      <c r="F63">
        <v>4</v>
      </c>
      <c r="G63">
        <v>5</v>
      </c>
      <c r="H63">
        <v>6</v>
      </c>
      <c r="I63">
        <v>7</v>
      </c>
      <c r="J63">
        <v>8</v>
      </c>
      <c r="K63">
        <v>9</v>
      </c>
      <c r="L63">
        <v>10</v>
      </c>
      <c r="M63">
        <v>11</v>
      </c>
      <c r="N63">
        <v>12</v>
      </c>
      <c r="O63">
        <v>13</v>
      </c>
      <c r="P63">
        <v>14</v>
      </c>
    </row>
    <row r="64" spans="4:36" x14ac:dyDescent="0.25">
      <c r="D64" t="s">
        <v>113</v>
      </c>
      <c r="E64" t="s">
        <v>65</v>
      </c>
      <c r="F64" t="s">
        <v>65</v>
      </c>
      <c r="G64" t="s">
        <v>65</v>
      </c>
      <c r="H64" t="s">
        <v>65</v>
      </c>
      <c r="I64" t="s">
        <v>65</v>
      </c>
      <c r="J64" t="s">
        <v>65</v>
      </c>
      <c r="K64" t="s">
        <v>65</v>
      </c>
      <c r="L64" t="s">
        <v>65</v>
      </c>
      <c r="M64" t="s">
        <v>65</v>
      </c>
      <c r="N64" t="s">
        <v>65</v>
      </c>
      <c r="O64" t="s">
        <v>65</v>
      </c>
      <c r="P64" t="s">
        <v>65</v>
      </c>
    </row>
    <row r="65" spans="2:16" x14ac:dyDescent="0.25">
      <c r="D65" t="s">
        <v>114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</row>
    <row r="66" spans="2:16" x14ac:dyDescent="0.25">
      <c r="D66" t="s">
        <v>101</v>
      </c>
      <c r="E66">
        <v>10</v>
      </c>
      <c r="F66">
        <v>10</v>
      </c>
      <c r="G66">
        <v>5</v>
      </c>
      <c r="H66">
        <v>5</v>
      </c>
      <c r="I66">
        <v>2.5</v>
      </c>
      <c r="J66">
        <v>2.5</v>
      </c>
      <c r="K66">
        <v>1.25</v>
      </c>
      <c r="L66">
        <v>1.25</v>
      </c>
      <c r="M66">
        <v>0.626</v>
      </c>
      <c r="N66">
        <v>0.626</v>
      </c>
      <c r="O66">
        <v>0.312</v>
      </c>
      <c r="P66">
        <v>0.312</v>
      </c>
    </row>
    <row r="67" spans="2:16" x14ac:dyDescent="0.25">
      <c r="D67" t="s">
        <v>115</v>
      </c>
      <c r="E67">
        <v>10</v>
      </c>
      <c r="F67">
        <v>10</v>
      </c>
      <c r="G67">
        <v>15</v>
      </c>
      <c r="H67">
        <v>15</v>
      </c>
      <c r="I67">
        <v>17.5</v>
      </c>
      <c r="J67">
        <v>17.5</v>
      </c>
      <c r="K67">
        <v>18.75</v>
      </c>
      <c r="L67">
        <v>18.75</v>
      </c>
      <c r="M67">
        <v>19.373999999999999</v>
      </c>
      <c r="N67">
        <v>19.373999999999999</v>
      </c>
      <c r="O67">
        <v>19.687999999999999</v>
      </c>
      <c r="P67">
        <v>19.687999999999999</v>
      </c>
    </row>
    <row r="68" spans="2:16" x14ac:dyDescent="0.25">
      <c r="D68" t="s">
        <v>116</v>
      </c>
      <c r="E68" t="s">
        <v>22</v>
      </c>
      <c r="F68" t="s">
        <v>22</v>
      </c>
      <c r="G68" t="s">
        <v>22</v>
      </c>
      <c r="H68" t="s">
        <v>22</v>
      </c>
      <c r="I68" t="s">
        <v>22</v>
      </c>
      <c r="J68" t="s">
        <v>22</v>
      </c>
      <c r="K68" t="s">
        <v>22</v>
      </c>
      <c r="L68" t="s">
        <v>22</v>
      </c>
      <c r="M68" t="s">
        <v>22</v>
      </c>
      <c r="N68" t="s">
        <v>22</v>
      </c>
      <c r="O68" t="s">
        <v>22</v>
      </c>
      <c r="P68" t="s">
        <v>22</v>
      </c>
    </row>
    <row r="69" spans="2:16" x14ac:dyDescent="0.25">
      <c r="D69" t="s">
        <v>117</v>
      </c>
    </row>
    <row r="70" spans="2:16" x14ac:dyDescent="0.25">
      <c r="D70" t="s">
        <v>118</v>
      </c>
    </row>
    <row r="71" spans="2:16" x14ac:dyDescent="0.25">
      <c r="D71" t="s">
        <v>119</v>
      </c>
      <c r="E71">
        <v>0</v>
      </c>
    </row>
    <row r="72" spans="2:16" x14ac:dyDescent="0.25">
      <c r="D72" t="s">
        <v>120</v>
      </c>
      <c r="E72" t="s">
        <v>121</v>
      </c>
    </row>
    <row r="73" spans="2:16" x14ac:dyDescent="0.25">
      <c r="D73" t="s">
        <v>123</v>
      </c>
    </row>
    <row r="78" spans="2:16" x14ac:dyDescent="0.25">
      <c r="B78" t="s">
        <v>124</v>
      </c>
    </row>
    <row r="79" spans="2:16" x14ac:dyDescent="0.25">
      <c r="B79" t="s">
        <v>125</v>
      </c>
    </row>
    <row r="80" spans="2:16" x14ac:dyDescent="0.25">
      <c r="B80" t="s">
        <v>126</v>
      </c>
    </row>
    <row r="81" spans="2:20" x14ac:dyDescent="0.25">
      <c r="B81" t="s">
        <v>127</v>
      </c>
    </row>
    <row r="82" spans="2:20" x14ac:dyDescent="0.25">
      <c r="B82" t="s">
        <v>128</v>
      </c>
    </row>
    <row r="83" spans="2:20" x14ac:dyDescent="0.25">
      <c r="B83" t="s">
        <v>129</v>
      </c>
    </row>
    <row r="84" spans="2:20" x14ac:dyDescent="0.25">
      <c r="B84" t="s">
        <v>130</v>
      </c>
    </row>
    <row r="86" spans="2:20" x14ac:dyDescent="0.25">
      <c r="C86" t="s">
        <v>24</v>
      </c>
    </row>
    <row r="88" spans="2:20" x14ac:dyDescent="0.25">
      <c r="D88" t="s">
        <v>84</v>
      </c>
      <c r="E88" t="s">
        <v>99</v>
      </c>
    </row>
    <row r="89" spans="2:20" x14ac:dyDescent="0.25">
      <c r="D89" t="s">
        <v>86</v>
      </c>
      <c r="E89" t="s">
        <v>100</v>
      </c>
    </row>
    <row r="90" spans="2:20" x14ac:dyDescent="0.25">
      <c r="D90" t="s">
        <v>101</v>
      </c>
      <c r="E90">
        <v>20</v>
      </c>
      <c r="F90">
        <v>10</v>
      </c>
      <c r="G90">
        <v>10</v>
      </c>
      <c r="H90">
        <v>10</v>
      </c>
      <c r="I90">
        <v>10</v>
      </c>
      <c r="J90">
        <v>10</v>
      </c>
      <c r="K90">
        <v>10</v>
      </c>
      <c r="L90">
        <v>10</v>
      </c>
      <c r="M90">
        <v>10</v>
      </c>
      <c r="N90">
        <v>10</v>
      </c>
      <c r="O90">
        <v>10</v>
      </c>
      <c r="P90">
        <v>10</v>
      </c>
      <c r="Q90">
        <v>10</v>
      </c>
      <c r="R90">
        <v>10</v>
      </c>
      <c r="S90">
        <v>10</v>
      </c>
      <c r="T90">
        <v>10</v>
      </c>
    </row>
    <row r="91" spans="2:20" x14ac:dyDescent="0.25">
      <c r="D91" t="s">
        <v>102</v>
      </c>
      <c r="E91" t="s">
        <v>103</v>
      </c>
      <c r="F91" t="s">
        <v>103</v>
      </c>
      <c r="G91" t="s">
        <v>103</v>
      </c>
      <c r="H91" t="s">
        <v>103</v>
      </c>
      <c r="I91" t="s">
        <v>103</v>
      </c>
      <c r="J91" t="s">
        <v>103</v>
      </c>
      <c r="K91" t="s">
        <v>103</v>
      </c>
      <c r="L91" t="s">
        <v>103</v>
      </c>
      <c r="M91" t="s">
        <v>103</v>
      </c>
      <c r="N91" t="s">
        <v>103</v>
      </c>
      <c r="O91" t="s">
        <v>103</v>
      </c>
      <c r="P91" t="s">
        <v>103</v>
      </c>
      <c r="Q91" t="s">
        <v>103</v>
      </c>
      <c r="R91" t="s">
        <v>103</v>
      </c>
      <c r="S91" t="s">
        <v>103</v>
      </c>
      <c r="T91" t="s">
        <v>104</v>
      </c>
    </row>
    <row r="92" spans="2:20" x14ac:dyDescent="0.25">
      <c r="D92" t="s">
        <v>131</v>
      </c>
    </row>
    <row r="94" spans="2:20" x14ac:dyDescent="0.25">
      <c r="D94" t="s">
        <v>84</v>
      </c>
      <c r="E94" t="s">
        <v>99</v>
      </c>
    </row>
    <row r="95" spans="2:20" x14ac:dyDescent="0.25">
      <c r="D95" t="s">
        <v>86</v>
      </c>
      <c r="E95" t="s">
        <v>106</v>
      </c>
    </row>
    <row r="96" spans="2:20" x14ac:dyDescent="0.25">
      <c r="D96" t="s">
        <v>101</v>
      </c>
      <c r="E96">
        <v>20</v>
      </c>
      <c r="F96">
        <v>10</v>
      </c>
      <c r="G96">
        <v>10</v>
      </c>
      <c r="H96">
        <v>10</v>
      </c>
      <c r="I96">
        <v>10</v>
      </c>
      <c r="J96">
        <v>10</v>
      </c>
      <c r="K96">
        <v>10</v>
      </c>
      <c r="L96">
        <v>10</v>
      </c>
      <c r="M96">
        <v>10</v>
      </c>
      <c r="N96">
        <v>10</v>
      </c>
      <c r="O96">
        <v>10</v>
      </c>
      <c r="P96">
        <v>10</v>
      </c>
      <c r="Q96">
        <v>10</v>
      </c>
      <c r="R96">
        <v>10</v>
      </c>
      <c r="S96">
        <v>10</v>
      </c>
      <c r="T96">
        <v>10</v>
      </c>
    </row>
    <row r="97" spans="4:20" x14ac:dyDescent="0.25">
      <c r="D97" t="s">
        <v>132</v>
      </c>
    </row>
    <row r="99" spans="4:20" x14ac:dyDescent="0.25">
      <c r="D99" t="s">
        <v>84</v>
      </c>
      <c r="E99" t="s">
        <v>99</v>
      </c>
    </row>
    <row r="100" spans="4:20" x14ac:dyDescent="0.25">
      <c r="D100" t="s">
        <v>86</v>
      </c>
      <c r="E100" t="s">
        <v>110</v>
      </c>
    </row>
    <row r="101" spans="4:20" x14ac:dyDescent="0.25">
      <c r="D101" t="s">
        <v>111</v>
      </c>
      <c r="E101" t="s">
        <v>54</v>
      </c>
      <c r="F101" t="s">
        <v>54</v>
      </c>
      <c r="G101" t="s">
        <v>54</v>
      </c>
      <c r="H101" t="s">
        <v>54</v>
      </c>
      <c r="I101" t="s">
        <v>54</v>
      </c>
      <c r="J101" t="s">
        <v>54</v>
      </c>
      <c r="K101" t="s">
        <v>54</v>
      </c>
      <c r="L101" t="s">
        <v>54</v>
      </c>
      <c r="M101" t="s">
        <v>54</v>
      </c>
      <c r="N101" t="s">
        <v>54</v>
      </c>
      <c r="O101" t="s">
        <v>54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</row>
    <row r="102" spans="4:20" x14ac:dyDescent="0.25">
      <c r="D102" t="s">
        <v>112</v>
      </c>
      <c r="E102">
        <v>17</v>
      </c>
      <c r="F102">
        <v>18</v>
      </c>
      <c r="G102">
        <v>19</v>
      </c>
      <c r="H102">
        <v>20</v>
      </c>
      <c r="I102">
        <v>21</v>
      </c>
      <c r="J102">
        <v>22</v>
      </c>
      <c r="K102">
        <v>23</v>
      </c>
      <c r="L102">
        <v>24</v>
      </c>
      <c r="M102">
        <v>25</v>
      </c>
      <c r="N102">
        <v>26</v>
      </c>
      <c r="O102">
        <v>27</v>
      </c>
      <c r="P102">
        <v>28</v>
      </c>
      <c r="Q102">
        <v>29</v>
      </c>
      <c r="R102">
        <v>30</v>
      </c>
      <c r="S102">
        <v>31</v>
      </c>
      <c r="T102">
        <v>32</v>
      </c>
    </row>
    <row r="103" spans="4:20" x14ac:dyDescent="0.25">
      <c r="D103" t="s">
        <v>113</v>
      </c>
      <c r="E103" t="s">
        <v>8</v>
      </c>
      <c r="F103" t="s">
        <v>8</v>
      </c>
      <c r="G103" t="s">
        <v>8</v>
      </c>
      <c r="H103" t="s">
        <v>8</v>
      </c>
      <c r="I103" t="s">
        <v>8</v>
      </c>
      <c r="J103" t="s">
        <v>8</v>
      </c>
      <c r="K103" t="s">
        <v>8</v>
      </c>
      <c r="L103" t="s">
        <v>8</v>
      </c>
      <c r="M103" t="s">
        <v>8</v>
      </c>
      <c r="N103" t="s">
        <v>8</v>
      </c>
      <c r="O103" t="s">
        <v>8</v>
      </c>
      <c r="P103" t="s">
        <v>8</v>
      </c>
      <c r="Q103" t="s">
        <v>8</v>
      </c>
      <c r="R103" t="s">
        <v>8</v>
      </c>
      <c r="S103" t="s">
        <v>8</v>
      </c>
      <c r="T103" t="s">
        <v>8</v>
      </c>
    </row>
    <row r="104" spans="4:20" x14ac:dyDescent="0.25">
      <c r="D104" t="s">
        <v>114</v>
      </c>
      <c r="E104">
        <v>17</v>
      </c>
      <c r="F104">
        <v>18</v>
      </c>
      <c r="G104">
        <v>19</v>
      </c>
      <c r="H104">
        <v>20</v>
      </c>
      <c r="I104">
        <v>21</v>
      </c>
      <c r="J104">
        <v>22</v>
      </c>
      <c r="K104">
        <v>23</v>
      </c>
      <c r="L104">
        <v>24</v>
      </c>
      <c r="M104">
        <v>25</v>
      </c>
      <c r="N104">
        <v>26</v>
      </c>
      <c r="O104">
        <v>27</v>
      </c>
      <c r="P104">
        <v>28</v>
      </c>
      <c r="Q104">
        <v>29</v>
      </c>
      <c r="R104">
        <v>30</v>
      </c>
      <c r="S104">
        <v>31</v>
      </c>
      <c r="T104">
        <v>32</v>
      </c>
    </row>
    <row r="105" spans="4:20" x14ac:dyDescent="0.25">
      <c r="D105" t="s">
        <v>101</v>
      </c>
      <c r="E105">
        <v>20</v>
      </c>
      <c r="F105">
        <v>10</v>
      </c>
      <c r="G105">
        <v>10</v>
      </c>
      <c r="H105">
        <v>10</v>
      </c>
      <c r="I105">
        <v>10</v>
      </c>
      <c r="J105">
        <v>10</v>
      </c>
      <c r="K105">
        <v>10</v>
      </c>
      <c r="L105">
        <v>10</v>
      </c>
      <c r="M105">
        <v>10</v>
      </c>
      <c r="N105">
        <v>10</v>
      </c>
      <c r="O105">
        <v>10</v>
      </c>
      <c r="P105">
        <v>10</v>
      </c>
      <c r="Q105">
        <v>10</v>
      </c>
      <c r="R105">
        <v>10</v>
      </c>
      <c r="S105">
        <v>10</v>
      </c>
      <c r="T105">
        <v>10</v>
      </c>
    </row>
    <row r="106" spans="4:20" x14ac:dyDescent="0.25">
      <c r="D106" t="s">
        <v>115</v>
      </c>
      <c r="E106">
        <v>20</v>
      </c>
      <c r="F106">
        <v>20</v>
      </c>
      <c r="G106">
        <v>20</v>
      </c>
      <c r="H106">
        <v>20</v>
      </c>
      <c r="I106">
        <v>20</v>
      </c>
      <c r="J106">
        <v>20</v>
      </c>
      <c r="K106">
        <v>20</v>
      </c>
      <c r="L106">
        <v>20</v>
      </c>
      <c r="M106">
        <v>20</v>
      </c>
      <c r="N106">
        <v>20</v>
      </c>
      <c r="O106">
        <v>20</v>
      </c>
      <c r="P106">
        <v>20</v>
      </c>
      <c r="Q106">
        <v>20</v>
      </c>
      <c r="R106">
        <v>20</v>
      </c>
      <c r="S106">
        <v>20</v>
      </c>
      <c r="T106">
        <v>20</v>
      </c>
    </row>
    <row r="107" spans="4:20" x14ac:dyDescent="0.25">
      <c r="D107" t="s">
        <v>116</v>
      </c>
      <c r="E107" t="s">
        <v>22</v>
      </c>
      <c r="F107" t="s">
        <v>22</v>
      </c>
      <c r="G107" t="s">
        <v>22</v>
      </c>
      <c r="H107" t="s">
        <v>22</v>
      </c>
      <c r="I107" t="s">
        <v>22</v>
      </c>
      <c r="J107" t="s">
        <v>22</v>
      </c>
      <c r="K107" t="s">
        <v>22</v>
      </c>
      <c r="L107" t="s">
        <v>22</v>
      </c>
      <c r="M107" t="s">
        <v>22</v>
      </c>
      <c r="N107" t="s">
        <v>22</v>
      </c>
      <c r="O107" t="s">
        <v>22</v>
      </c>
      <c r="P107" t="s">
        <v>22</v>
      </c>
      <c r="Q107" t="s">
        <v>22</v>
      </c>
      <c r="R107" t="s">
        <v>22</v>
      </c>
      <c r="S107" t="s">
        <v>22</v>
      </c>
      <c r="T107" t="s">
        <v>22</v>
      </c>
    </row>
    <row r="108" spans="4:20" x14ac:dyDescent="0.25">
      <c r="D108" t="s">
        <v>117</v>
      </c>
    </row>
    <row r="109" spans="4:20" x14ac:dyDescent="0.25">
      <c r="D109" t="s">
        <v>118</v>
      </c>
    </row>
    <row r="110" spans="4:20" x14ac:dyDescent="0.25">
      <c r="D110" t="s">
        <v>119</v>
      </c>
      <c r="E110">
        <v>0</v>
      </c>
    </row>
    <row r="111" spans="4:20" x14ac:dyDescent="0.25">
      <c r="D111" t="s">
        <v>120</v>
      </c>
      <c r="E111" t="s">
        <v>121</v>
      </c>
    </row>
    <row r="112" spans="4:20" x14ac:dyDescent="0.25">
      <c r="D112" t="s">
        <v>133</v>
      </c>
    </row>
    <row r="117" spans="2:5" x14ac:dyDescent="0.25">
      <c r="B117" t="s">
        <v>124</v>
      </c>
    </row>
    <row r="118" spans="2:5" x14ac:dyDescent="0.25">
      <c r="B118" t="s">
        <v>134</v>
      </c>
    </row>
    <row r="119" spans="2:5" x14ac:dyDescent="0.25">
      <c r="B119" t="s">
        <v>135</v>
      </c>
    </row>
    <row r="120" spans="2:5" x14ac:dyDescent="0.25">
      <c r="B120" t="s">
        <v>127</v>
      </c>
    </row>
    <row r="121" spans="2:5" x14ac:dyDescent="0.25">
      <c r="B121" t="s">
        <v>128</v>
      </c>
    </row>
    <row r="122" spans="2:5" x14ac:dyDescent="0.25">
      <c r="B122" t="s">
        <v>136</v>
      </c>
    </row>
    <row r="123" spans="2:5" x14ac:dyDescent="0.25">
      <c r="B123" t="s">
        <v>130</v>
      </c>
    </row>
    <row r="125" spans="2:5" x14ac:dyDescent="0.25">
      <c r="C125" t="s">
        <v>24</v>
      </c>
    </row>
    <row r="127" spans="2:5" x14ac:dyDescent="0.25">
      <c r="D127" t="s">
        <v>84</v>
      </c>
      <c r="E127" t="s">
        <v>99</v>
      </c>
    </row>
    <row r="128" spans="2:5" x14ac:dyDescent="0.25">
      <c r="D128" t="s">
        <v>86</v>
      </c>
      <c r="E128" t="s">
        <v>100</v>
      </c>
    </row>
    <row r="129" spans="4:19" x14ac:dyDescent="0.25">
      <c r="D129" t="s">
        <v>101</v>
      </c>
      <c r="E129">
        <v>10</v>
      </c>
      <c r="F129">
        <v>10</v>
      </c>
      <c r="G129">
        <v>10</v>
      </c>
      <c r="H129">
        <v>10</v>
      </c>
      <c r="I129">
        <v>10</v>
      </c>
      <c r="J129">
        <v>10</v>
      </c>
      <c r="K129">
        <v>10</v>
      </c>
      <c r="L129">
        <v>10</v>
      </c>
      <c r="M129">
        <v>10</v>
      </c>
      <c r="N129">
        <v>10</v>
      </c>
      <c r="O129">
        <v>10</v>
      </c>
      <c r="P129">
        <v>10</v>
      </c>
      <c r="Q129">
        <v>10</v>
      </c>
      <c r="R129">
        <v>10</v>
      </c>
      <c r="S129">
        <v>10</v>
      </c>
    </row>
    <row r="130" spans="4:19" x14ac:dyDescent="0.25">
      <c r="D130" t="s">
        <v>102</v>
      </c>
      <c r="E130" t="s">
        <v>103</v>
      </c>
      <c r="F130" t="s">
        <v>103</v>
      </c>
      <c r="G130" t="s">
        <v>103</v>
      </c>
      <c r="H130" t="s">
        <v>103</v>
      </c>
      <c r="I130" t="s">
        <v>103</v>
      </c>
      <c r="J130" t="s">
        <v>103</v>
      </c>
      <c r="K130" t="s">
        <v>103</v>
      </c>
      <c r="L130" t="s">
        <v>103</v>
      </c>
      <c r="M130" t="s">
        <v>103</v>
      </c>
      <c r="N130" t="s">
        <v>103</v>
      </c>
      <c r="O130" t="s">
        <v>103</v>
      </c>
      <c r="P130" t="s">
        <v>103</v>
      </c>
      <c r="Q130" t="s">
        <v>103</v>
      </c>
      <c r="R130" t="s">
        <v>103</v>
      </c>
      <c r="S130" t="s">
        <v>104</v>
      </c>
    </row>
    <row r="131" spans="4:19" x14ac:dyDescent="0.25">
      <c r="D131" t="s">
        <v>137</v>
      </c>
    </row>
    <row r="133" spans="4:19" x14ac:dyDescent="0.25">
      <c r="D133" t="s">
        <v>84</v>
      </c>
      <c r="E133" t="s">
        <v>99</v>
      </c>
    </row>
    <row r="134" spans="4:19" x14ac:dyDescent="0.25">
      <c r="D134" t="s">
        <v>86</v>
      </c>
      <c r="E134" t="s">
        <v>106</v>
      </c>
    </row>
    <row r="135" spans="4:19" x14ac:dyDescent="0.25">
      <c r="D135" t="s">
        <v>101</v>
      </c>
      <c r="E135">
        <v>10</v>
      </c>
      <c r="F135">
        <v>10</v>
      </c>
      <c r="G135">
        <v>10</v>
      </c>
      <c r="H135">
        <v>10</v>
      </c>
      <c r="I135">
        <v>10</v>
      </c>
      <c r="J135">
        <v>10</v>
      </c>
      <c r="K135">
        <v>10</v>
      </c>
      <c r="L135">
        <v>10</v>
      </c>
      <c r="M135">
        <v>10</v>
      </c>
      <c r="N135">
        <v>10</v>
      </c>
      <c r="O135">
        <v>10</v>
      </c>
      <c r="P135">
        <v>10</v>
      </c>
      <c r="Q135">
        <v>10</v>
      </c>
      <c r="R135">
        <v>10</v>
      </c>
      <c r="S135">
        <v>10</v>
      </c>
    </row>
    <row r="136" spans="4:19" x14ac:dyDescent="0.25">
      <c r="D136" t="s">
        <v>138</v>
      </c>
    </row>
    <row r="138" spans="4:19" x14ac:dyDescent="0.25">
      <c r="D138" t="s">
        <v>84</v>
      </c>
      <c r="E138" t="s">
        <v>99</v>
      </c>
    </row>
    <row r="139" spans="4:19" x14ac:dyDescent="0.25">
      <c r="D139" t="s">
        <v>86</v>
      </c>
      <c r="E139" t="s">
        <v>110</v>
      </c>
    </row>
    <row r="140" spans="4:19" x14ac:dyDescent="0.25">
      <c r="D140" t="s">
        <v>111</v>
      </c>
      <c r="E140" t="s">
        <v>54</v>
      </c>
      <c r="F140" t="s">
        <v>54</v>
      </c>
      <c r="G140" t="s">
        <v>54</v>
      </c>
      <c r="H140" t="s">
        <v>54</v>
      </c>
      <c r="I140" t="s">
        <v>54</v>
      </c>
      <c r="J140" t="s">
        <v>54</v>
      </c>
      <c r="K140" t="s">
        <v>54</v>
      </c>
      <c r="L140" t="s">
        <v>54</v>
      </c>
      <c r="M140" t="s">
        <v>54</v>
      </c>
      <c r="N140" t="s">
        <v>54</v>
      </c>
      <c r="O140" t="s">
        <v>54</v>
      </c>
      <c r="P140" t="s">
        <v>54</v>
      </c>
      <c r="Q140" t="s">
        <v>54</v>
      </c>
      <c r="R140" t="s">
        <v>54</v>
      </c>
      <c r="S140" t="s">
        <v>54</v>
      </c>
    </row>
    <row r="141" spans="4:19" x14ac:dyDescent="0.25">
      <c r="D141" t="s">
        <v>112</v>
      </c>
      <c r="E141">
        <v>18</v>
      </c>
      <c r="F141">
        <v>19</v>
      </c>
      <c r="G141">
        <v>20</v>
      </c>
      <c r="H141">
        <v>21</v>
      </c>
      <c r="I141">
        <v>22</v>
      </c>
      <c r="J141">
        <v>23</v>
      </c>
      <c r="K141">
        <v>24</v>
      </c>
      <c r="L141">
        <v>25</v>
      </c>
      <c r="M141">
        <v>26</v>
      </c>
      <c r="N141">
        <v>27</v>
      </c>
      <c r="O141">
        <v>28</v>
      </c>
      <c r="P141">
        <v>29</v>
      </c>
      <c r="Q141">
        <v>30</v>
      </c>
      <c r="R141">
        <v>31</v>
      </c>
      <c r="S141">
        <v>32</v>
      </c>
    </row>
    <row r="142" spans="4:19" x14ac:dyDescent="0.25">
      <c r="D142" t="s">
        <v>113</v>
      </c>
      <c r="E142" t="s">
        <v>66</v>
      </c>
      <c r="F142" t="s">
        <v>66</v>
      </c>
      <c r="G142" t="s">
        <v>66</v>
      </c>
      <c r="H142" t="s">
        <v>66</v>
      </c>
      <c r="I142" t="s">
        <v>66</v>
      </c>
      <c r="J142" t="s">
        <v>66</v>
      </c>
      <c r="K142" t="s">
        <v>66</v>
      </c>
      <c r="L142" t="s">
        <v>66</v>
      </c>
      <c r="M142" t="s">
        <v>66</v>
      </c>
      <c r="N142" t="s">
        <v>66</v>
      </c>
      <c r="O142" t="s">
        <v>66</v>
      </c>
      <c r="P142" t="s">
        <v>66</v>
      </c>
      <c r="Q142" t="s">
        <v>66</v>
      </c>
      <c r="R142" t="s">
        <v>66</v>
      </c>
      <c r="S142" t="s">
        <v>66</v>
      </c>
    </row>
    <row r="143" spans="4:19" x14ac:dyDescent="0.25">
      <c r="D143" t="s">
        <v>114</v>
      </c>
      <c r="E143">
        <v>18</v>
      </c>
      <c r="F143">
        <v>19</v>
      </c>
      <c r="G143">
        <v>20</v>
      </c>
      <c r="H143">
        <v>21</v>
      </c>
      <c r="I143">
        <v>22</v>
      </c>
      <c r="J143">
        <v>23</v>
      </c>
      <c r="K143">
        <v>24</v>
      </c>
      <c r="L143">
        <v>25</v>
      </c>
      <c r="M143">
        <v>26</v>
      </c>
      <c r="N143">
        <v>27</v>
      </c>
      <c r="O143">
        <v>28</v>
      </c>
      <c r="P143">
        <v>29</v>
      </c>
      <c r="Q143">
        <v>30</v>
      </c>
      <c r="R143">
        <v>31</v>
      </c>
      <c r="S143">
        <v>32</v>
      </c>
    </row>
    <row r="144" spans="4:19" x14ac:dyDescent="0.25">
      <c r="D144" t="s">
        <v>101</v>
      </c>
      <c r="E144">
        <v>10</v>
      </c>
      <c r="F144">
        <v>10</v>
      </c>
      <c r="G144">
        <v>10</v>
      </c>
      <c r="H144">
        <v>10</v>
      </c>
      <c r="I144">
        <v>10</v>
      </c>
      <c r="J144">
        <v>10</v>
      </c>
      <c r="K144">
        <v>10</v>
      </c>
      <c r="L144">
        <v>10</v>
      </c>
      <c r="M144">
        <v>10</v>
      </c>
      <c r="N144">
        <v>10</v>
      </c>
      <c r="O144">
        <v>10</v>
      </c>
      <c r="P144">
        <v>10</v>
      </c>
      <c r="Q144">
        <v>10</v>
      </c>
      <c r="R144">
        <v>10</v>
      </c>
      <c r="S144">
        <v>10</v>
      </c>
    </row>
    <row r="145" spans="2:19" x14ac:dyDescent="0.25">
      <c r="D145" t="s">
        <v>115</v>
      </c>
      <c r="E145">
        <v>30</v>
      </c>
      <c r="F145">
        <v>30</v>
      </c>
      <c r="G145">
        <v>30</v>
      </c>
      <c r="H145">
        <v>30</v>
      </c>
      <c r="I145">
        <v>30</v>
      </c>
      <c r="J145">
        <v>30</v>
      </c>
      <c r="K145">
        <v>30</v>
      </c>
      <c r="L145">
        <v>30</v>
      </c>
      <c r="M145">
        <v>30</v>
      </c>
      <c r="N145">
        <v>30</v>
      </c>
      <c r="O145">
        <v>30</v>
      </c>
      <c r="P145">
        <v>30</v>
      </c>
      <c r="Q145">
        <v>30</v>
      </c>
      <c r="R145">
        <v>30</v>
      </c>
      <c r="S145">
        <v>30</v>
      </c>
    </row>
    <row r="146" spans="2:19" x14ac:dyDescent="0.25">
      <c r="D146" t="s">
        <v>116</v>
      </c>
      <c r="E146" t="s">
        <v>22</v>
      </c>
      <c r="F146" t="s">
        <v>22</v>
      </c>
      <c r="G146" t="s">
        <v>22</v>
      </c>
      <c r="H146" t="s">
        <v>22</v>
      </c>
      <c r="I146" t="s">
        <v>22</v>
      </c>
      <c r="J146" t="s">
        <v>22</v>
      </c>
      <c r="K146" t="s">
        <v>22</v>
      </c>
      <c r="L146" t="s">
        <v>22</v>
      </c>
      <c r="M146" t="s">
        <v>22</v>
      </c>
      <c r="N146" t="s">
        <v>22</v>
      </c>
      <c r="O146" t="s">
        <v>22</v>
      </c>
      <c r="P146" t="s">
        <v>22</v>
      </c>
      <c r="Q146" t="s">
        <v>22</v>
      </c>
      <c r="R146" t="s">
        <v>22</v>
      </c>
      <c r="S146" t="s">
        <v>22</v>
      </c>
    </row>
    <row r="147" spans="2:19" x14ac:dyDescent="0.25">
      <c r="D147" t="s">
        <v>117</v>
      </c>
    </row>
    <row r="148" spans="2:19" x14ac:dyDescent="0.25">
      <c r="D148" t="s">
        <v>118</v>
      </c>
    </row>
    <row r="149" spans="2:19" x14ac:dyDescent="0.25">
      <c r="D149" t="s">
        <v>119</v>
      </c>
      <c r="E149">
        <v>0</v>
      </c>
    </row>
    <row r="150" spans="2:19" x14ac:dyDescent="0.25">
      <c r="D150" t="s">
        <v>120</v>
      </c>
      <c r="E150" t="s">
        <v>121</v>
      </c>
    </row>
    <row r="151" spans="2:19" x14ac:dyDescent="0.25">
      <c r="D151" t="s">
        <v>139</v>
      </c>
    </row>
    <row r="156" spans="2:19" x14ac:dyDescent="0.25">
      <c r="B156" t="s">
        <v>124</v>
      </c>
    </row>
    <row r="157" spans="2:19" x14ac:dyDescent="0.25">
      <c r="B157" t="s">
        <v>140</v>
      </c>
    </row>
    <row r="158" spans="2:19" x14ac:dyDescent="0.25">
      <c r="B158" t="s">
        <v>141</v>
      </c>
    </row>
    <row r="159" spans="2:19" x14ac:dyDescent="0.25">
      <c r="B159" t="s">
        <v>142</v>
      </c>
    </row>
    <row r="160" spans="2:19" x14ac:dyDescent="0.25">
      <c r="B160" t="s">
        <v>128</v>
      </c>
    </row>
    <row r="161" spans="2:36" x14ac:dyDescent="0.25">
      <c r="B161" t="s">
        <v>143</v>
      </c>
    </row>
    <row r="162" spans="2:36" x14ac:dyDescent="0.25">
      <c r="B162" t="s">
        <v>144</v>
      </c>
    </row>
    <row r="164" spans="2:36" x14ac:dyDescent="0.25">
      <c r="C164" t="s">
        <v>24</v>
      </c>
    </row>
    <row r="166" spans="2:36" x14ac:dyDescent="0.25">
      <c r="D166" t="s">
        <v>84</v>
      </c>
      <c r="E166" t="s">
        <v>99</v>
      </c>
    </row>
    <row r="167" spans="2:36" x14ac:dyDescent="0.25">
      <c r="D167" t="s">
        <v>86</v>
      </c>
      <c r="E167" t="s">
        <v>100</v>
      </c>
    </row>
    <row r="168" spans="2:36" x14ac:dyDescent="0.25">
      <c r="D168" t="s">
        <v>101</v>
      </c>
      <c r="E168">
        <v>180</v>
      </c>
      <c r="F168">
        <v>180</v>
      </c>
      <c r="G168">
        <v>180</v>
      </c>
      <c r="H168">
        <v>180</v>
      </c>
      <c r="I168">
        <v>180</v>
      </c>
      <c r="J168">
        <v>180</v>
      </c>
      <c r="K168">
        <v>180</v>
      </c>
      <c r="L168">
        <v>180</v>
      </c>
      <c r="M168">
        <v>180</v>
      </c>
      <c r="N168">
        <v>180</v>
      </c>
      <c r="O168">
        <v>180</v>
      </c>
      <c r="P168">
        <v>180</v>
      </c>
      <c r="Q168">
        <v>180</v>
      </c>
      <c r="R168">
        <v>180</v>
      </c>
      <c r="S168">
        <v>180</v>
      </c>
      <c r="T168">
        <v>180</v>
      </c>
      <c r="U168">
        <v>180</v>
      </c>
      <c r="V168">
        <v>180</v>
      </c>
      <c r="W168">
        <v>180</v>
      </c>
      <c r="X168">
        <v>180</v>
      </c>
      <c r="Y168">
        <v>180</v>
      </c>
      <c r="Z168">
        <v>180</v>
      </c>
      <c r="AA168">
        <v>180</v>
      </c>
      <c r="AB168">
        <v>180</v>
      </c>
      <c r="AC168">
        <v>180</v>
      </c>
      <c r="AD168">
        <v>180</v>
      </c>
      <c r="AE168">
        <v>180</v>
      </c>
      <c r="AF168">
        <v>180</v>
      </c>
      <c r="AG168">
        <v>180</v>
      </c>
      <c r="AH168">
        <v>180</v>
      </c>
      <c r="AI168">
        <v>180</v>
      </c>
      <c r="AJ168">
        <v>180</v>
      </c>
    </row>
    <row r="169" spans="2:36" x14ac:dyDescent="0.25">
      <c r="D169" t="s">
        <v>102</v>
      </c>
      <c r="E169" t="s">
        <v>103</v>
      </c>
      <c r="F169" t="s">
        <v>103</v>
      </c>
      <c r="G169" t="s">
        <v>103</v>
      </c>
      <c r="H169" t="s">
        <v>103</v>
      </c>
      <c r="I169" t="s">
        <v>103</v>
      </c>
      <c r="J169" t="s">
        <v>103</v>
      </c>
      <c r="K169" t="s">
        <v>103</v>
      </c>
      <c r="L169" t="s">
        <v>103</v>
      </c>
      <c r="M169" t="s">
        <v>103</v>
      </c>
      <c r="N169" t="s">
        <v>103</v>
      </c>
      <c r="O169" t="s">
        <v>103</v>
      </c>
      <c r="P169" t="s">
        <v>103</v>
      </c>
      <c r="Q169" t="s">
        <v>103</v>
      </c>
      <c r="R169" t="s">
        <v>103</v>
      </c>
      <c r="S169" t="s">
        <v>103</v>
      </c>
      <c r="T169" t="s">
        <v>103</v>
      </c>
      <c r="U169" t="s">
        <v>103</v>
      </c>
      <c r="V169" t="s">
        <v>103</v>
      </c>
      <c r="W169" t="s">
        <v>103</v>
      </c>
      <c r="X169" t="s">
        <v>103</v>
      </c>
      <c r="Y169" t="s">
        <v>103</v>
      </c>
      <c r="Z169" t="s">
        <v>103</v>
      </c>
      <c r="AA169" t="s">
        <v>103</v>
      </c>
      <c r="AB169" t="s">
        <v>103</v>
      </c>
      <c r="AC169" t="s">
        <v>103</v>
      </c>
      <c r="AD169" t="s">
        <v>103</v>
      </c>
      <c r="AE169" t="s">
        <v>103</v>
      </c>
      <c r="AF169" t="s">
        <v>103</v>
      </c>
      <c r="AG169" t="s">
        <v>103</v>
      </c>
      <c r="AH169" t="s">
        <v>103</v>
      </c>
      <c r="AI169" t="s">
        <v>103</v>
      </c>
      <c r="AJ169" t="s">
        <v>104</v>
      </c>
    </row>
    <row r="170" spans="2:36" x14ac:dyDescent="0.25">
      <c r="D170" t="s">
        <v>145</v>
      </c>
    </row>
    <row r="172" spans="2:36" x14ac:dyDescent="0.25">
      <c r="D172" t="s">
        <v>84</v>
      </c>
      <c r="E172" t="s">
        <v>99</v>
      </c>
    </row>
    <row r="173" spans="2:36" x14ac:dyDescent="0.25">
      <c r="D173" t="s">
        <v>86</v>
      </c>
      <c r="E173" t="s">
        <v>106</v>
      </c>
    </row>
    <row r="174" spans="2:36" x14ac:dyDescent="0.25">
      <c r="D174" t="s">
        <v>101</v>
      </c>
      <c r="E174">
        <v>180</v>
      </c>
      <c r="F174">
        <v>180</v>
      </c>
      <c r="G174">
        <v>180</v>
      </c>
      <c r="H174">
        <v>180</v>
      </c>
      <c r="I174">
        <v>180</v>
      </c>
      <c r="J174">
        <v>180</v>
      </c>
      <c r="K174">
        <v>180</v>
      </c>
      <c r="L174">
        <v>180</v>
      </c>
      <c r="M174">
        <v>180</v>
      </c>
      <c r="N174">
        <v>180</v>
      </c>
      <c r="O174">
        <v>180</v>
      </c>
      <c r="P174">
        <v>180</v>
      </c>
      <c r="Q174">
        <v>180</v>
      </c>
      <c r="R174">
        <v>180</v>
      </c>
      <c r="S174">
        <v>180</v>
      </c>
      <c r="T174">
        <v>180</v>
      </c>
      <c r="U174">
        <v>180</v>
      </c>
      <c r="V174">
        <v>180</v>
      </c>
      <c r="W174">
        <v>180</v>
      </c>
      <c r="X174">
        <v>180</v>
      </c>
      <c r="Y174">
        <v>180</v>
      </c>
      <c r="Z174">
        <v>180</v>
      </c>
      <c r="AA174">
        <v>180</v>
      </c>
      <c r="AB174">
        <v>180</v>
      </c>
      <c r="AC174">
        <v>180</v>
      </c>
      <c r="AD174">
        <v>180</v>
      </c>
      <c r="AE174">
        <v>180</v>
      </c>
      <c r="AF174">
        <v>180</v>
      </c>
      <c r="AG174">
        <v>180</v>
      </c>
      <c r="AH174">
        <v>180</v>
      </c>
      <c r="AI174">
        <v>180</v>
      </c>
      <c r="AJ174">
        <v>180</v>
      </c>
    </row>
    <row r="175" spans="2:36" x14ac:dyDescent="0.25">
      <c r="D175" t="s">
        <v>146</v>
      </c>
    </row>
    <row r="177" spans="4:36" x14ac:dyDescent="0.25">
      <c r="D177" t="s">
        <v>84</v>
      </c>
      <c r="E177" t="s">
        <v>99</v>
      </c>
    </row>
    <row r="178" spans="4:36" x14ac:dyDescent="0.25">
      <c r="D178" t="s">
        <v>86</v>
      </c>
      <c r="E178" t="s">
        <v>110</v>
      </c>
    </row>
    <row r="179" spans="4:36" x14ac:dyDescent="0.25">
      <c r="D179" t="s">
        <v>111</v>
      </c>
      <c r="E179" t="s">
        <v>54</v>
      </c>
      <c r="F179" t="s">
        <v>54</v>
      </c>
      <c r="G179" t="s">
        <v>54</v>
      </c>
      <c r="H179" t="s">
        <v>54</v>
      </c>
      <c r="I179" t="s">
        <v>54</v>
      </c>
      <c r="J179" t="s">
        <v>54</v>
      </c>
      <c r="K179" t="s">
        <v>54</v>
      </c>
      <c r="L179" t="s">
        <v>54</v>
      </c>
      <c r="M179" t="s">
        <v>54</v>
      </c>
      <c r="N179" t="s">
        <v>54</v>
      </c>
      <c r="O179" t="s">
        <v>54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t="s">
        <v>54</v>
      </c>
      <c r="Y179" t="s">
        <v>54</v>
      </c>
      <c r="Z179" t="s">
        <v>54</v>
      </c>
      <c r="AA179" t="s">
        <v>54</v>
      </c>
      <c r="AB179" t="s">
        <v>54</v>
      </c>
      <c r="AC179" t="s">
        <v>54</v>
      </c>
      <c r="AD179" t="s">
        <v>54</v>
      </c>
      <c r="AE179" t="s">
        <v>54</v>
      </c>
      <c r="AF179" t="s">
        <v>54</v>
      </c>
      <c r="AG179" t="s">
        <v>54</v>
      </c>
      <c r="AH179" t="s">
        <v>54</v>
      </c>
      <c r="AI179" t="s">
        <v>54</v>
      </c>
      <c r="AJ179" t="s">
        <v>54</v>
      </c>
    </row>
    <row r="180" spans="4:36" x14ac:dyDescent="0.25">
      <c r="D180" t="s">
        <v>112</v>
      </c>
      <c r="E180">
        <v>1</v>
      </c>
      <c r="F180">
        <v>2</v>
      </c>
      <c r="G180">
        <v>3</v>
      </c>
      <c r="H180">
        <v>4</v>
      </c>
      <c r="I180">
        <v>5</v>
      </c>
      <c r="J180">
        <v>6</v>
      </c>
      <c r="K180">
        <v>7</v>
      </c>
      <c r="L180">
        <v>8</v>
      </c>
      <c r="M180">
        <v>9</v>
      </c>
      <c r="N180">
        <v>10</v>
      </c>
      <c r="O180">
        <v>11</v>
      </c>
      <c r="P180">
        <v>12</v>
      </c>
      <c r="Q180">
        <v>13</v>
      </c>
      <c r="R180">
        <v>14</v>
      </c>
      <c r="S180">
        <v>15</v>
      </c>
      <c r="T180">
        <v>16</v>
      </c>
      <c r="U180">
        <v>17</v>
      </c>
      <c r="V180">
        <v>18</v>
      </c>
      <c r="W180">
        <v>19</v>
      </c>
      <c r="X180">
        <v>20</v>
      </c>
      <c r="Y180">
        <v>21</v>
      </c>
      <c r="Z180">
        <v>22</v>
      </c>
      <c r="AA180">
        <v>23</v>
      </c>
      <c r="AB180">
        <v>24</v>
      </c>
      <c r="AC180">
        <v>25</v>
      </c>
      <c r="AD180">
        <v>26</v>
      </c>
      <c r="AE180">
        <v>27</v>
      </c>
      <c r="AF180">
        <v>28</v>
      </c>
      <c r="AG180">
        <v>29</v>
      </c>
      <c r="AH180">
        <v>30</v>
      </c>
      <c r="AI180">
        <v>31</v>
      </c>
      <c r="AJ180">
        <v>32</v>
      </c>
    </row>
    <row r="181" spans="4:36" x14ac:dyDescent="0.25">
      <c r="D181" t="s">
        <v>113</v>
      </c>
      <c r="E181" t="s">
        <v>69</v>
      </c>
      <c r="F181" t="s">
        <v>69</v>
      </c>
      <c r="G181" t="s">
        <v>69</v>
      </c>
      <c r="H181" t="s">
        <v>69</v>
      </c>
      <c r="I181" t="s">
        <v>69</v>
      </c>
      <c r="J181" t="s">
        <v>69</v>
      </c>
      <c r="K181" t="s">
        <v>69</v>
      </c>
      <c r="L181" t="s">
        <v>69</v>
      </c>
      <c r="M181" t="s">
        <v>69</v>
      </c>
      <c r="N181" t="s">
        <v>69</v>
      </c>
      <c r="O181" t="s">
        <v>69</v>
      </c>
      <c r="P181" t="s">
        <v>69</v>
      </c>
      <c r="Q181" t="s">
        <v>69</v>
      </c>
      <c r="R181" t="s">
        <v>69</v>
      </c>
      <c r="S181" t="s">
        <v>69</v>
      </c>
      <c r="T181" t="s">
        <v>69</v>
      </c>
      <c r="U181" t="s">
        <v>69</v>
      </c>
      <c r="V181" t="s">
        <v>69</v>
      </c>
      <c r="W181" t="s">
        <v>69</v>
      </c>
      <c r="X181" t="s">
        <v>69</v>
      </c>
      <c r="Y181" t="s">
        <v>69</v>
      </c>
      <c r="Z181" t="s">
        <v>69</v>
      </c>
      <c r="AA181" t="s">
        <v>69</v>
      </c>
      <c r="AB181" t="s">
        <v>69</v>
      </c>
      <c r="AC181" t="s">
        <v>69</v>
      </c>
      <c r="AD181" t="s">
        <v>69</v>
      </c>
      <c r="AE181" t="s">
        <v>69</v>
      </c>
      <c r="AF181" t="s">
        <v>69</v>
      </c>
      <c r="AG181" t="s">
        <v>69</v>
      </c>
      <c r="AH181" t="s">
        <v>69</v>
      </c>
      <c r="AI181" t="s">
        <v>69</v>
      </c>
      <c r="AJ181" t="s">
        <v>69</v>
      </c>
    </row>
    <row r="182" spans="4:36" x14ac:dyDescent="0.25">
      <c r="D182" t="s">
        <v>114</v>
      </c>
      <c r="E182">
        <v>1</v>
      </c>
      <c r="F182">
        <v>2</v>
      </c>
      <c r="G182">
        <v>3</v>
      </c>
      <c r="H182">
        <v>4</v>
      </c>
      <c r="I182">
        <v>5</v>
      </c>
      <c r="J182">
        <v>6</v>
      </c>
      <c r="K182">
        <v>7</v>
      </c>
      <c r="L182">
        <v>8</v>
      </c>
      <c r="M182">
        <v>9</v>
      </c>
      <c r="N182">
        <v>10</v>
      </c>
      <c r="O182">
        <v>11</v>
      </c>
      <c r="P182">
        <v>12</v>
      </c>
      <c r="Q182">
        <v>13</v>
      </c>
      <c r="R182">
        <v>14</v>
      </c>
      <c r="S182">
        <v>15</v>
      </c>
      <c r="T182">
        <v>16</v>
      </c>
      <c r="U182">
        <v>17</v>
      </c>
      <c r="V182">
        <v>18</v>
      </c>
      <c r="W182">
        <v>19</v>
      </c>
      <c r="X182">
        <v>20</v>
      </c>
      <c r="Y182">
        <v>21</v>
      </c>
      <c r="Z182">
        <v>22</v>
      </c>
      <c r="AA182">
        <v>23</v>
      </c>
      <c r="AB182">
        <v>24</v>
      </c>
      <c r="AC182">
        <v>25</v>
      </c>
      <c r="AD182">
        <v>26</v>
      </c>
      <c r="AE182">
        <v>27</v>
      </c>
      <c r="AF182">
        <v>28</v>
      </c>
      <c r="AG182">
        <v>29</v>
      </c>
      <c r="AH182">
        <v>30</v>
      </c>
      <c r="AI182">
        <v>31</v>
      </c>
      <c r="AJ182">
        <v>32</v>
      </c>
    </row>
    <row r="183" spans="4:36" x14ac:dyDescent="0.25">
      <c r="D183" t="s">
        <v>101</v>
      </c>
      <c r="E183">
        <v>180</v>
      </c>
      <c r="F183">
        <v>180</v>
      </c>
      <c r="G183">
        <v>180</v>
      </c>
      <c r="H183">
        <v>180</v>
      </c>
      <c r="I183">
        <v>180</v>
      </c>
      <c r="J183">
        <v>180</v>
      </c>
      <c r="K183">
        <v>180</v>
      </c>
      <c r="L183">
        <v>180</v>
      </c>
      <c r="M183">
        <v>180</v>
      </c>
      <c r="N183">
        <v>180</v>
      </c>
      <c r="O183">
        <v>180</v>
      </c>
      <c r="P183">
        <v>180</v>
      </c>
      <c r="Q183">
        <v>180</v>
      </c>
      <c r="R183">
        <v>180</v>
      </c>
      <c r="S183">
        <v>180</v>
      </c>
      <c r="T183">
        <v>180</v>
      </c>
      <c r="U183">
        <v>180</v>
      </c>
      <c r="V183">
        <v>180</v>
      </c>
      <c r="W183">
        <v>180</v>
      </c>
      <c r="X183">
        <v>180</v>
      </c>
      <c r="Y183">
        <v>180</v>
      </c>
      <c r="Z183">
        <v>180</v>
      </c>
      <c r="AA183">
        <v>180</v>
      </c>
      <c r="AB183">
        <v>180</v>
      </c>
      <c r="AC183">
        <v>180</v>
      </c>
      <c r="AD183">
        <v>180</v>
      </c>
      <c r="AE183">
        <v>180</v>
      </c>
      <c r="AF183">
        <v>180</v>
      </c>
      <c r="AG183">
        <v>180</v>
      </c>
      <c r="AH183">
        <v>180</v>
      </c>
      <c r="AI183">
        <v>180</v>
      </c>
      <c r="AJ183">
        <v>180</v>
      </c>
    </row>
    <row r="184" spans="4:36" x14ac:dyDescent="0.25">
      <c r="D184" t="s">
        <v>115</v>
      </c>
      <c r="E184">
        <v>20</v>
      </c>
      <c r="F184">
        <v>20</v>
      </c>
      <c r="G184">
        <v>20</v>
      </c>
      <c r="H184">
        <v>20</v>
      </c>
      <c r="I184">
        <v>20</v>
      </c>
      <c r="J184">
        <v>20</v>
      </c>
      <c r="K184">
        <v>20</v>
      </c>
      <c r="L184">
        <v>20</v>
      </c>
      <c r="M184">
        <v>20</v>
      </c>
      <c r="N184">
        <v>20</v>
      </c>
      <c r="O184">
        <v>20</v>
      </c>
      <c r="P184">
        <v>20</v>
      </c>
      <c r="Q184">
        <v>20</v>
      </c>
      <c r="R184">
        <v>20</v>
      </c>
      <c r="S184">
        <v>20</v>
      </c>
      <c r="T184">
        <v>20</v>
      </c>
      <c r="U184">
        <v>40</v>
      </c>
      <c r="V184">
        <v>40</v>
      </c>
      <c r="W184">
        <v>40</v>
      </c>
      <c r="X184">
        <v>40</v>
      </c>
      <c r="Y184">
        <v>40</v>
      </c>
      <c r="Z184">
        <v>40</v>
      </c>
      <c r="AA184">
        <v>40</v>
      </c>
      <c r="AB184">
        <v>40</v>
      </c>
      <c r="AC184">
        <v>40</v>
      </c>
      <c r="AD184">
        <v>40</v>
      </c>
      <c r="AE184">
        <v>40</v>
      </c>
      <c r="AF184">
        <v>40</v>
      </c>
      <c r="AG184">
        <v>40</v>
      </c>
      <c r="AH184">
        <v>40</v>
      </c>
      <c r="AI184">
        <v>40</v>
      </c>
      <c r="AJ184">
        <v>40</v>
      </c>
    </row>
    <row r="185" spans="4:36" x14ac:dyDescent="0.25">
      <c r="D185" t="s">
        <v>116</v>
      </c>
      <c r="E185" t="s">
        <v>75</v>
      </c>
      <c r="F185" t="s">
        <v>75</v>
      </c>
      <c r="G185" t="s">
        <v>75</v>
      </c>
      <c r="H185" t="s">
        <v>75</v>
      </c>
      <c r="I185" t="s">
        <v>75</v>
      </c>
      <c r="J185" t="s">
        <v>75</v>
      </c>
      <c r="K185" t="s">
        <v>75</v>
      </c>
      <c r="L185" t="s">
        <v>75</v>
      </c>
      <c r="M185" t="s">
        <v>75</v>
      </c>
      <c r="N185" t="s">
        <v>75</v>
      </c>
      <c r="O185" t="s">
        <v>75</v>
      </c>
      <c r="P185" t="s">
        <v>75</v>
      </c>
      <c r="Q185" t="s">
        <v>75</v>
      </c>
      <c r="R185" t="s">
        <v>75</v>
      </c>
      <c r="S185" t="s">
        <v>75</v>
      </c>
      <c r="T185" t="s">
        <v>75</v>
      </c>
      <c r="U185" t="s">
        <v>75</v>
      </c>
      <c r="V185" t="s">
        <v>75</v>
      </c>
      <c r="W185" t="s">
        <v>75</v>
      </c>
      <c r="X185" t="s">
        <v>75</v>
      </c>
      <c r="Y185" t="s">
        <v>75</v>
      </c>
      <c r="Z185" t="s">
        <v>75</v>
      </c>
      <c r="AA185" t="s">
        <v>75</v>
      </c>
      <c r="AB185" t="s">
        <v>75</v>
      </c>
      <c r="AC185" t="s">
        <v>75</v>
      </c>
      <c r="AD185" t="s">
        <v>75</v>
      </c>
      <c r="AE185" t="s">
        <v>75</v>
      </c>
      <c r="AF185" t="s">
        <v>75</v>
      </c>
      <c r="AG185" t="s">
        <v>75</v>
      </c>
      <c r="AH185" t="s">
        <v>75</v>
      </c>
      <c r="AI185" t="s">
        <v>75</v>
      </c>
      <c r="AJ185" t="s">
        <v>75</v>
      </c>
    </row>
    <row r="186" spans="4:36" x14ac:dyDescent="0.25">
      <c r="D186" t="s">
        <v>117</v>
      </c>
    </row>
    <row r="187" spans="4:36" x14ac:dyDescent="0.25">
      <c r="D187" t="s">
        <v>118</v>
      </c>
    </row>
    <row r="188" spans="4:36" x14ac:dyDescent="0.25">
      <c r="D188" t="s">
        <v>119</v>
      </c>
      <c r="E188">
        <v>0</v>
      </c>
    </row>
    <row r="189" spans="4:36" x14ac:dyDescent="0.25">
      <c r="D189" t="s">
        <v>120</v>
      </c>
      <c r="E189" t="s">
        <v>121</v>
      </c>
    </row>
    <row r="190" spans="4:36" x14ac:dyDescent="0.25">
      <c r="D190" t="s">
        <v>147</v>
      </c>
    </row>
    <row r="195" spans="2:5" x14ac:dyDescent="0.25">
      <c r="B195" t="s">
        <v>148</v>
      </c>
    </row>
    <row r="196" spans="2:5" x14ac:dyDescent="0.25">
      <c r="B196" t="s">
        <v>149</v>
      </c>
    </row>
    <row r="197" spans="2:5" x14ac:dyDescent="0.25">
      <c r="B197" t="s">
        <v>150</v>
      </c>
    </row>
    <row r="198" spans="2:5" x14ac:dyDescent="0.25">
      <c r="B198" t="s">
        <v>151</v>
      </c>
    </row>
    <row r="199" spans="2:5" x14ac:dyDescent="0.25">
      <c r="B199" t="s">
        <v>152</v>
      </c>
    </row>
    <row r="201" spans="2:5" x14ac:dyDescent="0.25">
      <c r="C201" t="s">
        <v>24</v>
      </c>
    </row>
    <row r="203" spans="2:5" x14ac:dyDescent="0.25">
      <c r="D203" t="s">
        <v>84</v>
      </c>
      <c r="E203" t="s">
        <v>153</v>
      </c>
    </row>
    <row r="204" spans="2:5" x14ac:dyDescent="0.25">
      <c r="D204" t="s">
        <v>86</v>
      </c>
      <c r="E204" t="s">
        <v>154</v>
      </c>
    </row>
    <row r="205" spans="2:5" x14ac:dyDescent="0.25">
      <c r="D205" t="s">
        <v>155</v>
      </c>
      <c r="E205" t="s">
        <v>156</v>
      </c>
    </row>
    <row r="206" spans="2:5" x14ac:dyDescent="0.25">
      <c r="D206" t="s">
        <v>157</v>
      </c>
    </row>
    <row r="208" spans="2:5" x14ac:dyDescent="0.25">
      <c r="D208" t="s">
        <v>84</v>
      </c>
      <c r="E208" t="s">
        <v>153</v>
      </c>
    </row>
    <row r="209" spans="4:5" x14ac:dyDescent="0.25">
      <c r="D209" t="s">
        <v>86</v>
      </c>
      <c r="E209" t="s">
        <v>158</v>
      </c>
    </row>
    <row r="210" spans="4:5" x14ac:dyDescent="0.25">
      <c r="D210" t="s">
        <v>155</v>
      </c>
      <c r="E210" t="s">
        <v>156</v>
      </c>
    </row>
    <row r="211" spans="4:5" x14ac:dyDescent="0.25">
      <c r="D211" t="s">
        <v>159</v>
      </c>
    </row>
    <row r="213" spans="4:5" x14ac:dyDescent="0.25">
      <c r="D213" t="s">
        <v>84</v>
      </c>
      <c r="E213" t="s">
        <v>85</v>
      </c>
    </row>
    <row r="214" spans="4:5" x14ac:dyDescent="0.25">
      <c r="D214" t="s">
        <v>86</v>
      </c>
      <c r="E214" t="s">
        <v>160</v>
      </c>
    </row>
    <row r="215" spans="4:5" x14ac:dyDescent="0.25">
      <c r="D215" t="s">
        <v>88</v>
      </c>
      <c r="E215" t="s">
        <v>156</v>
      </c>
    </row>
    <row r="216" spans="4:5" x14ac:dyDescent="0.25">
      <c r="D216" t="s">
        <v>161</v>
      </c>
    </row>
    <row r="218" spans="4:5" x14ac:dyDescent="0.25">
      <c r="D218" t="s">
        <v>84</v>
      </c>
      <c r="E218" t="s">
        <v>85</v>
      </c>
    </row>
    <row r="219" spans="4:5" x14ac:dyDescent="0.25">
      <c r="D219" t="s">
        <v>86</v>
      </c>
      <c r="E219" t="s">
        <v>162</v>
      </c>
    </row>
    <row r="220" spans="4:5" x14ac:dyDescent="0.25">
      <c r="D220" t="s">
        <v>88</v>
      </c>
      <c r="E220" t="s">
        <v>156</v>
      </c>
    </row>
    <row r="221" spans="4:5" x14ac:dyDescent="0.25">
      <c r="D221" t="s">
        <v>163</v>
      </c>
    </row>
    <row r="223" spans="4:5" x14ac:dyDescent="0.25">
      <c r="D223" t="s">
        <v>84</v>
      </c>
      <c r="E223" t="s">
        <v>164</v>
      </c>
    </row>
    <row r="224" spans="4:5" x14ac:dyDescent="0.25">
      <c r="D224" t="s">
        <v>86</v>
      </c>
      <c r="E224" t="s">
        <v>87</v>
      </c>
    </row>
    <row r="225" spans="4:5" x14ac:dyDescent="0.25">
      <c r="D225" t="s">
        <v>88</v>
      </c>
      <c r="E225" t="s">
        <v>156</v>
      </c>
    </row>
    <row r="226" spans="4:5" x14ac:dyDescent="0.25">
      <c r="D226" t="s">
        <v>165</v>
      </c>
    </row>
    <row r="228" spans="4:5" x14ac:dyDescent="0.25">
      <c r="D228" t="s">
        <v>84</v>
      </c>
      <c r="E228" t="s">
        <v>164</v>
      </c>
    </row>
    <row r="229" spans="4:5" x14ac:dyDescent="0.25">
      <c r="D229" t="s">
        <v>86</v>
      </c>
      <c r="E229" t="s">
        <v>166</v>
      </c>
    </row>
    <row r="230" spans="4:5" x14ac:dyDescent="0.25">
      <c r="D230" t="s">
        <v>88</v>
      </c>
      <c r="E230" t="s">
        <v>156</v>
      </c>
    </row>
    <row r="231" spans="4:5" x14ac:dyDescent="0.25">
      <c r="D231" t="s">
        <v>167</v>
      </c>
    </row>
    <row r="233" spans="4:5" x14ac:dyDescent="0.25">
      <c r="D233" t="s">
        <v>84</v>
      </c>
      <c r="E233" t="s">
        <v>164</v>
      </c>
    </row>
    <row r="234" spans="4:5" x14ac:dyDescent="0.25">
      <c r="D234" t="s">
        <v>86</v>
      </c>
      <c r="E234" t="s">
        <v>168</v>
      </c>
    </row>
    <row r="235" spans="4:5" x14ac:dyDescent="0.25">
      <c r="D235" t="s">
        <v>88</v>
      </c>
      <c r="E235" t="s">
        <v>156</v>
      </c>
    </row>
    <row r="236" spans="4:5" x14ac:dyDescent="0.25">
      <c r="D236" t="s">
        <v>169</v>
      </c>
    </row>
    <row r="238" spans="4:5" x14ac:dyDescent="0.25">
      <c r="D238" t="s">
        <v>84</v>
      </c>
      <c r="E238" t="s">
        <v>85</v>
      </c>
    </row>
    <row r="239" spans="4:5" x14ac:dyDescent="0.25">
      <c r="D239" t="s">
        <v>86</v>
      </c>
      <c r="E239" t="s">
        <v>166</v>
      </c>
    </row>
    <row r="240" spans="4:5" x14ac:dyDescent="0.25">
      <c r="D240" t="s">
        <v>88</v>
      </c>
      <c r="E240" t="s">
        <v>156</v>
      </c>
    </row>
    <row r="241" spans="4:5" x14ac:dyDescent="0.25">
      <c r="D241" t="s">
        <v>170</v>
      </c>
    </row>
    <row r="243" spans="4:5" x14ac:dyDescent="0.25">
      <c r="D243" t="s">
        <v>84</v>
      </c>
      <c r="E243" t="s">
        <v>85</v>
      </c>
    </row>
    <row r="244" spans="4:5" x14ac:dyDescent="0.25">
      <c r="D244" t="s">
        <v>86</v>
      </c>
      <c r="E244" t="s">
        <v>168</v>
      </c>
    </row>
    <row r="245" spans="4:5" x14ac:dyDescent="0.25">
      <c r="D245" t="s">
        <v>88</v>
      </c>
      <c r="E245" t="s">
        <v>156</v>
      </c>
    </row>
    <row r="246" spans="4:5" x14ac:dyDescent="0.25">
      <c r="D246" t="s">
        <v>171</v>
      </c>
    </row>
    <row r="248" spans="4:5" x14ac:dyDescent="0.25">
      <c r="D248" t="s">
        <v>84</v>
      </c>
      <c r="E248" t="s">
        <v>172</v>
      </c>
    </row>
    <row r="249" spans="4:5" x14ac:dyDescent="0.25">
      <c r="D249" t="s">
        <v>86</v>
      </c>
      <c r="E249" t="s">
        <v>173</v>
      </c>
    </row>
    <row r="250" spans="4:5" x14ac:dyDescent="0.25">
      <c r="D250" t="s">
        <v>174</v>
      </c>
    </row>
    <row r="251" spans="4:5" x14ac:dyDescent="0.25">
      <c r="D251" t="s">
        <v>175</v>
      </c>
    </row>
    <row r="252" spans="4:5" x14ac:dyDescent="0.25">
      <c r="D252" t="s">
        <v>176</v>
      </c>
    </row>
    <row r="253" spans="4:5" x14ac:dyDescent="0.25">
      <c r="D253" t="s">
        <v>177</v>
      </c>
    </row>
    <row r="254" spans="4:5" x14ac:dyDescent="0.25">
      <c r="D254" t="s">
        <v>178</v>
      </c>
      <c r="E254" t="b">
        <v>0</v>
      </c>
    </row>
    <row r="255" spans="4:5" x14ac:dyDescent="0.25">
      <c r="D255" t="s">
        <v>179</v>
      </c>
      <c r="E255" t="s">
        <v>121</v>
      </c>
    </row>
    <row r="256" spans="4:5" x14ac:dyDescent="0.25">
      <c r="D256" t="s">
        <v>180</v>
      </c>
    </row>
    <row r="258" spans="4:5" x14ac:dyDescent="0.25">
      <c r="D258" t="s">
        <v>84</v>
      </c>
      <c r="E258" t="s">
        <v>172</v>
      </c>
    </row>
    <row r="259" spans="4:5" x14ac:dyDescent="0.25">
      <c r="D259" t="s">
        <v>86</v>
      </c>
      <c r="E259" t="s">
        <v>173</v>
      </c>
    </row>
    <row r="260" spans="4:5" x14ac:dyDescent="0.25">
      <c r="D260" t="s">
        <v>174</v>
      </c>
    </row>
    <row r="261" spans="4:5" x14ac:dyDescent="0.25">
      <c r="D261" t="s">
        <v>175</v>
      </c>
    </row>
    <row r="262" spans="4:5" x14ac:dyDescent="0.25">
      <c r="D262" t="s">
        <v>176</v>
      </c>
    </row>
    <row r="263" spans="4:5" x14ac:dyDescent="0.25">
      <c r="D263" t="s">
        <v>177</v>
      </c>
    </row>
    <row r="264" spans="4:5" x14ac:dyDescent="0.25">
      <c r="D264" t="s">
        <v>178</v>
      </c>
      <c r="E264" t="b">
        <v>1</v>
      </c>
    </row>
    <row r="265" spans="4:5" x14ac:dyDescent="0.25">
      <c r="D265" t="s">
        <v>179</v>
      </c>
      <c r="E265" t="s">
        <v>121</v>
      </c>
    </row>
    <row r="266" spans="4:5" x14ac:dyDescent="0.25">
      <c r="D266" t="s">
        <v>181</v>
      </c>
    </row>
    <row r="268" spans="4:5" x14ac:dyDescent="0.25">
      <c r="D268" t="s">
        <v>84</v>
      </c>
      <c r="E268" t="s">
        <v>85</v>
      </c>
    </row>
    <row r="269" spans="4:5" x14ac:dyDescent="0.25">
      <c r="D269" t="s">
        <v>86</v>
      </c>
      <c r="E269" t="s">
        <v>182</v>
      </c>
    </row>
    <row r="270" spans="4:5" x14ac:dyDescent="0.25">
      <c r="D270" t="s">
        <v>88</v>
      </c>
      <c r="E270" t="s">
        <v>54</v>
      </c>
    </row>
    <row r="271" spans="4:5" x14ac:dyDescent="0.25">
      <c r="D271" t="s">
        <v>89</v>
      </c>
      <c r="E271">
        <v>37</v>
      </c>
    </row>
    <row r="272" spans="4:5" x14ac:dyDescent="0.25">
      <c r="D272" t="s">
        <v>90</v>
      </c>
      <c r="E272">
        <v>0</v>
      </c>
    </row>
    <row r="273" spans="4:5" x14ac:dyDescent="0.25">
      <c r="D273" t="s">
        <v>183</v>
      </c>
    </row>
    <row r="275" spans="4:5" x14ac:dyDescent="0.25">
      <c r="D275" t="s">
        <v>84</v>
      </c>
      <c r="E275" t="s">
        <v>184</v>
      </c>
    </row>
    <row r="276" spans="4:5" x14ac:dyDescent="0.25">
      <c r="D276" t="s">
        <v>86</v>
      </c>
      <c r="E276" t="s">
        <v>185</v>
      </c>
    </row>
    <row r="277" spans="4:5" x14ac:dyDescent="0.25">
      <c r="D277" t="s">
        <v>186</v>
      </c>
      <c r="E277">
        <v>900</v>
      </c>
    </row>
    <row r="278" spans="4:5" x14ac:dyDescent="0.25">
      <c r="D278" t="s">
        <v>187</v>
      </c>
    </row>
    <row r="280" spans="4:5" x14ac:dyDescent="0.25">
      <c r="D280" t="s">
        <v>84</v>
      </c>
      <c r="E280" t="s">
        <v>184</v>
      </c>
    </row>
    <row r="281" spans="4:5" x14ac:dyDescent="0.25">
      <c r="D281" t="s">
        <v>86</v>
      </c>
      <c r="E281" t="s">
        <v>188</v>
      </c>
    </row>
    <row r="282" spans="4:5" x14ac:dyDescent="0.25">
      <c r="D282" t="s">
        <v>189</v>
      </c>
    </row>
    <row r="284" spans="4:5" x14ac:dyDescent="0.25">
      <c r="D284" t="s">
        <v>84</v>
      </c>
      <c r="E284" t="s">
        <v>85</v>
      </c>
    </row>
    <row r="285" spans="4:5" x14ac:dyDescent="0.25">
      <c r="D285" t="s">
        <v>86</v>
      </c>
      <c r="E285" t="s">
        <v>190</v>
      </c>
    </row>
    <row r="286" spans="4:5" x14ac:dyDescent="0.25">
      <c r="D286" t="s">
        <v>88</v>
      </c>
      <c r="E286" t="s">
        <v>156</v>
      </c>
    </row>
    <row r="287" spans="4:5" x14ac:dyDescent="0.25">
      <c r="D287" t="s">
        <v>191</v>
      </c>
    </row>
    <row r="289" spans="4:5" x14ac:dyDescent="0.25">
      <c r="D289" t="s">
        <v>84</v>
      </c>
      <c r="E289" t="s">
        <v>164</v>
      </c>
    </row>
    <row r="290" spans="4:5" x14ac:dyDescent="0.25">
      <c r="D290" t="s">
        <v>86</v>
      </c>
      <c r="E290" t="s">
        <v>166</v>
      </c>
    </row>
    <row r="291" spans="4:5" x14ac:dyDescent="0.25">
      <c r="D291" t="s">
        <v>88</v>
      </c>
      <c r="E291" t="s">
        <v>156</v>
      </c>
    </row>
    <row r="292" spans="4:5" x14ac:dyDescent="0.25">
      <c r="D292" t="s">
        <v>192</v>
      </c>
    </row>
    <row r="294" spans="4:5" x14ac:dyDescent="0.25">
      <c r="D294" t="s">
        <v>84</v>
      </c>
      <c r="E294" t="s">
        <v>164</v>
      </c>
    </row>
    <row r="295" spans="4:5" x14ac:dyDescent="0.25">
      <c r="D295" t="s">
        <v>86</v>
      </c>
      <c r="E295" t="s">
        <v>168</v>
      </c>
    </row>
    <row r="296" spans="4:5" x14ac:dyDescent="0.25">
      <c r="D296" t="s">
        <v>88</v>
      </c>
      <c r="E296" t="s">
        <v>156</v>
      </c>
    </row>
    <row r="297" spans="4:5" x14ac:dyDescent="0.25">
      <c r="D297" t="s">
        <v>193</v>
      </c>
    </row>
    <row r="299" spans="4:5" x14ac:dyDescent="0.25">
      <c r="D299" t="s">
        <v>84</v>
      </c>
      <c r="E299" t="s">
        <v>85</v>
      </c>
    </row>
    <row r="300" spans="4:5" x14ac:dyDescent="0.25">
      <c r="D300" t="s">
        <v>86</v>
      </c>
      <c r="E300" t="s">
        <v>166</v>
      </c>
    </row>
    <row r="301" spans="4:5" x14ac:dyDescent="0.25">
      <c r="D301" t="s">
        <v>88</v>
      </c>
      <c r="E301" t="s">
        <v>156</v>
      </c>
    </row>
    <row r="302" spans="4:5" x14ac:dyDescent="0.25">
      <c r="D302" t="s">
        <v>194</v>
      </c>
    </row>
    <row r="304" spans="4:5" x14ac:dyDescent="0.25">
      <c r="D304" t="s">
        <v>84</v>
      </c>
      <c r="E304" t="s">
        <v>85</v>
      </c>
    </row>
    <row r="305" spans="4:5" x14ac:dyDescent="0.25">
      <c r="D305" t="s">
        <v>86</v>
      </c>
      <c r="E305" t="s">
        <v>168</v>
      </c>
    </row>
    <row r="306" spans="4:5" x14ac:dyDescent="0.25">
      <c r="D306" t="s">
        <v>88</v>
      </c>
      <c r="E306" t="s">
        <v>156</v>
      </c>
    </row>
    <row r="307" spans="4:5" x14ac:dyDescent="0.25">
      <c r="D307" t="s">
        <v>195</v>
      </c>
    </row>
    <row r="309" spans="4:5" x14ac:dyDescent="0.25">
      <c r="D309" t="s">
        <v>84</v>
      </c>
      <c r="E309" t="s">
        <v>153</v>
      </c>
    </row>
    <row r="310" spans="4:5" x14ac:dyDescent="0.25">
      <c r="D310" t="s">
        <v>86</v>
      </c>
      <c r="E310" t="s">
        <v>154</v>
      </c>
    </row>
    <row r="311" spans="4:5" x14ac:dyDescent="0.25">
      <c r="D311" t="s">
        <v>155</v>
      </c>
      <c r="E311" t="s">
        <v>156</v>
      </c>
    </row>
    <row r="312" spans="4:5" x14ac:dyDescent="0.25">
      <c r="D312" t="s">
        <v>196</v>
      </c>
    </row>
    <row r="314" spans="4:5" x14ac:dyDescent="0.25">
      <c r="D314" t="s">
        <v>84</v>
      </c>
      <c r="E314" t="s">
        <v>153</v>
      </c>
    </row>
    <row r="315" spans="4:5" x14ac:dyDescent="0.25">
      <c r="D315" t="s">
        <v>86</v>
      </c>
      <c r="E315" t="s">
        <v>158</v>
      </c>
    </row>
    <row r="316" spans="4:5" x14ac:dyDescent="0.25">
      <c r="D316" t="s">
        <v>155</v>
      </c>
      <c r="E316" t="s">
        <v>156</v>
      </c>
    </row>
    <row r="317" spans="4:5" x14ac:dyDescent="0.25">
      <c r="D317" t="s">
        <v>197</v>
      </c>
    </row>
    <row r="319" spans="4:5" x14ac:dyDescent="0.25">
      <c r="D319" t="s">
        <v>84</v>
      </c>
      <c r="E319" t="s">
        <v>85</v>
      </c>
    </row>
    <row r="320" spans="4:5" x14ac:dyDescent="0.25">
      <c r="D320" t="s">
        <v>86</v>
      </c>
      <c r="E320" t="s">
        <v>160</v>
      </c>
    </row>
    <row r="321" spans="4:5" x14ac:dyDescent="0.25">
      <c r="D321" t="s">
        <v>88</v>
      </c>
      <c r="E321" t="s">
        <v>156</v>
      </c>
    </row>
    <row r="322" spans="4:5" x14ac:dyDescent="0.25">
      <c r="D322" t="s">
        <v>198</v>
      </c>
    </row>
    <row r="324" spans="4:5" x14ac:dyDescent="0.25">
      <c r="D324" t="s">
        <v>84</v>
      </c>
      <c r="E324" t="s">
        <v>85</v>
      </c>
    </row>
    <row r="325" spans="4:5" x14ac:dyDescent="0.25">
      <c r="D325" t="s">
        <v>86</v>
      </c>
      <c r="E325" t="s">
        <v>162</v>
      </c>
    </row>
    <row r="326" spans="4:5" x14ac:dyDescent="0.25">
      <c r="D326" t="s">
        <v>88</v>
      </c>
      <c r="E326" t="s">
        <v>156</v>
      </c>
    </row>
    <row r="327" spans="4:5" x14ac:dyDescent="0.25">
      <c r="D327" t="s">
        <v>199</v>
      </c>
    </row>
    <row r="329" spans="4:5" x14ac:dyDescent="0.25">
      <c r="D329" t="s">
        <v>84</v>
      </c>
      <c r="E329" t="s">
        <v>172</v>
      </c>
    </row>
    <row r="330" spans="4:5" x14ac:dyDescent="0.25">
      <c r="D330" t="s">
        <v>86</v>
      </c>
      <c r="E330" t="s">
        <v>173</v>
      </c>
    </row>
    <row r="331" spans="4:5" x14ac:dyDescent="0.25">
      <c r="D331" t="s">
        <v>174</v>
      </c>
    </row>
    <row r="332" spans="4:5" x14ac:dyDescent="0.25">
      <c r="D332" t="s">
        <v>175</v>
      </c>
    </row>
    <row r="333" spans="4:5" x14ac:dyDescent="0.25">
      <c r="D333" t="s">
        <v>176</v>
      </c>
    </row>
    <row r="334" spans="4:5" x14ac:dyDescent="0.25">
      <c r="D334" t="s">
        <v>177</v>
      </c>
    </row>
    <row r="335" spans="4:5" x14ac:dyDescent="0.25">
      <c r="D335" t="s">
        <v>178</v>
      </c>
      <c r="E335" t="b">
        <v>0</v>
      </c>
    </row>
    <row r="336" spans="4:5" x14ac:dyDescent="0.25">
      <c r="D336" t="s">
        <v>179</v>
      </c>
      <c r="E336" t="s">
        <v>200</v>
      </c>
    </row>
    <row r="337" spans="4:5" x14ac:dyDescent="0.25">
      <c r="D337" t="s">
        <v>201</v>
      </c>
    </row>
    <row r="339" spans="4:5" x14ac:dyDescent="0.25">
      <c r="D339" t="s">
        <v>84</v>
      </c>
      <c r="E339" t="s">
        <v>172</v>
      </c>
    </row>
    <row r="340" spans="4:5" x14ac:dyDescent="0.25">
      <c r="D340" t="s">
        <v>86</v>
      </c>
      <c r="E340" t="s">
        <v>173</v>
      </c>
    </row>
    <row r="341" spans="4:5" x14ac:dyDescent="0.25">
      <c r="D341" t="s">
        <v>174</v>
      </c>
    </row>
    <row r="342" spans="4:5" x14ac:dyDescent="0.25">
      <c r="D342" t="s">
        <v>175</v>
      </c>
    </row>
    <row r="343" spans="4:5" x14ac:dyDescent="0.25">
      <c r="D343" t="s">
        <v>176</v>
      </c>
    </row>
    <row r="344" spans="4:5" x14ac:dyDescent="0.25">
      <c r="D344" t="s">
        <v>177</v>
      </c>
    </row>
    <row r="345" spans="4:5" x14ac:dyDescent="0.25">
      <c r="D345" t="s">
        <v>178</v>
      </c>
      <c r="E345" t="b">
        <v>1</v>
      </c>
    </row>
    <row r="346" spans="4:5" x14ac:dyDescent="0.25">
      <c r="D346" t="s">
        <v>179</v>
      </c>
      <c r="E346" t="s">
        <v>200</v>
      </c>
    </row>
    <row r="347" spans="4:5" x14ac:dyDescent="0.25">
      <c r="D347" t="s">
        <v>202</v>
      </c>
    </row>
    <row r="349" spans="4:5" x14ac:dyDescent="0.25">
      <c r="D349" t="s">
        <v>84</v>
      </c>
      <c r="E349" t="s">
        <v>85</v>
      </c>
    </row>
    <row r="350" spans="4:5" x14ac:dyDescent="0.25">
      <c r="D350" t="s">
        <v>86</v>
      </c>
      <c r="E350" t="s">
        <v>203</v>
      </c>
    </row>
    <row r="351" spans="4:5" x14ac:dyDescent="0.25">
      <c r="D351" t="s">
        <v>88</v>
      </c>
      <c r="E351" t="s">
        <v>156</v>
      </c>
    </row>
    <row r="353" spans="2:5" x14ac:dyDescent="0.25">
      <c r="D353" t="s">
        <v>84</v>
      </c>
      <c r="E353" t="s">
        <v>164</v>
      </c>
    </row>
    <row r="354" spans="2:5" x14ac:dyDescent="0.25">
      <c r="D354" t="s">
        <v>86</v>
      </c>
      <c r="E354" t="s">
        <v>203</v>
      </c>
    </row>
    <row r="355" spans="2:5" x14ac:dyDescent="0.25">
      <c r="D355" t="s">
        <v>88</v>
      </c>
      <c r="E355" t="s">
        <v>156</v>
      </c>
    </row>
    <row r="356" spans="2:5" x14ac:dyDescent="0.25">
      <c r="D356" t="s">
        <v>204</v>
      </c>
    </row>
    <row r="361" spans="2:5" x14ac:dyDescent="0.25">
      <c r="B361" t="s">
        <v>205</v>
      </c>
    </row>
    <row r="362" spans="2:5" x14ac:dyDescent="0.25">
      <c r="B362" t="s">
        <v>206</v>
      </c>
    </row>
    <row r="363" spans="2:5" x14ac:dyDescent="0.25">
      <c r="B363" t="s">
        <v>207</v>
      </c>
    </row>
    <row r="364" spans="2:5" x14ac:dyDescent="0.25">
      <c r="B364" t="s">
        <v>208</v>
      </c>
    </row>
    <row r="365" spans="2:5" x14ac:dyDescent="0.25">
      <c r="B365" t="s">
        <v>209</v>
      </c>
    </row>
    <row r="367" spans="2:5" x14ac:dyDescent="0.25">
      <c r="C367" t="s">
        <v>24</v>
      </c>
    </row>
    <row r="369" spans="2:5" x14ac:dyDescent="0.25">
      <c r="D369" t="s">
        <v>84</v>
      </c>
      <c r="E369" t="s">
        <v>83</v>
      </c>
    </row>
    <row r="370" spans="2:5" x14ac:dyDescent="0.25">
      <c r="D370" t="s">
        <v>86</v>
      </c>
      <c r="E370" t="s">
        <v>210</v>
      </c>
    </row>
    <row r="371" spans="2:5" x14ac:dyDescent="0.25">
      <c r="D371" t="s">
        <v>211</v>
      </c>
      <c r="E371" t="s">
        <v>78</v>
      </c>
    </row>
    <row r="372" spans="2:5" x14ac:dyDescent="0.25">
      <c r="D372" t="s">
        <v>212</v>
      </c>
      <c r="E372" t="s">
        <v>79</v>
      </c>
    </row>
    <row r="373" spans="2:5" x14ac:dyDescent="0.25">
      <c r="D373" t="s">
        <v>213</v>
      </c>
      <c r="E373" t="s">
        <v>214</v>
      </c>
    </row>
    <row r="374" spans="2:5" x14ac:dyDescent="0.25">
      <c r="D374" t="s">
        <v>215</v>
      </c>
    </row>
    <row r="379" spans="2:5" x14ac:dyDescent="0.25">
      <c r="B379" t="s">
        <v>216</v>
      </c>
    </row>
    <row r="380" spans="2:5" x14ac:dyDescent="0.25">
      <c r="B380" t="s">
        <v>217</v>
      </c>
    </row>
    <row r="382" spans="2:5" x14ac:dyDescent="0.25">
      <c r="C382" t="s">
        <v>218</v>
      </c>
    </row>
    <row r="384" spans="2:5" x14ac:dyDescent="0.25">
      <c r="D384" t="s">
        <v>84</v>
      </c>
      <c r="E384" t="s">
        <v>219</v>
      </c>
    </row>
    <row r="385" spans="4:9" x14ac:dyDescent="0.25">
      <c r="D385" t="s">
        <v>86</v>
      </c>
      <c r="E385" t="s">
        <v>220</v>
      </c>
    </row>
    <row r="386" spans="4:9" x14ac:dyDescent="0.25">
      <c r="D386" t="s">
        <v>221</v>
      </c>
      <c r="E386">
        <v>3</v>
      </c>
    </row>
    <row r="388" spans="4:9" x14ac:dyDescent="0.25">
      <c r="D388" t="s">
        <v>84</v>
      </c>
      <c r="E388" t="s">
        <v>219</v>
      </c>
    </row>
    <row r="389" spans="4:9" x14ac:dyDescent="0.25">
      <c r="D389" t="s">
        <v>86</v>
      </c>
      <c r="E389" t="s">
        <v>153</v>
      </c>
    </row>
    <row r="390" spans="4:9" x14ac:dyDescent="0.25">
      <c r="D390" t="s">
        <v>222</v>
      </c>
      <c r="E390" t="s">
        <v>54</v>
      </c>
      <c r="F390" t="s">
        <v>65</v>
      </c>
      <c r="G390" t="s">
        <v>8</v>
      </c>
      <c r="H390" t="s">
        <v>66</v>
      </c>
      <c r="I390" t="s">
        <v>69</v>
      </c>
    </row>
    <row r="391" spans="4:9" x14ac:dyDescent="0.25">
      <c r="D391" t="s">
        <v>223</v>
      </c>
      <c r="E391" t="s">
        <v>224</v>
      </c>
      <c r="F391" t="s">
        <v>225</v>
      </c>
      <c r="G391" t="s">
        <v>226</v>
      </c>
      <c r="H391" t="s">
        <v>227</v>
      </c>
      <c r="I391" t="s">
        <v>228</v>
      </c>
    </row>
    <row r="392" spans="4:9" x14ac:dyDescent="0.25">
      <c r="D392" t="s">
        <v>229</v>
      </c>
      <c r="E392" t="b">
        <v>0</v>
      </c>
      <c r="F392" t="b">
        <v>1</v>
      </c>
      <c r="G392" t="b">
        <v>1</v>
      </c>
      <c r="H392" t="b">
        <v>0</v>
      </c>
      <c r="I392" t="b">
        <v>0</v>
      </c>
    </row>
    <row r="393" spans="4:9" x14ac:dyDescent="0.25">
      <c r="D393" t="s">
        <v>230</v>
      </c>
      <c r="E393" t="s">
        <v>231</v>
      </c>
      <c r="F393" t="s">
        <v>225</v>
      </c>
      <c r="G393" t="s">
        <v>226</v>
      </c>
      <c r="H393" t="s">
        <v>227</v>
      </c>
      <c r="I393" t="s">
        <v>228</v>
      </c>
    </row>
    <row r="394" spans="4:9" x14ac:dyDescent="0.25">
      <c r="D394" t="s">
        <v>232</v>
      </c>
      <c r="E394">
        <v>230</v>
      </c>
      <c r="F394">
        <v>229.376</v>
      </c>
      <c r="G394">
        <v>320</v>
      </c>
      <c r="H394">
        <v>3210.6239999999998</v>
      </c>
      <c r="I394">
        <v>8260</v>
      </c>
    </row>
    <row r="395" spans="4:9" x14ac:dyDescent="0.25">
      <c r="D395" t="s">
        <v>233</v>
      </c>
      <c r="E395" t="s">
        <v>81</v>
      </c>
      <c r="F395" t="s">
        <v>234</v>
      </c>
      <c r="G395" t="s">
        <v>234</v>
      </c>
      <c r="H395" t="s">
        <v>235</v>
      </c>
      <c r="I395" t="s">
        <v>235</v>
      </c>
    </row>
    <row r="396" spans="4:9" x14ac:dyDescent="0.25">
      <c r="D396" t="s">
        <v>236</v>
      </c>
      <c r="E396" t="s">
        <v>82</v>
      </c>
      <c r="F396" t="s">
        <v>237</v>
      </c>
      <c r="G396" t="s">
        <v>237</v>
      </c>
      <c r="H396" t="s">
        <v>237</v>
      </c>
      <c r="I396" t="s">
        <v>237</v>
      </c>
    </row>
    <row r="397" spans="4:9" x14ac:dyDescent="0.25">
      <c r="D397" t="s">
        <v>238</v>
      </c>
      <c r="E397" t="s">
        <v>239</v>
      </c>
      <c r="F397" t="s">
        <v>240</v>
      </c>
      <c r="G397" t="s">
        <v>240</v>
      </c>
      <c r="H397" t="s">
        <v>235</v>
      </c>
      <c r="I397" t="s">
        <v>241</v>
      </c>
    </row>
    <row r="399" spans="4:9" x14ac:dyDescent="0.25">
      <c r="D399" t="s">
        <v>84</v>
      </c>
      <c r="E399" t="s">
        <v>219</v>
      </c>
    </row>
    <row r="400" spans="4:9" x14ac:dyDescent="0.25">
      <c r="D400" t="s">
        <v>86</v>
      </c>
      <c r="E400" t="s">
        <v>99</v>
      </c>
    </row>
    <row r="401" spans="4:111" x14ac:dyDescent="0.25">
      <c r="D401" t="s">
        <v>232</v>
      </c>
      <c r="E401">
        <v>20</v>
      </c>
      <c r="F401">
        <v>20</v>
      </c>
      <c r="G401">
        <v>10</v>
      </c>
      <c r="H401">
        <v>10</v>
      </c>
      <c r="I401">
        <v>15</v>
      </c>
      <c r="J401">
        <v>15</v>
      </c>
      <c r="K401">
        <v>17.5</v>
      </c>
      <c r="L401">
        <v>17.5</v>
      </c>
      <c r="M401">
        <v>18.75</v>
      </c>
      <c r="N401">
        <v>18.75</v>
      </c>
      <c r="O401">
        <v>19.373999999999999</v>
      </c>
      <c r="P401">
        <v>19.373999999999999</v>
      </c>
      <c r="Q401">
        <v>19.687999999999999</v>
      </c>
      <c r="R401">
        <v>19.687999999999999</v>
      </c>
      <c r="S401">
        <v>20</v>
      </c>
      <c r="T401">
        <v>20</v>
      </c>
      <c r="U401">
        <v>20</v>
      </c>
      <c r="V401">
        <v>20</v>
      </c>
      <c r="W401">
        <v>20</v>
      </c>
      <c r="X401">
        <v>20</v>
      </c>
      <c r="Y401">
        <v>20</v>
      </c>
      <c r="Z401">
        <v>20</v>
      </c>
      <c r="AA401">
        <v>20</v>
      </c>
      <c r="AB401">
        <v>20</v>
      </c>
      <c r="AC401">
        <v>20</v>
      </c>
      <c r="AD401">
        <v>20</v>
      </c>
      <c r="AE401">
        <v>20</v>
      </c>
      <c r="AF401">
        <v>20</v>
      </c>
      <c r="AG401">
        <v>20</v>
      </c>
      <c r="AH401">
        <v>20</v>
      </c>
      <c r="AI401">
        <v>20</v>
      </c>
      <c r="AJ401">
        <v>20</v>
      </c>
      <c r="AK401">
        <v>10</v>
      </c>
      <c r="AL401">
        <v>10</v>
      </c>
      <c r="AM401">
        <v>5</v>
      </c>
      <c r="AN401">
        <v>5</v>
      </c>
      <c r="AO401">
        <v>2.5</v>
      </c>
      <c r="AP401">
        <v>2.5</v>
      </c>
      <c r="AQ401">
        <v>1.25</v>
      </c>
      <c r="AR401">
        <v>1.25</v>
      </c>
      <c r="AS401">
        <v>0.626</v>
      </c>
      <c r="AT401">
        <v>0.626</v>
      </c>
      <c r="AU401">
        <v>0.312</v>
      </c>
      <c r="AV401">
        <v>0.312</v>
      </c>
      <c r="AW401">
        <v>20</v>
      </c>
      <c r="AX401">
        <v>10</v>
      </c>
      <c r="AY401">
        <v>10</v>
      </c>
      <c r="AZ401">
        <v>10</v>
      </c>
      <c r="BA401">
        <v>10</v>
      </c>
      <c r="BB401">
        <v>10</v>
      </c>
      <c r="BC401">
        <v>10</v>
      </c>
      <c r="BD401">
        <v>10</v>
      </c>
      <c r="BE401">
        <v>10</v>
      </c>
      <c r="BF401">
        <v>10</v>
      </c>
      <c r="BG401">
        <v>10</v>
      </c>
      <c r="BH401">
        <v>10</v>
      </c>
      <c r="BI401">
        <v>10</v>
      </c>
      <c r="BJ401">
        <v>10</v>
      </c>
      <c r="BK401">
        <v>10</v>
      </c>
      <c r="BL401">
        <v>10</v>
      </c>
      <c r="BM401">
        <v>10</v>
      </c>
      <c r="BN401">
        <v>10</v>
      </c>
      <c r="BO401">
        <v>10</v>
      </c>
      <c r="BP401">
        <v>10</v>
      </c>
      <c r="BQ401">
        <v>10</v>
      </c>
      <c r="BR401">
        <v>10</v>
      </c>
      <c r="BS401">
        <v>10</v>
      </c>
      <c r="BT401">
        <v>10</v>
      </c>
      <c r="BU401">
        <v>10</v>
      </c>
      <c r="BV401">
        <v>10</v>
      </c>
      <c r="BW401">
        <v>10</v>
      </c>
      <c r="BX401">
        <v>10</v>
      </c>
      <c r="BY401">
        <v>10</v>
      </c>
      <c r="BZ401">
        <v>10</v>
      </c>
      <c r="CA401">
        <v>10</v>
      </c>
      <c r="CB401">
        <v>180</v>
      </c>
      <c r="CC401">
        <v>180</v>
      </c>
      <c r="CD401">
        <v>180</v>
      </c>
      <c r="CE401">
        <v>180</v>
      </c>
      <c r="CF401">
        <v>180</v>
      </c>
      <c r="CG401">
        <v>180</v>
      </c>
      <c r="CH401">
        <v>180</v>
      </c>
      <c r="CI401">
        <v>180</v>
      </c>
      <c r="CJ401">
        <v>180</v>
      </c>
      <c r="CK401">
        <v>180</v>
      </c>
      <c r="CL401">
        <v>180</v>
      </c>
      <c r="CM401">
        <v>180</v>
      </c>
      <c r="CN401">
        <v>180</v>
      </c>
      <c r="CO401">
        <v>180</v>
      </c>
      <c r="CP401">
        <v>180</v>
      </c>
      <c r="CQ401">
        <v>180</v>
      </c>
      <c r="CR401">
        <v>180</v>
      </c>
      <c r="CS401">
        <v>180</v>
      </c>
      <c r="CT401">
        <v>180</v>
      </c>
      <c r="CU401">
        <v>180</v>
      </c>
      <c r="CV401">
        <v>180</v>
      </c>
      <c r="CW401">
        <v>180</v>
      </c>
      <c r="CX401">
        <v>180</v>
      </c>
      <c r="CY401">
        <v>180</v>
      </c>
      <c r="CZ401">
        <v>180</v>
      </c>
      <c r="DA401">
        <v>180</v>
      </c>
      <c r="DB401">
        <v>180</v>
      </c>
      <c r="DC401">
        <v>180</v>
      </c>
      <c r="DD401">
        <v>180</v>
      </c>
      <c r="DE401">
        <v>180</v>
      </c>
      <c r="DF401">
        <v>180</v>
      </c>
      <c r="DG401">
        <v>180</v>
      </c>
    </row>
    <row r="403" spans="4:111" x14ac:dyDescent="0.25">
      <c r="D403" t="s">
        <v>84</v>
      </c>
      <c r="E403" t="s">
        <v>219</v>
      </c>
    </row>
    <row r="404" spans="4:111" x14ac:dyDescent="0.25">
      <c r="D404" t="s">
        <v>86</v>
      </c>
      <c r="E404" t="s">
        <v>242</v>
      </c>
    </row>
    <row r="406" spans="4:111" x14ac:dyDescent="0.25">
      <c r="D406" t="s">
        <v>84</v>
      </c>
      <c r="E406" t="s">
        <v>219</v>
      </c>
    </row>
    <row r="407" spans="4:111" x14ac:dyDescent="0.25">
      <c r="D407" t="s">
        <v>86</v>
      </c>
      <c r="E407" t="s">
        <v>243</v>
      </c>
    </row>
    <row r="409" spans="4:111" x14ac:dyDescent="0.25">
      <c r="D409" t="s">
        <v>84</v>
      </c>
      <c r="E409" t="s">
        <v>219</v>
      </c>
    </row>
    <row r="410" spans="4:111" x14ac:dyDescent="0.25">
      <c r="D410" t="s">
        <v>86</v>
      </c>
      <c r="E410" t="s">
        <v>244</v>
      </c>
    </row>
    <row r="412" spans="4:111" x14ac:dyDescent="0.25">
      <c r="D412" t="s">
        <v>84</v>
      </c>
      <c r="E412" t="s">
        <v>219</v>
      </c>
    </row>
    <row r="413" spans="4:111" x14ac:dyDescent="0.25">
      <c r="D413" t="s">
        <v>86</v>
      </c>
      <c r="E413" t="s">
        <v>245</v>
      </c>
    </row>
    <row r="415" spans="4:111" x14ac:dyDescent="0.25">
      <c r="D415" t="s">
        <v>84</v>
      </c>
      <c r="E415" t="s">
        <v>219</v>
      </c>
    </row>
    <row r="416" spans="4:111" x14ac:dyDescent="0.25">
      <c r="D416" t="s">
        <v>86</v>
      </c>
      <c r="E416" t="s">
        <v>246</v>
      </c>
    </row>
    <row r="418" spans="4:5" x14ac:dyDescent="0.25">
      <c r="D418" t="s">
        <v>84</v>
      </c>
      <c r="E418" t="s">
        <v>219</v>
      </c>
    </row>
    <row r="419" spans="4:5" x14ac:dyDescent="0.25">
      <c r="D419" t="s">
        <v>86</v>
      </c>
      <c r="E419" t="s">
        <v>247</v>
      </c>
    </row>
    <row r="421" spans="4:5" x14ac:dyDescent="0.25">
      <c r="D421" t="s">
        <v>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780E-86B1-4AFF-BEC1-3ED66954E40D}">
  <sheetPr codeName="Sheet2"/>
  <dimension ref="D1:F67"/>
  <sheetViews>
    <sheetView tabSelected="1" topLeftCell="A34" zoomScale="80" zoomScaleNormal="80" workbookViewId="0">
      <selection activeCell="E15" sqref="E15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29.140625" bestFit="1" customWidth="1"/>
    <col min="5" max="5" width="43.85546875" bestFit="1" customWidth="1"/>
    <col min="6" max="6" width="11.5703125" bestFit="1" customWidth="1"/>
    <col min="7" max="7" width="60.140625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53" t="s">
        <v>4</v>
      </c>
      <c r="E2" s="36"/>
      <c r="F2" s="54" t="s">
        <v>5</v>
      </c>
    </row>
    <row r="3" spans="4:6" x14ac:dyDescent="0.25">
      <c r="D3" s="51" t="s">
        <v>0</v>
      </c>
      <c r="E3" s="1" t="s">
        <v>54</v>
      </c>
      <c r="F3" s="55"/>
    </row>
    <row r="4" spans="4:6" ht="15.75" thickBot="1" x14ac:dyDescent="0.3">
      <c r="D4" s="52" t="s">
        <v>7</v>
      </c>
      <c r="E4" s="2" t="s">
        <v>81</v>
      </c>
      <c r="F4" s="56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65" t="s">
        <v>23</v>
      </c>
      <c r="E8" s="34"/>
      <c r="F8" s="66" t="s">
        <v>5</v>
      </c>
    </row>
    <row r="9" spans="4:6" x14ac:dyDescent="0.25">
      <c r="D9" s="63" t="s">
        <v>15</v>
      </c>
      <c r="E9" s="7" t="str">
        <f>Worklist!$C$10</f>
        <v>Sample</v>
      </c>
      <c r="F9" s="67"/>
    </row>
    <row r="10" spans="4:6" x14ac:dyDescent="0.25">
      <c r="D10" s="63" t="s">
        <v>16</v>
      </c>
      <c r="E10" s="7" t="s">
        <v>17</v>
      </c>
      <c r="F10" s="67"/>
    </row>
    <row r="11" spans="4:6" x14ac:dyDescent="0.25">
      <c r="D11" s="63" t="s">
        <v>18</v>
      </c>
      <c r="E11" s="7" t="s">
        <v>19</v>
      </c>
      <c r="F11" s="67"/>
    </row>
    <row r="12" spans="4:6" x14ac:dyDescent="0.25">
      <c r="D12" s="63" t="s">
        <v>20</v>
      </c>
      <c r="E12" s="7" t="str">
        <f>Worklist!$E$1</f>
        <v>Sample Volume</v>
      </c>
      <c r="F12" s="67"/>
    </row>
    <row r="13" spans="4:6" ht="15.75" thickBot="1" x14ac:dyDescent="0.3">
      <c r="D13" s="64" t="s">
        <v>21</v>
      </c>
      <c r="E13" s="10" t="s">
        <v>22</v>
      </c>
      <c r="F13" s="68"/>
    </row>
    <row r="15" spans="4:6" ht="20.25" x14ac:dyDescent="0.25">
      <c r="E15" s="3" t="s">
        <v>6</v>
      </c>
    </row>
    <row r="16" spans="4:6" ht="15.75" thickBot="1" x14ac:dyDescent="0.3"/>
    <row r="17" spans="4:6" ht="15.75" x14ac:dyDescent="0.25">
      <c r="D17" s="77" t="s">
        <v>77</v>
      </c>
      <c r="E17" s="35"/>
      <c r="F17" s="78" t="s">
        <v>5</v>
      </c>
    </row>
    <row r="18" spans="4:6" x14ac:dyDescent="0.25">
      <c r="D18" s="75" t="s">
        <v>51</v>
      </c>
      <c r="E18" s="28" t="s">
        <v>75</v>
      </c>
      <c r="F18" s="79"/>
    </row>
    <row r="19" spans="4:6" x14ac:dyDescent="0.25">
      <c r="D19" s="75" t="s">
        <v>52</v>
      </c>
      <c r="E19" s="28" t="s">
        <v>249</v>
      </c>
      <c r="F19" s="79"/>
    </row>
    <row r="20" spans="4:6" ht="15.75" thickBot="1" x14ac:dyDescent="0.3">
      <c r="D20" s="76" t="s">
        <v>53</v>
      </c>
      <c r="E20" s="29" t="s">
        <v>250</v>
      </c>
      <c r="F20" s="80"/>
    </row>
    <row r="22" spans="4:6" ht="20.25" x14ac:dyDescent="0.25">
      <c r="E22" s="3" t="s">
        <v>6</v>
      </c>
    </row>
    <row r="23" spans="4:6" ht="15.75" thickBot="1" x14ac:dyDescent="0.3"/>
    <row r="24" spans="4:6" ht="15.75" x14ac:dyDescent="0.25">
      <c r="D24" s="65" t="s">
        <v>23</v>
      </c>
      <c r="E24" s="34"/>
      <c r="F24" s="66" t="s">
        <v>5</v>
      </c>
    </row>
    <row r="25" spans="4:6" x14ac:dyDescent="0.25">
      <c r="D25" s="63" t="s">
        <v>15</v>
      </c>
      <c r="E25" s="7" t="s">
        <v>66</v>
      </c>
      <c r="F25" s="67"/>
    </row>
    <row r="26" spans="4:6" x14ac:dyDescent="0.25">
      <c r="D26" s="63" t="s">
        <v>16</v>
      </c>
      <c r="E26" s="7" t="s">
        <v>17</v>
      </c>
      <c r="F26" s="67"/>
    </row>
    <row r="27" spans="4:6" x14ac:dyDescent="0.25">
      <c r="D27" s="63" t="s">
        <v>18</v>
      </c>
      <c r="E27" s="7" t="s">
        <v>19</v>
      </c>
      <c r="F27" s="67"/>
    </row>
    <row r="28" spans="4:6" x14ac:dyDescent="0.25">
      <c r="D28" s="63" t="s">
        <v>20</v>
      </c>
      <c r="E28" s="7" t="str">
        <f>Worklist!$F$1</f>
        <v>Formic Volume</v>
      </c>
      <c r="F28" s="67"/>
    </row>
    <row r="29" spans="4:6" ht="15.75" thickBot="1" x14ac:dyDescent="0.3">
      <c r="D29" s="64" t="s">
        <v>21</v>
      </c>
      <c r="E29" s="10" t="s">
        <v>22</v>
      </c>
      <c r="F29" s="68"/>
    </row>
    <row r="31" spans="4:6" ht="20.25" x14ac:dyDescent="0.25">
      <c r="E31" s="3" t="s">
        <v>6</v>
      </c>
    </row>
    <row r="32" spans="4:6" ht="15.75" thickBot="1" x14ac:dyDescent="0.3"/>
    <row r="33" spans="4:6" ht="15.75" x14ac:dyDescent="0.25">
      <c r="D33" s="59" t="s">
        <v>64</v>
      </c>
      <c r="E33" s="38"/>
      <c r="F33" s="60" t="s">
        <v>5</v>
      </c>
    </row>
    <row r="34" spans="4:6" x14ac:dyDescent="0.25">
      <c r="D34" s="57" t="s">
        <v>15</v>
      </c>
      <c r="E34" s="26" t="s">
        <v>65</v>
      </c>
      <c r="F34" s="61"/>
    </row>
    <row r="35" spans="4:6" x14ac:dyDescent="0.25">
      <c r="D35" s="57" t="s">
        <v>42</v>
      </c>
      <c r="E35" s="26" t="s">
        <v>66</v>
      </c>
      <c r="F35" s="61"/>
    </row>
    <row r="36" spans="4:6" x14ac:dyDescent="0.25">
      <c r="D36" s="57" t="s">
        <v>47</v>
      </c>
      <c r="E36" s="26">
        <v>1</v>
      </c>
      <c r="F36" s="61"/>
    </row>
    <row r="37" spans="4:6" x14ac:dyDescent="0.25">
      <c r="D37" s="57" t="s">
        <v>48</v>
      </c>
      <c r="E37" s="26" t="str">
        <f>Worklist!$D$1</f>
        <v>Conentration (mg/mL)</v>
      </c>
      <c r="F37" s="61"/>
    </row>
    <row r="38" spans="4:6" x14ac:dyDescent="0.25">
      <c r="D38" s="57" t="s">
        <v>49</v>
      </c>
      <c r="E38" s="26">
        <v>20</v>
      </c>
      <c r="F38" s="61"/>
    </row>
    <row r="39" spans="4:6" ht="15.75" thickBot="1" x14ac:dyDescent="0.3">
      <c r="D39" s="58" t="s">
        <v>50</v>
      </c>
      <c r="E39" s="27">
        <v>20</v>
      </c>
      <c r="F39" s="62"/>
    </row>
    <row r="41" spans="4:6" ht="20.25" x14ac:dyDescent="0.25">
      <c r="E41" s="3" t="s">
        <v>6</v>
      </c>
    </row>
    <row r="42" spans="4:6" ht="15.75" thickBot="1" x14ac:dyDescent="0.3"/>
    <row r="43" spans="4:6" ht="15.75" x14ac:dyDescent="0.25">
      <c r="D43" s="65" t="s">
        <v>23</v>
      </c>
      <c r="E43" s="34"/>
      <c r="F43" s="66" t="s">
        <v>5</v>
      </c>
    </row>
    <row r="44" spans="4:6" x14ac:dyDescent="0.25">
      <c r="D44" s="63" t="s">
        <v>15</v>
      </c>
      <c r="E44" s="7" t="s">
        <v>69</v>
      </c>
      <c r="F44" s="67"/>
    </row>
    <row r="45" spans="4:6" x14ac:dyDescent="0.25">
      <c r="D45" s="63" t="s">
        <v>16</v>
      </c>
      <c r="E45" s="7" t="s">
        <v>76</v>
      </c>
      <c r="F45" s="67"/>
    </row>
    <row r="46" spans="4:6" x14ac:dyDescent="0.25">
      <c r="D46" s="63" t="s">
        <v>18</v>
      </c>
      <c r="E46" s="7" t="s">
        <v>19</v>
      </c>
      <c r="F46" s="67"/>
    </row>
    <row r="47" spans="4:6" x14ac:dyDescent="0.25">
      <c r="D47" s="63" t="s">
        <v>20</v>
      </c>
      <c r="E47" s="7">
        <v>180</v>
      </c>
      <c r="F47" s="67"/>
    </row>
    <row r="48" spans="4:6" ht="15.75" thickBot="1" x14ac:dyDescent="0.3">
      <c r="D48" s="64" t="s">
        <v>21</v>
      </c>
      <c r="E48" s="10" t="s">
        <v>75</v>
      </c>
      <c r="F48" s="68"/>
    </row>
    <row r="50" spans="4:6" ht="20.25" x14ac:dyDescent="0.25">
      <c r="E50" s="3" t="s">
        <v>6</v>
      </c>
    </row>
    <row r="51" spans="4:6" ht="15.75" thickBot="1" x14ac:dyDescent="0.3"/>
    <row r="52" spans="4:6" ht="15.75" x14ac:dyDescent="0.25">
      <c r="D52" s="71" t="s">
        <v>46</v>
      </c>
      <c r="E52" s="37"/>
      <c r="F52" s="72" t="s">
        <v>5</v>
      </c>
    </row>
    <row r="53" spans="4:6" x14ac:dyDescent="0.25">
      <c r="D53" s="69" t="s">
        <v>43</v>
      </c>
      <c r="E53" s="19">
        <v>37</v>
      </c>
      <c r="F53" s="73"/>
    </row>
    <row r="54" spans="4:6" x14ac:dyDescent="0.25">
      <c r="D54" s="69" t="s">
        <v>44</v>
      </c>
      <c r="E54" s="19">
        <v>15</v>
      </c>
      <c r="F54" s="73"/>
    </row>
    <row r="55" spans="4:6" ht="15.75" thickBot="1" x14ac:dyDescent="0.3">
      <c r="D55" s="70" t="s">
        <v>45</v>
      </c>
      <c r="E55" s="20">
        <v>0</v>
      </c>
      <c r="F55" s="74"/>
    </row>
    <row r="57" spans="4:6" ht="20.25" x14ac:dyDescent="0.25">
      <c r="E57" s="3" t="s">
        <v>6</v>
      </c>
    </row>
    <row r="58" spans="4:6" ht="15.75" thickBot="1" x14ac:dyDescent="0.3"/>
    <row r="59" spans="4:6" ht="15.75" x14ac:dyDescent="0.25">
      <c r="D59" s="77" t="s">
        <v>77</v>
      </c>
      <c r="E59" s="35"/>
      <c r="F59" s="78" t="s">
        <v>5</v>
      </c>
    </row>
    <row r="60" spans="4:6" x14ac:dyDescent="0.25">
      <c r="D60" s="75" t="s">
        <v>51</v>
      </c>
      <c r="E60" s="28" t="s">
        <v>22</v>
      </c>
      <c r="F60" s="79"/>
    </row>
    <row r="61" spans="4:6" x14ac:dyDescent="0.25">
      <c r="D61" s="75" t="s">
        <v>52</v>
      </c>
      <c r="E61" s="28" t="s">
        <v>78</v>
      </c>
      <c r="F61" s="79"/>
    </row>
    <row r="62" spans="4:6" ht="15.75" thickBot="1" x14ac:dyDescent="0.3">
      <c r="D62" s="76" t="s">
        <v>53</v>
      </c>
      <c r="E62" s="29" t="s">
        <v>79</v>
      </c>
      <c r="F62" s="80"/>
    </row>
    <row r="64" spans="4:6" ht="20.25" x14ac:dyDescent="0.25">
      <c r="E64" s="3" t="s">
        <v>6</v>
      </c>
    </row>
    <row r="65" spans="4:6" ht="15.75" thickBot="1" x14ac:dyDescent="0.3"/>
    <row r="66" spans="4:6" ht="15.75" x14ac:dyDescent="0.25">
      <c r="D66" s="53" t="s">
        <v>35</v>
      </c>
      <c r="E66" s="36"/>
      <c r="F66" s="54" t="s">
        <v>5</v>
      </c>
    </row>
    <row r="67" spans="4:6" ht="15.75" thickBot="1" x14ac:dyDescent="0.3">
      <c r="D67" s="52"/>
      <c r="E67" s="2"/>
      <c r="F67" s="81"/>
    </row>
  </sheetData>
  <mergeCells count="17">
    <mergeCell ref="D66:E66"/>
    <mergeCell ref="F9:F13"/>
    <mergeCell ref="D17:E17"/>
    <mergeCell ref="F18:F20"/>
    <mergeCell ref="D24:E24"/>
    <mergeCell ref="F25:F29"/>
    <mergeCell ref="D33:E33"/>
    <mergeCell ref="F34:F39"/>
    <mergeCell ref="D43:E43"/>
    <mergeCell ref="F44:F48"/>
    <mergeCell ref="F60:F62"/>
    <mergeCell ref="D2:E2"/>
    <mergeCell ref="F3:F4"/>
    <mergeCell ref="D8:E8"/>
    <mergeCell ref="D52:E52"/>
    <mergeCell ref="F53:F55"/>
    <mergeCell ref="D59:E5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ADA74-6316-4881-B07A-DD77D6FDEE4C}">
  <sheetPr codeName="Sheet5">
    <pageSetUpPr fitToPage="1"/>
  </sheetPr>
  <dimension ref="B1:L15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84" t="s">
        <v>67</v>
      </c>
      <c r="C2" s="39"/>
      <c r="D2" s="85" t="s">
        <v>5</v>
      </c>
      <c r="F2" s="84" t="s">
        <v>68</v>
      </c>
      <c r="G2" s="39"/>
      <c r="H2" s="85" t="s">
        <v>5</v>
      </c>
      <c r="J2" s="84" t="s">
        <v>70</v>
      </c>
      <c r="K2" s="39"/>
      <c r="L2" s="85" t="s">
        <v>5</v>
      </c>
    </row>
    <row r="3" spans="2:12" x14ac:dyDescent="0.25">
      <c r="B3" s="82" t="s">
        <v>36</v>
      </c>
      <c r="C3" s="17" t="s">
        <v>17</v>
      </c>
      <c r="D3" s="86"/>
      <c r="F3" s="82" t="s">
        <v>36</v>
      </c>
      <c r="G3" s="17" t="s">
        <v>17</v>
      </c>
      <c r="H3" s="86"/>
      <c r="J3" s="82" t="s">
        <v>36</v>
      </c>
      <c r="K3" s="17" t="s">
        <v>17</v>
      </c>
      <c r="L3" s="86"/>
    </row>
    <row r="4" spans="2:12" x14ac:dyDescent="0.25">
      <c r="B4" s="82" t="s">
        <v>18</v>
      </c>
      <c r="C4" s="17" t="s">
        <v>19</v>
      </c>
      <c r="D4" s="86"/>
      <c r="F4" s="82" t="s">
        <v>18</v>
      </c>
      <c r="G4" s="17" t="s">
        <v>19</v>
      </c>
      <c r="H4" s="86"/>
      <c r="J4" s="82" t="s">
        <v>18</v>
      </c>
      <c r="K4" s="17" t="s">
        <v>19</v>
      </c>
      <c r="L4" s="86"/>
    </row>
    <row r="5" spans="2:12" x14ac:dyDescent="0.25">
      <c r="B5" s="82" t="s">
        <v>37</v>
      </c>
      <c r="C5" s="17" t="s">
        <v>40</v>
      </c>
      <c r="D5" s="86"/>
      <c r="F5" s="82" t="s">
        <v>37</v>
      </c>
      <c r="G5" s="17" t="s">
        <v>40</v>
      </c>
      <c r="H5" s="86"/>
      <c r="J5" s="82" t="s">
        <v>37</v>
      </c>
      <c r="K5" s="17" t="s">
        <v>40</v>
      </c>
      <c r="L5" s="86"/>
    </row>
    <row r="6" spans="2:12" x14ac:dyDescent="0.25">
      <c r="B6" s="82" t="s">
        <v>38</v>
      </c>
      <c r="C6" s="17" t="s">
        <v>40</v>
      </c>
      <c r="D6" s="86"/>
      <c r="F6" s="82" t="s">
        <v>38</v>
      </c>
      <c r="G6" s="17" t="s">
        <v>40</v>
      </c>
      <c r="H6" s="86"/>
      <c r="J6" s="82" t="s">
        <v>38</v>
      </c>
      <c r="K6" s="17" t="s">
        <v>40</v>
      </c>
      <c r="L6" s="86"/>
    </row>
    <row r="7" spans="2:12" ht="15.75" thickBot="1" x14ac:dyDescent="0.3">
      <c r="B7" s="83" t="s">
        <v>39</v>
      </c>
      <c r="C7" s="18" t="s">
        <v>41</v>
      </c>
      <c r="D7" s="87"/>
      <c r="F7" s="83" t="s">
        <v>39</v>
      </c>
      <c r="G7" s="18" t="s">
        <v>41</v>
      </c>
      <c r="H7" s="87"/>
      <c r="J7" s="83" t="s">
        <v>39</v>
      </c>
      <c r="K7" s="18" t="s">
        <v>41</v>
      </c>
      <c r="L7" s="87"/>
    </row>
    <row r="9" spans="2:12" ht="15.75" thickBot="1" x14ac:dyDescent="0.3"/>
    <row r="10" spans="2:12" ht="15.75" x14ac:dyDescent="0.25">
      <c r="B10" s="84" t="s">
        <v>74</v>
      </c>
      <c r="C10" s="39"/>
      <c r="D10" s="85" t="s">
        <v>5</v>
      </c>
    </row>
    <row r="11" spans="2:12" x14ac:dyDescent="0.25">
      <c r="B11" s="82" t="s">
        <v>36</v>
      </c>
      <c r="C11" s="17" t="s">
        <v>17</v>
      </c>
      <c r="D11" s="86"/>
    </row>
    <row r="12" spans="2:12" x14ac:dyDescent="0.25">
      <c r="B12" s="82" t="s">
        <v>18</v>
      </c>
      <c r="C12" s="17" t="s">
        <v>19</v>
      </c>
      <c r="D12" s="86"/>
    </row>
    <row r="13" spans="2:12" x14ac:dyDescent="0.25">
      <c r="B13" s="82" t="s">
        <v>37</v>
      </c>
      <c r="C13" s="17" t="s">
        <v>40</v>
      </c>
      <c r="D13" s="86"/>
    </row>
    <row r="14" spans="2:12" x14ac:dyDescent="0.25">
      <c r="B14" s="82" t="s">
        <v>38</v>
      </c>
      <c r="C14" s="17" t="s">
        <v>40</v>
      </c>
      <c r="D14" s="86"/>
    </row>
    <row r="15" spans="2:12" ht="15.75" thickBot="1" x14ac:dyDescent="0.3">
      <c r="B15" s="83" t="s">
        <v>39</v>
      </c>
      <c r="C15" s="18" t="s">
        <v>41</v>
      </c>
      <c r="D15" s="87"/>
    </row>
  </sheetData>
  <mergeCells count="8">
    <mergeCell ref="L3:L7"/>
    <mergeCell ref="B10:C10"/>
    <mergeCell ref="D11:D15"/>
    <mergeCell ref="B2:C2"/>
    <mergeCell ref="D3:D7"/>
    <mergeCell ref="F2:G2"/>
    <mergeCell ref="H3:H7"/>
    <mergeCell ref="J2:K2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8E72-14C8-4EF5-AC98-9902B543CF9B}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46" t="s">
        <v>4</v>
      </c>
      <c r="E2" s="36"/>
      <c r="F2" s="6" t="s">
        <v>5</v>
      </c>
    </row>
    <row r="3" spans="4:6" x14ac:dyDescent="0.25">
      <c r="D3" s="4" t="s">
        <v>0</v>
      </c>
      <c r="E3" s="1" t="s">
        <v>8</v>
      </c>
      <c r="F3" s="40"/>
    </row>
    <row r="4" spans="4:6" ht="15.75" thickBot="1" x14ac:dyDescent="0.3">
      <c r="D4" s="5" t="s">
        <v>7</v>
      </c>
      <c r="E4" s="2" t="s">
        <v>3</v>
      </c>
      <c r="F4" s="41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46" t="s">
        <v>4</v>
      </c>
      <c r="E8" s="36"/>
      <c r="F8" s="6" t="s">
        <v>5</v>
      </c>
    </row>
    <row r="9" spans="4:6" x14ac:dyDescent="0.25">
      <c r="D9" s="4" t="s">
        <v>0</v>
      </c>
      <c r="E9" s="1" t="s">
        <v>9</v>
      </c>
      <c r="F9" s="40"/>
    </row>
    <row r="10" spans="4:6" ht="15.75" thickBot="1" x14ac:dyDescent="0.3">
      <c r="D10" s="5" t="s">
        <v>7</v>
      </c>
      <c r="E10" s="2" t="s">
        <v>3</v>
      </c>
      <c r="F10" s="41"/>
    </row>
    <row r="12" spans="4:6" ht="20.25" x14ac:dyDescent="0.25">
      <c r="E12" s="3" t="s">
        <v>6</v>
      </c>
    </row>
    <row r="13" spans="4:6" ht="15.75" thickBot="1" x14ac:dyDescent="0.3"/>
    <row r="14" spans="4:6" ht="15.75" x14ac:dyDescent="0.25">
      <c r="D14" s="50" t="s">
        <v>23</v>
      </c>
      <c r="E14" s="34"/>
      <c r="F14" s="11" t="s">
        <v>5</v>
      </c>
    </row>
    <row r="15" spans="4:6" x14ac:dyDescent="0.25">
      <c r="D15" s="8" t="s">
        <v>15</v>
      </c>
      <c r="E15" s="7" t="s">
        <v>24</v>
      </c>
      <c r="F15" s="48"/>
    </row>
    <row r="16" spans="4:6" x14ac:dyDescent="0.25">
      <c r="D16" s="8" t="s">
        <v>16</v>
      </c>
      <c r="E16" s="7" t="s">
        <v>17</v>
      </c>
      <c r="F16" s="48"/>
    </row>
    <row r="17" spans="2:11" x14ac:dyDescent="0.25">
      <c r="D17" s="8" t="s">
        <v>18</v>
      </c>
      <c r="E17" s="7" t="s">
        <v>19</v>
      </c>
      <c r="F17" s="48"/>
      <c r="J17" t="s">
        <v>27</v>
      </c>
    </row>
    <row r="18" spans="2:11" x14ac:dyDescent="0.25">
      <c r="D18" s="8" t="s">
        <v>20</v>
      </c>
      <c r="E18" s="7">
        <v>1</v>
      </c>
      <c r="F18" s="48"/>
      <c r="J18" t="s">
        <v>24</v>
      </c>
    </row>
    <row r="19" spans="2:11" ht="15.75" thickBot="1" x14ac:dyDescent="0.3">
      <c r="D19" s="9" t="s">
        <v>21</v>
      </c>
      <c r="E19" s="10" t="s">
        <v>22</v>
      </c>
      <c r="F19" s="49"/>
      <c r="J19" t="s">
        <v>28</v>
      </c>
    </row>
    <row r="20" spans="2:11" x14ac:dyDescent="0.25">
      <c r="J20" t="s">
        <v>29</v>
      </c>
    </row>
    <row r="21" spans="2:11" ht="20.25" x14ac:dyDescent="0.25">
      <c r="E21" s="3" t="s">
        <v>6</v>
      </c>
      <c r="J21" t="s">
        <v>30</v>
      </c>
      <c r="K21" t="s">
        <v>31</v>
      </c>
    </row>
    <row r="22" spans="2:11" ht="15.75" thickBot="1" x14ac:dyDescent="0.3"/>
    <row r="23" spans="2:11" ht="15.75" x14ac:dyDescent="0.25">
      <c r="D23" s="42" t="s">
        <v>25</v>
      </c>
      <c r="E23" s="43"/>
      <c r="F23" s="16" t="s">
        <v>5</v>
      </c>
    </row>
    <row r="24" spans="2:11" x14ac:dyDescent="0.25">
      <c r="D24" s="13" t="s">
        <v>10</v>
      </c>
      <c r="E24" s="12">
        <v>1</v>
      </c>
      <c r="F24" s="44"/>
      <c r="J24" t="s">
        <v>32</v>
      </c>
    </row>
    <row r="25" spans="2:11" x14ac:dyDescent="0.25">
      <c r="D25" s="13" t="s">
        <v>11</v>
      </c>
      <c r="E25" s="12" t="s">
        <v>12</v>
      </c>
      <c r="F25" s="44"/>
      <c r="J25" t="s">
        <v>33</v>
      </c>
    </row>
    <row r="26" spans="2:11" ht="15.75" thickBot="1" x14ac:dyDescent="0.3">
      <c r="D26" s="14" t="s">
        <v>13</v>
      </c>
      <c r="E26" s="15" t="s">
        <v>14</v>
      </c>
      <c r="F26" s="45"/>
      <c r="J26" t="s">
        <v>34</v>
      </c>
    </row>
    <row r="27" spans="2:11" ht="15.75" thickBot="1" x14ac:dyDescent="0.3"/>
    <row r="28" spans="2:11" ht="15.75" x14ac:dyDescent="0.25">
      <c r="B28" s="46" t="s">
        <v>4</v>
      </c>
      <c r="C28" s="36"/>
      <c r="D28" s="6" t="s">
        <v>5</v>
      </c>
      <c r="F28" s="46" t="s">
        <v>4</v>
      </c>
      <c r="G28" s="36"/>
      <c r="H28" s="6" t="s">
        <v>5</v>
      </c>
    </row>
    <row r="29" spans="2:11" x14ac:dyDescent="0.25">
      <c r="B29" s="4" t="s">
        <v>0</v>
      </c>
      <c r="C29" s="1" t="s">
        <v>12</v>
      </c>
      <c r="D29" s="40"/>
      <c r="E29" s="47" t="s">
        <v>26</v>
      </c>
      <c r="F29" s="4" t="s">
        <v>0</v>
      </c>
      <c r="G29" s="1" t="s">
        <v>14</v>
      </c>
      <c r="H29" s="40"/>
    </row>
    <row r="30" spans="2:11" ht="15.75" thickBot="1" x14ac:dyDescent="0.3">
      <c r="B30" s="5" t="s">
        <v>7</v>
      </c>
      <c r="C30" s="2" t="s">
        <v>3</v>
      </c>
      <c r="D30" s="41"/>
      <c r="E30" s="47"/>
      <c r="F30" s="5" t="s">
        <v>7</v>
      </c>
      <c r="G30" s="2" t="s">
        <v>3</v>
      </c>
      <c r="H30" s="41"/>
    </row>
    <row r="32" spans="2:11" ht="20.25" x14ac:dyDescent="0.25">
      <c r="C32" s="3" t="s">
        <v>6</v>
      </c>
      <c r="G32" s="3" t="s">
        <v>6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Worklist</vt:lpstr>
      <vt:lpstr>TestLog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2022-04-13T15:49:08Z</cp:lastPrinted>
  <dcterms:created xsi:type="dcterms:W3CDTF">2021-02-05T21:39:59Z</dcterms:created>
  <dcterms:modified xsi:type="dcterms:W3CDTF">2022-04-14T20:40:28Z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