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1EE3FAE-984E-4828-B84C-CB731AD1E03C}" xr6:coauthVersionLast="46" xr6:coauthVersionMax="46" xr10:uidLastSave="{00000000-0000-0000-0000-000000000000}"/>
  <bookViews>
    <workbookView xWindow="1995" yWindow="105" windowWidth="13320" windowHeight="15600" firstSheet="2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TestLog" sheetId="44" r:id="rId5"/>
    <sheet name="PrepList" sheetId="42" r:id="rId6"/>
    <sheet name="RunLog (3)" sheetId="28" r:id="rId7"/>
    <sheet name="RunLog" sheetId="27" r:id="rId8"/>
    <sheet name="RunLog (2)" sheetId="2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 l="1"/>
  <c r="A4" i="3"/>
  <c r="A3" i="3"/>
  <c r="E18" i="2" l="1"/>
  <c r="E26" i="2"/>
  <c r="D20" i="2" l="1"/>
  <c r="E22" i="2" l="1"/>
  <c r="E21" i="2"/>
  <c r="E13" i="2"/>
  <c r="A2" i="3" l="1"/>
</calcChain>
</file>

<file path=xl/sharedStrings.xml><?xml version="1.0" encoding="utf-8"?>
<sst xmlns="http://schemas.openxmlformats.org/spreadsheetml/2006/main" count="4201" uniqueCount="584">
  <si>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</si>
  <si>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</si>
  <si>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</si>
  <si>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</si>
  <si>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</si>
  <si>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</si>
  <si>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</si>
  <si>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</si>
  <si>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</si>
  <si>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</si>
  <si>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</si>
  <si>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</si>
  <si>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</si>
  <si>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</si>
  <si>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</si>
  <si>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</si>
  <si>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</si>
  <si>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</si>
  <si>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</si>
  <si>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</si>
  <si>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</si>
  <si>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</si>
  <si>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</si>
  <si>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</si>
  <si>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</si>
  <si>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</si>
  <si>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</si>
  <si>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</si>
  <si>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</si>
  <si>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</si>
  <si>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</si>
  <si>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</si>
  <si>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</si>
  <si>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</si>
  <si>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</si>
  <si>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</si>
  <si>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</si>
  <si>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</si>
  <si>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</si>
  <si>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</si>
  <si>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</si>
  <si>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</si>
  <si>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</si>
  <si>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</si>
  <si>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</si>
  <si>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</si>
  <si>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</si>
  <si>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</si>
  <si>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</si>
  <si>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</si>
  <si>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</si>
  <si>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</si>
  <si>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</si>
  <si>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</si>
  <si>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</si>
  <si>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</si>
  <si>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</si>
  <si>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</si>
  <si>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</si>
  <si>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</si>
  <si>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</si>
  <si>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</si>
  <si>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</si>
  <si>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</si>
  <si>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</si>
  <si>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</si>
  <si>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</si>
  <si>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</si>
  <si>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</si>
  <si>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</si>
  <si>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</si>
  <si>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</si>
  <si>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</si>
  <si>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</si>
  <si>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</si>
  <si>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</si>
  <si>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</si>
  <si>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</si>
  <si>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</si>
  <si>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</si>
  <si>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</si>
  <si>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</si>
  <si>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</si>
  <si>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</si>
  <si>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</si>
  <si>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</si>
  <si>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</si>
  <si>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</si>
  <si>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</si>
  <si>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</si>
  <si>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</si>
  <si>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</si>
  <si>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EQ Buffer 1</t>
  </si>
  <si>
    <t>EQ Buffer 1 Vol</t>
  </si>
  <si>
    <t>EQ Buffer 2</t>
  </si>
  <si>
    <t>EQ Buffer 2 Vol</t>
  </si>
  <si>
    <t>EQ Buffer 3</t>
  </si>
  <si>
    <t>EQ Buffer 3 Vol</t>
  </si>
  <si>
    <t>Wash Buffer 1</t>
  </si>
  <si>
    <t>Wash Buffer 1 Vol</t>
  </si>
  <si>
    <t>Wash Buffer 2</t>
  </si>
  <si>
    <t>Wash Buffer 2 Vol</t>
  </si>
  <si>
    <t>Wash Buffer 3</t>
  </si>
  <si>
    <t>Wash Buffer 3 Vol</t>
  </si>
  <si>
    <t>Wash Buffer 4</t>
  </si>
  <si>
    <t>Wash Buffer 4 Vol</t>
  </si>
  <si>
    <t>Wash Buffer 5</t>
  </si>
  <si>
    <t>Wash Buffer 5 Vol</t>
  </si>
  <si>
    <t>Wash Buffer 6</t>
  </si>
  <si>
    <t>Wash Buffer 6 Vol</t>
  </si>
  <si>
    <t>Neutralization Buffer</t>
  </si>
  <si>
    <t>Neutralization Buffer Vol</t>
  </si>
  <si>
    <t>Elution Buffer 1</t>
  </si>
  <si>
    <t>Elution Buffer 1 Vol</t>
  </si>
  <si>
    <t>Elution Buffer 2</t>
  </si>
  <si>
    <t>Elution Buffer 2 Vol</t>
  </si>
  <si>
    <t>Elution Buffer 3</t>
  </si>
  <si>
    <t>Elution Buffer 3 Vol</t>
  </si>
  <si>
    <t>This step will remove the storage buffer from the plate. No liquid transfer will occur</t>
  </si>
  <si>
    <t>Start EQ Buffer Run</t>
  </si>
  <si>
    <t>Load Vol 1</t>
  </si>
  <si>
    <t>Load Vol 2</t>
  </si>
  <si>
    <t>Load Vol 3</t>
  </si>
  <si>
    <t>Load Vol 4</t>
  </si>
  <si>
    <t>ProA Digestion Complete</t>
  </si>
  <si>
    <t>Hello, Your ProA Run is complete. Please remove the collection plate.</t>
  </si>
  <si>
    <t>Sample</t>
  </si>
  <si>
    <t>Waste 1</t>
  </si>
  <si>
    <t>Waste 2</t>
  </si>
  <si>
    <t>Collection</t>
  </si>
  <si>
    <t>Processing</t>
  </si>
  <si>
    <t>50mM Tris, 0.15M NaCl, pH 7.5</t>
  </si>
  <si>
    <t>B7H4 (S106177)</t>
  </si>
  <si>
    <t>0.5 Tris, ph 10.8</t>
  </si>
  <si>
    <t>2M HEPES pH 8.0</t>
  </si>
  <si>
    <t>1M Tris pH 9.0</t>
  </si>
  <si>
    <t>50mM Glycine, 25mM sodium chloride, pH 3.0</t>
  </si>
  <si>
    <t>150mM Glycine pH 3.5</t>
  </si>
  <si>
    <t>0.5 CaCl2, 50mM Tris, pH 7.5</t>
  </si>
  <si>
    <t>10mM Tris, 10mM NaCl, pH 7.5</t>
  </si>
  <si>
    <t>Step Title: Plate</t>
  </si>
  <si>
    <t>Excel Location (Row,Col): (7,3)</t>
  </si>
  <si>
    <t>Name: Waste 1</t>
  </si>
  <si>
    <t>Type: 96 Well PCR Plate</t>
  </si>
  <si>
    <t>Test</t>
  </si>
  <si>
    <t>Step Title: Vacuum</t>
  </si>
  <si>
    <t>Vacuum Plate: 0.45um Self Poured ProA Plate</t>
  </si>
  <si>
    <t>Pre Vacuum Wait (min): 0.0</t>
  </si>
  <si>
    <t>[StatusUpdate]</t>
  </si>
  <si>
    <t>[AppendText]</t>
  </si>
  <si>
    <t>[Message]</t>
  </si>
  <si>
    <t>[Timer]</t>
  </si>
  <si>
    <t>[Start]</t>
  </si>
  <si>
    <t>[Time]</t>
  </si>
  <si>
    <t>##3.2##</t>
  </si>
  <si>
    <t>[Wait]</t>
  </si>
  <si>
    <t>##3.3##</t>
  </si>
  <si>
    <t>[Vacuum]</t>
  </si>
  <si>
    <t>[Pressure]</t>
  </si>
  <si>
    <t>##3.4##</t>
  </si>
  <si>
    <t>Excel Location (Row,Col): (19,3)</t>
  </si>
  <si>
    <t xml:space="preserve">Source: EQ Buffer 1 (Worklist Column) </t>
  </si>
  <si>
    <t xml:space="preserve">Volume (uL): EQ Buffer 1 Vol (Worklist Column) </t>
  </si>
  <si>
    <t>Pressure Difference (mTorr): Normal</t>
  </si>
  <si>
    <t>Vacuum Time (min): 8.75</t>
  </si>
  <si>
    <t>##4.0##</t>
  </si>
  <si>
    <t>[Pipette]</t>
  </si>
  <si>
    <t>[Transfer]</t>
  </si>
  <si>
    <t>[Destination]</t>
  </si>
  <si>
    <t>_Vacuum_ProASelfPoured045um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</si>
  <si>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</si>
  <si>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</si>
  <si>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</si>
  <si>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</si>
  <si>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</si>
  <si>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</si>
  <si>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</si>
  <si>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</si>
  <si>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##4.1##</t>
  </si>
  <si>
    <t>##4.2##</t>
  </si>
  <si>
    <t>##4.3##</t>
  </si>
  <si>
    <t>##4.4##</t>
  </si>
  <si>
    <t>Excel Location (Row,Col): (27,3)</t>
  </si>
  <si>
    <t xml:space="preserve">Source: EQ Buffer 2 (Worklist Column) </t>
  </si>
  <si>
    <t xml:space="preserve">Volume (uL): EQ Buffer 2 Vol (Worklist Column) </t>
  </si>
  <si>
    <t xml:space="preserve">Transfering EQ Buffer 2 Vol uL of General Reagent to _Vacuum_ProASelfPoured045um plate </t>
  </si>
  <si>
    <t>Excel Location (Row,Col): (43,3)</t>
  </si>
  <si>
    <t>Name: Processing</t>
  </si>
  <si>
    <t>Excel Location (Row,Col): (47,3)</t>
  </si>
  <si>
    <t>Source: Sample</t>
  </si>
  <si>
    <t xml:space="preserve">Volume (uL): Load Vol 1 (Worklist Column) </t>
  </si>
  <si>
    <t>Excel Location (Row,Col): (55,3)</t>
  </si>
  <si>
    <t>Name: Sample</t>
  </si>
  <si>
    <t>Excel Location (Row,Col): (59,3)</t>
  </si>
  <si>
    <t>Source: Processing</t>
  </si>
  <si>
    <t xml:space="preserve">Volume (uL): Load Vol 2 (Worklist Column) </t>
  </si>
  <si>
    <t>Excel Location (Row,Col): (67,3)</t>
  </si>
  <si>
    <t>Excel Location (Row,Col): (71,3)</t>
  </si>
  <si>
    <t xml:space="preserve">Volume (uL): Load Vol 3 (Worklist Column) </t>
  </si>
  <si>
    <t>Excel Location (Row,Col): (79,3)</t>
  </si>
  <si>
    <t>Excel Location (Row,Col): (83,3)</t>
  </si>
  <si>
    <t xml:space="preserve">Volume (uL): Load Vol 4 (Worklist Column) </t>
  </si>
  <si>
    <t>Excel Location (Row,Col): (91,3)</t>
  </si>
  <si>
    <t>Name: Waste 2</t>
  </si>
  <si>
    <t>Excel Location (Row,Col): (95,3)</t>
  </si>
  <si>
    <t xml:space="preserve">Source: Wash Buffer 1 (Worklist Column) </t>
  </si>
  <si>
    <t xml:space="preserve">Volume (uL): Wash Buffer 1 Vol (Worklist Column) </t>
  </si>
  <si>
    <t>Vacuum Time (min): 2.1875</t>
  </si>
  <si>
    <t>##15.1##</t>
  </si>
  <si>
    <t>##15.2##</t>
  </si>
  <si>
    <t>##15.3##</t>
  </si>
  <si>
    <t>##15.4##</t>
  </si>
  <si>
    <t>Excel Location (Row,Col): (103,3)</t>
  </si>
  <si>
    <t xml:space="preserve">Source: Wash Buffer 2 (Worklist Column) </t>
  </si>
  <si>
    <t xml:space="preserve">Volume (uL): Wash Buffer 2 Vol (Worklist Column) </t>
  </si>
  <si>
    <t xml:space="preserve">Transfering Wash Buffer 2 Vol uL of General Reagent to _Vacuum_ProASelfPoured045um plate </t>
  </si>
  <si>
    <t>##16.0##</t>
  </si>
  <si>
    <t>##16.1##</t>
  </si>
  <si>
    <t>##16.2##</t>
  </si>
  <si>
    <t>##16.3##</t>
  </si>
  <si>
    <t>##16.4##</t>
  </si>
  <si>
    <t>Excel Location (Row,Col): (111,3)</t>
  </si>
  <si>
    <t xml:space="preserve">Source: Wash Buffer 3 (Worklist Column) </t>
  </si>
  <si>
    <t xml:space="preserve">Volume (uL): Wash Buffer 3 Vol (Worklist Column) </t>
  </si>
  <si>
    <t xml:space="preserve">Transfering Wash Buffer 3 Vol uL of General Reagent to _Vacuum_ProASelfPoured045um plate </t>
  </si>
  <si>
    <t>##17.0##</t>
  </si>
  <si>
    <t>##17.1##</t>
  </si>
  <si>
    <t>##17.2##</t>
  </si>
  <si>
    <t>##17.3##</t>
  </si>
  <si>
    <t>##17.4##</t>
  </si>
  <si>
    <t>Excel Location (Row,Col): (119,3)</t>
  </si>
  <si>
    <t xml:space="preserve">Source: Wash Buffer 4 (Worklist Column) </t>
  </si>
  <si>
    <t xml:space="preserve">Volume (uL): Wash Buffer 4 Vol (Worklist Column) </t>
  </si>
  <si>
    <t>##18.1##</t>
  </si>
  <si>
    <t>##18.2##</t>
  </si>
  <si>
    <t>##18.3##</t>
  </si>
  <si>
    <t>##18.4##</t>
  </si>
  <si>
    <t>Excel Location (Row,Col): (127,3)</t>
  </si>
  <si>
    <t xml:space="preserve">Source: Wash Buffer 5 (Worklist Column) </t>
  </si>
  <si>
    <t xml:space="preserve">Volume (uL): Wash Buffer 5 Vol (Worklist Column) </t>
  </si>
  <si>
    <t>##19.1##</t>
  </si>
  <si>
    <t>##19.2##</t>
  </si>
  <si>
    <t>##19.3##</t>
  </si>
  <si>
    <t>##19.4##</t>
  </si>
  <si>
    <t>Excel Location (Row,Col): (135,3)</t>
  </si>
  <si>
    <t xml:space="preserve">Source: Wash Buffer 6 (Worklist Column) </t>
  </si>
  <si>
    <t xml:space="preserve">Volume (uL): Wash Buffer 6 Vol (Worklist Column) </t>
  </si>
  <si>
    <t>Excel Location (Row,Col): (143,3)</t>
  </si>
  <si>
    <t>Name: Collection</t>
  </si>
  <si>
    <t>Step Title: Liquid Transfer</t>
  </si>
  <si>
    <t>Excel Location (Row,Col): (147,3)</t>
  </si>
  <si>
    <t xml:space="preserve">Source: Neutralization Buffer (Worklist Column) </t>
  </si>
  <si>
    <t>Liquid Type: General Reagent</t>
  </si>
  <si>
    <t>Storage Condition: Ambient</t>
  </si>
  <si>
    <t xml:space="preserve">Volume (uL): Neutralization Buffer Vol (Worklist Column) </t>
  </si>
  <si>
    <t>Mix?: No</t>
  </si>
  <si>
    <t>##22.1##</t>
  </si>
  <si>
    <t>Excel Location (Row,Col): (154,3)</t>
  </si>
  <si>
    <t xml:space="preserve">Source: Elution Buffer 1 (Worklist Column) </t>
  </si>
  <si>
    <t xml:space="preserve">Volume (uL): Elution Buffer 1 Vol (Worklist Column) </t>
  </si>
  <si>
    <t>Vacuum Time (min): 2.916666666666667</t>
  </si>
  <si>
    <t>##23.1##</t>
  </si>
  <si>
    <t>##23.2##</t>
  </si>
  <si>
    <t>##23.3##</t>
  </si>
  <si>
    <t>##23.4##</t>
  </si>
  <si>
    <t>Excel Location (Row,Col): (162,3)</t>
  </si>
  <si>
    <t xml:space="preserve">Source: Elution Buffer 2 (Worklist Column) </t>
  </si>
  <si>
    <t xml:space="preserve">Volume (uL): Elution Buffer 2 Vol (Worklist Column) </t>
  </si>
  <si>
    <t>##24.1##</t>
  </si>
  <si>
    <t>##24.2##</t>
  </si>
  <si>
    <t>##24.3##</t>
  </si>
  <si>
    <t>##24.4##</t>
  </si>
  <si>
    <t>Excel Location (Row,Col): (170,3)</t>
  </si>
  <si>
    <t xml:space="preserve">Source: Elution Buffer 3 (Worklist Column) </t>
  </si>
  <si>
    <t xml:space="preserve">Volume (uL): Elution Buffer 3 Vol (Worklist Column) </t>
  </si>
  <si>
    <t>##25.1##</t>
  </si>
  <si>
    <t>Step Title: Notify</t>
  </si>
  <si>
    <t>Excel Location (Row,Col): (178,3)</t>
  </si>
  <si>
    <t>Wait On User: Yes</t>
  </si>
  <si>
    <t>Subject: ProA Digestion Complete</t>
  </si>
  <si>
    <t>Message: Hello, Your ProA Run is complete. Please remove the collection plate.</t>
  </si>
  <si>
    <t>Step Title: Finish</t>
  </si>
  <si>
    <t>Excel Location (Row,Col): (183,3)</t>
  </si>
  <si>
    <t>Collection plate deactivated</t>
  </si>
  <si>
    <t>15mL Centrifuge Tube</t>
  </si>
  <si>
    <t>Reagent</t>
  </si>
  <si>
    <t>Reagent Lot</t>
  </si>
  <si>
    <t>Reagent Volume</t>
  </si>
  <si>
    <t>Diluent Lot</t>
  </si>
  <si>
    <t>Diluent Volume</t>
  </si>
  <si>
    <t>Minimum Volume: 2300.0uL</t>
  </si>
  <si>
    <t>Hamilton 1.5mL FlipTube</t>
  </si>
  <si>
    <t>Minimum Volume: 171.6uL</t>
  </si>
  <si>
    <t>Minimum Volume: 750.0uL</t>
  </si>
  <si>
    <t>[Transport]</t>
  </si>
  <si>
    <t>[Move]</t>
  </si>
  <si>
    <t>Carrier14_Pos1_96WellPCRPlate2000uL_1mLChannel</t>
  </si>
  <si>
    <t>_Vacuum_96WellPCRPlate2000uL</t>
  </si>
  <si>
    <t>[Open]</t>
  </si>
  <si>
    <t>[Close]</t>
  </si>
  <si>
    <t>[Grip]</t>
  </si>
  <si>
    <t>[Eject]</t>
  </si>
  <si>
    <t>[Check]</t>
  </si>
  <si>
    <t>##3.1##</t>
  </si>
  <si>
    <t>_Vacuum_ManifoldHome</t>
  </si>
  <si>
    <t>_Vacuum_Manifold</t>
  </si>
  <si>
    <t>##3.5##</t>
  </si>
  <si>
    <t>C1</t>
  </si>
  <si>
    <t>##3.6##</t>
  </si>
  <si>
    <t>##4.5##</t>
  </si>
  <si>
    <t>##4.6##</t>
  </si>
  <si>
    <t>Carrier14_Pos2_96WellPCRPlate2000uL_1mLChannel</t>
  </si>
  <si>
    <t>Carrier38_Pos1_96WellPCRPlate2000uL_1mLChannel</t>
  </si>
  <si>
    <t>Carrier14_Pos3_96WellPCRPlate2000uL_1mLChannel</t>
  </si>
  <si>
    <t>F1</t>
  </si>
  <si>
    <t>NGHer2 (S92521)</t>
  </si>
  <si>
    <t xml:space="preserve">CD3 (S106417) </t>
  </si>
  <si>
    <t>IL413 (S118967)</t>
  </si>
  <si>
    <t>INFb (S145608)</t>
  </si>
  <si>
    <t xml:space="preserve">Transfering EQ Buffer 1 Vol uL of General Reagent to _Vacuum_ProASelfPoured045um plate </t>
  </si>
  <si>
    <t>Vacuum Time (min): 16.829166666666666</t>
  </si>
  <si>
    <t>Sample: 2000uL Corning 96 Well PCR Plate</t>
  </si>
  <si>
    <t>Minimum Volume: 7100.0uL</t>
  </si>
  <si>
    <t>Minimum Volume: 2900.0uL</t>
  </si>
  <si>
    <t>Minimum Volume: 1350.0uL</t>
  </si>
  <si>
    <t>Minimum Volume: 162.0uL</t>
  </si>
  <si>
    <t>Minimum Volume: 166.8uL</t>
  </si>
  <si>
    <t>Excel Location (Row,Col): (11,3)</t>
  </si>
  <si>
    <t>Source: Waste 1</t>
  </si>
  <si>
    <t>Volume (uL): 0.0</t>
  </si>
  <si>
    <t>Vacuum Time (min): 11.666666666666668</t>
  </si>
  <si>
    <t>Number of sequences is zero so no liquid transfer will actually occur.</t>
  </si>
  <si>
    <t>##5.0##</t>
  </si>
  <si>
    <t>##5.1##</t>
  </si>
  <si>
    <t>##5.2##</t>
  </si>
  <si>
    <t>##5.3##</t>
  </si>
  <si>
    <t>##5.4##</t>
  </si>
  <si>
    <t>##7.1##</t>
  </si>
  <si>
    <t>##7.2##</t>
  </si>
  <si>
    <t>##7.3##</t>
  </si>
  <si>
    <t>##7.4##</t>
  </si>
  <si>
    <t>##9.1##</t>
  </si>
  <si>
    <t>##9.2##</t>
  </si>
  <si>
    <t>##9.3##</t>
  </si>
  <si>
    <t>##9.4##</t>
  </si>
  <si>
    <t>##11.1##</t>
  </si>
  <si>
    <t>##11.2##</t>
  </si>
  <si>
    <t>##11.3##</t>
  </si>
  <si>
    <t>##11.4##</t>
  </si>
  <si>
    <t>##13.1##</t>
  </si>
  <si>
    <t>##13.2##</t>
  </si>
  <si>
    <t>##13.3##</t>
  </si>
  <si>
    <t>##13.4##</t>
  </si>
  <si>
    <t>##20.1##</t>
  </si>
  <si>
    <t>##20.2##</t>
  </si>
  <si>
    <t>##20.3##</t>
  </si>
  <si>
    <t>##20.4##</t>
  </si>
  <si>
    <t>##25.2##</t>
  </si>
  <si>
    <t>##25.3##</t>
  </si>
  <si>
    <t>##25.4##</t>
  </si>
  <si>
    <t>##5.5##</t>
  </si>
  <si>
    <t>##5.6##</t>
  </si>
  <si>
    <t>##7.5##</t>
  </si>
  <si>
    <t>##7.6##</t>
  </si>
  <si>
    <t>##7.7##</t>
  </si>
  <si>
    <t>##7.8##</t>
  </si>
  <si>
    <t>Pre Vacuum Wait (min): 5.0</t>
  </si>
  <si>
    <t>Pressure Difference (mTorr): Low</t>
  </si>
  <si>
    <t>##3.7##</t>
  </si>
  <si>
    <t>##3.8##</t>
  </si>
  <si>
    <t>##9.5##</t>
  </si>
  <si>
    <t>##9.6##</t>
  </si>
  <si>
    <t>##9.7##</t>
  </si>
  <si>
    <t>##9.8##</t>
  </si>
  <si>
    <t>##11.5##</t>
  </si>
  <si>
    <t>##11.6##</t>
  </si>
  <si>
    <t>##11.7##</t>
  </si>
  <si>
    <t>##11.8##</t>
  </si>
  <si>
    <t>##13.5##</t>
  </si>
  <si>
    <t>##13.6##</t>
  </si>
  <si>
    <t>##13.7##</t>
  </si>
  <si>
    <t>##13.8##</t>
  </si>
  <si>
    <t>##15.5##</t>
  </si>
  <si>
    <t>##15.6##</t>
  </si>
  <si>
    <t>##15.7##</t>
  </si>
  <si>
    <t>##15.8##</t>
  </si>
  <si>
    <t>##16.5##</t>
  </si>
  <si>
    <t>##16.6##</t>
  </si>
  <si>
    <t>[Module]</t>
  </si>
  <si>
    <t>Pipette</t>
  </si>
  <si>
    <t>[Command]</t>
  </si>
  <si>
    <t>GetLiquidClassStrings</t>
  </si>
  <si>
    <t>[LiquidCategory]</t>
  </si>
  <si>
    <t>Wate</t>
  </si>
  <si>
    <t>GetTipSequenceStrings</t>
  </si>
  <si>
    <t>[TransferVolume</t>
  </si>
  <si>
    <t>GetVacuumPlateSequenceString</t>
  </si>
  <si>
    <t>[VacuumPlateName]</t>
  </si>
  <si>
    <t>0.45um Self Poured ProA Plat</t>
  </si>
  <si>
    <t>Labware</t>
  </si>
  <si>
    <t>GetSequenceStrings</t>
  </si>
  <si>
    <t>[PlateNames]</t>
  </si>
  <si>
    <t xml:space="preserve">Waste </t>
  </si>
  <si>
    <t>GetLabwareTypes</t>
  </si>
  <si>
    <t>GetVacuumCollectionPlateSequenceString</t>
  </si>
  <si>
    <t>GetVacuumCollectionPlateTransportType</t>
  </si>
  <si>
    <t>GetVacuumParkSequenceString</t>
  </si>
  <si>
    <t>GetVacuumParkTransportType</t>
  </si>
  <si>
    <t>##3.9##</t>
  </si>
  <si>
    <t>GetVacuumManifoldSequenceString</t>
  </si>
  <si>
    <t>##3.10##</t>
  </si>
  <si>
    <t>GetVacuumManifoldTransportType</t>
  </si>
  <si>
    <t>##3.11##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</si>
  <si>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</si>
  <si>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</si>
  <si>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</si>
  <si>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</si>
  <si>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</si>
  <si>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</si>
  <si>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</si>
  <si>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</si>
  <si>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</t>
  </si>
  <si>
    <t>##3.12##</t>
  </si>
  <si>
    <t>Fals</t>
  </si>
  <si>
    <t>##3.13##</t>
  </si>
  <si>
    <t>TransferLiquid</t>
  </si>
  <si>
    <t>[CurrentDestinationVolume]</t>
  </si>
  <si>
    <t>[TipSequence]</t>
  </si>
  <si>
    <t>[LiquidClass]</t>
  </si>
  <si>
    <t>[KeepTips]</t>
  </si>
  <si>
    <t>True or Fals</t>
  </si>
  <si>
    <t>##3.14##</t>
  </si>
  <si>
    <t>Timer</t>
  </si>
  <si>
    <t>Start</t>
  </si>
  <si>
    <t>[WaitTime]</t>
  </si>
  <si>
    <t>##3.15##</t>
  </si>
  <si>
    <t>Wai</t>
  </si>
  <si>
    <t>##3.16##</t>
  </si>
  <si>
    <t>[VacuumPressure]</t>
  </si>
  <si>
    <t>Norma</t>
  </si>
  <si>
    <t>##3.17##</t>
  </si>
  <si>
    <t>##3.18##</t>
  </si>
  <si>
    <t>##3.19##</t>
  </si>
  <si>
    <t>##4.7##</t>
  </si>
  <si>
    <t>##5.7##</t>
  </si>
  <si>
    <t>Vacuum Time (min): 8.575</t>
  </si>
  <si>
    <t>Processin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</si>
  <si>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</si>
  <si>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</si>
  <si>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</si>
  <si>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</si>
  <si>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</si>
  <si>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</si>
  <si>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</si>
  <si>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</si>
  <si>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</si>
  <si>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Sampl</t>
  </si>
  <si>
    <t>##9.9##</t>
  </si>
  <si>
    <t>##9.10##</t>
  </si>
  <si>
    <t>##9.11##</t>
  </si>
  <si>
    <t>##9.12##</t>
  </si>
  <si>
    <t>##9.13##</t>
  </si>
  <si>
    <t>##9.14##</t>
  </si>
  <si>
    <t>##9.15##</t>
  </si>
  <si>
    <t>##9.16##</t>
  </si>
  <si>
    <t>##9.17##</t>
  </si>
  <si>
    <t>##11.9##</t>
  </si>
  <si>
    <t>##11.10##</t>
  </si>
  <si>
    <t>##11.11##</t>
  </si>
  <si>
    <t>##11.12##</t>
  </si>
  <si>
    <t>##11.13##</t>
  </si>
  <si>
    <t>##11.14##</t>
  </si>
  <si>
    <t>##11.15##</t>
  </si>
  <si>
    <t>##11.16##</t>
  </si>
  <si>
    <t>##11.17##</t>
  </si>
  <si>
    <t>##13.9##</t>
  </si>
  <si>
    <t>##13.10##</t>
  </si>
  <si>
    <t>##13.11##</t>
  </si>
  <si>
    <t>##13.12##</t>
  </si>
  <si>
    <t>##13.13##</t>
  </si>
  <si>
    <t>##13.14##</t>
  </si>
  <si>
    <t>##13.15##</t>
  </si>
  <si>
    <t>##13.16##</t>
  </si>
  <si>
    <t>##13.17##</t>
  </si>
  <si>
    <t>##15.9##</t>
  </si>
  <si>
    <t>##15.10##</t>
  </si>
  <si>
    <t>##15.11##</t>
  </si>
  <si>
    <t>##15.12##</t>
  </si>
  <si>
    <t>##15.13##</t>
  </si>
  <si>
    <t>##15.14##</t>
  </si>
  <si>
    <t>##15.15##</t>
  </si>
  <si>
    <t>##15.16##</t>
  </si>
  <si>
    <t>##15.17##</t>
  </si>
  <si>
    <t>##16.7##</t>
  </si>
  <si>
    <t>##17.5##</t>
  </si>
  <si>
    <t>##17.6##</t>
  </si>
  <si>
    <t>##17.7##</t>
  </si>
  <si>
    <t>##18.5##</t>
  </si>
  <si>
    <t>##18.6##</t>
  </si>
  <si>
    <t>##18.7##</t>
  </si>
  <si>
    <t>##19.5##</t>
  </si>
  <si>
    <t>##19.6##</t>
  </si>
  <si>
    <t>##19.7##</t>
  </si>
  <si>
    <t>##20.5##</t>
  </si>
  <si>
    <t>##20.6##</t>
  </si>
  <si>
    <t>##20.7##</t>
  </si>
  <si>
    <t>##22.2##</t>
  </si>
  <si>
    <t>##22.3##</t>
  </si>
  <si>
    <t>##23.5##</t>
  </si>
  <si>
    <t>##23.6##</t>
  </si>
  <si>
    <t>Lo</t>
  </si>
  <si>
    <t>##23.7##</t>
  </si>
  <si>
    <t>##24.5##</t>
  </si>
  <si>
    <t>##24.6##</t>
  </si>
  <si>
    <t>##24.7##</t>
  </si>
  <si>
    <t>##25.5##</t>
  </si>
  <si>
    <t>##25.6##</t>
  </si>
  <si>
    <t>##25.7##</t>
  </si>
  <si>
    <t>PreRun</t>
  </si>
  <si>
    <t>Samples</t>
  </si>
  <si>
    <t>[SampleNumber]</t>
  </si>
  <si>
    <t>[Name]</t>
  </si>
  <si>
    <t>[LabwareSequence]</t>
  </si>
  <si>
    <t>C2</t>
  </si>
  <si>
    <t>C3</t>
  </si>
  <si>
    <t>Carrier14_Pos4_96WellPCRPlate2000uL_1mLChannel</t>
  </si>
  <si>
    <t>F2</t>
  </si>
  <si>
    <t>F3</t>
  </si>
  <si>
    <t>F4</t>
  </si>
  <si>
    <t>F5</t>
  </si>
  <si>
    <t>[LidSequence]</t>
  </si>
  <si>
    <t>[LoadingLocation]</t>
  </si>
  <si>
    <t>Carrier14_Pos1</t>
  </si>
  <si>
    <t>Carrier14_Pos2</t>
  </si>
  <si>
    <t>Carrier14_Pos3</t>
  </si>
  <si>
    <t>Carrier14_Pos4</t>
  </si>
  <si>
    <t>Carrier38_Pos1</t>
  </si>
  <si>
    <t>[Volume]</t>
  </si>
  <si>
    <t>[LabwareType]</t>
  </si>
  <si>
    <t>FlipTube</t>
  </si>
  <si>
    <t>[LabwareCategory]</t>
  </si>
  <si>
    <t>[LabwareName]</t>
  </si>
  <si>
    <t>2000uL Corning 96 Well PCR Plate</t>
  </si>
  <si>
    <t>Hamilton 1.5mL FlipTub</t>
  </si>
  <si>
    <t>Processing: 2000uL Corning 96 Well PCR Plate</t>
  </si>
  <si>
    <t>A1: 251.0uL</t>
  </si>
  <si>
    <t>A3: 496.0uL</t>
  </si>
  <si>
    <t>A4: 103.0uL</t>
  </si>
  <si>
    <t>A5: 616.0uL</t>
  </si>
  <si>
    <t>Notif</t>
  </si>
  <si>
    <t>Time</t>
  </si>
  <si>
    <t>##4.8##</t>
  </si>
  <si>
    <t>##4.9##</t>
  </si>
  <si>
    <t>##5.8##</t>
  </si>
  <si>
    <t>##5.9##</t>
  </si>
  <si>
    <t>##7.18##</t>
  </si>
  <si>
    <t>##7.19##</t>
  </si>
  <si>
    <t>##9.18##</t>
  </si>
  <si>
    <t>##9.19##</t>
  </si>
  <si>
    <t>##11.18##</t>
  </si>
  <si>
    <t>##11.19##</t>
  </si>
  <si>
    <t>##13.18##</t>
  </si>
  <si>
    <t>##13.19##</t>
  </si>
  <si>
    <t>##15.18##</t>
  </si>
  <si>
    <t>##15.19##</t>
  </si>
  <si>
    <t>##16.8##</t>
  </si>
  <si>
    <t>##16.9##</t>
  </si>
  <si>
    <t>##17.8##</t>
  </si>
  <si>
    <t>##17.9##</t>
  </si>
  <si>
    <t>##18.8##</t>
  </si>
  <si>
    <t>##18.9##</t>
  </si>
  <si>
    <t>##19.8##</t>
  </si>
  <si>
    <t>##19.9##</t>
  </si>
  <si>
    <t>##20.8##</t>
  </si>
  <si>
    <t>##20.9##</t>
  </si>
  <si>
    <t>##23.8##</t>
  </si>
  <si>
    <t>##23.9##</t>
  </si>
  <si>
    <t>##24.8##</t>
  </si>
  <si>
    <t>##24.9##</t>
  </si>
  <si>
    <t>##25.8##</t>
  </si>
  <si>
    <t>##25.9##</t>
  </si>
  <si>
    <t>[VacuumPlateNames]</t>
  </si>
  <si>
    <t>StatusUpdat</t>
  </si>
  <si>
    <t>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</si>
</sst>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2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8" xfId="0" applyBorder="1"/>
    <xf numFmtId="0" fontId="0" fillId="0" borderId="25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28</v>
      </c>
      <c r="C3" s="38"/>
      <c r="D3" s="38" t="s">
        <v>50</v>
      </c>
      <c r="F3" s="72" t="s">
        <v>23</v>
      </c>
      <c r="G3" s="72"/>
      <c r="H3" s="72"/>
      <c r="I3" s="72"/>
      <c r="J3" s="72"/>
      <c r="K3" s="72"/>
      <c r="L3" s="72"/>
    </row>
    <row r="4" spans="2:12" x14ac:dyDescent="0.25">
      <c r="B4" t="s">
        <v>31</v>
      </c>
      <c r="D4" s="41" t="s">
        <v>64</v>
      </c>
      <c r="F4" s="38" t="s">
        <v>0</v>
      </c>
      <c r="G4" s="38" t="s">
        <v>15</v>
      </c>
      <c r="H4" s="38" t="s">
        <v>5</v>
      </c>
      <c r="I4" s="38" t="s">
        <v>18</v>
      </c>
      <c r="J4" s="38" t="s">
        <v>43</v>
      </c>
      <c r="K4" s="38" t="s">
        <v>36</v>
      </c>
      <c r="L4" s="38" t="s">
        <v>52</v>
      </c>
    </row>
    <row r="5" spans="2:12" x14ac:dyDescent="0.25">
      <c r="B5" t="s">
        <v>53</v>
      </c>
      <c r="D5" s="41" t="s">
        <v>65</v>
      </c>
      <c r="F5" t="s">
        <v>0</v>
      </c>
      <c r="G5" t="s">
        <v>15</v>
      </c>
      <c r="H5" t="s">
        <v>5</v>
      </c>
      <c r="I5" t="s">
        <v>18</v>
      </c>
      <c r="J5" t="s">
        <v>43</v>
      </c>
      <c r="K5" t="s">
        <v>36</v>
      </c>
      <c r="L5" t="s">
        <v>52</v>
      </c>
    </row>
    <row r="6" spans="2:12" x14ac:dyDescent="0.25">
      <c r="B6" t="s">
        <v>29</v>
      </c>
      <c r="D6" s="41"/>
      <c r="F6" t="s">
        <v>24</v>
      </c>
      <c r="G6" t="s">
        <v>25</v>
      </c>
      <c r="H6" t="s">
        <v>26</v>
      </c>
      <c r="I6" t="s">
        <v>27</v>
      </c>
      <c r="J6" t="s">
        <v>44</v>
      </c>
      <c r="K6" t="s">
        <v>37</v>
      </c>
      <c r="L6" t="s">
        <v>54</v>
      </c>
    </row>
    <row r="7" spans="2:12" x14ac:dyDescent="0.25">
      <c r="B7" t="s">
        <v>55</v>
      </c>
      <c r="D7" s="41"/>
    </row>
    <row r="9" spans="2:12" x14ac:dyDescent="0.25">
      <c r="B9" s="38" t="s">
        <v>51</v>
      </c>
      <c r="D9" s="35" t="s">
        <v>47</v>
      </c>
    </row>
    <row r="10" spans="2:12" x14ac:dyDescent="0.25">
      <c r="B10" t="s">
        <v>58</v>
      </c>
      <c r="D10" s="24" t="s">
        <v>39</v>
      </c>
    </row>
    <row r="11" spans="2:12" x14ac:dyDescent="0.25">
      <c r="B11" t="s">
        <v>59</v>
      </c>
      <c r="D11" s="24" t="s">
        <v>40</v>
      </c>
    </row>
    <row r="12" spans="2:12" x14ac:dyDescent="0.25">
      <c r="B12" t="s">
        <v>60</v>
      </c>
    </row>
    <row r="13" spans="2:12" x14ac:dyDescent="0.25">
      <c r="B13" t="s">
        <v>61</v>
      </c>
      <c r="D13" s="38" t="s">
        <v>70</v>
      </c>
    </row>
    <row r="14" spans="2:12" x14ac:dyDescent="0.25">
      <c r="B14" t="s">
        <v>62</v>
      </c>
      <c r="D14" t="s">
        <v>71</v>
      </c>
    </row>
    <row r="15" spans="2:12" x14ac:dyDescent="0.25">
      <c r="B15" t="s">
        <v>63</v>
      </c>
      <c r="D15" t="s">
        <v>72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81</v>
      </c>
    </row>
    <row r="19" spans="2:4" x14ac:dyDescent="0.25">
      <c r="B19" s="38" t="s">
        <v>49</v>
      </c>
      <c r="D19" t="s">
        <v>82</v>
      </c>
    </row>
    <row r="20" spans="2:4" x14ac:dyDescent="0.25">
      <c r="B20" t="s">
        <v>56</v>
      </c>
      <c r="D20" t="s">
        <v>80</v>
      </c>
    </row>
    <row r="21" spans="2:4" x14ac:dyDescent="0.25">
      <c r="B21" t="s">
        <v>57</v>
      </c>
      <c r="D21" t="s">
        <v>83</v>
      </c>
    </row>
    <row r="22" spans="2:4" x14ac:dyDescent="0.25">
      <c r="D22" t="s">
        <v>84</v>
      </c>
    </row>
    <row r="24" spans="2:4" x14ac:dyDescent="0.25">
      <c r="D24" s="38" t="s">
        <v>85</v>
      </c>
    </row>
    <row r="25" spans="2:4" x14ac:dyDescent="0.25">
      <c r="D25" t="s">
        <v>86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78" t="s">
        <v>74</v>
      </c>
      <c r="D2" s="79"/>
      <c r="E2" s="80"/>
      <c r="G2" s="84" t="s">
        <v>75</v>
      </c>
      <c r="H2" s="85"/>
      <c r="I2" s="86"/>
      <c r="K2" s="84" t="s">
        <v>76</v>
      </c>
      <c r="L2" s="85"/>
      <c r="M2" s="86"/>
    </row>
    <row r="3" spans="3:13" ht="15.75" thickBot="1" x14ac:dyDescent="0.3">
      <c r="C3" s="81"/>
      <c r="D3" s="82"/>
      <c r="E3" s="83"/>
      <c r="G3" s="87"/>
      <c r="H3" s="88"/>
      <c r="I3" s="89"/>
      <c r="K3" s="87"/>
      <c r="L3" s="88"/>
      <c r="M3" s="89"/>
    </row>
    <row r="4" spans="3:13" ht="15.75" thickBot="1" x14ac:dyDescent="0.3"/>
    <row r="5" spans="3:13" x14ac:dyDescent="0.25">
      <c r="C5" s="90" t="s">
        <v>2</v>
      </c>
      <c r="D5" s="91"/>
      <c r="E5" s="42" t="s">
        <v>14</v>
      </c>
      <c r="G5" s="99" t="s">
        <v>0</v>
      </c>
      <c r="H5" s="100"/>
      <c r="I5" s="29" t="s">
        <v>14</v>
      </c>
      <c r="K5" s="73" t="s">
        <v>68</v>
      </c>
      <c r="L5" s="74"/>
      <c r="M5" s="46" t="s">
        <v>14</v>
      </c>
    </row>
    <row r="6" spans="3:13" x14ac:dyDescent="0.25">
      <c r="C6" s="31" t="s">
        <v>1</v>
      </c>
      <c r="D6" s="34"/>
      <c r="E6" s="101"/>
      <c r="G6" s="3" t="s">
        <v>35</v>
      </c>
      <c r="H6" s="13"/>
      <c r="I6" s="120"/>
      <c r="K6" s="5" t="s">
        <v>35</v>
      </c>
      <c r="L6" s="20"/>
      <c r="M6" s="75"/>
    </row>
    <row r="7" spans="3:13" ht="15.75" thickBot="1" x14ac:dyDescent="0.3">
      <c r="C7" s="43" t="s">
        <v>22</v>
      </c>
      <c r="D7" s="33"/>
      <c r="E7" s="102"/>
      <c r="G7" s="3" t="s">
        <v>51</v>
      </c>
      <c r="H7" s="13"/>
      <c r="I7" s="121"/>
      <c r="K7" s="5" t="s">
        <v>77</v>
      </c>
      <c r="L7" s="20"/>
      <c r="M7" s="76"/>
    </row>
    <row r="8" spans="3:13" ht="15.75" thickBot="1" x14ac:dyDescent="0.3">
      <c r="G8" s="3" t="s">
        <v>49</v>
      </c>
      <c r="H8" s="13"/>
      <c r="I8" s="121"/>
      <c r="K8" s="6" t="s">
        <v>69</v>
      </c>
      <c r="L8" s="21" t="s">
        <v>71</v>
      </c>
      <c r="M8" s="77"/>
    </row>
    <row r="9" spans="3:13" ht="15.75" thickBot="1" x14ac:dyDescent="0.3">
      <c r="C9" s="94" t="s">
        <v>4</v>
      </c>
      <c r="D9" s="95"/>
      <c r="E9" s="25" t="s">
        <v>14</v>
      </c>
      <c r="G9" s="3" t="s">
        <v>11</v>
      </c>
      <c r="H9" s="13"/>
      <c r="I9" s="121"/>
    </row>
    <row r="10" spans="3:13" ht="15.75" thickBot="1" x14ac:dyDescent="0.3">
      <c r="C10" s="9" t="s">
        <v>21</v>
      </c>
      <c r="D10" s="18"/>
      <c r="E10" s="96"/>
      <c r="G10" s="4" t="s">
        <v>38</v>
      </c>
      <c r="H10" s="14" t="s">
        <v>39</v>
      </c>
      <c r="I10" s="122"/>
      <c r="K10" s="73" t="s">
        <v>73</v>
      </c>
      <c r="L10" s="74"/>
      <c r="M10" s="46" t="s">
        <v>14</v>
      </c>
    </row>
    <row r="11" spans="3:13" ht="15.75" thickBot="1" x14ac:dyDescent="0.3">
      <c r="C11" s="9" t="s">
        <v>32</v>
      </c>
      <c r="D11" s="18"/>
      <c r="E11" s="97"/>
      <c r="K11" s="5" t="s">
        <v>35</v>
      </c>
      <c r="L11" s="20"/>
      <c r="M11" s="75"/>
    </row>
    <row r="12" spans="3:13" ht="15.75" thickBot="1" x14ac:dyDescent="0.3">
      <c r="C12" s="10" t="s">
        <v>33</v>
      </c>
      <c r="D12" s="19"/>
      <c r="E12" s="98"/>
      <c r="G12" s="92" t="s">
        <v>15</v>
      </c>
      <c r="H12" s="93"/>
      <c r="I12" s="26" t="s">
        <v>14</v>
      </c>
      <c r="K12" s="5" t="s">
        <v>78</v>
      </c>
      <c r="L12" s="20"/>
      <c r="M12" s="76"/>
    </row>
    <row r="13" spans="3:13" ht="15.75" thickBot="1" x14ac:dyDescent="0.3">
      <c r="G13" s="7" t="s">
        <v>35</v>
      </c>
      <c r="H13" s="15"/>
      <c r="I13" s="123"/>
      <c r="K13" s="6" t="s">
        <v>69</v>
      </c>
      <c r="L13" s="21" t="s">
        <v>71</v>
      </c>
      <c r="M13" s="77"/>
    </row>
    <row r="14" spans="3:13" ht="15.75" thickBot="1" x14ac:dyDescent="0.3">
      <c r="C14" s="90" t="s">
        <v>48</v>
      </c>
      <c r="D14" s="91"/>
      <c r="E14" s="39" t="s">
        <v>14</v>
      </c>
      <c r="G14" s="7" t="s">
        <v>3</v>
      </c>
      <c r="H14" s="15"/>
      <c r="I14" s="124"/>
    </row>
    <row r="15" spans="3:13" x14ac:dyDescent="0.25">
      <c r="C15" s="103"/>
      <c r="D15" s="104"/>
      <c r="E15" s="101"/>
      <c r="G15" s="7" t="s">
        <v>6</v>
      </c>
      <c r="H15" s="15"/>
      <c r="I15" s="124"/>
      <c r="K15" s="73" t="s">
        <v>89</v>
      </c>
      <c r="L15" s="74"/>
      <c r="M15" s="46" t="s">
        <v>14</v>
      </c>
    </row>
    <row r="16" spans="3:13" ht="15.75" thickBot="1" x14ac:dyDescent="0.3">
      <c r="C16" s="105"/>
      <c r="D16" s="106"/>
      <c r="E16" s="102"/>
      <c r="G16" s="7" t="s">
        <v>7</v>
      </c>
      <c r="H16" s="15"/>
      <c r="I16" s="124"/>
      <c r="K16" s="6" t="s">
        <v>90</v>
      </c>
      <c r="L16" s="21"/>
      <c r="M16" s="51"/>
    </row>
    <row r="17" spans="3:13" x14ac:dyDescent="0.25">
      <c r="C17" s="52"/>
      <c r="D17" s="52"/>
      <c r="E17" s="53"/>
      <c r="G17" s="7" t="s">
        <v>10</v>
      </c>
      <c r="H17" s="15"/>
      <c r="I17" s="124"/>
      <c r="K17" s="54"/>
      <c r="L17" s="55"/>
      <c r="M17" s="56"/>
    </row>
    <row r="18" spans="3:13" ht="15.75" thickBot="1" x14ac:dyDescent="0.3">
      <c r="G18" s="8" t="s">
        <v>91</v>
      </c>
      <c r="H18" s="16"/>
      <c r="I18" s="125"/>
    </row>
    <row r="19" spans="3:13" ht="15.75" thickBot="1" x14ac:dyDescent="0.3"/>
    <row r="20" spans="3:13" x14ac:dyDescent="0.25">
      <c r="G20" s="107" t="s">
        <v>36</v>
      </c>
      <c r="H20" s="108"/>
      <c r="I20" s="28" t="s">
        <v>14</v>
      </c>
    </row>
    <row r="21" spans="3:13" x14ac:dyDescent="0.25">
      <c r="G21" s="11" t="s">
        <v>12</v>
      </c>
      <c r="H21" s="22"/>
      <c r="I21" s="109"/>
    </row>
    <row r="22" spans="3:13" x14ac:dyDescent="0.25">
      <c r="G22" s="11" t="s">
        <v>9</v>
      </c>
      <c r="H22" s="22"/>
      <c r="I22" s="110"/>
    </row>
    <row r="23" spans="3:13" ht="15.75" thickBot="1" x14ac:dyDescent="0.3">
      <c r="G23" s="12" t="s">
        <v>17</v>
      </c>
      <c r="H23" s="23"/>
      <c r="I23" s="111"/>
    </row>
    <row r="24" spans="3:13" ht="15.75" thickBot="1" x14ac:dyDescent="0.3"/>
    <row r="25" spans="3:13" x14ac:dyDescent="0.25">
      <c r="G25" s="73" t="s">
        <v>5</v>
      </c>
      <c r="H25" s="74"/>
      <c r="I25" s="27" t="s">
        <v>14</v>
      </c>
    </row>
    <row r="26" spans="3:13" x14ac:dyDescent="0.25">
      <c r="G26" s="5" t="s">
        <v>35</v>
      </c>
      <c r="H26" s="20"/>
      <c r="I26" s="75"/>
    </row>
    <row r="27" spans="3:13" x14ac:dyDescent="0.25">
      <c r="G27" s="5" t="s">
        <v>34</v>
      </c>
      <c r="H27" s="20"/>
      <c r="I27" s="76"/>
    </row>
    <row r="28" spans="3:13" ht="15.75" thickBot="1" x14ac:dyDescent="0.3">
      <c r="G28" s="6" t="s">
        <v>22</v>
      </c>
      <c r="H28" s="21"/>
      <c r="I28" s="77"/>
    </row>
    <row r="29" spans="3:13" ht="15.75" thickBot="1" x14ac:dyDescent="0.3">
      <c r="G29" s="38"/>
    </row>
    <row r="30" spans="3:13" x14ac:dyDescent="0.25">
      <c r="G30" s="112" t="s">
        <v>41</v>
      </c>
      <c r="H30" s="113"/>
      <c r="I30" s="48" t="s">
        <v>14</v>
      </c>
    </row>
    <row r="31" spans="3:13" x14ac:dyDescent="0.25">
      <c r="G31" s="36" t="s">
        <v>35</v>
      </c>
      <c r="H31" s="57"/>
      <c r="I31" s="114"/>
    </row>
    <row r="32" spans="3:13" x14ac:dyDescent="0.25">
      <c r="G32" s="36" t="s">
        <v>11</v>
      </c>
      <c r="H32" s="49"/>
      <c r="I32" s="115"/>
    </row>
    <row r="33" spans="7:9" x14ac:dyDescent="0.25">
      <c r="G33" s="36" t="s">
        <v>79</v>
      </c>
      <c r="H33" s="49"/>
      <c r="I33" s="115"/>
    </row>
    <row r="34" spans="7:9" x14ac:dyDescent="0.25">
      <c r="G34" s="36" t="s">
        <v>87</v>
      </c>
      <c r="H34" s="49"/>
      <c r="I34" s="115"/>
    </row>
    <row r="35" spans="7:9" x14ac:dyDescent="0.25">
      <c r="G35" s="36" t="s">
        <v>66</v>
      </c>
      <c r="H35" s="49" t="s">
        <v>80</v>
      </c>
      <c r="I35" s="115"/>
    </row>
    <row r="36" spans="7:9" ht="15.75" thickBot="1" x14ac:dyDescent="0.3">
      <c r="G36" s="37" t="s">
        <v>88</v>
      </c>
      <c r="H36" s="50"/>
      <c r="I36" s="116"/>
    </row>
    <row r="37" spans="7:9" ht="15.75" thickBot="1" x14ac:dyDescent="0.3"/>
    <row r="38" spans="7:9" x14ac:dyDescent="0.25">
      <c r="G38" s="90" t="s">
        <v>18</v>
      </c>
      <c r="H38" s="91"/>
      <c r="I38" s="40" t="s">
        <v>14</v>
      </c>
    </row>
    <row r="39" spans="7:9" x14ac:dyDescent="0.25">
      <c r="G39" s="31" t="s">
        <v>46</v>
      </c>
      <c r="H39" s="32"/>
      <c r="I39" s="117"/>
    </row>
    <row r="40" spans="7:9" x14ac:dyDescent="0.25">
      <c r="G40" s="31" t="s">
        <v>19</v>
      </c>
      <c r="H40" s="45"/>
      <c r="I40" s="118"/>
    </row>
    <row r="41" spans="7:9" ht="15.75" thickBot="1" x14ac:dyDescent="0.3">
      <c r="G41" s="1" t="s">
        <v>20</v>
      </c>
      <c r="H41" s="44"/>
      <c r="I41" s="119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6"/>
  <sheetViews>
    <sheetView tabSelected="1" topLeftCell="A6" zoomScale="85" zoomScaleNormal="85" workbookViewId="0">
      <selection activeCell="E14" sqref="E14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</cols>
  <sheetData>
    <row r="1" spans="4:6" ht="15.75" thickBot="1" x14ac:dyDescent="0.3"/>
    <row r="2" spans="4:6" x14ac:dyDescent="0.25">
      <c r="D2" s="90" t="s">
        <v>2</v>
      </c>
      <c r="E2" s="91"/>
      <c r="F2" s="30" t="s">
        <v>14</v>
      </c>
    </row>
    <row r="3" spans="4:6" x14ac:dyDescent="0.25">
      <c r="D3" s="31" t="s">
        <v>1</v>
      </c>
      <c r="E3" s="34" t="s">
        <v>126</v>
      </c>
      <c r="F3" s="101" t="s">
        <v>42</v>
      </c>
    </row>
    <row r="4" spans="4:6" ht="15.75" thickBot="1" x14ac:dyDescent="0.3">
      <c r="D4" s="1" t="s">
        <v>22</v>
      </c>
      <c r="E4" s="17" t="s">
        <v>31</v>
      </c>
      <c r="F4" s="102"/>
    </row>
    <row r="6" spans="4:6" s="2" customFormat="1" ht="15.75" thickBot="1" x14ac:dyDescent="0.3">
      <c r="D6" s="129" t="s">
        <v>8</v>
      </c>
      <c r="E6" s="129"/>
    </row>
    <row r="7" spans="4:6" ht="15.75" thickBot="1" x14ac:dyDescent="0.3">
      <c r="D7" s="24"/>
      <c r="E7" s="24"/>
    </row>
    <row r="8" spans="4:6" x14ac:dyDescent="0.25">
      <c r="D8" s="90" t="s">
        <v>2</v>
      </c>
      <c r="E8" s="91"/>
      <c r="F8" s="42" t="s">
        <v>14</v>
      </c>
    </row>
    <row r="9" spans="4:6" x14ac:dyDescent="0.25">
      <c r="D9" s="31" t="s">
        <v>1</v>
      </c>
      <c r="E9" s="34" t="s">
        <v>127</v>
      </c>
      <c r="F9" s="101"/>
    </row>
    <row r="10" spans="4:6" ht="15.75" thickBot="1" x14ac:dyDescent="0.3">
      <c r="D10" s="43" t="s">
        <v>22</v>
      </c>
      <c r="E10" s="33" t="s">
        <v>31</v>
      </c>
      <c r="F10" s="102"/>
    </row>
    <row r="11" spans="4:6" ht="15.75" thickBot="1" x14ac:dyDescent="0.3">
      <c r="D11" s="47"/>
      <c r="E11" s="47"/>
    </row>
    <row r="12" spans="4:6" x14ac:dyDescent="0.25">
      <c r="D12" s="112" t="s">
        <v>41</v>
      </c>
      <c r="E12" s="113"/>
      <c r="F12" s="48" t="s">
        <v>14</v>
      </c>
    </row>
    <row r="13" spans="4:6" x14ac:dyDescent="0.25">
      <c r="D13" s="36" t="s">
        <v>35</v>
      </c>
      <c r="E13" s="57" t="str">
        <f>E9</f>
        <v>Waste 1</v>
      </c>
      <c r="F13" s="126" t="s">
        <v>118</v>
      </c>
    </row>
    <row r="14" spans="4:6" x14ac:dyDescent="0.25">
      <c r="D14" s="36" t="s">
        <v>11</v>
      </c>
      <c r="E14" s="49">
        <v>0</v>
      </c>
      <c r="F14" s="127"/>
    </row>
    <row r="15" spans="4:6" x14ac:dyDescent="0.25">
      <c r="D15" s="36" t="s">
        <v>79</v>
      </c>
      <c r="E15" s="49" t="s">
        <v>86</v>
      </c>
      <c r="F15" s="127"/>
    </row>
    <row r="16" spans="4:6" x14ac:dyDescent="0.25">
      <c r="D16" s="36" t="s">
        <v>87</v>
      </c>
      <c r="E16" s="49">
        <v>0</v>
      </c>
      <c r="F16" s="127"/>
    </row>
    <row r="17" spans="1:6" x14ac:dyDescent="0.25">
      <c r="D17" s="36" t="s">
        <v>66</v>
      </c>
      <c r="E17" s="49" t="s">
        <v>80</v>
      </c>
      <c r="F17" s="127"/>
    </row>
    <row r="18" spans="1:6" ht="15.75" thickBot="1" x14ac:dyDescent="0.3">
      <c r="A18" t="s">
        <v>67</v>
      </c>
      <c r="D18" s="37" t="s">
        <v>88</v>
      </c>
      <c r="E18" s="50">
        <f>800*0.7/60 + 0.25*800*0.7/60</f>
        <v>11.666666666666668</v>
      </c>
      <c r="F18" s="128"/>
    </row>
    <row r="19" spans="1:6" ht="15.75" thickBot="1" x14ac:dyDescent="0.3"/>
    <row r="20" spans="1:6" x14ac:dyDescent="0.25">
      <c r="D20" s="112" t="str">
        <f>IF(MAX(Worklist!E:E)=0,"Disabled","Vacuum")</f>
        <v>Vacuum</v>
      </c>
      <c r="E20" s="113"/>
      <c r="F20" s="48" t="s">
        <v>14</v>
      </c>
    </row>
    <row r="21" spans="1:6" x14ac:dyDescent="0.25">
      <c r="D21" s="36" t="s">
        <v>35</v>
      </c>
      <c r="E21" s="57" t="str">
        <f>Worklist!D1</f>
        <v>EQ Buffer 1</v>
      </c>
      <c r="F21" s="114" t="s">
        <v>119</v>
      </c>
    </row>
    <row r="22" spans="1:6" x14ac:dyDescent="0.25">
      <c r="D22" s="36" t="s">
        <v>11</v>
      </c>
      <c r="E22" s="49" t="str">
        <f>Worklist!E1</f>
        <v>EQ Buffer 1 Vol</v>
      </c>
      <c r="F22" s="115"/>
    </row>
    <row r="23" spans="1:6" x14ac:dyDescent="0.25">
      <c r="D23" s="36" t="s">
        <v>79</v>
      </c>
      <c r="E23" s="49" t="s">
        <v>86</v>
      </c>
      <c r="F23" s="115"/>
    </row>
    <row r="24" spans="1:6" x14ac:dyDescent="0.25">
      <c r="D24" s="36" t="s">
        <v>87</v>
      </c>
      <c r="E24" s="49">
        <v>0</v>
      </c>
      <c r="F24" s="115"/>
    </row>
    <row r="25" spans="1:6" x14ac:dyDescent="0.25">
      <c r="D25" s="36" t="s">
        <v>66</v>
      </c>
      <c r="E25" s="49" t="s">
        <v>80</v>
      </c>
      <c r="F25" s="115"/>
    </row>
    <row r="26" spans="1:6" ht="15.75" thickBot="1" x14ac:dyDescent="0.3">
      <c r="D26" s="37" t="s">
        <v>88</v>
      </c>
      <c r="E26" s="50">
        <f>MAX(Worklist!E:E)*0.7/60 + 0.25*MAX(Worklist!E:E)*0.7/60</f>
        <v>8.75</v>
      </c>
      <c r="F26" s="116"/>
    </row>
    <row r="28" spans="1:6" ht="15.75" thickBot="1" x14ac:dyDescent="0.3"/>
    <row r="29" spans="1:6" x14ac:dyDescent="0.25">
      <c r="D29" s="90" t="s">
        <v>18</v>
      </c>
      <c r="E29" s="91"/>
      <c r="F29" s="40" t="s">
        <v>14</v>
      </c>
    </row>
    <row r="30" spans="1:6" x14ac:dyDescent="0.25">
      <c r="D30" s="31" t="s">
        <v>46</v>
      </c>
      <c r="E30" s="32" t="s">
        <v>39</v>
      </c>
      <c r="F30" s="117"/>
    </row>
    <row r="31" spans="1:6" x14ac:dyDescent="0.25">
      <c r="D31" s="31" t="s">
        <v>19</v>
      </c>
      <c r="E31" s="45" t="s">
        <v>124</v>
      </c>
      <c r="F31" s="118"/>
    </row>
    <row r="32" spans="1:6" ht="30.75" thickBot="1" x14ac:dyDescent="0.3">
      <c r="D32" s="1" t="s">
        <v>20</v>
      </c>
      <c r="E32" s="44" t="s">
        <v>125</v>
      </c>
      <c r="F32" s="119"/>
    </row>
    <row r="33" spans="4:6" ht="15.75" thickBot="1" x14ac:dyDescent="0.3"/>
    <row r="34" spans="4:6" x14ac:dyDescent="0.25">
      <c r="D34" s="90" t="s">
        <v>48</v>
      </c>
      <c r="E34" s="91"/>
      <c r="F34" s="42" t="s">
        <v>14</v>
      </c>
    </row>
    <row r="35" spans="4:6" x14ac:dyDescent="0.25">
      <c r="D35" s="103"/>
      <c r="E35" s="104"/>
      <c r="F35" s="101"/>
    </row>
    <row r="36" spans="4:6" ht="15.75" thickBot="1" x14ac:dyDescent="0.3">
      <c r="D36" s="105"/>
      <c r="E36" s="106"/>
      <c r="F36" s="102"/>
    </row>
  </sheetData>
  <mergeCells count="14">
    <mergeCell ref="D2:E2"/>
    <mergeCell ref="F3:F4"/>
    <mergeCell ref="D6:E6"/>
    <mergeCell ref="D8:E8"/>
    <mergeCell ref="F9:F10"/>
    <mergeCell ref="D12:E12"/>
    <mergeCell ref="F13:F18"/>
    <mergeCell ref="D20:E20"/>
    <mergeCell ref="F21:F26"/>
    <mergeCell ref="D34:E34"/>
    <mergeCell ref="D35:E36"/>
    <mergeCell ref="F35:F36"/>
    <mergeCell ref="D29:E29"/>
    <mergeCell ref="F30:F3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 E25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 E23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E30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D29:E29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6"/>
  <sheetViews>
    <sheetView workbookViewId="0">
      <selection activeCell="J7" sqref="J7"/>
    </sheetView>
  </sheetViews>
  <sheetFormatPr defaultRowHeight="15" x14ac:dyDescent="0.25"/>
  <cols>
    <col min="1" max="1" width="9" bestFit="1" customWidth="1"/>
    <col min="2" max="2" width="20.42578125" customWidth="1"/>
    <col min="3" max="3" width="28.140625" customWidth="1"/>
    <col min="4" max="4" width="11.42578125" bestFit="1" customWidth="1"/>
    <col min="5" max="5" width="14.42578125" bestFit="1" customWidth="1"/>
    <col min="6" max="6" width="22" customWidth="1"/>
    <col min="7" max="7" width="15.42578125" customWidth="1"/>
    <col min="8" max="8" width="10.85546875" bestFit="1" customWidth="1"/>
    <col min="9" max="9" width="14.42578125" bestFit="1" customWidth="1"/>
    <col min="10" max="13" width="10" bestFit="1" customWidth="1"/>
    <col min="14" max="14" width="27" customWidth="1"/>
    <col min="15" max="15" width="16.85546875" bestFit="1" customWidth="1"/>
    <col min="16" max="16" width="13.42578125" bestFit="1" customWidth="1"/>
    <col min="17" max="17" width="16.85546875" bestFit="1" customWidth="1"/>
    <col min="18" max="18" width="13.42578125" bestFit="1" customWidth="1"/>
    <col min="19" max="19" width="16.85546875" bestFit="1" customWidth="1"/>
    <col min="20" max="20" width="13.42578125" bestFit="1" customWidth="1"/>
    <col min="21" max="21" width="16.85546875" bestFit="1" customWidth="1"/>
    <col min="22" max="22" width="13.42578125" bestFit="1" customWidth="1"/>
    <col min="23" max="23" width="16.85546875" bestFit="1" customWidth="1"/>
    <col min="24" max="24" width="13.42578125" bestFit="1" customWidth="1"/>
    <col min="25" max="25" width="16.85546875" bestFit="1" customWidth="1"/>
    <col min="26" max="26" width="20" bestFit="1" customWidth="1"/>
    <col min="27" max="27" width="23.5703125" bestFit="1" customWidth="1"/>
    <col min="28" max="28" width="42.140625" bestFit="1" customWidth="1"/>
    <col min="29" max="29" width="18.42578125" bestFit="1" customWidth="1"/>
    <col min="30" max="30" width="14.85546875" bestFit="1" customWidth="1"/>
    <col min="31" max="31" width="18.42578125" bestFit="1" customWidth="1"/>
    <col min="32" max="32" width="14.85546875" bestFit="1" customWidth="1"/>
    <col min="33" max="33" width="18.42578125" bestFit="1" customWidth="1"/>
  </cols>
  <sheetData>
    <row r="1" spans="1:33" ht="36" customHeight="1" x14ac:dyDescent="0.25">
      <c r="A1" s="63" t="s">
        <v>30</v>
      </c>
      <c r="B1" s="63" t="s">
        <v>45</v>
      </c>
      <c r="C1" s="63" t="s">
        <v>16</v>
      </c>
      <c r="D1" s="58" t="s">
        <v>92</v>
      </c>
      <c r="E1" s="58" t="s">
        <v>93</v>
      </c>
      <c r="F1" s="58" t="s">
        <v>94</v>
      </c>
      <c r="G1" s="58" t="s">
        <v>95</v>
      </c>
      <c r="H1" s="58" t="s">
        <v>96</v>
      </c>
      <c r="I1" s="58" t="s">
        <v>97</v>
      </c>
      <c r="J1" s="59" t="s">
        <v>120</v>
      </c>
      <c r="K1" s="59" t="s">
        <v>121</v>
      </c>
      <c r="L1" s="59" t="s">
        <v>122</v>
      </c>
      <c r="M1" s="59" t="s">
        <v>123</v>
      </c>
      <c r="N1" s="60" t="s">
        <v>98</v>
      </c>
      <c r="O1" s="60" t="s">
        <v>99</v>
      </c>
      <c r="P1" s="60" t="s">
        <v>100</v>
      </c>
      <c r="Q1" s="60" t="s">
        <v>101</v>
      </c>
      <c r="R1" s="60" t="s">
        <v>102</v>
      </c>
      <c r="S1" s="60" t="s">
        <v>103</v>
      </c>
      <c r="T1" s="60" t="s">
        <v>104</v>
      </c>
      <c r="U1" s="60" t="s">
        <v>105</v>
      </c>
      <c r="V1" s="60" t="s">
        <v>106</v>
      </c>
      <c r="W1" s="60" t="s">
        <v>107</v>
      </c>
      <c r="X1" s="60" t="s">
        <v>108</v>
      </c>
      <c r="Y1" s="60" t="s">
        <v>109</v>
      </c>
      <c r="Z1" s="61" t="s">
        <v>110</v>
      </c>
      <c r="AA1" s="61" t="s">
        <v>111</v>
      </c>
      <c r="AB1" s="62" t="s">
        <v>112</v>
      </c>
      <c r="AC1" s="62" t="s">
        <v>113</v>
      </c>
      <c r="AD1" s="62" t="s">
        <v>114</v>
      </c>
      <c r="AE1" s="62" t="s">
        <v>115</v>
      </c>
      <c r="AF1" s="62" t="s">
        <v>116</v>
      </c>
      <c r="AG1" s="62" t="s">
        <v>117</v>
      </c>
    </row>
    <row r="2" spans="1:33" x14ac:dyDescent="0.25">
      <c r="A2">
        <f t="shared" ref="A2:A6" si="0">ROW(A1)</f>
        <v>1</v>
      </c>
      <c r="B2">
        <v>1</v>
      </c>
      <c r="C2" t="s">
        <v>315</v>
      </c>
      <c r="D2" t="s">
        <v>131</v>
      </c>
      <c r="E2">
        <v>600</v>
      </c>
      <c r="F2" t="s">
        <v>131</v>
      </c>
      <c r="G2">
        <v>600</v>
      </c>
      <c r="I2">
        <v>0</v>
      </c>
      <c r="J2">
        <v>588</v>
      </c>
      <c r="K2">
        <v>789</v>
      </c>
      <c r="L2">
        <v>789</v>
      </c>
      <c r="M2">
        <v>789</v>
      </c>
      <c r="N2" t="s">
        <v>131</v>
      </c>
      <c r="O2">
        <v>0</v>
      </c>
      <c r="P2" t="s">
        <v>138</v>
      </c>
      <c r="Q2">
        <v>0</v>
      </c>
      <c r="R2" t="s">
        <v>138</v>
      </c>
      <c r="S2">
        <v>0</v>
      </c>
      <c r="T2" t="s">
        <v>139</v>
      </c>
      <c r="U2">
        <v>0</v>
      </c>
      <c r="V2" t="s">
        <v>139</v>
      </c>
      <c r="W2">
        <v>0</v>
      </c>
      <c r="X2" t="s">
        <v>139</v>
      </c>
      <c r="Y2">
        <v>0</v>
      </c>
      <c r="Z2" t="s">
        <v>133</v>
      </c>
      <c r="AA2">
        <v>21.6</v>
      </c>
      <c r="AB2" t="s">
        <v>136</v>
      </c>
      <c r="AC2">
        <v>200</v>
      </c>
      <c r="AD2" t="s">
        <v>136</v>
      </c>
      <c r="AE2">
        <v>200</v>
      </c>
      <c r="AF2" t="s">
        <v>136</v>
      </c>
      <c r="AG2">
        <v>200</v>
      </c>
    </row>
    <row r="3" spans="1:33" x14ac:dyDescent="0.25">
      <c r="A3">
        <f t="shared" si="0"/>
        <v>2</v>
      </c>
      <c r="B3">
        <v>2</v>
      </c>
      <c r="C3" t="s">
        <v>316</v>
      </c>
      <c r="D3" t="s">
        <v>131</v>
      </c>
      <c r="E3">
        <v>600</v>
      </c>
      <c r="F3" t="s">
        <v>131</v>
      </c>
      <c r="G3">
        <v>600</v>
      </c>
      <c r="I3">
        <v>0</v>
      </c>
      <c r="J3">
        <v>588</v>
      </c>
      <c r="K3">
        <v>588</v>
      </c>
      <c r="L3">
        <v>588</v>
      </c>
      <c r="M3">
        <v>588</v>
      </c>
      <c r="N3" t="s">
        <v>131</v>
      </c>
      <c r="O3">
        <v>150</v>
      </c>
      <c r="P3" t="s">
        <v>138</v>
      </c>
      <c r="Q3">
        <v>150</v>
      </c>
      <c r="R3" t="s">
        <v>138</v>
      </c>
      <c r="S3">
        <v>150</v>
      </c>
      <c r="T3" t="s">
        <v>139</v>
      </c>
      <c r="U3">
        <v>150</v>
      </c>
      <c r="V3" t="s">
        <v>139</v>
      </c>
      <c r="W3">
        <v>150</v>
      </c>
      <c r="X3" t="s">
        <v>139</v>
      </c>
      <c r="Y3">
        <v>150</v>
      </c>
      <c r="Z3" t="s">
        <v>134</v>
      </c>
      <c r="AA3">
        <v>6</v>
      </c>
      <c r="AB3" t="s">
        <v>137</v>
      </c>
      <c r="AC3">
        <v>200</v>
      </c>
      <c r="AD3" t="s">
        <v>137</v>
      </c>
      <c r="AE3">
        <v>200</v>
      </c>
      <c r="AF3" t="s">
        <v>137</v>
      </c>
      <c r="AG3">
        <v>200</v>
      </c>
    </row>
    <row r="4" spans="1:33" x14ac:dyDescent="0.25">
      <c r="A4">
        <f t="shared" si="0"/>
        <v>3</v>
      </c>
      <c r="B4">
        <v>3</v>
      </c>
      <c r="C4" t="s">
        <v>317</v>
      </c>
      <c r="D4" t="s">
        <v>131</v>
      </c>
      <c r="E4">
        <v>600</v>
      </c>
      <c r="F4" t="s">
        <v>131</v>
      </c>
      <c r="G4">
        <v>600</v>
      </c>
      <c r="I4">
        <v>0</v>
      </c>
      <c r="J4">
        <v>588</v>
      </c>
      <c r="K4">
        <v>1034</v>
      </c>
      <c r="L4">
        <v>1034</v>
      </c>
      <c r="M4">
        <v>1034</v>
      </c>
      <c r="N4" t="s">
        <v>131</v>
      </c>
      <c r="O4">
        <v>150</v>
      </c>
      <c r="P4" t="s">
        <v>138</v>
      </c>
      <c r="Q4">
        <v>150</v>
      </c>
      <c r="R4" t="s">
        <v>138</v>
      </c>
      <c r="S4">
        <v>150</v>
      </c>
      <c r="T4" t="s">
        <v>139</v>
      </c>
      <c r="U4">
        <v>150</v>
      </c>
      <c r="V4" t="s">
        <v>139</v>
      </c>
      <c r="W4">
        <v>150</v>
      </c>
      <c r="X4" t="s">
        <v>139</v>
      </c>
      <c r="Y4">
        <v>150</v>
      </c>
      <c r="Z4" t="s">
        <v>135</v>
      </c>
      <c r="AA4">
        <v>8.4</v>
      </c>
      <c r="AB4" t="s">
        <v>137</v>
      </c>
      <c r="AC4">
        <v>200</v>
      </c>
      <c r="AD4" t="s">
        <v>137</v>
      </c>
      <c r="AE4">
        <v>200</v>
      </c>
      <c r="AF4" t="s">
        <v>137</v>
      </c>
      <c r="AG4">
        <v>200</v>
      </c>
    </row>
    <row r="5" spans="1:33" x14ac:dyDescent="0.25">
      <c r="A5">
        <f t="shared" si="0"/>
        <v>4</v>
      </c>
      <c r="B5">
        <v>4</v>
      </c>
      <c r="C5" t="s">
        <v>132</v>
      </c>
      <c r="D5" t="s">
        <v>131</v>
      </c>
      <c r="E5">
        <v>600</v>
      </c>
      <c r="F5" t="s">
        <v>131</v>
      </c>
      <c r="G5">
        <v>600</v>
      </c>
      <c r="I5">
        <v>0</v>
      </c>
      <c r="J5">
        <v>588</v>
      </c>
      <c r="K5">
        <v>641</v>
      </c>
      <c r="L5">
        <v>641</v>
      </c>
      <c r="M5">
        <v>641</v>
      </c>
      <c r="N5" t="s">
        <v>131</v>
      </c>
      <c r="O5">
        <v>150</v>
      </c>
      <c r="P5" t="s">
        <v>138</v>
      </c>
      <c r="Q5">
        <v>150</v>
      </c>
      <c r="R5" t="s">
        <v>138</v>
      </c>
      <c r="S5">
        <v>150</v>
      </c>
      <c r="T5" t="s">
        <v>139</v>
      </c>
      <c r="U5">
        <v>150</v>
      </c>
      <c r="V5" t="s">
        <v>139</v>
      </c>
      <c r="W5">
        <v>150</v>
      </c>
      <c r="X5" t="s">
        <v>139</v>
      </c>
      <c r="Y5">
        <v>150</v>
      </c>
      <c r="Z5" t="s">
        <v>134</v>
      </c>
      <c r="AA5">
        <v>6</v>
      </c>
      <c r="AB5" t="s">
        <v>137</v>
      </c>
      <c r="AC5">
        <v>200</v>
      </c>
      <c r="AD5" t="s">
        <v>137</v>
      </c>
      <c r="AE5">
        <v>200</v>
      </c>
      <c r="AF5" t="s">
        <v>137</v>
      </c>
      <c r="AG5">
        <v>200</v>
      </c>
    </row>
    <row r="6" spans="1:33" x14ac:dyDescent="0.25">
      <c r="A6">
        <f t="shared" si="0"/>
        <v>5</v>
      </c>
      <c r="B6">
        <v>5</v>
      </c>
      <c r="C6" t="s">
        <v>318</v>
      </c>
      <c r="D6" t="s">
        <v>131</v>
      </c>
      <c r="E6">
        <v>600</v>
      </c>
      <c r="F6" t="s">
        <v>131</v>
      </c>
      <c r="G6">
        <v>600</v>
      </c>
      <c r="I6">
        <v>0</v>
      </c>
      <c r="J6">
        <v>588</v>
      </c>
      <c r="K6">
        <v>1154</v>
      </c>
      <c r="L6">
        <v>1154</v>
      </c>
      <c r="M6">
        <v>1154</v>
      </c>
      <c r="N6" t="s">
        <v>131</v>
      </c>
      <c r="O6">
        <v>150</v>
      </c>
      <c r="P6" t="s">
        <v>138</v>
      </c>
      <c r="Q6">
        <v>150</v>
      </c>
      <c r="R6" t="s">
        <v>138</v>
      </c>
      <c r="S6">
        <v>150</v>
      </c>
      <c r="T6" t="s">
        <v>139</v>
      </c>
      <c r="U6">
        <v>150</v>
      </c>
      <c r="V6" t="s">
        <v>139</v>
      </c>
      <c r="W6">
        <v>150</v>
      </c>
      <c r="X6" t="s">
        <v>139</v>
      </c>
      <c r="Y6">
        <v>150</v>
      </c>
      <c r="Z6" t="s">
        <v>135</v>
      </c>
      <c r="AA6">
        <v>8.4</v>
      </c>
      <c r="AB6" t="s">
        <v>137</v>
      </c>
      <c r="AC6">
        <v>200</v>
      </c>
      <c r="AD6" t="s">
        <v>137</v>
      </c>
      <c r="AE6">
        <v>200</v>
      </c>
      <c r="AF6" t="s">
        <v>137</v>
      </c>
      <c r="AG6">
        <v>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9724-2D80-4CB9-BF2D-0CA0261A0EB3}">
  <dimension ref="B6:BZ1579"/>
  <sheetViews>
    <sheetView workbookViewId="0"/>
  </sheetViews>
  <sheetFormatPr defaultRowHeight="15" x14ac:dyDescent="0.25"/>
  <sheetData>
    <row r="6" spans="2:3" x14ac:dyDescent="0.25">
      <c r="B6" t="s">
        <v>140</v>
      </c>
    </row>
    <row r="7" spans="2:3" x14ac:dyDescent="0.25">
      <c r="B7" t="s">
        <v>141</v>
      </c>
    </row>
    <row r="8" spans="2:3" x14ac:dyDescent="0.25">
      <c r="B8" t="s">
        <v>142</v>
      </c>
    </row>
    <row r="9" spans="2:3" x14ac:dyDescent="0.25">
      <c r="B9" t="s">
        <v>143</v>
      </c>
    </row>
    <row r="11" spans="2:3" x14ac:dyDescent="0.25">
      <c r="C11" t="s">
        <v>144</v>
      </c>
    </row>
    <row r="16" spans="2:3" x14ac:dyDescent="0.25">
      <c r="B16" t="s">
        <v>145</v>
      </c>
    </row>
    <row r="17" spans="2:5" x14ac:dyDescent="0.25">
      <c r="B17" t="s">
        <v>327</v>
      </c>
    </row>
    <row r="18" spans="2:5" x14ac:dyDescent="0.25">
      <c r="B18" t="s">
        <v>328</v>
      </c>
    </row>
    <row r="19" spans="2:5" x14ac:dyDescent="0.25">
      <c r="B19" t="s">
        <v>329</v>
      </c>
    </row>
    <row r="20" spans="2:5" x14ac:dyDescent="0.25">
      <c r="B20" t="s">
        <v>146</v>
      </c>
    </row>
    <row r="21" spans="2:5" x14ac:dyDescent="0.25">
      <c r="B21" t="s">
        <v>147</v>
      </c>
    </row>
    <row r="22" spans="2:5" x14ac:dyDescent="0.25">
      <c r="B22" t="s">
        <v>163</v>
      </c>
    </row>
    <row r="23" spans="2:5" x14ac:dyDescent="0.25">
      <c r="B23" t="s">
        <v>330</v>
      </c>
    </row>
    <row r="25" spans="2:5" x14ac:dyDescent="0.25">
      <c r="D25" t="s">
        <v>388</v>
      </c>
      <c r="E25" t="s">
        <v>389</v>
      </c>
    </row>
    <row r="26" spans="2:5" x14ac:dyDescent="0.25">
      <c r="D26" t="s">
        <v>390</v>
      </c>
      <c r="E26" t="s">
        <v>391</v>
      </c>
    </row>
    <row r="27" spans="2:5" x14ac:dyDescent="0.25">
      <c r="D27" t="s">
        <v>173</v>
      </c>
    </row>
    <row r="28" spans="2:5" x14ac:dyDescent="0.25">
      <c r="D28" t="s">
        <v>392</v>
      </c>
      <c r="E28" t="s">
        <v>393</v>
      </c>
    </row>
    <row r="29" spans="2:5" x14ac:dyDescent="0.25">
      <c r="D29" t="s">
        <v>303</v>
      </c>
    </row>
    <row r="31" spans="2:5" x14ac:dyDescent="0.25">
      <c r="D31" t="s">
        <v>388</v>
      </c>
      <c r="E31" t="s">
        <v>389</v>
      </c>
    </row>
    <row r="32" spans="2:5" x14ac:dyDescent="0.25">
      <c r="D32" t="s">
        <v>390</v>
      </c>
      <c r="E32" t="s">
        <v>394</v>
      </c>
    </row>
    <row r="33" spans="4:5" x14ac:dyDescent="0.25">
      <c r="D33" t="s">
        <v>395</v>
      </c>
    </row>
    <row r="34" spans="4:5" x14ac:dyDescent="0.25">
      <c r="D34" t="s">
        <v>154</v>
      </c>
    </row>
    <row r="36" spans="4:5" x14ac:dyDescent="0.25">
      <c r="D36" t="s">
        <v>388</v>
      </c>
      <c r="E36" t="s">
        <v>41</v>
      </c>
    </row>
    <row r="37" spans="4:5" x14ac:dyDescent="0.25">
      <c r="D37" t="s">
        <v>390</v>
      </c>
      <c r="E37" t="s">
        <v>396</v>
      </c>
    </row>
    <row r="38" spans="4:5" x14ac:dyDescent="0.25">
      <c r="D38" t="s">
        <v>397</v>
      </c>
      <c r="E38" t="s">
        <v>398</v>
      </c>
    </row>
    <row r="39" spans="4:5" x14ac:dyDescent="0.25">
      <c r="D39" t="s">
        <v>156</v>
      </c>
    </row>
    <row r="41" spans="4:5" x14ac:dyDescent="0.25">
      <c r="D41" t="s">
        <v>388</v>
      </c>
      <c r="E41" t="s">
        <v>399</v>
      </c>
    </row>
    <row r="42" spans="4:5" x14ac:dyDescent="0.25">
      <c r="D42" t="s">
        <v>390</v>
      </c>
      <c r="E42" t="s">
        <v>400</v>
      </c>
    </row>
    <row r="43" spans="4:5" x14ac:dyDescent="0.25">
      <c r="D43" t="s">
        <v>401</v>
      </c>
      <c r="E43" t="s">
        <v>402</v>
      </c>
    </row>
    <row r="44" spans="4:5" x14ac:dyDescent="0.25">
      <c r="D44" t="s">
        <v>159</v>
      </c>
    </row>
    <row r="46" spans="4:5" x14ac:dyDescent="0.25">
      <c r="D46" t="s">
        <v>388</v>
      </c>
      <c r="E46" t="s">
        <v>399</v>
      </c>
    </row>
    <row r="47" spans="4:5" x14ac:dyDescent="0.25">
      <c r="D47" t="s">
        <v>390</v>
      </c>
      <c r="E47" t="s">
        <v>403</v>
      </c>
    </row>
    <row r="48" spans="4:5" x14ac:dyDescent="0.25">
      <c r="D48" t="s">
        <v>401</v>
      </c>
      <c r="E48" t="s">
        <v>402</v>
      </c>
    </row>
    <row r="49" spans="4:5" x14ac:dyDescent="0.25">
      <c r="D49" t="s">
        <v>306</v>
      </c>
    </row>
    <row r="51" spans="4:5" x14ac:dyDescent="0.25">
      <c r="D51" t="s">
        <v>388</v>
      </c>
      <c r="E51" t="s">
        <v>41</v>
      </c>
    </row>
    <row r="52" spans="4:5" x14ac:dyDescent="0.25">
      <c r="D52" t="s">
        <v>390</v>
      </c>
      <c r="E52" t="s">
        <v>404</v>
      </c>
    </row>
    <row r="53" spans="4:5" x14ac:dyDescent="0.25">
      <c r="D53" t="s">
        <v>397</v>
      </c>
      <c r="E53" t="s">
        <v>398</v>
      </c>
    </row>
    <row r="54" spans="4:5" x14ac:dyDescent="0.25">
      <c r="D54" t="s">
        <v>308</v>
      </c>
    </row>
    <row r="56" spans="4:5" x14ac:dyDescent="0.25">
      <c r="D56" t="s">
        <v>388</v>
      </c>
      <c r="E56" t="s">
        <v>41</v>
      </c>
    </row>
    <row r="57" spans="4:5" x14ac:dyDescent="0.25">
      <c r="D57" t="s">
        <v>390</v>
      </c>
      <c r="E57" t="s">
        <v>405</v>
      </c>
    </row>
    <row r="58" spans="4:5" x14ac:dyDescent="0.25">
      <c r="D58" t="s">
        <v>397</v>
      </c>
      <c r="E58" t="s">
        <v>398</v>
      </c>
    </row>
    <row r="59" spans="4:5" x14ac:dyDescent="0.25">
      <c r="D59" t="s">
        <v>368</v>
      </c>
    </row>
    <row r="61" spans="4:5" x14ac:dyDescent="0.25">
      <c r="D61" t="s">
        <v>388</v>
      </c>
      <c r="E61" t="s">
        <v>41</v>
      </c>
    </row>
    <row r="62" spans="4:5" x14ac:dyDescent="0.25">
      <c r="D62" t="s">
        <v>390</v>
      </c>
      <c r="E62" t="s">
        <v>406</v>
      </c>
    </row>
    <row r="63" spans="4:5" x14ac:dyDescent="0.25">
      <c r="D63" t="s">
        <v>397</v>
      </c>
      <c r="E63" t="s">
        <v>398</v>
      </c>
    </row>
    <row r="64" spans="4:5" x14ac:dyDescent="0.25">
      <c r="D64" t="s">
        <v>369</v>
      </c>
    </row>
    <row r="66" spans="4:5" x14ac:dyDescent="0.25">
      <c r="D66" t="s">
        <v>388</v>
      </c>
      <c r="E66" t="s">
        <v>41</v>
      </c>
    </row>
    <row r="67" spans="4:5" x14ac:dyDescent="0.25">
      <c r="D67" t="s">
        <v>390</v>
      </c>
      <c r="E67" t="s">
        <v>407</v>
      </c>
    </row>
    <row r="68" spans="4:5" x14ac:dyDescent="0.25">
      <c r="D68" t="s">
        <v>397</v>
      </c>
      <c r="E68" t="s">
        <v>398</v>
      </c>
    </row>
    <row r="69" spans="4:5" x14ac:dyDescent="0.25">
      <c r="D69" t="s">
        <v>408</v>
      </c>
    </row>
    <row r="71" spans="4:5" x14ac:dyDescent="0.25">
      <c r="D71" t="s">
        <v>388</v>
      </c>
      <c r="E71" t="s">
        <v>41</v>
      </c>
    </row>
    <row r="72" spans="4:5" x14ac:dyDescent="0.25">
      <c r="D72" t="s">
        <v>390</v>
      </c>
      <c r="E72" t="s">
        <v>409</v>
      </c>
    </row>
    <row r="73" spans="4:5" x14ac:dyDescent="0.25">
      <c r="D73" t="s">
        <v>397</v>
      </c>
      <c r="E73" t="s">
        <v>398</v>
      </c>
    </row>
    <row r="74" spans="4:5" x14ac:dyDescent="0.25">
      <c r="D74" t="s">
        <v>410</v>
      </c>
    </row>
    <row r="76" spans="4:5" x14ac:dyDescent="0.25">
      <c r="D76" t="s">
        <v>388</v>
      </c>
      <c r="E76" t="s">
        <v>41</v>
      </c>
    </row>
    <row r="77" spans="4:5" x14ac:dyDescent="0.25">
      <c r="D77" t="s">
        <v>390</v>
      </c>
      <c r="E77" t="s">
        <v>411</v>
      </c>
    </row>
    <row r="78" spans="4:5" x14ac:dyDescent="0.25">
      <c r="D78" t="s">
        <v>397</v>
      </c>
      <c r="E78" t="s">
        <v>398</v>
      </c>
    </row>
    <row r="79" spans="4:5" x14ac:dyDescent="0.25">
      <c r="D79" t="s">
        <v>412</v>
      </c>
    </row>
    <row r="81" spans="4:5" x14ac:dyDescent="0.25">
      <c r="D81" t="s">
        <v>388</v>
      </c>
      <c r="E81" t="s">
        <v>413</v>
      </c>
    </row>
    <row r="82" spans="4:5" x14ac:dyDescent="0.25">
      <c r="D82" t="s">
        <v>390</v>
      </c>
      <c r="E82" t="s">
        <v>414</v>
      </c>
    </row>
    <row r="83" spans="4:5" x14ac:dyDescent="0.25">
      <c r="D83" t="s">
        <v>415</v>
      </c>
    </row>
    <row r="84" spans="4:5" x14ac:dyDescent="0.25">
      <c r="D84" t="s">
        <v>416</v>
      </c>
    </row>
    <row r="85" spans="4:5" x14ac:dyDescent="0.25">
      <c r="D85" t="s">
        <v>417</v>
      </c>
    </row>
    <row r="86" spans="4:5" x14ac:dyDescent="0.25">
      <c r="D86" t="s">
        <v>418</v>
      </c>
    </row>
    <row r="87" spans="4:5" x14ac:dyDescent="0.25">
      <c r="D87" t="s">
        <v>419</v>
      </c>
      <c r="E87" t="b">
        <v>0</v>
      </c>
    </row>
    <row r="88" spans="4:5" x14ac:dyDescent="0.25">
      <c r="D88" t="s">
        <v>420</v>
      </c>
      <c r="E88" t="s">
        <v>421</v>
      </c>
    </row>
    <row r="89" spans="4:5" x14ac:dyDescent="0.25">
      <c r="D89" t="s">
        <v>422</v>
      </c>
    </row>
    <row r="91" spans="4:5" x14ac:dyDescent="0.25">
      <c r="D91" t="s">
        <v>388</v>
      </c>
      <c r="E91" t="s">
        <v>413</v>
      </c>
    </row>
    <row r="92" spans="4:5" x14ac:dyDescent="0.25">
      <c r="D92" t="s">
        <v>390</v>
      </c>
      <c r="E92" t="s">
        <v>414</v>
      </c>
    </row>
    <row r="93" spans="4:5" x14ac:dyDescent="0.25">
      <c r="D93" t="s">
        <v>415</v>
      </c>
    </row>
    <row r="94" spans="4:5" x14ac:dyDescent="0.25">
      <c r="D94" t="s">
        <v>416</v>
      </c>
    </row>
    <row r="95" spans="4:5" x14ac:dyDescent="0.25">
      <c r="D95" t="s">
        <v>417</v>
      </c>
    </row>
    <row r="96" spans="4:5" x14ac:dyDescent="0.25">
      <c r="D96" t="s">
        <v>418</v>
      </c>
    </row>
    <row r="97" spans="4:5" x14ac:dyDescent="0.25">
      <c r="D97" t="s">
        <v>419</v>
      </c>
      <c r="E97" t="b">
        <v>1</v>
      </c>
    </row>
    <row r="98" spans="4:5" x14ac:dyDescent="0.25">
      <c r="D98" t="s">
        <v>420</v>
      </c>
      <c r="E98" t="s">
        <v>423</v>
      </c>
    </row>
    <row r="99" spans="4:5" x14ac:dyDescent="0.25">
      <c r="D99" t="s">
        <v>424</v>
      </c>
    </row>
    <row r="101" spans="4:5" x14ac:dyDescent="0.25">
      <c r="D101" t="s">
        <v>388</v>
      </c>
      <c r="E101" t="s">
        <v>389</v>
      </c>
    </row>
    <row r="102" spans="4:5" x14ac:dyDescent="0.25">
      <c r="D102" t="s">
        <v>390</v>
      </c>
      <c r="E102" t="s">
        <v>425</v>
      </c>
    </row>
    <row r="103" spans="4:5" x14ac:dyDescent="0.25">
      <c r="D103" t="s">
        <v>168</v>
      </c>
    </row>
    <row r="104" spans="4:5" x14ac:dyDescent="0.25">
      <c r="D104" t="s">
        <v>170</v>
      </c>
    </row>
    <row r="105" spans="4:5" x14ac:dyDescent="0.25">
      <c r="D105" t="s">
        <v>171</v>
      </c>
    </row>
    <row r="106" spans="4:5" x14ac:dyDescent="0.25">
      <c r="D106" t="s">
        <v>172</v>
      </c>
    </row>
    <row r="107" spans="4:5" x14ac:dyDescent="0.25">
      <c r="D107" t="s">
        <v>173</v>
      </c>
    </row>
    <row r="108" spans="4:5" x14ac:dyDescent="0.25">
      <c r="D108" t="s">
        <v>426</v>
      </c>
    </row>
    <row r="109" spans="4:5" x14ac:dyDescent="0.25">
      <c r="D109" t="s">
        <v>176</v>
      </c>
    </row>
    <row r="110" spans="4:5" x14ac:dyDescent="0.25">
      <c r="D110" t="s">
        <v>427</v>
      </c>
    </row>
    <row r="111" spans="4:5" x14ac:dyDescent="0.25">
      <c r="D111" t="s">
        <v>428</v>
      </c>
    </row>
    <row r="112" spans="4:5" x14ac:dyDescent="0.25">
      <c r="D112" t="s">
        <v>429</v>
      </c>
      <c r="E112" t="s">
        <v>430</v>
      </c>
    </row>
    <row r="113" spans="4:5" x14ac:dyDescent="0.25">
      <c r="D113" t="s">
        <v>431</v>
      </c>
    </row>
    <row r="115" spans="4:5" x14ac:dyDescent="0.25">
      <c r="D115" t="s">
        <v>388</v>
      </c>
      <c r="E115" t="s">
        <v>432</v>
      </c>
    </row>
    <row r="116" spans="4:5" x14ac:dyDescent="0.25">
      <c r="D116" t="s">
        <v>390</v>
      </c>
      <c r="E116" t="s">
        <v>433</v>
      </c>
    </row>
    <row r="117" spans="4:5" x14ac:dyDescent="0.25">
      <c r="D117" t="s">
        <v>434</v>
      </c>
      <c r="E117">
        <v>0</v>
      </c>
    </row>
    <row r="118" spans="4:5" x14ac:dyDescent="0.25">
      <c r="D118" t="s">
        <v>435</v>
      </c>
    </row>
    <row r="120" spans="4:5" x14ac:dyDescent="0.25">
      <c r="D120" t="s">
        <v>388</v>
      </c>
      <c r="E120" t="s">
        <v>432</v>
      </c>
    </row>
    <row r="121" spans="4:5" x14ac:dyDescent="0.25">
      <c r="D121" t="s">
        <v>390</v>
      </c>
      <c r="E121" t="s">
        <v>436</v>
      </c>
    </row>
    <row r="122" spans="4:5" x14ac:dyDescent="0.25">
      <c r="D122" t="s">
        <v>437</v>
      </c>
    </row>
    <row r="124" spans="4:5" x14ac:dyDescent="0.25">
      <c r="D124" t="s">
        <v>388</v>
      </c>
      <c r="E124" t="s">
        <v>41</v>
      </c>
    </row>
    <row r="125" spans="4:5" x14ac:dyDescent="0.25">
      <c r="D125" t="s">
        <v>390</v>
      </c>
      <c r="E125" t="s">
        <v>433</v>
      </c>
    </row>
    <row r="126" spans="4:5" x14ac:dyDescent="0.25">
      <c r="D126" t="s">
        <v>397</v>
      </c>
      <c r="E126" t="s">
        <v>86</v>
      </c>
    </row>
    <row r="127" spans="4:5" x14ac:dyDescent="0.25">
      <c r="D127" t="s">
        <v>438</v>
      </c>
      <c r="E127" t="s">
        <v>439</v>
      </c>
    </row>
    <row r="128" spans="4:5" x14ac:dyDescent="0.25">
      <c r="D128" t="s">
        <v>440</v>
      </c>
    </row>
    <row r="130" spans="2:5" x14ac:dyDescent="0.25">
      <c r="D130" t="s">
        <v>388</v>
      </c>
      <c r="E130" t="s">
        <v>432</v>
      </c>
    </row>
    <row r="131" spans="2:5" x14ac:dyDescent="0.25">
      <c r="D131" t="s">
        <v>390</v>
      </c>
      <c r="E131" t="s">
        <v>433</v>
      </c>
    </row>
    <row r="132" spans="2:5" x14ac:dyDescent="0.25">
      <c r="D132" t="s">
        <v>434</v>
      </c>
      <c r="E132">
        <v>700</v>
      </c>
    </row>
    <row r="133" spans="2:5" x14ac:dyDescent="0.25">
      <c r="D133" t="s">
        <v>441</v>
      </c>
    </row>
    <row r="135" spans="2:5" x14ac:dyDescent="0.25">
      <c r="D135" t="s">
        <v>388</v>
      </c>
      <c r="E135" t="s">
        <v>432</v>
      </c>
    </row>
    <row r="136" spans="2:5" x14ac:dyDescent="0.25">
      <c r="D136" t="s">
        <v>390</v>
      </c>
      <c r="E136" t="s">
        <v>436</v>
      </c>
    </row>
    <row r="137" spans="2:5" x14ac:dyDescent="0.25">
      <c r="D137" t="s">
        <v>442</v>
      </c>
    </row>
    <row r="142" spans="2:5" x14ac:dyDescent="0.25">
      <c r="B142" t="s">
        <v>145</v>
      </c>
    </row>
    <row r="143" spans="2:5" x14ac:dyDescent="0.25">
      <c r="B143" t="s">
        <v>160</v>
      </c>
    </row>
    <row r="144" spans="2:5" x14ac:dyDescent="0.25">
      <c r="B144" t="s">
        <v>161</v>
      </c>
    </row>
    <row r="145" spans="2:9" x14ac:dyDescent="0.25">
      <c r="B145" t="s">
        <v>162</v>
      </c>
    </row>
    <row r="146" spans="2:9" x14ac:dyDescent="0.25">
      <c r="B146" t="s">
        <v>146</v>
      </c>
    </row>
    <row r="147" spans="2:9" x14ac:dyDescent="0.25">
      <c r="B147" t="s">
        <v>147</v>
      </c>
    </row>
    <row r="148" spans="2:9" x14ac:dyDescent="0.25">
      <c r="B148" t="s">
        <v>163</v>
      </c>
    </row>
    <row r="149" spans="2:9" x14ac:dyDescent="0.25">
      <c r="B149" t="s">
        <v>164</v>
      </c>
    </row>
    <row r="151" spans="2:9" x14ac:dyDescent="0.25">
      <c r="D151" t="s">
        <v>388</v>
      </c>
      <c r="E151" t="s">
        <v>389</v>
      </c>
    </row>
    <row r="152" spans="2:9" x14ac:dyDescent="0.25">
      <c r="D152" t="s">
        <v>390</v>
      </c>
      <c r="E152" t="s">
        <v>391</v>
      </c>
    </row>
    <row r="153" spans="2:9" x14ac:dyDescent="0.25">
      <c r="D153" t="s">
        <v>173</v>
      </c>
      <c r="E153">
        <v>600</v>
      </c>
      <c r="F153">
        <v>600</v>
      </c>
      <c r="G153">
        <v>600</v>
      </c>
      <c r="H153">
        <v>600</v>
      </c>
      <c r="I153">
        <v>600</v>
      </c>
    </row>
    <row r="154" spans="2:9" x14ac:dyDescent="0.25">
      <c r="D154" t="s">
        <v>392</v>
      </c>
      <c r="E154" t="s">
        <v>393</v>
      </c>
    </row>
    <row r="155" spans="2:9" x14ac:dyDescent="0.25">
      <c r="D155" t="s">
        <v>178</v>
      </c>
    </row>
    <row r="157" spans="2:9" x14ac:dyDescent="0.25">
      <c r="D157" t="s">
        <v>388</v>
      </c>
      <c r="E157" t="s">
        <v>389</v>
      </c>
    </row>
    <row r="158" spans="2:9" x14ac:dyDescent="0.25">
      <c r="D158" t="s">
        <v>390</v>
      </c>
      <c r="E158" t="s">
        <v>394</v>
      </c>
    </row>
    <row r="159" spans="2:9" x14ac:dyDescent="0.25">
      <c r="D159" t="s">
        <v>173</v>
      </c>
      <c r="E159">
        <v>600</v>
      </c>
      <c r="F159">
        <v>600</v>
      </c>
      <c r="G159">
        <v>600</v>
      </c>
      <c r="H159">
        <v>600</v>
      </c>
      <c r="I159">
        <v>600</v>
      </c>
    </row>
    <row r="160" spans="2:9" x14ac:dyDescent="0.25">
      <c r="D160" t="s">
        <v>179</v>
      </c>
    </row>
    <row r="162" spans="4:9" x14ac:dyDescent="0.25">
      <c r="D162" t="s">
        <v>388</v>
      </c>
      <c r="E162" t="s">
        <v>41</v>
      </c>
    </row>
    <row r="163" spans="4:9" x14ac:dyDescent="0.25">
      <c r="D163" t="s">
        <v>390</v>
      </c>
      <c r="E163" t="s">
        <v>396</v>
      </c>
    </row>
    <row r="164" spans="4:9" x14ac:dyDescent="0.25">
      <c r="D164" t="s">
        <v>397</v>
      </c>
      <c r="E164" t="s">
        <v>398</v>
      </c>
    </row>
    <row r="165" spans="4:9" x14ac:dyDescent="0.25">
      <c r="D165" t="s">
        <v>180</v>
      </c>
    </row>
    <row r="167" spans="4:9" x14ac:dyDescent="0.25">
      <c r="D167" t="s">
        <v>388</v>
      </c>
      <c r="E167" t="s">
        <v>389</v>
      </c>
    </row>
    <row r="168" spans="4:9" x14ac:dyDescent="0.25">
      <c r="D168" t="s">
        <v>390</v>
      </c>
      <c r="E168" t="s">
        <v>425</v>
      </c>
    </row>
    <row r="169" spans="4:9" x14ac:dyDescent="0.25">
      <c r="D169" t="s">
        <v>168</v>
      </c>
    </row>
    <row r="170" spans="4:9" x14ac:dyDescent="0.25">
      <c r="D170" t="s">
        <v>170</v>
      </c>
      <c r="E170">
        <v>1</v>
      </c>
      <c r="F170">
        <v>2</v>
      </c>
      <c r="G170">
        <v>3</v>
      </c>
      <c r="H170">
        <v>4</v>
      </c>
      <c r="I170">
        <v>5</v>
      </c>
    </row>
    <row r="171" spans="4:9" x14ac:dyDescent="0.25">
      <c r="D171" t="s">
        <v>171</v>
      </c>
      <c r="E171" t="s">
        <v>131</v>
      </c>
      <c r="F171" t="s">
        <v>131</v>
      </c>
      <c r="G171" t="s">
        <v>131</v>
      </c>
      <c r="H171" t="s">
        <v>131</v>
      </c>
      <c r="I171" t="s">
        <v>131</v>
      </c>
    </row>
    <row r="172" spans="4:9" x14ac:dyDescent="0.25">
      <c r="D172" t="s">
        <v>172</v>
      </c>
      <c r="E172">
        <v>1</v>
      </c>
      <c r="F172">
        <v>2</v>
      </c>
      <c r="G172">
        <v>3</v>
      </c>
      <c r="H172">
        <v>4</v>
      </c>
      <c r="I172">
        <v>5</v>
      </c>
    </row>
    <row r="173" spans="4:9" x14ac:dyDescent="0.25">
      <c r="D173" t="s">
        <v>173</v>
      </c>
      <c r="E173">
        <v>600</v>
      </c>
      <c r="F173">
        <v>600</v>
      </c>
      <c r="G173">
        <v>600</v>
      </c>
      <c r="H173">
        <v>600</v>
      </c>
      <c r="I173">
        <v>600</v>
      </c>
    </row>
    <row r="174" spans="4:9" x14ac:dyDescent="0.25">
      <c r="D174" t="s">
        <v>426</v>
      </c>
      <c r="E174">
        <v>0</v>
      </c>
      <c r="F174">
        <v>0</v>
      </c>
      <c r="G174">
        <v>0</v>
      </c>
      <c r="H174">
        <v>0</v>
      </c>
      <c r="I174">
        <v>0</v>
      </c>
    </row>
    <row r="175" spans="4:9" x14ac:dyDescent="0.25">
      <c r="D175" t="s">
        <v>176</v>
      </c>
      <c r="E175" t="s">
        <v>40</v>
      </c>
      <c r="F175" t="s">
        <v>40</v>
      </c>
      <c r="G175" t="s">
        <v>40</v>
      </c>
      <c r="H175" t="s">
        <v>40</v>
      </c>
      <c r="I175" t="s">
        <v>40</v>
      </c>
    </row>
    <row r="176" spans="4:9" x14ac:dyDescent="0.25">
      <c r="D176" t="s">
        <v>427</v>
      </c>
    </row>
    <row r="177" spans="4:5" x14ac:dyDescent="0.25">
      <c r="D177" t="s">
        <v>428</v>
      </c>
    </row>
    <row r="178" spans="4:5" x14ac:dyDescent="0.25">
      <c r="D178" t="s">
        <v>429</v>
      </c>
      <c r="E178" t="s">
        <v>430</v>
      </c>
    </row>
    <row r="179" spans="4:5" x14ac:dyDescent="0.25">
      <c r="D179" t="s">
        <v>181</v>
      </c>
    </row>
    <row r="181" spans="4:5" x14ac:dyDescent="0.25">
      <c r="D181" t="s">
        <v>388</v>
      </c>
      <c r="E181" t="s">
        <v>432</v>
      </c>
    </row>
    <row r="182" spans="4:5" x14ac:dyDescent="0.25">
      <c r="D182" t="s">
        <v>390</v>
      </c>
      <c r="E182" t="s">
        <v>433</v>
      </c>
    </row>
    <row r="183" spans="4:5" x14ac:dyDescent="0.25">
      <c r="D183" t="s">
        <v>434</v>
      </c>
      <c r="E183">
        <v>0</v>
      </c>
    </row>
    <row r="184" spans="4:5" x14ac:dyDescent="0.25">
      <c r="D184" t="s">
        <v>309</v>
      </c>
    </row>
    <row r="186" spans="4:5" x14ac:dyDescent="0.25">
      <c r="D186" t="s">
        <v>388</v>
      </c>
      <c r="E186" t="s">
        <v>432</v>
      </c>
    </row>
    <row r="187" spans="4:5" x14ac:dyDescent="0.25">
      <c r="D187" t="s">
        <v>390</v>
      </c>
      <c r="E187" t="s">
        <v>436</v>
      </c>
    </row>
    <row r="188" spans="4:5" x14ac:dyDescent="0.25">
      <c r="D188" t="s">
        <v>310</v>
      </c>
    </row>
    <row r="190" spans="4:5" x14ac:dyDescent="0.25">
      <c r="D190" t="s">
        <v>388</v>
      </c>
      <c r="E190" t="s">
        <v>41</v>
      </c>
    </row>
    <row r="191" spans="4:5" x14ac:dyDescent="0.25">
      <c r="D191" t="s">
        <v>390</v>
      </c>
      <c r="E191" t="s">
        <v>433</v>
      </c>
    </row>
    <row r="192" spans="4:5" x14ac:dyDescent="0.25">
      <c r="D192" t="s">
        <v>397</v>
      </c>
      <c r="E192" t="s">
        <v>86</v>
      </c>
    </row>
    <row r="193" spans="2:5" x14ac:dyDescent="0.25">
      <c r="D193" t="s">
        <v>438</v>
      </c>
      <c r="E193" t="s">
        <v>439</v>
      </c>
    </row>
    <row r="194" spans="2:5" x14ac:dyDescent="0.25">
      <c r="D194" t="s">
        <v>443</v>
      </c>
    </row>
    <row r="196" spans="2:5" x14ac:dyDescent="0.25">
      <c r="D196" t="s">
        <v>388</v>
      </c>
      <c r="E196" t="s">
        <v>432</v>
      </c>
    </row>
    <row r="197" spans="2:5" x14ac:dyDescent="0.25">
      <c r="D197" t="s">
        <v>390</v>
      </c>
      <c r="E197" t="s">
        <v>433</v>
      </c>
    </row>
    <row r="198" spans="2:5" x14ac:dyDescent="0.25">
      <c r="D198" t="s">
        <v>434</v>
      </c>
      <c r="E198">
        <v>525</v>
      </c>
    </row>
    <row r="199" spans="2:5" x14ac:dyDescent="0.25">
      <c r="D199" t="s">
        <v>551</v>
      </c>
    </row>
    <row r="201" spans="2:5" x14ac:dyDescent="0.25">
      <c r="D201" t="s">
        <v>388</v>
      </c>
      <c r="E201" t="s">
        <v>432</v>
      </c>
    </row>
    <row r="202" spans="2:5" x14ac:dyDescent="0.25">
      <c r="D202" t="s">
        <v>390</v>
      </c>
      <c r="E202" t="s">
        <v>436</v>
      </c>
    </row>
    <row r="203" spans="2:5" x14ac:dyDescent="0.25">
      <c r="D203" t="s">
        <v>552</v>
      </c>
    </row>
    <row r="208" spans="2:5" x14ac:dyDescent="0.25">
      <c r="B208" t="s">
        <v>145</v>
      </c>
    </row>
    <row r="209" spans="2:9" x14ac:dyDescent="0.25">
      <c r="B209" t="s">
        <v>182</v>
      </c>
    </row>
    <row r="210" spans="2:9" x14ac:dyDescent="0.25">
      <c r="B210" t="s">
        <v>183</v>
      </c>
    </row>
    <row r="211" spans="2:9" x14ac:dyDescent="0.25">
      <c r="B211" t="s">
        <v>184</v>
      </c>
    </row>
    <row r="212" spans="2:9" x14ac:dyDescent="0.25">
      <c r="B212" t="s">
        <v>146</v>
      </c>
    </row>
    <row r="213" spans="2:9" x14ac:dyDescent="0.25">
      <c r="B213" t="s">
        <v>147</v>
      </c>
    </row>
    <row r="214" spans="2:9" x14ac:dyDescent="0.25">
      <c r="B214" t="s">
        <v>163</v>
      </c>
    </row>
    <row r="215" spans="2:9" x14ac:dyDescent="0.25">
      <c r="B215" t="s">
        <v>164</v>
      </c>
    </row>
    <row r="217" spans="2:9" x14ac:dyDescent="0.25">
      <c r="D217" t="s">
        <v>388</v>
      </c>
      <c r="E217" t="s">
        <v>389</v>
      </c>
    </row>
    <row r="218" spans="2:9" x14ac:dyDescent="0.25">
      <c r="D218" t="s">
        <v>390</v>
      </c>
      <c r="E218" t="s">
        <v>391</v>
      </c>
    </row>
    <row r="219" spans="2:9" x14ac:dyDescent="0.25">
      <c r="D219" t="s">
        <v>173</v>
      </c>
      <c r="E219">
        <v>600</v>
      </c>
      <c r="F219">
        <v>600</v>
      </c>
      <c r="G219">
        <v>600</v>
      </c>
      <c r="H219">
        <v>600</v>
      </c>
      <c r="I219">
        <v>600</v>
      </c>
    </row>
    <row r="220" spans="2:9" x14ac:dyDescent="0.25">
      <c r="D220" t="s">
        <v>392</v>
      </c>
      <c r="E220" t="s">
        <v>393</v>
      </c>
    </row>
    <row r="221" spans="2:9" x14ac:dyDescent="0.25">
      <c r="D221" t="s">
        <v>333</v>
      </c>
    </row>
    <row r="223" spans="2:9" x14ac:dyDescent="0.25">
      <c r="D223" t="s">
        <v>388</v>
      </c>
      <c r="E223" t="s">
        <v>389</v>
      </c>
    </row>
    <row r="224" spans="2:9" x14ac:dyDescent="0.25">
      <c r="D224" t="s">
        <v>390</v>
      </c>
      <c r="E224" t="s">
        <v>394</v>
      </c>
    </row>
    <row r="225" spans="4:9" x14ac:dyDescent="0.25">
      <c r="D225" t="s">
        <v>173</v>
      </c>
      <c r="E225">
        <v>600</v>
      </c>
      <c r="F225">
        <v>600</v>
      </c>
      <c r="G225">
        <v>600</v>
      </c>
      <c r="H225">
        <v>600</v>
      </c>
      <c r="I225">
        <v>600</v>
      </c>
    </row>
    <row r="226" spans="4:9" x14ac:dyDescent="0.25">
      <c r="D226" t="s">
        <v>334</v>
      </c>
    </row>
    <row r="228" spans="4:9" x14ac:dyDescent="0.25">
      <c r="D228" t="s">
        <v>388</v>
      </c>
      <c r="E228" t="s">
        <v>41</v>
      </c>
    </row>
    <row r="229" spans="4:9" x14ac:dyDescent="0.25">
      <c r="D229" t="s">
        <v>390</v>
      </c>
      <c r="E229" t="s">
        <v>396</v>
      </c>
    </row>
    <row r="230" spans="4:9" x14ac:dyDescent="0.25">
      <c r="D230" t="s">
        <v>397</v>
      </c>
      <c r="E230" t="s">
        <v>398</v>
      </c>
    </row>
    <row r="231" spans="4:9" x14ac:dyDescent="0.25">
      <c r="D231" t="s">
        <v>335</v>
      </c>
    </row>
    <row r="233" spans="4:9" x14ac:dyDescent="0.25">
      <c r="D233" t="s">
        <v>388</v>
      </c>
      <c r="E233" t="s">
        <v>389</v>
      </c>
    </row>
    <row r="234" spans="4:9" x14ac:dyDescent="0.25">
      <c r="D234" t="s">
        <v>390</v>
      </c>
      <c r="E234" t="s">
        <v>425</v>
      </c>
    </row>
    <row r="235" spans="4:9" x14ac:dyDescent="0.25">
      <c r="D235" t="s">
        <v>168</v>
      </c>
    </row>
    <row r="236" spans="4:9" x14ac:dyDescent="0.25">
      <c r="D236" t="s">
        <v>170</v>
      </c>
      <c r="E236">
        <v>1</v>
      </c>
      <c r="F236">
        <v>2</v>
      </c>
      <c r="G236">
        <v>3</v>
      </c>
      <c r="H236">
        <v>4</v>
      </c>
      <c r="I236">
        <v>5</v>
      </c>
    </row>
    <row r="237" spans="4:9" x14ac:dyDescent="0.25">
      <c r="D237" t="s">
        <v>171</v>
      </c>
      <c r="E237" t="s">
        <v>131</v>
      </c>
      <c r="F237" t="s">
        <v>131</v>
      </c>
      <c r="G237" t="s">
        <v>131</v>
      </c>
      <c r="H237" t="s">
        <v>131</v>
      </c>
      <c r="I237" t="s">
        <v>131</v>
      </c>
    </row>
    <row r="238" spans="4:9" x14ac:dyDescent="0.25">
      <c r="D238" t="s">
        <v>172</v>
      </c>
      <c r="E238">
        <v>1</v>
      </c>
      <c r="F238">
        <v>2</v>
      </c>
      <c r="G238">
        <v>3</v>
      </c>
      <c r="H238">
        <v>4</v>
      </c>
      <c r="I238">
        <v>5</v>
      </c>
    </row>
    <row r="239" spans="4:9" x14ac:dyDescent="0.25">
      <c r="D239" t="s">
        <v>173</v>
      </c>
      <c r="E239">
        <v>600</v>
      </c>
      <c r="F239">
        <v>600</v>
      </c>
      <c r="G239">
        <v>600</v>
      </c>
      <c r="H239">
        <v>600</v>
      </c>
      <c r="I239">
        <v>600</v>
      </c>
    </row>
    <row r="240" spans="4:9" x14ac:dyDescent="0.25">
      <c r="D240" t="s">
        <v>426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4:9" x14ac:dyDescent="0.25">
      <c r="D241" t="s">
        <v>176</v>
      </c>
      <c r="E241" t="s">
        <v>40</v>
      </c>
      <c r="F241" t="s">
        <v>40</v>
      </c>
      <c r="G241" t="s">
        <v>40</v>
      </c>
      <c r="H241" t="s">
        <v>40</v>
      </c>
      <c r="I241" t="s">
        <v>40</v>
      </c>
    </row>
    <row r="242" spans="4:9" x14ac:dyDescent="0.25">
      <c r="D242" t="s">
        <v>427</v>
      </c>
    </row>
    <row r="243" spans="4:9" x14ac:dyDescent="0.25">
      <c r="D243" t="s">
        <v>428</v>
      </c>
    </row>
    <row r="244" spans="4:9" x14ac:dyDescent="0.25">
      <c r="D244" t="s">
        <v>429</v>
      </c>
      <c r="E244" t="s">
        <v>430</v>
      </c>
    </row>
    <row r="245" spans="4:9" x14ac:dyDescent="0.25">
      <c r="D245" t="s">
        <v>336</v>
      </c>
    </row>
    <row r="247" spans="4:9" x14ac:dyDescent="0.25">
      <c r="D247" t="s">
        <v>388</v>
      </c>
      <c r="E247" t="s">
        <v>432</v>
      </c>
    </row>
    <row r="248" spans="4:9" x14ac:dyDescent="0.25">
      <c r="D248" t="s">
        <v>390</v>
      </c>
      <c r="E248" t="s">
        <v>433</v>
      </c>
    </row>
    <row r="249" spans="4:9" x14ac:dyDescent="0.25">
      <c r="D249" t="s">
        <v>434</v>
      </c>
      <c r="E249">
        <v>0</v>
      </c>
    </row>
    <row r="250" spans="4:9" x14ac:dyDescent="0.25">
      <c r="D250" t="s">
        <v>360</v>
      </c>
    </row>
    <row r="252" spans="4:9" x14ac:dyDescent="0.25">
      <c r="D252" t="s">
        <v>388</v>
      </c>
      <c r="E252" t="s">
        <v>432</v>
      </c>
    </row>
    <row r="253" spans="4:9" x14ac:dyDescent="0.25">
      <c r="D253" t="s">
        <v>390</v>
      </c>
      <c r="E253" t="s">
        <v>436</v>
      </c>
    </row>
    <row r="254" spans="4:9" x14ac:dyDescent="0.25">
      <c r="D254" t="s">
        <v>361</v>
      </c>
    </row>
    <row r="256" spans="4:9" x14ac:dyDescent="0.25">
      <c r="D256" t="s">
        <v>388</v>
      </c>
      <c r="E256" t="s">
        <v>41</v>
      </c>
    </row>
    <row r="257" spans="4:5" x14ac:dyDescent="0.25">
      <c r="D257" t="s">
        <v>390</v>
      </c>
      <c r="E257" t="s">
        <v>433</v>
      </c>
    </row>
    <row r="258" spans="4:5" x14ac:dyDescent="0.25">
      <c r="D258" t="s">
        <v>397</v>
      </c>
      <c r="E258" t="s">
        <v>86</v>
      </c>
    </row>
    <row r="259" spans="4:5" x14ac:dyDescent="0.25">
      <c r="D259" t="s">
        <v>438</v>
      </c>
      <c r="E259" t="s">
        <v>439</v>
      </c>
    </row>
    <row r="260" spans="4:5" x14ac:dyDescent="0.25">
      <c r="D260" t="s">
        <v>444</v>
      </c>
    </row>
    <row r="262" spans="4:5" x14ac:dyDescent="0.25">
      <c r="D262" t="s">
        <v>388</v>
      </c>
      <c r="E262" t="s">
        <v>432</v>
      </c>
    </row>
    <row r="263" spans="4:5" x14ac:dyDescent="0.25">
      <c r="D263" t="s">
        <v>390</v>
      </c>
      <c r="E263" t="s">
        <v>433</v>
      </c>
    </row>
    <row r="264" spans="4:5" x14ac:dyDescent="0.25">
      <c r="D264" t="s">
        <v>434</v>
      </c>
      <c r="E264">
        <v>525</v>
      </c>
    </row>
    <row r="265" spans="4:5" x14ac:dyDescent="0.25">
      <c r="D265" t="s">
        <v>553</v>
      </c>
    </row>
    <row r="267" spans="4:5" x14ac:dyDescent="0.25">
      <c r="D267" t="s">
        <v>388</v>
      </c>
      <c r="E267" t="s">
        <v>432</v>
      </c>
    </row>
    <row r="268" spans="4:5" x14ac:dyDescent="0.25">
      <c r="D268" t="s">
        <v>390</v>
      </c>
      <c r="E268" t="s">
        <v>436</v>
      </c>
    </row>
    <row r="269" spans="4:5" x14ac:dyDescent="0.25">
      <c r="D269" t="s">
        <v>554</v>
      </c>
    </row>
    <row r="274" spans="2:3" x14ac:dyDescent="0.25">
      <c r="B274" t="s">
        <v>140</v>
      </c>
    </row>
    <row r="275" spans="2:3" x14ac:dyDescent="0.25">
      <c r="B275" t="s">
        <v>186</v>
      </c>
    </row>
    <row r="276" spans="2:3" x14ac:dyDescent="0.25">
      <c r="B276" t="s">
        <v>187</v>
      </c>
    </row>
    <row r="277" spans="2:3" x14ac:dyDescent="0.25">
      <c r="B277" t="s">
        <v>143</v>
      </c>
    </row>
    <row r="279" spans="2:3" x14ac:dyDescent="0.25">
      <c r="C279" t="s">
        <v>144</v>
      </c>
    </row>
    <row r="284" spans="2:3" x14ac:dyDescent="0.25">
      <c r="B284" t="s">
        <v>145</v>
      </c>
    </row>
    <row r="285" spans="2:3" x14ac:dyDescent="0.25">
      <c r="B285" t="s">
        <v>188</v>
      </c>
    </row>
    <row r="286" spans="2:3" x14ac:dyDescent="0.25">
      <c r="B286" t="s">
        <v>189</v>
      </c>
    </row>
    <row r="287" spans="2:3" x14ac:dyDescent="0.25">
      <c r="B287" t="s">
        <v>190</v>
      </c>
    </row>
    <row r="288" spans="2:3" x14ac:dyDescent="0.25">
      <c r="B288" t="s">
        <v>146</v>
      </c>
    </row>
    <row r="289" spans="2:9" x14ac:dyDescent="0.25">
      <c r="B289" t="s">
        <v>366</v>
      </c>
    </row>
    <row r="290" spans="2:9" x14ac:dyDescent="0.25">
      <c r="B290" t="s">
        <v>163</v>
      </c>
    </row>
    <row r="291" spans="2:9" x14ac:dyDescent="0.25">
      <c r="B291" t="s">
        <v>445</v>
      </c>
    </row>
    <row r="293" spans="2:9" x14ac:dyDescent="0.25">
      <c r="D293" t="s">
        <v>388</v>
      </c>
      <c r="E293" t="s">
        <v>389</v>
      </c>
    </row>
    <row r="294" spans="2:9" x14ac:dyDescent="0.25">
      <c r="D294" t="s">
        <v>390</v>
      </c>
      <c r="E294" t="s">
        <v>391</v>
      </c>
    </row>
    <row r="295" spans="2:9" x14ac:dyDescent="0.25">
      <c r="D295" t="s">
        <v>173</v>
      </c>
      <c r="E295">
        <v>588</v>
      </c>
      <c r="F295">
        <v>588</v>
      </c>
      <c r="G295">
        <v>588</v>
      </c>
      <c r="H295">
        <v>588</v>
      </c>
      <c r="I295">
        <v>588</v>
      </c>
    </row>
    <row r="296" spans="2:9" x14ac:dyDescent="0.25">
      <c r="D296" t="s">
        <v>392</v>
      </c>
      <c r="E296" t="s">
        <v>393</v>
      </c>
    </row>
    <row r="297" spans="2:9" x14ac:dyDescent="0.25">
      <c r="D297" t="s">
        <v>337</v>
      </c>
    </row>
    <row r="299" spans="2:9" x14ac:dyDescent="0.25">
      <c r="D299" t="s">
        <v>388</v>
      </c>
      <c r="E299" t="s">
        <v>389</v>
      </c>
    </row>
    <row r="300" spans="2:9" x14ac:dyDescent="0.25">
      <c r="D300" t="s">
        <v>390</v>
      </c>
      <c r="E300" t="s">
        <v>394</v>
      </c>
    </row>
    <row r="301" spans="2:9" x14ac:dyDescent="0.25">
      <c r="D301" t="s">
        <v>173</v>
      </c>
      <c r="E301">
        <v>588</v>
      </c>
      <c r="F301">
        <v>588</v>
      </c>
      <c r="G301">
        <v>588</v>
      </c>
      <c r="H301">
        <v>588</v>
      </c>
      <c r="I301">
        <v>588</v>
      </c>
    </row>
    <row r="302" spans="2:9" x14ac:dyDescent="0.25">
      <c r="D302" t="s">
        <v>338</v>
      </c>
    </row>
    <row r="304" spans="2:9" x14ac:dyDescent="0.25">
      <c r="D304" t="s">
        <v>388</v>
      </c>
      <c r="E304" t="s">
        <v>41</v>
      </c>
    </row>
    <row r="305" spans="4:5" x14ac:dyDescent="0.25">
      <c r="D305" t="s">
        <v>390</v>
      </c>
      <c r="E305" t="s">
        <v>396</v>
      </c>
    </row>
    <row r="306" spans="4:5" x14ac:dyDescent="0.25">
      <c r="D306" t="s">
        <v>397</v>
      </c>
      <c r="E306" t="s">
        <v>398</v>
      </c>
    </row>
    <row r="307" spans="4:5" x14ac:dyDescent="0.25">
      <c r="D307" t="s">
        <v>339</v>
      </c>
    </row>
    <row r="309" spans="4:5" x14ac:dyDescent="0.25">
      <c r="D309" t="s">
        <v>388</v>
      </c>
      <c r="E309" t="s">
        <v>399</v>
      </c>
    </row>
    <row r="310" spans="4:5" x14ac:dyDescent="0.25">
      <c r="D310" t="s">
        <v>390</v>
      </c>
      <c r="E310" t="s">
        <v>400</v>
      </c>
    </row>
    <row r="311" spans="4:5" x14ac:dyDescent="0.25">
      <c r="D311" t="s">
        <v>401</v>
      </c>
      <c r="E311" t="s">
        <v>446</v>
      </c>
    </row>
    <row r="312" spans="4:5" x14ac:dyDescent="0.25">
      <c r="D312" t="s">
        <v>340</v>
      </c>
    </row>
    <row r="314" spans="4:5" x14ac:dyDescent="0.25">
      <c r="D314" t="s">
        <v>388</v>
      </c>
      <c r="E314" t="s">
        <v>399</v>
      </c>
    </row>
    <row r="315" spans="4:5" x14ac:dyDescent="0.25">
      <c r="D315" t="s">
        <v>390</v>
      </c>
      <c r="E315" t="s">
        <v>403</v>
      </c>
    </row>
    <row r="316" spans="4:5" x14ac:dyDescent="0.25">
      <c r="D316" t="s">
        <v>401</v>
      </c>
      <c r="E316" t="s">
        <v>446</v>
      </c>
    </row>
    <row r="317" spans="4:5" x14ac:dyDescent="0.25">
      <c r="D317" t="s">
        <v>362</v>
      </c>
    </row>
    <row r="319" spans="4:5" x14ac:dyDescent="0.25">
      <c r="D319" t="s">
        <v>388</v>
      </c>
      <c r="E319" t="s">
        <v>41</v>
      </c>
    </row>
    <row r="320" spans="4:5" x14ac:dyDescent="0.25">
      <c r="D320" t="s">
        <v>390</v>
      </c>
      <c r="E320" t="s">
        <v>404</v>
      </c>
    </row>
    <row r="321" spans="4:5" x14ac:dyDescent="0.25">
      <c r="D321" t="s">
        <v>397</v>
      </c>
      <c r="E321" t="s">
        <v>398</v>
      </c>
    </row>
    <row r="322" spans="4:5" x14ac:dyDescent="0.25">
      <c r="D322" t="s">
        <v>363</v>
      </c>
    </row>
    <row r="324" spans="4:5" x14ac:dyDescent="0.25">
      <c r="D324" t="s">
        <v>388</v>
      </c>
      <c r="E324" t="s">
        <v>41</v>
      </c>
    </row>
    <row r="325" spans="4:5" x14ac:dyDescent="0.25">
      <c r="D325" t="s">
        <v>390</v>
      </c>
      <c r="E325" t="s">
        <v>405</v>
      </c>
    </row>
    <row r="326" spans="4:5" x14ac:dyDescent="0.25">
      <c r="D326" t="s">
        <v>397</v>
      </c>
      <c r="E326" t="s">
        <v>398</v>
      </c>
    </row>
    <row r="327" spans="4:5" x14ac:dyDescent="0.25">
      <c r="D327" t="s">
        <v>364</v>
      </c>
    </row>
    <row r="329" spans="4:5" x14ac:dyDescent="0.25">
      <c r="D329" t="s">
        <v>388</v>
      </c>
      <c r="E329" t="s">
        <v>41</v>
      </c>
    </row>
    <row r="330" spans="4:5" x14ac:dyDescent="0.25">
      <c r="D330" t="s">
        <v>390</v>
      </c>
      <c r="E330" t="s">
        <v>406</v>
      </c>
    </row>
    <row r="331" spans="4:5" x14ac:dyDescent="0.25">
      <c r="D331" t="s">
        <v>397</v>
      </c>
      <c r="E331" t="s">
        <v>398</v>
      </c>
    </row>
    <row r="332" spans="4:5" x14ac:dyDescent="0.25">
      <c r="D332" t="s">
        <v>365</v>
      </c>
    </row>
    <row r="334" spans="4:5" x14ac:dyDescent="0.25">
      <c r="D334" t="s">
        <v>388</v>
      </c>
      <c r="E334" t="s">
        <v>41</v>
      </c>
    </row>
    <row r="335" spans="4:5" x14ac:dyDescent="0.25">
      <c r="D335" t="s">
        <v>390</v>
      </c>
      <c r="E335" t="s">
        <v>407</v>
      </c>
    </row>
    <row r="336" spans="4:5" x14ac:dyDescent="0.25">
      <c r="D336" t="s">
        <v>397</v>
      </c>
      <c r="E336" t="s">
        <v>398</v>
      </c>
    </row>
    <row r="337" spans="4:5" x14ac:dyDescent="0.25">
      <c r="D337" t="s">
        <v>447</v>
      </c>
    </row>
    <row r="339" spans="4:5" x14ac:dyDescent="0.25">
      <c r="D339" t="s">
        <v>388</v>
      </c>
      <c r="E339" t="s">
        <v>41</v>
      </c>
    </row>
    <row r="340" spans="4:5" x14ac:dyDescent="0.25">
      <c r="D340" t="s">
        <v>390</v>
      </c>
      <c r="E340" t="s">
        <v>409</v>
      </c>
    </row>
    <row r="341" spans="4:5" x14ac:dyDescent="0.25">
      <c r="D341" t="s">
        <v>397</v>
      </c>
      <c r="E341" t="s">
        <v>398</v>
      </c>
    </row>
    <row r="342" spans="4:5" x14ac:dyDescent="0.25">
      <c r="D342" t="s">
        <v>448</v>
      </c>
    </row>
    <row r="344" spans="4:5" x14ac:dyDescent="0.25">
      <c r="D344" t="s">
        <v>388</v>
      </c>
      <c r="E344" t="s">
        <v>41</v>
      </c>
    </row>
    <row r="345" spans="4:5" x14ac:dyDescent="0.25">
      <c r="D345" t="s">
        <v>390</v>
      </c>
      <c r="E345" t="s">
        <v>411</v>
      </c>
    </row>
    <row r="346" spans="4:5" x14ac:dyDescent="0.25">
      <c r="D346" t="s">
        <v>397</v>
      </c>
      <c r="E346" t="s">
        <v>398</v>
      </c>
    </row>
    <row r="347" spans="4:5" x14ac:dyDescent="0.25">
      <c r="D347" t="s">
        <v>449</v>
      </c>
    </row>
    <row r="349" spans="4:5" x14ac:dyDescent="0.25">
      <c r="D349" t="s">
        <v>388</v>
      </c>
      <c r="E349" t="s">
        <v>413</v>
      </c>
    </row>
    <row r="350" spans="4:5" x14ac:dyDescent="0.25">
      <c r="D350" t="s">
        <v>390</v>
      </c>
      <c r="E350" t="s">
        <v>414</v>
      </c>
    </row>
    <row r="351" spans="4:5" x14ac:dyDescent="0.25">
      <c r="D351" t="s">
        <v>415</v>
      </c>
    </row>
    <row r="352" spans="4:5" x14ac:dyDescent="0.25">
      <c r="D352" t="s">
        <v>416</v>
      </c>
    </row>
    <row r="353" spans="4:5" x14ac:dyDescent="0.25">
      <c r="D353" t="s">
        <v>417</v>
      </c>
    </row>
    <row r="354" spans="4:5" x14ac:dyDescent="0.25">
      <c r="D354" t="s">
        <v>418</v>
      </c>
    </row>
    <row r="355" spans="4:5" x14ac:dyDescent="0.25">
      <c r="D355" t="s">
        <v>419</v>
      </c>
      <c r="E355" t="b">
        <v>0</v>
      </c>
    </row>
    <row r="356" spans="4:5" x14ac:dyDescent="0.25">
      <c r="D356" t="s">
        <v>420</v>
      </c>
      <c r="E356" t="s">
        <v>421</v>
      </c>
    </row>
    <row r="357" spans="4:5" x14ac:dyDescent="0.25">
      <c r="D357" t="s">
        <v>450</v>
      </c>
    </row>
    <row r="359" spans="4:5" x14ac:dyDescent="0.25">
      <c r="D359" t="s">
        <v>388</v>
      </c>
      <c r="E359" t="s">
        <v>413</v>
      </c>
    </row>
    <row r="360" spans="4:5" x14ac:dyDescent="0.25">
      <c r="D360" t="s">
        <v>390</v>
      </c>
      <c r="E360" t="s">
        <v>414</v>
      </c>
    </row>
    <row r="361" spans="4:5" x14ac:dyDescent="0.25">
      <c r="D361" t="s">
        <v>415</v>
      </c>
    </row>
    <row r="362" spans="4:5" x14ac:dyDescent="0.25">
      <c r="D362" t="s">
        <v>416</v>
      </c>
    </row>
    <row r="363" spans="4:5" x14ac:dyDescent="0.25">
      <c r="D363" t="s">
        <v>417</v>
      </c>
    </row>
    <row r="364" spans="4:5" x14ac:dyDescent="0.25">
      <c r="D364" t="s">
        <v>418</v>
      </c>
    </row>
    <row r="365" spans="4:5" x14ac:dyDescent="0.25">
      <c r="D365" t="s">
        <v>419</v>
      </c>
      <c r="E365" t="b">
        <v>1</v>
      </c>
    </row>
    <row r="366" spans="4:5" x14ac:dyDescent="0.25">
      <c r="D366" t="s">
        <v>420</v>
      </c>
      <c r="E366" t="s">
        <v>423</v>
      </c>
    </row>
    <row r="367" spans="4:5" x14ac:dyDescent="0.25">
      <c r="D367" t="s">
        <v>451</v>
      </c>
    </row>
    <row r="369" spans="4:9" x14ac:dyDescent="0.25">
      <c r="D369" t="s">
        <v>388</v>
      </c>
      <c r="E369" t="s">
        <v>389</v>
      </c>
    </row>
    <row r="370" spans="4:9" x14ac:dyDescent="0.25">
      <c r="D370" t="s">
        <v>390</v>
      </c>
      <c r="E370" t="s">
        <v>425</v>
      </c>
    </row>
    <row r="371" spans="4:9" x14ac:dyDescent="0.25">
      <c r="D371" t="s">
        <v>168</v>
      </c>
    </row>
    <row r="372" spans="4:9" x14ac:dyDescent="0.25">
      <c r="D372" t="s">
        <v>170</v>
      </c>
      <c r="E372">
        <v>1</v>
      </c>
      <c r="F372">
        <v>2</v>
      </c>
      <c r="G372">
        <v>3</v>
      </c>
      <c r="H372">
        <v>4</v>
      </c>
      <c r="I372">
        <v>5</v>
      </c>
    </row>
    <row r="373" spans="4:9" x14ac:dyDescent="0.25">
      <c r="D373" t="s">
        <v>171</v>
      </c>
      <c r="E373" t="s">
        <v>126</v>
      </c>
      <c r="F373" t="s">
        <v>126</v>
      </c>
      <c r="G373" t="s">
        <v>126</v>
      </c>
      <c r="H373" t="s">
        <v>126</v>
      </c>
      <c r="I373" t="s">
        <v>126</v>
      </c>
    </row>
    <row r="374" spans="4:9" x14ac:dyDescent="0.25">
      <c r="D374" t="s">
        <v>172</v>
      </c>
      <c r="E374">
        <v>1</v>
      </c>
      <c r="F374">
        <v>2</v>
      </c>
      <c r="G374">
        <v>3</v>
      </c>
      <c r="H374">
        <v>4</v>
      </c>
      <c r="I374">
        <v>5</v>
      </c>
    </row>
    <row r="375" spans="4:9" x14ac:dyDescent="0.25">
      <c r="D375" t="s">
        <v>173</v>
      </c>
      <c r="E375">
        <v>588</v>
      </c>
      <c r="F375">
        <v>588</v>
      </c>
      <c r="G375">
        <v>588</v>
      </c>
      <c r="H375">
        <v>588</v>
      </c>
      <c r="I375">
        <v>588</v>
      </c>
    </row>
    <row r="376" spans="4:9" x14ac:dyDescent="0.25">
      <c r="D376" t="s">
        <v>426</v>
      </c>
      <c r="E376">
        <v>0</v>
      </c>
      <c r="F376">
        <v>0</v>
      </c>
      <c r="G376">
        <v>0</v>
      </c>
      <c r="H376">
        <v>0</v>
      </c>
      <c r="I376">
        <v>0</v>
      </c>
    </row>
    <row r="377" spans="4:9" x14ac:dyDescent="0.25">
      <c r="D377" t="s">
        <v>176</v>
      </c>
      <c r="E377" t="s">
        <v>40</v>
      </c>
      <c r="F377" t="s">
        <v>40</v>
      </c>
      <c r="G377" t="s">
        <v>40</v>
      </c>
      <c r="H377" t="s">
        <v>40</v>
      </c>
      <c r="I377" t="s">
        <v>40</v>
      </c>
    </row>
    <row r="378" spans="4:9" x14ac:dyDescent="0.25">
      <c r="D378" t="s">
        <v>427</v>
      </c>
    </row>
    <row r="379" spans="4:9" x14ac:dyDescent="0.25">
      <c r="D379" t="s">
        <v>428</v>
      </c>
    </row>
    <row r="380" spans="4:9" x14ac:dyDescent="0.25">
      <c r="D380" t="s">
        <v>429</v>
      </c>
      <c r="E380" t="s">
        <v>430</v>
      </c>
    </row>
    <row r="381" spans="4:9" x14ac:dyDescent="0.25">
      <c r="D381" t="s">
        <v>452</v>
      </c>
    </row>
    <row r="383" spans="4:9" x14ac:dyDescent="0.25">
      <c r="D383" t="s">
        <v>388</v>
      </c>
      <c r="E383" t="s">
        <v>432</v>
      </c>
    </row>
    <row r="384" spans="4:9" x14ac:dyDescent="0.25">
      <c r="D384" t="s">
        <v>390</v>
      </c>
      <c r="E384" t="s">
        <v>433</v>
      </c>
    </row>
    <row r="385" spans="4:5" x14ac:dyDescent="0.25">
      <c r="D385" t="s">
        <v>434</v>
      </c>
      <c r="E385">
        <v>300</v>
      </c>
    </row>
    <row r="386" spans="4:5" x14ac:dyDescent="0.25">
      <c r="D386" t="s">
        <v>453</v>
      </c>
    </row>
    <row r="388" spans="4:5" x14ac:dyDescent="0.25">
      <c r="D388" t="s">
        <v>388</v>
      </c>
      <c r="E388" t="s">
        <v>432</v>
      </c>
    </row>
    <row r="389" spans="4:5" x14ac:dyDescent="0.25">
      <c r="D389" t="s">
        <v>390</v>
      </c>
      <c r="E389" t="s">
        <v>436</v>
      </c>
    </row>
    <row r="390" spans="4:5" x14ac:dyDescent="0.25">
      <c r="D390" t="s">
        <v>454</v>
      </c>
    </row>
    <row r="392" spans="4:5" x14ac:dyDescent="0.25">
      <c r="D392" t="s">
        <v>388</v>
      </c>
      <c r="E392" t="s">
        <v>41</v>
      </c>
    </row>
    <row r="393" spans="4:5" x14ac:dyDescent="0.25">
      <c r="D393" t="s">
        <v>390</v>
      </c>
      <c r="E393" t="s">
        <v>433</v>
      </c>
    </row>
    <row r="394" spans="4:5" x14ac:dyDescent="0.25">
      <c r="D394" t="s">
        <v>397</v>
      </c>
      <c r="E394" t="s">
        <v>86</v>
      </c>
    </row>
    <row r="395" spans="4:5" x14ac:dyDescent="0.25">
      <c r="D395" t="s">
        <v>438</v>
      </c>
      <c r="E395" t="s">
        <v>439</v>
      </c>
    </row>
    <row r="396" spans="4:5" x14ac:dyDescent="0.25">
      <c r="D396" t="s">
        <v>455</v>
      </c>
    </row>
    <row r="398" spans="4:5" x14ac:dyDescent="0.25">
      <c r="D398" t="s">
        <v>388</v>
      </c>
      <c r="E398" t="s">
        <v>432</v>
      </c>
    </row>
    <row r="399" spans="4:5" x14ac:dyDescent="0.25">
      <c r="D399" t="s">
        <v>390</v>
      </c>
      <c r="E399" t="s">
        <v>433</v>
      </c>
    </row>
    <row r="400" spans="4:5" x14ac:dyDescent="0.25">
      <c r="D400" t="s">
        <v>434</v>
      </c>
      <c r="E400">
        <v>514.5</v>
      </c>
    </row>
    <row r="401" spans="2:5" x14ac:dyDescent="0.25">
      <c r="D401" t="s">
        <v>555</v>
      </c>
    </row>
    <row r="403" spans="2:5" x14ac:dyDescent="0.25">
      <c r="D403" t="s">
        <v>388</v>
      </c>
      <c r="E403" t="s">
        <v>432</v>
      </c>
    </row>
    <row r="404" spans="2:5" x14ac:dyDescent="0.25">
      <c r="D404" t="s">
        <v>390</v>
      </c>
      <c r="E404" t="s">
        <v>436</v>
      </c>
    </row>
    <row r="405" spans="2:5" x14ac:dyDescent="0.25">
      <c r="D405" t="s">
        <v>556</v>
      </c>
    </row>
    <row r="410" spans="2:5" x14ac:dyDescent="0.25">
      <c r="B410" t="s">
        <v>140</v>
      </c>
    </row>
    <row r="411" spans="2:5" x14ac:dyDescent="0.25">
      <c r="B411" t="s">
        <v>191</v>
      </c>
    </row>
    <row r="412" spans="2:5" x14ac:dyDescent="0.25">
      <c r="B412" t="s">
        <v>192</v>
      </c>
    </row>
    <row r="413" spans="2:5" x14ac:dyDescent="0.25">
      <c r="B413" t="s">
        <v>143</v>
      </c>
    </row>
    <row r="415" spans="2:5" x14ac:dyDescent="0.25">
      <c r="C415" t="s">
        <v>144</v>
      </c>
    </row>
    <row r="420" spans="2:9" x14ac:dyDescent="0.25">
      <c r="B420" t="s">
        <v>145</v>
      </c>
    </row>
    <row r="421" spans="2:9" x14ac:dyDescent="0.25">
      <c r="B421" t="s">
        <v>193</v>
      </c>
    </row>
    <row r="422" spans="2:9" x14ac:dyDescent="0.25">
      <c r="B422" t="s">
        <v>194</v>
      </c>
    </row>
    <row r="423" spans="2:9" x14ac:dyDescent="0.25">
      <c r="B423" t="s">
        <v>195</v>
      </c>
    </row>
    <row r="424" spans="2:9" x14ac:dyDescent="0.25">
      <c r="B424" t="s">
        <v>146</v>
      </c>
    </row>
    <row r="425" spans="2:9" x14ac:dyDescent="0.25">
      <c r="B425" t="s">
        <v>366</v>
      </c>
    </row>
    <row r="426" spans="2:9" x14ac:dyDescent="0.25">
      <c r="B426" t="s">
        <v>163</v>
      </c>
    </row>
    <row r="427" spans="2:9" x14ac:dyDescent="0.25">
      <c r="B427" t="s">
        <v>320</v>
      </c>
    </row>
    <row r="429" spans="2:9" x14ac:dyDescent="0.25">
      <c r="D429" t="s">
        <v>388</v>
      </c>
      <c r="E429" t="s">
        <v>389</v>
      </c>
    </row>
    <row r="430" spans="2:9" x14ac:dyDescent="0.25">
      <c r="D430" t="s">
        <v>390</v>
      </c>
      <c r="E430" t="s">
        <v>391</v>
      </c>
    </row>
    <row r="431" spans="2:9" x14ac:dyDescent="0.25">
      <c r="D431" t="s">
        <v>173</v>
      </c>
      <c r="E431">
        <v>789</v>
      </c>
      <c r="F431">
        <v>588</v>
      </c>
      <c r="G431">
        <v>1034</v>
      </c>
      <c r="H431">
        <v>641</v>
      </c>
      <c r="I431">
        <v>1154</v>
      </c>
    </row>
    <row r="432" spans="2:9" x14ac:dyDescent="0.25">
      <c r="D432" t="s">
        <v>392</v>
      </c>
      <c r="E432" t="s">
        <v>393</v>
      </c>
    </row>
    <row r="433" spans="4:9" x14ac:dyDescent="0.25">
      <c r="D433" t="s">
        <v>341</v>
      </c>
    </row>
    <row r="435" spans="4:9" x14ac:dyDescent="0.25">
      <c r="D435" t="s">
        <v>388</v>
      </c>
      <c r="E435" t="s">
        <v>389</v>
      </c>
    </row>
    <row r="436" spans="4:9" x14ac:dyDescent="0.25">
      <c r="D436" t="s">
        <v>390</v>
      </c>
      <c r="E436" t="s">
        <v>394</v>
      </c>
    </row>
    <row r="437" spans="4:9" x14ac:dyDescent="0.25">
      <c r="D437" t="s">
        <v>173</v>
      </c>
      <c r="E437">
        <v>789</v>
      </c>
      <c r="F437">
        <v>588</v>
      </c>
      <c r="G437">
        <v>1034</v>
      </c>
      <c r="H437">
        <v>641</v>
      </c>
      <c r="I437">
        <v>1154</v>
      </c>
    </row>
    <row r="438" spans="4:9" x14ac:dyDescent="0.25">
      <c r="D438" t="s">
        <v>342</v>
      </c>
    </row>
    <row r="440" spans="4:9" x14ac:dyDescent="0.25">
      <c r="D440" t="s">
        <v>388</v>
      </c>
      <c r="E440" t="s">
        <v>41</v>
      </c>
    </row>
    <row r="441" spans="4:9" x14ac:dyDescent="0.25">
      <c r="D441" t="s">
        <v>390</v>
      </c>
      <c r="E441" t="s">
        <v>396</v>
      </c>
    </row>
    <row r="442" spans="4:9" x14ac:dyDescent="0.25">
      <c r="D442" t="s">
        <v>397</v>
      </c>
      <c r="E442" t="s">
        <v>398</v>
      </c>
    </row>
    <row r="443" spans="4:9" x14ac:dyDescent="0.25">
      <c r="D443" t="s">
        <v>343</v>
      </c>
    </row>
    <row r="445" spans="4:9" x14ac:dyDescent="0.25">
      <c r="D445" t="s">
        <v>388</v>
      </c>
      <c r="E445" t="s">
        <v>399</v>
      </c>
    </row>
    <row r="446" spans="4:9" x14ac:dyDescent="0.25">
      <c r="D446" t="s">
        <v>390</v>
      </c>
      <c r="E446" t="s">
        <v>400</v>
      </c>
    </row>
    <row r="447" spans="4:9" x14ac:dyDescent="0.25">
      <c r="D447" t="s">
        <v>401</v>
      </c>
      <c r="E447" t="s">
        <v>456</v>
      </c>
    </row>
    <row r="448" spans="4:9" x14ac:dyDescent="0.25">
      <c r="D448" t="s">
        <v>344</v>
      </c>
    </row>
    <row r="450" spans="4:5" x14ac:dyDescent="0.25">
      <c r="D450" t="s">
        <v>388</v>
      </c>
      <c r="E450" t="s">
        <v>399</v>
      </c>
    </row>
    <row r="451" spans="4:5" x14ac:dyDescent="0.25">
      <c r="D451" t="s">
        <v>390</v>
      </c>
      <c r="E451" t="s">
        <v>403</v>
      </c>
    </row>
    <row r="452" spans="4:5" x14ac:dyDescent="0.25">
      <c r="D452" t="s">
        <v>401</v>
      </c>
      <c r="E452" t="s">
        <v>456</v>
      </c>
    </row>
    <row r="453" spans="4:5" x14ac:dyDescent="0.25">
      <c r="D453" t="s">
        <v>370</v>
      </c>
    </row>
    <row r="455" spans="4:5" x14ac:dyDescent="0.25">
      <c r="D455" t="s">
        <v>388</v>
      </c>
      <c r="E455" t="s">
        <v>41</v>
      </c>
    </row>
    <row r="456" spans="4:5" x14ac:dyDescent="0.25">
      <c r="D456" t="s">
        <v>390</v>
      </c>
      <c r="E456" t="s">
        <v>404</v>
      </c>
    </row>
    <row r="457" spans="4:5" x14ac:dyDescent="0.25">
      <c r="D457" t="s">
        <v>397</v>
      </c>
      <c r="E457" t="s">
        <v>398</v>
      </c>
    </row>
    <row r="458" spans="4:5" x14ac:dyDescent="0.25">
      <c r="D458" t="s">
        <v>371</v>
      </c>
    </row>
    <row r="460" spans="4:5" x14ac:dyDescent="0.25">
      <c r="D460" t="s">
        <v>388</v>
      </c>
      <c r="E460" t="s">
        <v>41</v>
      </c>
    </row>
    <row r="461" spans="4:5" x14ac:dyDescent="0.25">
      <c r="D461" t="s">
        <v>390</v>
      </c>
      <c r="E461" t="s">
        <v>405</v>
      </c>
    </row>
    <row r="462" spans="4:5" x14ac:dyDescent="0.25">
      <c r="D462" t="s">
        <v>397</v>
      </c>
      <c r="E462" t="s">
        <v>398</v>
      </c>
    </row>
    <row r="463" spans="4:5" x14ac:dyDescent="0.25">
      <c r="D463" t="s">
        <v>372</v>
      </c>
    </row>
    <row r="465" spans="4:5" x14ac:dyDescent="0.25">
      <c r="D465" t="s">
        <v>388</v>
      </c>
      <c r="E465" t="s">
        <v>41</v>
      </c>
    </row>
    <row r="466" spans="4:5" x14ac:dyDescent="0.25">
      <c r="D466" t="s">
        <v>390</v>
      </c>
      <c r="E466" t="s">
        <v>406</v>
      </c>
    </row>
    <row r="467" spans="4:5" x14ac:dyDescent="0.25">
      <c r="D467" t="s">
        <v>397</v>
      </c>
      <c r="E467" t="s">
        <v>398</v>
      </c>
    </row>
    <row r="468" spans="4:5" x14ac:dyDescent="0.25">
      <c r="D468" t="s">
        <v>373</v>
      </c>
    </row>
    <row r="470" spans="4:5" x14ac:dyDescent="0.25">
      <c r="D470" t="s">
        <v>388</v>
      </c>
      <c r="E470" t="s">
        <v>41</v>
      </c>
    </row>
    <row r="471" spans="4:5" x14ac:dyDescent="0.25">
      <c r="D471" t="s">
        <v>390</v>
      </c>
      <c r="E471" t="s">
        <v>407</v>
      </c>
    </row>
    <row r="472" spans="4:5" x14ac:dyDescent="0.25">
      <c r="D472" t="s">
        <v>397</v>
      </c>
      <c r="E472" t="s">
        <v>398</v>
      </c>
    </row>
    <row r="473" spans="4:5" x14ac:dyDescent="0.25">
      <c r="D473" t="s">
        <v>457</v>
      </c>
    </row>
    <row r="475" spans="4:5" x14ac:dyDescent="0.25">
      <c r="D475" t="s">
        <v>388</v>
      </c>
      <c r="E475" t="s">
        <v>41</v>
      </c>
    </row>
    <row r="476" spans="4:5" x14ac:dyDescent="0.25">
      <c r="D476" t="s">
        <v>390</v>
      </c>
      <c r="E476" t="s">
        <v>409</v>
      </c>
    </row>
    <row r="477" spans="4:5" x14ac:dyDescent="0.25">
      <c r="D477" t="s">
        <v>397</v>
      </c>
      <c r="E477" t="s">
        <v>398</v>
      </c>
    </row>
    <row r="478" spans="4:5" x14ac:dyDescent="0.25">
      <c r="D478" t="s">
        <v>458</v>
      </c>
    </row>
    <row r="480" spans="4:5" x14ac:dyDescent="0.25">
      <c r="D480" t="s">
        <v>388</v>
      </c>
      <c r="E480" t="s">
        <v>41</v>
      </c>
    </row>
    <row r="481" spans="4:5" x14ac:dyDescent="0.25">
      <c r="D481" t="s">
        <v>390</v>
      </c>
      <c r="E481" t="s">
        <v>411</v>
      </c>
    </row>
    <row r="482" spans="4:5" x14ac:dyDescent="0.25">
      <c r="D482" t="s">
        <v>397</v>
      </c>
      <c r="E482" t="s">
        <v>398</v>
      </c>
    </row>
    <row r="483" spans="4:5" x14ac:dyDescent="0.25">
      <c r="D483" t="s">
        <v>459</v>
      </c>
    </row>
    <row r="485" spans="4:5" x14ac:dyDescent="0.25">
      <c r="D485" t="s">
        <v>388</v>
      </c>
      <c r="E485" t="s">
        <v>413</v>
      </c>
    </row>
    <row r="486" spans="4:5" x14ac:dyDescent="0.25">
      <c r="D486" t="s">
        <v>390</v>
      </c>
      <c r="E486" t="s">
        <v>414</v>
      </c>
    </row>
    <row r="487" spans="4:5" x14ac:dyDescent="0.25">
      <c r="D487" t="s">
        <v>415</v>
      </c>
    </row>
    <row r="488" spans="4:5" x14ac:dyDescent="0.25">
      <c r="D488" t="s">
        <v>416</v>
      </c>
    </row>
    <row r="489" spans="4:5" x14ac:dyDescent="0.25">
      <c r="D489" t="s">
        <v>417</v>
      </c>
    </row>
    <row r="490" spans="4:5" x14ac:dyDescent="0.25">
      <c r="D490" t="s">
        <v>418</v>
      </c>
    </row>
    <row r="491" spans="4:5" x14ac:dyDescent="0.25">
      <c r="D491" t="s">
        <v>419</v>
      </c>
      <c r="E491" t="b">
        <v>0</v>
      </c>
    </row>
    <row r="492" spans="4:5" x14ac:dyDescent="0.25">
      <c r="D492" t="s">
        <v>420</v>
      </c>
      <c r="E492" t="s">
        <v>421</v>
      </c>
    </row>
    <row r="493" spans="4:5" x14ac:dyDescent="0.25">
      <c r="D493" t="s">
        <v>460</v>
      </c>
    </row>
    <row r="495" spans="4:5" x14ac:dyDescent="0.25">
      <c r="D495" t="s">
        <v>388</v>
      </c>
      <c r="E495" t="s">
        <v>413</v>
      </c>
    </row>
    <row r="496" spans="4:5" x14ac:dyDescent="0.25">
      <c r="D496" t="s">
        <v>390</v>
      </c>
      <c r="E496" t="s">
        <v>414</v>
      </c>
    </row>
    <row r="497" spans="4:9" x14ac:dyDescent="0.25">
      <c r="D497" t="s">
        <v>415</v>
      </c>
    </row>
    <row r="498" spans="4:9" x14ac:dyDescent="0.25">
      <c r="D498" t="s">
        <v>416</v>
      </c>
    </row>
    <row r="499" spans="4:9" x14ac:dyDescent="0.25">
      <c r="D499" t="s">
        <v>417</v>
      </c>
    </row>
    <row r="500" spans="4:9" x14ac:dyDescent="0.25">
      <c r="D500" t="s">
        <v>418</v>
      </c>
    </row>
    <row r="501" spans="4:9" x14ac:dyDescent="0.25">
      <c r="D501" t="s">
        <v>419</v>
      </c>
      <c r="E501" t="b">
        <v>1</v>
      </c>
    </row>
    <row r="502" spans="4:9" x14ac:dyDescent="0.25">
      <c r="D502" t="s">
        <v>420</v>
      </c>
      <c r="E502" t="s">
        <v>423</v>
      </c>
    </row>
    <row r="503" spans="4:9" x14ac:dyDescent="0.25">
      <c r="D503" t="s">
        <v>461</v>
      </c>
    </row>
    <row r="505" spans="4:9" x14ac:dyDescent="0.25">
      <c r="D505" t="s">
        <v>388</v>
      </c>
      <c r="E505" t="s">
        <v>389</v>
      </c>
    </row>
    <row r="506" spans="4:9" x14ac:dyDescent="0.25">
      <c r="D506" t="s">
        <v>390</v>
      </c>
      <c r="E506" t="s">
        <v>425</v>
      </c>
    </row>
    <row r="507" spans="4:9" x14ac:dyDescent="0.25">
      <c r="D507" t="s">
        <v>168</v>
      </c>
    </row>
    <row r="508" spans="4:9" x14ac:dyDescent="0.25">
      <c r="D508" t="s">
        <v>170</v>
      </c>
      <c r="E508">
        <v>1</v>
      </c>
      <c r="F508">
        <v>2</v>
      </c>
      <c r="G508">
        <v>3</v>
      </c>
      <c r="H508">
        <v>4</v>
      </c>
      <c r="I508">
        <v>5</v>
      </c>
    </row>
    <row r="509" spans="4:9" x14ac:dyDescent="0.25">
      <c r="D509" t="s">
        <v>171</v>
      </c>
      <c r="E509" t="s">
        <v>130</v>
      </c>
      <c r="F509" t="s">
        <v>130</v>
      </c>
      <c r="G509" t="s">
        <v>130</v>
      </c>
      <c r="H509" t="s">
        <v>130</v>
      </c>
      <c r="I509" t="s">
        <v>130</v>
      </c>
    </row>
    <row r="510" spans="4:9" x14ac:dyDescent="0.25">
      <c r="D510" t="s">
        <v>172</v>
      </c>
      <c r="E510">
        <v>1</v>
      </c>
      <c r="F510">
        <v>2</v>
      </c>
      <c r="G510">
        <v>3</v>
      </c>
      <c r="H510">
        <v>4</v>
      </c>
      <c r="I510">
        <v>5</v>
      </c>
    </row>
    <row r="511" spans="4:9" x14ac:dyDescent="0.25">
      <c r="D511" t="s">
        <v>173</v>
      </c>
      <c r="E511">
        <v>789</v>
      </c>
      <c r="F511">
        <v>588</v>
      </c>
      <c r="G511">
        <v>1034</v>
      </c>
      <c r="H511">
        <v>641</v>
      </c>
      <c r="I511">
        <v>1154</v>
      </c>
    </row>
    <row r="512" spans="4:9" x14ac:dyDescent="0.25">
      <c r="D512" t="s">
        <v>426</v>
      </c>
      <c r="E512">
        <v>0</v>
      </c>
      <c r="F512">
        <v>0</v>
      </c>
      <c r="G512">
        <v>0</v>
      </c>
      <c r="H512">
        <v>0</v>
      </c>
      <c r="I512">
        <v>0</v>
      </c>
    </row>
    <row r="513" spans="4:9" x14ac:dyDescent="0.25">
      <c r="D513" t="s">
        <v>176</v>
      </c>
      <c r="E513" t="s">
        <v>40</v>
      </c>
      <c r="F513" t="s">
        <v>40</v>
      </c>
      <c r="G513" t="s">
        <v>40</v>
      </c>
      <c r="H513" t="s">
        <v>40</v>
      </c>
      <c r="I513" t="s">
        <v>40</v>
      </c>
    </row>
    <row r="514" spans="4:9" x14ac:dyDescent="0.25">
      <c r="D514" t="s">
        <v>427</v>
      </c>
    </row>
    <row r="515" spans="4:9" x14ac:dyDescent="0.25">
      <c r="D515" t="s">
        <v>428</v>
      </c>
    </row>
    <row r="516" spans="4:9" x14ac:dyDescent="0.25">
      <c r="D516" t="s">
        <v>429</v>
      </c>
      <c r="E516" t="s">
        <v>430</v>
      </c>
    </row>
    <row r="517" spans="4:9" x14ac:dyDescent="0.25">
      <c r="D517" t="s">
        <v>462</v>
      </c>
    </row>
    <row r="519" spans="4:9" x14ac:dyDescent="0.25">
      <c r="D519" t="s">
        <v>388</v>
      </c>
      <c r="E519" t="s">
        <v>432</v>
      </c>
    </row>
    <row r="520" spans="4:9" x14ac:dyDescent="0.25">
      <c r="D520" t="s">
        <v>390</v>
      </c>
      <c r="E520" t="s">
        <v>433</v>
      </c>
    </row>
    <row r="521" spans="4:9" x14ac:dyDescent="0.25">
      <c r="D521" t="s">
        <v>434</v>
      </c>
      <c r="E521">
        <v>300</v>
      </c>
    </row>
    <row r="522" spans="4:9" x14ac:dyDescent="0.25">
      <c r="D522" t="s">
        <v>463</v>
      </c>
    </row>
    <row r="524" spans="4:9" x14ac:dyDescent="0.25">
      <c r="D524" t="s">
        <v>388</v>
      </c>
      <c r="E524" t="s">
        <v>432</v>
      </c>
    </row>
    <row r="525" spans="4:9" x14ac:dyDescent="0.25">
      <c r="D525" t="s">
        <v>390</v>
      </c>
      <c r="E525" t="s">
        <v>436</v>
      </c>
    </row>
    <row r="526" spans="4:9" x14ac:dyDescent="0.25">
      <c r="D526" t="s">
        <v>464</v>
      </c>
    </row>
    <row r="528" spans="4:9" x14ac:dyDescent="0.25">
      <c r="D528" t="s">
        <v>388</v>
      </c>
      <c r="E528" t="s">
        <v>41</v>
      </c>
    </row>
    <row r="529" spans="4:5" x14ac:dyDescent="0.25">
      <c r="D529" t="s">
        <v>390</v>
      </c>
      <c r="E529" t="s">
        <v>433</v>
      </c>
    </row>
    <row r="530" spans="4:5" x14ac:dyDescent="0.25">
      <c r="D530" t="s">
        <v>397</v>
      </c>
      <c r="E530" t="s">
        <v>86</v>
      </c>
    </row>
    <row r="531" spans="4:5" x14ac:dyDescent="0.25">
      <c r="D531" t="s">
        <v>438</v>
      </c>
      <c r="E531" t="s">
        <v>439</v>
      </c>
    </row>
    <row r="532" spans="4:5" x14ac:dyDescent="0.25">
      <c r="D532" t="s">
        <v>465</v>
      </c>
    </row>
    <row r="534" spans="4:5" x14ac:dyDescent="0.25">
      <c r="D534" t="s">
        <v>388</v>
      </c>
      <c r="E534" t="s">
        <v>432</v>
      </c>
    </row>
    <row r="535" spans="4:5" x14ac:dyDescent="0.25">
      <c r="D535" t="s">
        <v>390</v>
      </c>
      <c r="E535" t="s">
        <v>433</v>
      </c>
    </row>
    <row r="536" spans="4:5" x14ac:dyDescent="0.25">
      <c r="D536" t="s">
        <v>434</v>
      </c>
      <c r="E536">
        <v>1009.7</v>
      </c>
    </row>
    <row r="537" spans="4:5" x14ac:dyDescent="0.25">
      <c r="D537" t="s">
        <v>557</v>
      </c>
    </row>
    <row r="539" spans="4:5" x14ac:dyDescent="0.25">
      <c r="D539" t="s">
        <v>388</v>
      </c>
      <c r="E539" t="s">
        <v>432</v>
      </c>
    </row>
    <row r="540" spans="4:5" x14ac:dyDescent="0.25">
      <c r="D540" t="s">
        <v>390</v>
      </c>
      <c r="E540" t="s">
        <v>436</v>
      </c>
    </row>
    <row r="541" spans="4:5" x14ac:dyDescent="0.25">
      <c r="D541" t="s">
        <v>558</v>
      </c>
    </row>
    <row r="546" spans="2:3" x14ac:dyDescent="0.25">
      <c r="B546" t="s">
        <v>140</v>
      </c>
    </row>
    <row r="547" spans="2:3" x14ac:dyDescent="0.25">
      <c r="B547" t="s">
        <v>196</v>
      </c>
    </row>
    <row r="548" spans="2:3" x14ac:dyDescent="0.25">
      <c r="B548" t="s">
        <v>187</v>
      </c>
    </row>
    <row r="549" spans="2:3" x14ac:dyDescent="0.25">
      <c r="B549" t="s">
        <v>143</v>
      </c>
    </row>
    <row r="551" spans="2:3" x14ac:dyDescent="0.25">
      <c r="C551" t="s">
        <v>144</v>
      </c>
    </row>
    <row r="556" spans="2:3" x14ac:dyDescent="0.25">
      <c r="B556" t="s">
        <v>145</v>
      </c>
    </row>
    <row r="557" spans="2:3" x14ac:dyDescent="0.25">
      <c r="B557" t="s">
        <v>197</v>
      </c>
    </row>
    <row r="558" spans="2:3" x14ac:dyDescent="0.25">
      <c r="B558" t="s">
        <v>189</v>
      </c>
    </row>
    <row r="559" spans="2:3" x14ac:dyDescent="0.25">
      <c r="B559" t="s">
        <v>198</v>
      </c>
    </row>
    <row r="560" spans="2:3" x14ac:dyDescent="0.25">
      <c r="B560" t="s">
        <v>146</v>
      </c>
    </row>
    <row r="561" spans="2:9" x14ac:dyDescent="0.25">
      <c r="B561" t="s">
        <v>366</v>
      </c>
    </row>
    <row r="562" spans="2:9" x14ac:dyDescent="0.25">
      <c r="B562" t="s">
        <v>163</v>
      </c>
    </row>
    <row r="563" spans="2:9" x14ac:dyDescent="0.25">
      <c r="B563" t="s">
        <v>320</v>
      </c>
    </row>
    <row r="565" spans="2:9" x14ac:dyDescent="0.25">
      <c r="D565" t="s">
        <v>388</v>
      </c>
      <c r="E565" t="s">
        <v>389</v>
      </c>
    </row>
    <row r="566" spans="2:9" x14ac:dyDescent="0.25">
      <c r="D566" t="s">
        <v>390</v>
      </c>
      <c r="E566" t="s">
        <v>391</v>
      </c>
    </row>
    <row r="567" spans="2:9" x14ac:dyDescent="0.25">
      <c r="D567" t="s">
        <v>173</v>
      </c>
      <c r="E567">
        <v>789</v>
      </c>
      <c r="F567">
        <v>588</v>
      </c>
      <c r="G567">
        <v>1034</v>
      </c>
      <c r="H567">
        <v>641</v>
      </c>
      <c r="I567">
        <v>1154</v>
      </c>
    </row>
    <row r="568" spans="2:9" x14ac:dyDescent="0.25">
      <c r="D568" t="s">
        <v>392</v>
      </c>
      <c r="E568" t="s">
        <v>393</v>
      </c>
    </row>
    <row r="569" spans="2:9" x14ac:dyDescent="0.25">
      <c r="D569" t="s">
        <v>345</v>
      </c>
    </row>
    <row r="571" spans="2:9" x14ac:dyDescent="0.25">
      <c r="D571" t="s">
        <v>388</v>
      </c>
      <c r="E571" t="s">
        <v>389</v>
      </c>
    </row>
    <row r="572" spans="2:9" x14ac:dyDescent="0.25">
      <c r="D572" t="s">
        <v>390</v>
      </c>
      <c r="E572" t="s">
        <v>394</v>
      </c>
    </row>
    <row r="573" spans="2:9" x14ac:dyDescent="0.25">
      <c r="D573" t="s">
        <v>173</v>
      </c>
      <c r="E573">
        <v>789</v>
      </c>
      <c r="F573">
        <v>588</v>
      </c>
      <c r="G573">
        <v>1034</v>
      </c>
      <c r="H573">
        <v>641</v>
      </c>
      <c r="I573">
        <v>1154</v>
      </c>
    </row>
    <row r="574" spans="2:9" x14ac:dyDescent="0.25">
      <c r="D574" t="s">
        <v>346</v>
      </c>
    </row>
    <row r="576" spans="2:9" x14ac:dyDescent="0.25">
      <c r="D576" t="s">
        <v>388</v>
      </c>
      <c r="E576" t="s">
        <v>41</v>
      </c>
    </row>
    <row r="577" spans="4:5" x14ac:dyDescent="0.25">
      <c r="D577" t="s">
        <v>390</v>
      </c>
      <c r="E577" t="s">
        <v>396</v>
      </c>
    </row>
    <row r="578" spans="4:5" x14ac:dyDescent="0.25">
      <c r="D578" t="s">
        <v>397</v>
      </c>
      <c r="E578" t="s">
        <v>398</v>
      </c>
    </row>
    <row r="579" spans="4:5" x14ac:dyDescent="0.25">
      <c r="D579" t="s">
        <v>347</v>
      </c>
    </row>
    <row r="581" spans="4:5" x14ac:dyDescent="0.25">
      <c r="D581" t="s">
        <v>388</v>
      </c>
      <c r="E581" t="s">
        <v>399</v>
      </c>
    </row>
    <row r="582" spans="4:5" x14ac:dyDescent="0.25">
      <c r="D582" t="s">
        <v>390</v>
      </c>
      <c r="E582" t="s">
        <v>400</v>
      </c>
    </row>
    <row r="583" spans="4:5" x14ac:dyDescent="0.25">
      <c r="D583" t="s">
        <v>401</v>
      </c>
      <c r="E583" t="s">
        <v>446</v>
      </c>
    </row>
    <row r="584" spans="4:5" x14ac:dyDescent="0.25">
      <c r="D584" t="s">
        <v>348</v>
      </c>
    </row>
    <row r="586" spans="4:5" x14ac:dyDescent="0.25">
      <c r="D586" t="s">
        <v>388</v>
      </c>
      <c r="E586" t="s">
        <v>399</v>
      </c>
    </row>
    <row r="587" spans="4:5" x14ac:dyDescent="0.25">
      <c r="D587" t="s">
        <v>390</v>
      </c>
      <c r="E587" t="s">
        <v>403</v>
      </c>
    </row>
    <row r="588" spans="4:5" x14ac:dyDescent="0.25">
      <c r="D588" t="s">
        <v>401</v>
      </c>
      <c r="E588" t="s">
        <v>446</v>
      </c>
    </row>
    <row r="589" spans="4:5" x14ac:dyDescent="0.25">
      <c r="D589" t="s">
        <v>374</v>
      </c>
    </row>
    <row r="591" spans="4:5" x14ac:dyDescent="0.25">
      <c r="D591" t="s">
        <v>388</v>
      </c>
      <c r="E591" t="s">
        <v>41</v>
      </c>
    </row>
    <row r="592" spans="4:5" x14ac:dyDescent="0.25">
      <c r="D592" t="s">
        <v>390</v>
      </c>
      <c r="E592" t="s">
        <v>404</v>
      </c>
    </row>
    <row r="593" spans="4:5" x14ac:dyDescent="0.25">
      <c r="D593" t="s">
        <v>397</v>
      </c>
      <c r="E593" t="s">
        <v>398</v>
      </c>
    </row>
    <row r="594" spans="4:5" x14ac:dyDescent="0.25">
      <c r="D594" t="s">
        <v>375</v>
      </c>
    </row>
    <row r="596" spans="4:5" x14ac:dyDescent="0.25">
      <c r="D596" t="s">
        <v>388</v>
      </c>
      <c r="E596" t="s">
        <v>41</v>
      </c>
    </row>
    <row r="597" spans="4:5" x14ac:dyDescent="0.25">
      <c r="D597" t="s">
        <v>390</v>
      </c>
      <c r="E597" t="s">
        <v>405</v>
      </c>
    </row>
    <row r="598" spans="4:5" x14ac:dyDescent="0.25">
      <c r="D598" t="s">
        <v>397</v>
      </c>
      <c r="E598" t="s">
        <v>398</v>
      </c>
    </row>
    <row r="599" spans="4:5" x14ac:dyDescent="0.25">
      <c r="D599" t="s">
        <v>376</v>
      </c>
    </row>
    <row r="601" spans="4:5" x14ac:dyDescent="0.25">
      <c r="D601" t="s">
        <v>388</v>
      </c>
      <c r="E601" t="s">
        <v>41</v>
      </c>
    </row>
    <row r="602" spans="4:5" x14ac:dyDescent="0.25">
      <c r="D602" t="s">
        <v>390</v>
      </c>
      <c r="E602" t="s">
        <v>406</v>
      </c>
    </row>
    <row r="603" spans="4:5" x14ac:dyDescent="0.25">
      <c r="D603" t="s">
        <v>397</v>
      </c>
      <c r="E603" t="s">
        <v>398</v>
      </c>
    </row>
    <row r="604" spans="4:5" x14ac:dyDescent="0.25">
      <c r="D604" t="s">
        <v>377</v>
      </c>
    </row>
    <row r="606" spans="4:5" x14ac:dyDescent="0.25">
      <c r="D606" t="s">
        <v>388</v>
      </c>
      <c r="E606" t="s">
        <v>41</v>
      </c>
    </row>
    <row r="607" spans="4:5" x14ac:dyDescent="0.25">
      <c r="D607" t="s">
        <v>390</v>
      </c>
      <c r="E607" t="s">
        <v>407</v>
      </c>
    </row>
    <row r="608" spans="4:5" x14ac:dyDescent="0.25">
      <c r="D608" t="s">
        <v>397</v>
      </c>
      <c r="E608" t="s">
        <v>398</v>
      </c>
    </row>
    <row r="609" spans="4:5" x14ac:dyDescent="0.25">
      <c r="D609" t="s">
        <v>466</v>
      </c>
    </row>
    <row r="611" spans="4:5" x14ac:dyDescent="0.25">
      <c r="D611" t="s">
        <v>388</v>
      </c>
      <c r="E611" t="s">
        <v>41</v>
      </c>
    </row>
    <row r="612" spans="4:5" x14ac:dyDescent="0.25">
      <c r="D612" t="s">
        <v>390</v>
      </c>
      <c r="E612" t="s">
        <v>409</v>
      </c>
    </row>
    <row r="613" spans="4:5" x14ac:dyDescent="0.25">
      <c r="D613" t="s">
        <v>397</v>
      </c>
      <c r="E613" t="s">
        <v>398</v>
      </c>
    </row>
    <row r="614" spans="4:5" x14ac:dyDescent="0.25">
      <c r="D614" t="s">
        <v>467</v>
      </c>
    </row>
    <row r="616" spans="4:5" x14ac:dyDescent="0.25">
      <c r="D616" t="s">
        <v>388</v>
      </c>
      <c r="E616" t="s">
        <v>41</v>
      </c>
    </row>
    <row r="617" spans="4:5" x14ac:dyDescent="0.25">
      <c r="D617" t="s">
        <v>390</v>
      </c>
      <c r="E617" t="s">
        <v>411</v>
      </c>
    </row>
    <row r="618" spans="4:5" x14ac:dyDescent="0.25">
      <c r="D618" t="s">
        <v>397</v>
      </c>
      <c r="E618" t="s">
        <v>398</v>
      </c>
    </row>
    <row r="619" spans="4:5" x14ac:dyDescent="0.25">
      <c r="D619" t="s">
        <v>468</v>
      </c>
    </row>
    <row r="621" spans="4:5" x14ac:dyDescent="0.25">
      <c r="D621" t="s">
        <v>388</v>
      </c>
      <c r="E621" t="s">
        <v>413</v>
      </c>
    </row>
    <row r="622" spans="4:5" x14ac:dyDescent="0.25">
      <c r="D622" t="s">
        <v>390</v>
      </c>
      <c r="E622" t="s">
        <v>414</v>
      </c>
    </row>
    <row r="623" spans="4:5" x14ac:dyDescent="0.25">
      <c r="D623" t="s">
        <v>415</v>
      </c>
    </row>
    <row r="624" spans="4:5" x14ac:dyDescent="0.25">
      <c r="D624" t="s">
        <v>416</v>
      </c>
    </row>
    <row r="625" spans="4:5" x14ac:dyDescent="0.25">
      <c r="D625" t="s">
        <v>417</v>
      </c>
    </row>
    <row r="626" spans="4:5" x14ac:dyDescent="0.25">
      <c r="D626" t="s">
        <v>418</v>
      </c>
    </row>
    <row r="627" spans="4:5" x14ac:dyDescent="0.25">
      <c r="D627" t="s">
        <v>419</v>
      </c>
      <c r="E627" t="b">
        <v>0</v>
      </c>
    </row>
    <row r="628" spans="4:5" x14ac:dyDescent="0.25">
      <c r="D628" t="s">
        <v>420</v>
      </c>
      <c r="E628" t="s">
        <v>421</v>
      </c>
    </row>
    <row r="629" spans="4:5" x14ac:dyDescent="0.25">
      <c r="D629" t="s">
        <v>469</v>
      </c>
    </row>
    <row r="631" spans="4:5" x14ac:dyDescent="0.25">
      <c r="D631" t="s">
        <v>388</v>
      </c>
      <c r="E631" t="s">
        <v>413</v>
      </c>
    </row>
    <row r="632" spans="4:5" x14ac:dyDescent="0.25">
      <c r="D632" t="s">
        <v>390</v>
      </c>
      <c r="E632" t="s">
        <v>414</v>
      </c>
    </row>
    <row r="633" spans="4:5" x14ac:dyDescent="0.25">
      <c r="D633" t="s">
        <v>415</v>
      </c>
    </row>
    <row r="634" spans="4:5" x14ac:dyDescent="0.25">
      <c r="D634" t="s">
        <v>416</v>
      </c>
    </row>
    <row r="635" spans="4:5" x14ac:dyDescent="0.25">
      <c r="D635" t="s">
        <v>417</v>
      </c>
    </row>
    <row r="636" spans="4:5" x14ac:dyDescent="0.25">
      <c r="D636" t="s">
        <v>418</v>
      </c>
    </row>
    <row r="637" spans="4:5" x14ac:dyDescent="0.25">
      <c r="D637" t="s">
        <v>419</v>
      </c>
      <c r="E637" t="b">
        <v>1</v>
      </c>
    </row>
    <row r="638" spans="4:5" x14ac:dyDescent="0.25">
      <c r="D638" t="s">
        <v>420</v>
      </c>
      <c r="E638" t="s">
        <v>423</v>
      </c>
    </row>
    <row r="639" spans="4:5" x14ac:dyDescent="0.25">
      <c r="D639" t="s">
        <v>470</v>
      </c>
    </row>
    <row r="641" spans="4:9" x14ac:dyDescent="0.25">
      <c r="D641" t="s">
        <v>388</v>
      </c>
      <c r="E641" t="s">
        <v>389</v>
      </c>
    </row>
    <row r="642" spans="4:9" x14ac:dyDescent="0.25">
      <c r="D642" t="s">
        <v>390</v>
      </c>
      <c r="E642" t="s">
        <v>425</v>
      </c>
    </row>
    <row r="643" spans="4:9" x14ac:dyDescent="0.25">
      <c r="D643" t="s">
        <v>168</v>
      </c>
    </row>
    <row r="644" spans="4:9" x14ac:dyDescent="0.25">
      <c r="D644" t="s">
        <v>170</v>
      </c>
      <c r="E644">
        <v>1</v>
      </c>
      <c r="F644">
        <v>2</v>
      </c>
      <c r="G644">
        <v>3</v>
      </c>
      <c r="H644">
        <v>4</v>
      </c>
      <c r="I644">
        <v>5</v>
      </c>
    </row>
    <row r="645" spans="4:9" x14ac:dyDescent="0.25">
      <c r="D645" t="s">
        <v>171</v>
      </c>
      <c r="E645" t="s">
        <v>126</v>
      </c>
      <c r="F645" t="s">
        <v>126</v>
      </c>
      <c r="G645" t="s">
        <v>126</v>
      </c>
      <c r="H645" t="s">
        <v>126</v>
      </c>
      <c r="I645" t="s">
        <v>126</v>
      </c>
    </row>
    <row r="646" spans="4:9" x14ac:dyDescent="0.25">
      <c r="D646" t="s">
        <v>172</v>
      </c>
      <c r="E646">
        <v>1</v>
      </c>
      <c r="F646">
        <v>2</v>
      </c>
      <c r="G646">
        <v>3</v>
      </c>
      <c r="H646">
        <v>4</v>
      </c>
      <c r="I646">
        <v>5</v>
      </c>
    </row>
    <row r="647" spans="4:9" x14ac:dyDescent="0.25">
      <c r="D647" t="s">
        <v>173</v>
      </c>
      <c r="E647">
        <v>789</v>
      </c>
      <c r="F647">
        <v>588</v>
      </c>
      <c r="G647">
        <v>1034</v>
      </c>
      <c r="H647">
        <v>641</v>
      </c>
      <c r="I647">
        <v>1154</v>
      </c>
    </row>
    <row r="648" spans="4:9" x14ac:dyDescent="0.25">
      <c r="D648" t="s">
        <v>426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4:9" x14ac:dyDescent="0.25">
      <c r="D649" t="s">
        <v>176</v>
      </c>
      <c r="E649" t="s">
        <v>40</v>
      </c>
      <c r="F649" t="s">
        <v>40</v>
      </c>
      <c r="G649" t="s">
        <v>40</v>
      </c>
      <c r="H649" t="s">
        <v>40</v>
      </c>
      <c r="I649" t="s">
        <v>40</v>
      </c>
    </row>
    <row r="650" spans="4:9" x14ac:dyDescent="0.25">
      <c r="D650" t="s">
        <v>427</v>
      </c>
    </row>
    <row r="651" spans="4:9" x14ac:dyDescent="0.25">
      <c r="D651" t="s">
        <v>428</v>
      </c>
    </row>
    <row r="652" spans="4:9" x14ac:dyDescent="0.25">
      <c r="D652" t="s">
        <v>429</v>
      </c>
      <c r="E652" t="s">
        <v>430</v>
      </c>
    </row>
    <row r="653" spans="4:9" x14ac:dyDescent="0.25">
      <c r="D653" t="s">
        <v>471</v>
      </c>
    </row>
    <row r="655" spans="4:9" x14ac:dyDescent="0.25">
      <c r="D655" t="s">
        <v>388</v>
      </c>
      <c r="E655" t="s">
        <v>432</v>
      </c>
    </row>
    <row r="656" spans="4:9" x14ac:dyDescent="0.25">
      <c r="D656" t="s">
        <v>390</v>
      </c>
      <c r="E656" t="s">
        <v>433</v>
      </c>
    </row>
    <row r="657" spans="4:5" x14ac:dyDescent="0.25">
      <c r="D657" t="s">
        <v>434</v>
      </c>
      <c r="E657">
        <v>300</v>
      </c>
    </row>
    <row r="658" spans="4:5" x14ac:dyDescent="0.25">
      <c r="D658" t="s">
        <v>472</v>
      </c>
    </row>
    <row r="660" spans="4:5" x14ac:dyDescent="0.25">
      <c r="D660" t="s">
        <v>388</v>
      </c>
      <c r="E660" t="s">
        <v>432</v>
      </c>
    </row>
    <row r="661" spans="4:5" x14ac:dyDescent="0.25">
      <c r="D661" t="s">
        <v>390</v>
      </c>
      <c r="E661" t="s">
        <v>436</v>
      </c>
    </row>
    <row r="662" spans="4:5" x14ac:dyDescent="0.25">
      <c r="D662" t="s">
        <v>473</v>
      </c>
    </row>
    <row r="664" spans="4:5" x14ac:dyDescent="0.25">
      <c r="D664" t="s">
        <v>388</v>
      </c>
      <c r="E664" t="s">
        <v>41</v>
      </c>
    </row>
    <row r="665" spans="4:5" x14ac:dyDescent="0.25">
      <c r="D665" t="s">
        <v>390</v>
      </c>
      <c r="E665" t="s">
        <v>433</v>
      </c>
    </row>
    <row r="666" spans="4:5" x14ac:dyDescent="0.25">
      <c r="D666" t="s">
        <v>397</v>
      </c>
      <c r="E666" t="s">
        <v>86</v>
      </c>
    </row>
    <row r="667" spans="4:5" x14ac:dyDescent="0.25">
      <c r="D667" t="s">
        <v>438</v>
      </c>
      <c r="E667" t="s">
        <v>439</v>
      </c>
    </row>
    <row r="668" spans="4:5" x14ac:dyDescent="0.25">
      <c r="D668" t="s">
        <v>474</v>
      </c>
    </row>
    <row r="670" spans="4:5" x14ac:dyDescent="0.25">
      <c r="D670" t="s">
        <v>388</v>
      </c>
      <c r="E670" t="s">
        <v>432</v>
      </c>
    </row>
    <row r="671" spans="4:5" x14ac:dyDescent="0.25">
      <c r="D671" t="s">
        <v>390</v>
      </c>
      <c r="E671" t="s">
        <v>433</v>
      </c>
    </row>
    <row r="672" spans="4:5" x14ac:dyDescent="0.25">
      <c r="D672" t="s">
        <v>434</v>
      </c>
      <c r="E672">
        <v>1009.7</v>
      </c>
    </row>
    <row r="673" spans="2:5" x14ac:dyDescent="0.25">
      <c r="D673" t="s">
        <v>559</v>
      </c>
    </row>
    <row r="675" spans="2:5" x14ac:dyDescent="0.25">
      <c r="D675" t="s">
        <v>388</v>
      </c>
      <c r="E675" t="s">
        <v>432</v>
      </c>
    </row>
    <row r="676" spans="2:5" x14ac:dyDescent="0.25">
      <c r="D676" t="s">
        <v>390</v>
      </c>
      <c r="E676" t="s">
        <v>436</v>
      </c>
    </row>
    <row r="677" spans="2:5" x14ac:dyDescent="0.25">
      <c r="D677" t="s">
        <v>560</v>
      </c>
    </row>
    <row r="682" spans="2:5" x14ac:dyDescent="0.25">
      <c r="B682" t="s">
        <v>140</v>
      </c>
    </row>
    <row r="683" spans="2:5" x14ac:dyDescent="0.25">
      <c r="B683" t="s">
        <v>199</v>
      </c>
    </row>
    <row r="684" spans="2:5" x14ac:dyDescent="0.25">
      <c r="B684" t="s">
        <v>192</v>
      </c>
    </row>
    <row r="685" spans="2:5" x14ac:dyDescent="0.25">
      <c r="B685" t="s">
        <v>143</v>
      </c>
    </row>
    <row r="687" spans="2:5" x14ac:dyDescent="0.25">
      <c r="C687" t="s">
        <v>144</v>
      </c>
    </row>
    <row r="692" spans="2:9" x14ac:dyDescent="0.25">
      <c r="B692" t="s">
        <v>145</v>
      </c>
    </row>
    <row r="693" spans="2:9" x14ac:dyDescent="0.25">
      <c r="B693" t="s">
        <v>200</v>
      </c>
    </row>
    <row r="694" spans="2:9" x14ac:dyDescent="0.25">
      <c r="B694" t="s">
        <v>194</v>
      </c>
    </row>
    <row r="695" spans="2:9" x14ac:dyDescent="0.25">
      <c r="B695" t="s">
        <v>201</v>
      </c>
    </row>
    <row r="696" spans="2:9" x14ac:dyDescent="0.25">
      <c r="B696" t="s">
        <v>146</v>
      </c>
    </row>
    <row r="697" spans="2:9" x14ac:dyDescent="0.25">
      <c r="B697" t="s">
        <v>366</v>
      </c>
    </row>
    <row r="698" spans="2:9" x14ac:dyDescent="0.25">
      <c r="B698" t="s">
        <v>163</v>
      </c>
    </row>
    <row r="699" spans="2:9" x14ac:dyDescent="0.25">
      <c r="B699" t="s">
        <v>320</v>
      </c>
    </row>
    <row r="701" spans="2:9" x14ac:dyDescent="0.25">
      <c r="D701" t="s">
        <v>388</v>
      </c>
      <c r="E701" t="s">
        <v>389</v>
      </c>
    </row>
    <row r="702" spans="2:9" x14ac:dyDescent="0.25">
      <c r="D702" t="s">
        <v>390</v>
      </c>
      <c r="E702" t="s">
        <v>391</v>
      </c>
    </row>
    <row r="703" spans="2:9" x14ac:dyDescent="0.25">
      <c r="D703" t="s">
        <v>173</v>
      </c>
      <c r="E703">
        <v>789</v>
      </c>
      <c r="F703">
        <v>588</v>
      </c>
      <c r="G703">
        <v>1034</v>
      </c>
      <c r="H703">
        <v>641</v>
      </c>
      <c r="I703">
        <v>1154</v>
      </c>
    </row>
    <row r="704" spans="2:9" x14ac:dyDescent="0.25">
      <c r="D704" t="s">
        <v>392</v>
      </c>
      <c r="E704" t="s">
        <v>393</v>
      </c>
    </row>
    <row r="705" spans="4:9" x14ac:dyDescent="0.25">
      <c r="D705" t="s">
        <v>349</v>
      </c>
    </row>
    <row r="707" spans="4:9" x14ac:dyDescent="0.25">
      <c r="D707" t="s">
        <v>388</v>
      </c>
      <c r="E707" t="s">
        <v>389</v>
      </c>
    </row>
    <row r="708" spans="4:9" x14ac:dyDescent="0.25">
      <c r="D708" t="s">
        <v>390</v>
      </c>
      <c r="E708" t="s">
        <v>394</v>
      </c>
    </row>
    <row r="709" spans="4:9" x14ac:dyDescent="0.25">
      <c r="D709" t="s">
        <v>173</v>
      </c>
      <c r="E709">
        <v>789</v>
      </c>
      <c r="F709">
        <v>588</v>
      </c>
      <c r="G709">
        <v>1034</v>
      </c>
      <c r="H709">
        <v>641</v>
      </c>
      <c r="I709">
        <v>1154</v>
      </c>
    </row>
    <row r="710" spans="4:9" x14ac:dyDescent="0.25">
      <c r="D710" t="s">
        <v>350</v>
      </c>
    </row>
    <row r="712" spans="4:9" x14ac:dyDescent="0.25">
      <c r="D712" t="s">
        <v>388</v>
      </c>
      <c r="E712" t="s">
        <v>41</v>
      </c>
    </row>
    <row r="713" spans="4:9" x14ac:dyDescent="0.25">
      <c r="D713" t="s">
        <v>390</v>
      </c>
      <c r="E713" t="s">
        <v>396</v>
      </c>
    </row>
    <row r="714" spans="4:9" x14ac:dyDescent="0.25">
      <c r="D714" t="s">
        <v>397</v>
      </c>
      <c r="E714" t="s">
        <v>398</v>
      </c>
    </row>
    <row r="715" spans="4:9" x14ac:dyDescent="0.25">
      <c r="D715" t="s">
        <v>351</v>
      </c>
    </row>
    <row r="717" spans="4:9" x14ac:dyDescent="0.25">
      <c r="D717" t="s">
        <v>388</v>
      </c>
      <c r="E717" t="s">
        <v>399</v>
      </c>
    </row>
    <row r="718" spans="4:9" x14ac:dyDescent="0.25">
      <c r="D718" t="s">
        <v>390</v>
      </c>
      <c r="E718" t="s">
        <v>400</v>
      </c>
    </row>
    <row r="719" spans="4:9" x14ac:dyDescent="0.25">
      <c r="D719" t="s">
        <v>401</v>
      </c>
      <c r="E719" t="s">
        <v>456</v>
      </c>
    </row>
    <row r="720" spans="4:9" x14ac:dyDescent="0.25">
      <c r="D720" t="s">
        <v>352</v>
      </c>
    </row>
    <row r="722" spans="4:5" x14ac:dyDescent="0.25">
      <c r="D722" t="s">
        <v>388</v>
      </c>
      <c r="E722" t="s">
        <v>399</v>
      </c>
    </row>
    <row r="723" spans="4:5" x14ac:dyDescent="0.25">
      <c r="D723" t="s">
        <v>390</v>
      </c>
      <c r="E723" t="s">
        <v>403</v>
      </c>
    </row>
    <row r="724" spans="4:5" x14ac:dyDescent="0.25">
      <c r="D724" t="s">
        <v>401</v>
      </c>
      <c r="E724" t="s">
        <v>456</v>
      </c>
    </row>
    <row r="725" spans="4:5" x14ac:dyDescent="0.25">
      <c r="D725" t="s">
        <v>378</v>
      </c>
    </row>
    <row r="727" spans="4:5" x14ac:dyDescent="0.25">
      <c r="D727" t="s">
        <v>388</v>
      </c>
      <c r="E727" t="s">
        <v>41</v>
      </c>
    </row>
    <row r="728" spans="4:5" x14ac:dyDescent="0.25">
      <c r="D728" t="s">
        <v>390</v>
      </c>
      <c r="E728" t="s">
        <v>404</v>
      </c>
    </row>
    <row r="729" spans="4:5" x14ac:dyDescent="0.25">
      <c r="D729" t="s">
        <v>397</v>
      </c>
      <c r="E729" t="s">
        <v>398</v>
      </c>
    </row>
    <row r="730" spans="4:5" x14ac:dyDescent="0.25">
      <c r="D730" t="s">
        <v>379</v>
      </c>
    </row>
    <row r="732" spans="4:5" x14ac:dyDescent="0.25">
      <c r="D732" t="s">
        <v>388</v>
      </c>
      <c r="E732" t="s">
        <v>41</v>
      </c>
    </row>
    <row r="733" spans="4:5" x14ac:dyDescent="0.25">
      <c r="D733" t="s">
        <v>390</v>
      </c>
      <c r="E733" t="s">
        <v>405</v>
      </c>
    </row>
    <row r="734" spans="4:5" x14ac:dyDescent="0.25">
      <c r="D734" t="s">
        <v>397</v>
      </c>
      <c r="E734" t="s">
        <v>398</v>
      </c>
    </row>
    <row r="735" spans="4:5" x14ac:dyDescent="0.25">
      <c r="D735" t="s">
        <v>380</v>
      </c>
    </row>
    <row r="737" spans="4:5" x14ac:dyDescent="0.25">
      <c r="D737" t="s">
        <v>388</v>
      </c>
      <c r="E737" t="s">
        <v>41</v>
      </c>
    </row>
    <row r="738" spans="4:5" x14ac:dyDescent="0.25">
      <c r="D738" t="s">
        <v>390</v>
      </c>
      <c r="E738" t="s">
        <v>406</v>
      </c>
    </row>
    <row r="739" spans="4:5" x14ac:dyDescent="0.25">
      <c r="D739" t="s">
        <v>397</v>
      </c>
      <c r="E739" t="s">
        <v>398</v>
      </c>
    </row>
    <row r="740" spans="4:5" x14ac:dyDescent="0.25">
      <c r="D740" t="s">
        <v>381</v>
      </c>
    </row>
    <row r="742" spans="4:5" x14ac:dyDescent="0.25">
      <c r="D742" t="s">
        <v>388</v>
      </c>
      <c r="E742" t="s">
        <v>41</v>
      </c>
    </row>
    <row r="743" spans="4:5" x14ac:dyDescent="0.25">
      <c r="D743" t="s">
        <v>390</v>
      </c>
      <c r="E743" t="s">
        <v>407</v>
      </c>
    </row>
    <row r="744" spans="4:5" x14ac:dyDescent="0.25">
      <c r="D744" t="s">
        <v>397</v>
      </c>
      <c r="E744" t="s">
        <v>398</v>
      </c>
    </row>
    <row r="745" spans="4:5" x14ac:dyDescent="0.25">
      <c r="D745" t="s">
        <v>475</v>
      </c>
    </row>
    <row r="747" spans="4:5" x14ac:dyDescent="0.25">
      <c r="D747" t="s">
        <v>388</v>
      </c>
      <c r="E747" t="s">
        <v>41</v>
      </c>
    </row>
    <row r="748" spans="4:5" x14ac:dyDescent="0.25">
      <c r="D748" t="s">
        <v>390</v>
      </c>
      <c r="E748" t="s">
        <v>409</v>
      </c>
    </row>
    <row r="749" spans="4:5" x14ac:dyDescent="0.25">
      <c r="D749" t="s">
        <v>397</v>
      </c>
      <c r="E749" t="s">
        <v>398</v>
      </c>
    </row>
    <row r="750" spans="4:5" x14ac:dyDescent="0.25">
      <c r="D750" t="s">
        <v>476</v>
      </c>
    </row>
    <row r="752" spans="4:5" x14ac:dyDescent="0.25">
      <c r="D752" t="s">
        <v>388</v>
      </c>
      <c r="E752" t="s">
        <v>41</v>
      </c>
    </row>
    <row r="753" spans="4:5" x14ac:dyDescent="0.25">
      <c r="D753" t="s">
        <v>390</v>
      </c>
      <c r="E753" t="s">
        <v>411</v>
      </c>
    </row>
    <row r="754" spans="4:5" x14ac:dyDescent="0.25">
      <c r="D754" t="s">
        <v>397</v>
      </c>
      <c r="E754" t="s">
        <v>398</v>
      </c>
    </row>
    <row r="755" spans="4:5" x14ac:dyDescent="0.25">
      <c r="D755" t="s">
        <v>477</v>
      </c>
    </row>
    <row r="757" spans="4:5" x14ac:dyDescent="0.25">
      <c r="D757" t="s">
        <v>388</v>
      </c>
      <c r="E757" t="s">
        <v>413</v>
      </c>
    </row>
    <row r="758" spans="4:5" x14ac:dyDescent="0.25">
      <c r="D758" t="s">
        <v>390</v>
      </c>
      <c r="E758" t="s">
        <v>414</v>
      </c>
    </row>
    <row r="759" spans="4:5" x14ac:dyDescent="0.25">
      <c r="D759" t="s">
        <v>415</v>
      </c>
    </row>
    <row r="760" spans="4:5" x14ac:dyDescent="0.25">
      <c r="D760" t="s">
        <v>416</v>
      </c>
    </row>
    <row r="761" spans="4:5" x14ac:dyDescent="0.25">
      <c r="D761" t="s">
        <v>417</v>
      </c>
    </row>
    <row r="762" spans="4:5" x14ac:dyDescent="0.25">
      <c r="D762" t="s">
        <v>418</v>
      </c>
    </row>
    <row r="763" spans="4:5" x14ac:dyDescent="0.25">
      <c r="D763" t="s">
        <v>419</v>
      </c>
      <c r="E763" t="b">
        <v>0</v>
      </c>
    </row>
    <row r="764" spans="4:5" x14ac:dyDescent="0.25">
      <c r="D764" t="s">
        <v>420</v>
      </c>
      <c r="E764" t="s">
        <v>421</v>
      </c>
    </row>
    <row r="765" spans="4:5" x14ac:dyDescent="0.25">
      <c r="D765" t="s">
        <v>478</v>
      </c>
    </row>
    <row r="767" spans="4:5" x14ac:dyDescent="0.25">
      <c r="D767" t="s">
        <v>388</v>
      </c>
      <c r="E767" t="s">
        <v>413</v>
      </c>
    </row>
    <row r="768" spans="4:5" x14ac:dyDescent="0.25">
      <c r="D768" t="s">
        <v>390</v>
      </c>
      <c r="E768" t="s">
        <v>414</v>
      </c>
    </row>
    <row r="769" spans="4:9" x14ac:dyDescent="0.25">
      <c r="D769" t="s">
        <v>415</v>
      </c>
    </row>
    <row r="770" spans="4:9" x14ac:dyDescent="0.25">
      <c r="D770" t="s">
        <v>416</v>
      </c>
    </row>
    <row r="771" spans="4:9" x14ac:dyDescent="0.25">
      <c r="D771" t="s">
        <v>417</v>
      </c>
    </row>
    <row r="772" spans="4:9" x14ac:dyDescent="0.25">
      <c r="D772" t="s">
        <v>418</v>
      </c>
    </row>
    <row r="773" spans="4:9" x14ac:dyDescent="0.25">
      <c r="D773" t="s">
        <v>419</v>
      </c>
      <c r="E773" t="b">
        <v>1</v>
      </c>
    </row>
    <row r="774" spans="4:9" x14ac:dyDescent="0.25">
      <c r="D774" t="s">
        <v>420</v>
      </c>
      <c r="E774" t="s">
        <v>423</v>
      </c>
    </row>
    <row r="775" spans="4:9" x14ac:dyDescent="0.25">
      <c r="D775" t="s">
        <v>479</v>
      </c>
    </row>
    <row r="777" spans="4:9" x14ac:dyDescent="0.25">
      <c r="D777" t="s">
        <v>388</v>
      </c>
      <c r="E777" t="s">
        <v>389</v>
      </c>
    </row>
    <row r="778" spans="4:9" x14ac:dyDescent="0.25">
      <c r="D778" t="s">
        <v>390</v>
      </c>
      <c r="E778" t="s">
        <v>425</v>
      </c>
    </row>
    <row r="779" spans="4:9" x14ac:dyDescent="0.25">
      <c r="D779" t="s">
        <v>168</v>
      </c>
    </row>
    <row r="780" spans="4:9" x14ac:dyDescent="0.25">
      <c r="D780" t="s">
        <v>170</v>
      </c>
      <c r="E780">
        <v>1</v>
      </c>
      <c r="F780">
        <v>2</v>
      </c>
      <c r="G780">
        <v>3</v>
      </c>
      <c r="H780">
        <v>4</v>
      </c>
      <c r="I780">
        <v>5</v>
      </c>
    </row>
    <row r="781" spans="4:9" x14ac:dyDescent="0.25">
      <c r="D781" t="s">
        <v>171</v>
      </c>
      <c r="E781" t="s">
        <v>130</v>
      </c>
      <c r="F781" t="s">
        <v>130</v>
      </c>
      <c r="G781" t="s">
        <v>130</v>
      </c>
      <c r="H781" t="s">
        <v>130</v>
      </c>
      <c r="I781" t="s">
        <v>130</v>
      </c>
    </row>
    <row r="782" spans="4:9" x14ac:dyDescent="0.25">
      <c r="D782" t="s">
        <v>172</v>
      </c>
      <c r="E782">
        <v>1</v>
      </c>
      <c r="F782">
        <v>2</v>
      </c>
      <c r="G782">
        <v>3</v>
      </c>
      <c r="H782">
        <v>4</v>
      </c>
      <c r="I782">
        <v>5</v>
      </c>
    </row>
    <row r="783" spans="4:9" x14ac:dyDescent="0.25">
      <c r="D783" t="s">
        <v>173</v>
      </c>
      <c r="E783">
        <v>789</v>
      </c>
      <c r="F783">
        <v>588</v>
      </c>
      <c r="G783">
        <v>1034</v>
      </c>
      <c r="H783">
        <v>641</v>
      </c>
      <c r="I783">
        <v>1154</v>
      </c>
    </row>
    <row r="784" spans="4:9" x14ac:dyDescent="0.25">
      <c r="D784" t="s">
        <v>426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4:9" x14ac:dyDescent="0.25">
      <c r="D785" t="s">
        <v>176</v>
      </c>
      <c r="E785" t="s">
        <v>40</v>
      </c>
      <c r="F785" t="s">
        <v>40</v>
      </c>
      <c r="G785" t="s">
        <v>40</v>
      </c>
      <c r="H785" t="s">
        <v>40</v>
      </c>
      <c r="I785" t="s">
        <v>40</v>
      </c>
    </row>
    <row r="786" spans="4:9" x14ac:dyDescent="0.25">
      <c r="D786" t="s">
        <v>427</v>
      </c>
    </row>
    <row r="787" spans="4:9" x14ac:dyDescent="0.25">
      <c r="D787" t="s">
        <v>428</v>
      </c>
    </row>
    <row r="788" spans="4:9" x14ac:dyDescent="0.25">
      <c r="D788" t="s">
        <v>429</v>
      </c>
      <c r="E788" t="s">
        <v>430</v>
      </c>
    </row>
    <row r="789" spans="4:9" x14ac:dyDescent="0.25">
      <c r="D789" t="s">
        <v>480</v>
      </c>
    </row>
    <row r="791" spans="4:9" x14ac:dyDescent="0.25">
      <c r="D791" t="s">
        <v>388</v>
      </c>
      <c r="E791" t="s">
        <v>432</v>
      </c>
    </row>
    <row r="792" spans="4:9" x14ac:dyDescent="0.25">
      <c r="D792" t="s">
        <v>390</v>
      </c>
      <c r="E792" t="s">
        <v>433</v>
      </c>
    </row>
    <row r="793" spans="4:9" x14ac:dyDescent="0.25">
      <c r="D793" t="s">
        <v>434</v>
      </c>
      <c r="E793">
        <v>300</v>
      </c>
    </row>
    <row r="794" spans="4:9" x14ac:dyDescent="0.25">
      <c r="D794" t="s">
        <v>481</v>
      </c>
    </row>
    <row r="796" spans="4:9" x14ac:dyDescent="0.25">
      <c r="D796" t="s">
        <v>388</v>
      </c>
      <c r="E796" t="s">
        <v>432</v>
      </c>
    </row>
    <row r="797" spans="4:9" x14ac:dyDescent="0.25">
      <c r="D797" t="s">
        <v>390</v>
      </c>
      <c r="E797" t="s">
        <v>436</v>
      </c>
    </row>
    <row r="798" spans="4:9" x14ac:dyDescent="0.25">
      <c r="D798" t="s">
        <v>482</v>
      </c>
    </row>
    <row r="800" spans="4:9" x14ac:dyDescent="0.25">
      <c r="D800" t="s">
        <v>388</v>
      </c>
      <c r="E800" t="s">
        <v>41</v>
      </c>
    </row>
    <row r="801" spans="4:5" x14ac:dyDescent="0.25">
      <c r="D801" t="s">
        <v>390</v>
      </c>
      <c r="E801" t="s">
        <v>433</v>
      </c>
    </row>
    <row r="802" spans="4:5" x14ac:dyDescent="0.25">
      <c r="D802" t="s">
        <v>397</v>
      </c>
      <c r="E802" t="s">
        <v>86</v>
      </c>
    </row>
    <row r="803" spans="4:5" x14ac:dyDescent="0.25">
      <c r="D803" t="s">
        <v>438</v>
      </c>
      <c r="E803" t="s">
        <v>439</v>
      </c>
    </row>
    <row r="804" spans="4:5" x14ac:dyDescent="0.25">
      <c r="D804" t="s">
        <v>483</v>
      </c>
    </row>
    <row r="806" spans="4:5" x14ac:dyDescent="0.25">
      <c r="D806" t="s">
        <v>388</v>
      </c>
      <c r="E806" t="s">
        <v>432</v>
      </c>
    </row>
    <row r="807" spans="4:5" x14ac:dyDescent="0.25">
      <c r="D807" t="s">
        <v>390</v>
      </c>
      <c r="E807" t="s">
        <v>433</v>
      </c>
    </row>
    <row r="808" spans="4:5" x14ac:dyDescent="0.25">
      <c r="D808" t="s">
        <v>434</v>
      </c>
      <c r="E808">
        <v>1009.7</v>
      </c>
    </row>
    <row r="809" spans="4:5" x14ac:dyDescent="0.25">
      <c r="D809" t="s">
        <v>561</v>
      </c>
    </row>
    <row r="811" spans="4:5" x14ac:dyDescent="0.25">
      <c r="D811" t="s">
        <v>388</v>
      </c>
      <c r="E811" t="s">
        <v>432</v>
      </c>
    </row>
    <row r="812" spans="4:5" x14ac:dyDescent="0.25">
      <c r="D812" t="s">
        <v>390</v>
      </c>
      <c r="E812" t="s">
        <v>436</v>
      </c>
    </row>
    <row r="813" spans="4:5" x14ac:dyDescent="0.25">
      <c r="D813" t="s">
        <v>562</v>
      </c>
    </row>
    <row r="818" spans="2:3" x14ac:dyDescent="0.25">
      <c r="B818" t="s">
        <v>140</v>
      </c>
    </row>
    <row r="819" spans="2:3" x14ac:dyDescent="0.25">
      <c r="B819" t="s">
        <v>202</v>
      </c>
    </row>
    <row r="820" spans="2:3" x14ac:dyDescent="0.25">
      <c r="B820" t="s">
        <v>203</v>
      </c>
    </row>
    <row r="821" spans="2:3" x14ac:dyDescent="0.25">
      <c r="B821" t="s">
        <v>143</v>
      </c>
    </row>
    <row r="823" spans="2:3" x14ac:dyDescent="0.25">
      <c r="C823" t="s">
        <v>144</v>
      </c>
    </row>
    <row r="828" spans="2:3" x14ac:dyDescent="0.25">
      <c r="B828" t="s">
        <v>145</v>
      </c>
    </row>
    <row r="829" spans="2:3" x14ac:dyDescent="0.25">
      <c r="B829" t="s">
        <v>204</v>
      </c>
    </row>
    <row r="830" spans="2:3" x14ac:dyDescent="0.25">
      <c r="B830" t="s">
        <v>205</v>
      </c>
    </row>
    <row r="831" spans="2:3" x14ac:dyDescent="0.25">
      <c r="B831" t="s">
        <v>206</v>
      </c>
    </row>
    <row r="832" spans="2:3" x14ac:dyDescent="0.25">
      <c r="B832" t="s">
        <v>146</v>
      </c>
    </row>
    <row r="833" spans="2:8" x14ac:dyDescent="0.25">
      <c r="B833" t="s">
        <v>366</v>
      </c>
    </row>
    <row r="834" spans="2:8" x14ac:dyDescent="0.25">
      <c r="B834" t="s">
        <v>163</v>
      </c>
    </row>
    <row r="835" spans="2:8" x14ac:dyDescent="0.25">
      <c r="B835" t="s">
        <v>207</v>
      </c>
    </row>
    <row r="837" spans="2:8" x14ac:dyDescent="0.25">
      <c r="D837" t="s">
        <v>388</v>
      </c>
      <c r="E837" t="s">
        <v>389</v>
      </c>
    </row>
    <row r="838" spans="2:8" x14ac:dyDescent="0.25">
      <c r="D838" t="s">
        <v>390</v>
      </c>
      <c r="E838" t="s">
        <v>391</v>
      </c>
    </row>
    <row r="839" spans="2:8" x14ac:dyDescent="0.25">
      <c r="D839" t="s">
        <v>173</v>
      </c>
      <c r="E839">
        <v>150</v>
      </c>
      <c r="F839">
        <v>150</v>
      </c>
      <c r="G839">
        <v>150</v>
      </c>
      <c r="H839">
        <v>150</v>
      </c>
    </row>
    <row r="840" spans="2:8" x14ac:dyDescent="0.25">
      <c r="D840" t="s">
        <v>392</v>
      </c>
      <c r="E840" t="s">
        <v>393</v>
      </c>
    </row>
    <row r="841" spans="2:8" x14ac:dyDescent="0.25">
      <c r="D841" t="s">
        <v>208</v>
      </c>
    </row>
    <row r="843" spans="2:8" x14ac:dyDescent="0.25">
      <c r="D843" t="s">
        <v>388</v>
      </c>
      <c r="E843" t="s">
        <v>389</v>
      </c>
    </row>
    <row r="844" spans="2:8" x14ac:dyDescent="0.25">
      <c r="D844" t="s">
        <v>390</v>
      </c>
      <c r="E844" t="s">
        <v>394</v>
      </c>
    </row>
    <row r="845" spans="2:8" x14ac:dyDescent="0.25">
      <c r="D845" t="s">
        <v>173</v>
      </c>
      <c r="E845">
        <v>150</v>
      </c>
      <c r="F845">
        <v>150</v>
      </c>
      <c r="G845">
        <v>150</v>
      </c>
      <c r="H845">
        <v>150</v>
      </c>
    </row>
    <row r="846" spans="2:8" x14ac:dyDescent="0.25">
      <c r="D846" t="s">
        <v>209</v>
      </c>
    </row>
    <row r="848" spans="2:8" x14ac:dyDescent="0.25">
      <c r="D848" t="s">
        <v>388</v>
      </c>
      <c r="E848" t="s">
        <v>41</v>
      </c>
    </row>
    <row r="849" spans="4:5" x14ac:dyDescent="0.25">
      <c r="D849" t="s">
        <v>390</v>
      </c>
      <c r="E849" t="s">
        <v>396</v>
      </c>
    </row>
    <row r="850" spans="4:5" x14ac:dyDescent="0.25">
      <c r="D850" t="s">
        <v>397</v>
      </c>
      <c r="E850" t="s">
        <v>398</v>
      </c>
    </row>
    <row r="851" spans="4:5" x14ac:dyDescent="0.25">
      <c r="D851" t="s">
        <v>210</v>
      </c>
    </row>
    <row r="853" spans="4:5" x14ac:dyDescent="0.25">
      <c r="D853" t="s">
        <v>388</v>
      </c>
      <c r="E853" t="s">
        <v>399</v>
      </c>
    </row>
    <row r="854" spans="4:5" x14ac:dyDescent="0.25">
      <c r="D854" t="s">
        <v>390</v>
      </c>
      <c r="E854" t="s">
        <v>400</v>
      </c>
    </row>
    <row r="855" spans="4:5" x14ac:dyDescent="0.25">
      <c r="D855" t="s">
        <v>401</v>
      </c>
      <c r="E855" t="s">
        <v>402</v>
      </c>
    </row>
    <row r="856" spans="4:5" x14ac:dyDescent="0.25">
      <c r="D856" t="s">
        <v>211</v>
      </c>
    </row>
    <row r="858" spans="4:5" x14ac:dyDescent="0.25">
      <c r="D858" t="s">
        <v>388</v>
      </c>
      <c r="E858" t="s">
        <v>399</v>
      </c>
    </row>
    <row r="859" spans="4:5" x14ac:dyDescent="0.25">
      <c r="D859" t="s">
        <v>390</v>
      </c>
      <c r="E859" t="s">
        <v>403</v>
      </c>
    </row>
    <row r="860" spans="4:5" x14ac:dyDescent="0.25">
      <c r="D860" t="s">
        <v>401</v>
      </c>
      <c r="E860" t="s">
        <v>402</v>
      </c>
    </row>
    <row r="861" spans="4:5" x14ac:dyDescent="0.25">
      <c r="D861" t="s">
        <v>382</v>
      </c>
    </row>
    <row r="863" spans="4:5" x14ac:dyDescent="0.25">
      <c r="D863" t="s">
        <v>388</v>
      </c>
      <c r="E863" t="s">
        <v>41</v>
      </c>
    </row>
    <row r="864" spans="4:5" x14ac:dyDescent="0.25">
      <c r="D864" t="s">
        <v>390</v>
      </c>
      <c r="E864" t="s">
        <v>404</v>
      </c>
    </row>
    <row r="865" spans="4:5" x14ac:dyDescent="0.25">
      <c r="D865" t="s">
        <v>397</v>
      </c>
      <c r="E865" t="s">
        <v>398</v>
      </c>
    </row>
    <row r="866" spans="4:5" x14ac:dyDescent="0.25">
      <c r="D866" t="s">
        <v>383</v>
      </c>
    </row>
    <row r="868" spans="4:5" x14ac:dyDescent="0.25">
      <c r="D868" t="s">
        <v>388</v>
      </c>
      <c r="E868" t="s">
        <v>41</v>
      </c>
    </row>
    <row r="869" spans="4:5" x14ac:dyDescent="0.25">
      <c r="D869" t="s">
        <v>390</v>
      </c>
      <c r="E869" t="s">
        <v>405</v>
      </c>
    </row>
    <row r="870" spans="4:5" x14ac:dyDescent="0.25">
      <c r="D870" t="s">
        <v>397</v>
      </c>
      <c r="E870" t="s">
        <v>398</v>
      </c>
    </row>
    <row r="871" spans="4:5" x14ac:dyDescent="0.25">
      <c r="D871" t="s">
        <v>384</v>
      </c>
    </row>
    <row r="873" spans="4:5" x14ac:dyDescent="0.25">
      <c r="D873" t="s">
        <v>388</v>
      </c>
      <c r="E873" t="s">
        <v>41</v>
      </c>
    </row>
    <row r="874" spans="4:5" x14ac:dyDescent="0.25">
      <c r="D874" t="s">
        <v>390</v>
      </c>
      <c r="E874" t="s">
        <v>406</v>
      </c>
    </row>
    <row r="875" spans="4:5" x14ac:dyDescent="0.25">
      <c r="D875" t="s">
        <v>397</v>
      </c>
      <c r="E875" t="s">
        <v>398</v>
      </c>
    </row>
    <row r="876" spans="4:5" x14ac:dyDescent="0.25">
      <c r="D876" t="s">
        <v>385</v>
      </c>
    </row>
    <row r="878" spans="4:5" x14ac:dyDescent="0.25">
      <c r="D878" t="s">
        <v>388</v>
      </c>
      <c r="E878" t="s">
        <v>41</v>
      </c>
    </row>
    <row r="879" spans="4:5" x14ac:dyDescent="0.25">
      <c r="D879" t="s">
        <v>390</v>
      </c>
      <c r="E879" t="s">
        <v>407</v>
      </c>
    </row>
    <row r="880" spans="4:5" x14ac:dyDescent="0.25">
      <c r="D880" t="s">
        <v>397</v>
      </c>
      <c r="E880" t="s">
        <v>398</v>
      </c>
    </row>
    <row r="881" spans="4:5" x14ac:dyDescent="0.25">
      <c r="D881" t="s">
        <v>484</v>
      </c>
    </row>
    <row r="883" spans="4:5" x14ac:dyDescent="0.25">
      <c r="D883" t="s">
        <v>388</v>
      </c>
      <c r="E883" t="s">
        <v>41</v>
      </c>
    </row>
    <row r="884" spans="4:5" x14ac:dyDescent="0.25">
      <c r="D884" t="s">
        <v>390</v>
      </c>
      <c r="E884" t="s">
        <v>409</v>
      </c>
    </row>
    <row r="885" spans="4:5" x14ac:dyDescent="0.25">
      <c r="D885" t="s">
        <v>397</v>
      </c>
      <c r="E885" t="s">
        <v>398</v>
      </c>
    </row>
    <row r="886" spans="4:5" x14ac:dyDescent="0.25">
      <c r="D886" t="s">
        <v>485</v>
      </c>
    </row>
    <row r="888" spans="4:5" x14ac:dyDescent="0.25">
      <c r="D888" t="s">
        <v>388</v>
      </c>
      <c r="E888" t="s">
        <v>41</v>
      </c>
    </row>
    <row r="889" spans="4:5" x14ac:dyDescent="0.25">
      <c r="D889" t="s">
        <v>390</v>
      </c>
      <c r="E889" t="s">
        <v>411</v>
      </c>
    </row>
    <row r="890" spans="4:5" x14ac:dyDescent="0.25">
      <c r="D890" t="s">
        <v>397</v>
      </c>
      <c r="E890" t="s">
        <v>398</v>
      </c>
    </row>
    <row r="891" spans="4:5" x14ac:dyDescent="0.25">
      <c r="D891" t="s">
        <v>486</v>
      </c>
    </row>
    <row r="893" spans="4:5" x14ac:dyDescent="0.25">
      <c r="D893" t="s">
        <v>388</v>
      </c>
      <c r="E893" t="s">
        <v>413</v>
      </c>
    </row>
    <row r="894" spans="4:5" x14ac:dyDescent="0.25">
      <c r="D894" t="s">
        <v>390</v>
      </c>
      <c r="E894" t="s">
        <v>414</v>
      </c>
    </row>
    <row r="895" spans="4:5" x14ac:dyDescent="0.25">
      <c r="D895" t="s">
        <v>415</v>
      </c>
    </row>
    <row r="896" spans="4:5" x14ac:dyDescent="0.25">
      <c r="D896" t="s">
        <v>416</v>
      </c>
    </row>
    <row r="897" spans="4:5" x14ac:dyDescent="0.25">
      <c r="D897" t="s">
        <v>417</v>
      </c>
    </row>
    <row r="898" spans="4:5" x14ac:dyDescent="0.25">
      <c r="D898" t="s">
        <v>418</v>
      </c>
    </row>
    <row r="899" spans="4:5" x14ac:dyDescent="0.25">
      <c r="D899" t="s">
        <v>419</v>
      </c>
      <c r="E899" t="b">
        <v>0</v>
      </c>
    </row>
    <row r="900" spans="4:5" x14ac:dyDescent="0.25">
      <c r="D900" t="s">
        <v>420</v>
      </c>
      <c r="E900" t="s">
        <v>421</v>
      </c>
    </row>
    <row r="901" spans="4:5" x14ac:dyDescent="0.25">
      <c r="D901" t="s">
        <v>487</v>
      </c>
    </row>
    <row r="903" spans="4:5" x14ac:dyDescent="0.25">
      <c r="D903" t="s">
        <v>388</v>
      </c>
      <c r="E903" t="s">
        <v>413</v>
      </c>
    </row>
    <row r="904" spans="4:5" x14ac:dyDescent="0.25">
      <c r="D904" t="s">
        <v>390</v>
      </c>
      <c r="E904" t="s">
        <v>414</v>
      </c>
    </row>
    <row r="905" spans="4:5" x14ac:dyDescent="0.25">
      <c r="D905" t="s">
        <v>415</v>
      </c>
    </row>
    <row r="906" spans="4:5" x14ac:dyDescent="0.25">
      <c r="D906" t="s">
        <v>416</v>
      </c>
    </row>
    <row r="907" spans="4:5" x14ac:dyDescent="0.25">
      <c r="D907" t="s">
        <v>417</v>
      </c>
    </row>
    <row r="908" spans="4:5" x14ac:dyDescent="0.25">
      <c r="D908" t="s">
        <v>418</v>
      </c>
    </row>
    <row r="909" spans="4:5" x14ac:dyDescent="0.25">
      <c r="D909" t="s">
        <v>419</v>
      </c>
      <c r="E909" t="b">
        <v>1</v>
      </c>
    </row>
    <row r="910" spans="4:5" x14ac:dyDescent="0.25">
      <c r="D910" t="s">
        <v>420</v>
      </c>
      <c r="E910" t="s">
        <v>423</v>
      </c>
    </row>
    <row r="911" spans="4:5" x14ac:dyDescent="0.25">
      <c r="D911" t="s">
        <v>488</v>
      </c>
    </row>
    <row r="913" spans="4:8" x14ac:dyDescent="0.25">
      <c r="D913" t="s">
        <v>388</v>
      </c>
      <c r="E913" t="s">
        <v>389</v>
      </c>
    </row>
    <row r="914" spans="4:8" x14ac:dyDescent="0.25">
      <c r="D914" t="s">
        <v>390</v>
      </c>
      <c r="E914" t="s">
        <v>425</v>
      </c>
    </row>
    <row r="915" spans="4:8" x14ac:dyDescent="0.25">
      <c r="D915" t="s">
        <v>168</v>
      </c>
    </row>
    <row r="916" spans="4:8" x14ac:dyDescent="0.25">
      <c r="D916" t="s">
        <v>170</v>
      </c>
      <c r="E916">
        <v>2</v>
      </c>
      <c r="F916">
        <v>3</v>
      </c>
      <c r="G916">
        <v>4</v>
      </c>
      <c r="H916">
        <v>5</v>
      </c>
    </row>
    <row r="917" spans="4:8" x14ac:dyDescent="0.25">
      <c r="D917" t="s">
        <v>171</v>
      </c>
      <c r="E917" t="s">
        <v>131</v>
      </c>
      <c r="F917" t="s">
        <v>131</v>
      </c>
      <c r="G917" t="s">
        <v>131</v>
      </c>
      <c r="H917" t="s">
        <v>131</v>
      </c>
    </row>
    <row r="918" spans="4:8" x14ac:dyDescent="0.25">
      <c r="D918" t="s">
        <v>172</v>
      </c>
      <c r="E918">
        <v>2</v>
      </c>
      <c r="F918">
        <v>3</v>
      </c>
      <c r="G918">
        <v>4</v>
      </c>
      <c r="H918">
        <v>5</v>
      </c>
    </row>
    <row r="919" spans="4:8" x14ac:dyDescent="0.25">
      <c r="D919" t="s">
        <v>173</v>
      </c>
      <c r="E919">
        <v>150</v>
      </c>
      <c r="F919">
        <v>150</v>
      </c>
      <c r="G919">
        <v>150</v>
      </c>
      <c r="H919">
        <v>150</v>
      </c>
    </row>
    <row r="920" spans="4:8" x14ac:dyDescent="0.25">
      <c r="D920" t="s">
        <v>426</v>
      </c>
      <c r="E920">
        <v>0</v>
      </c>
      <c r="F920">
        <v>0</v>
      </c>
      <c r="G920">
        <v>0</v>
      </c>
      <c r="H920">
        <v>0</v>
      </c>
    </row>
    <row r="921" spans="4:8" x14ac:dyDescent="0.25">
      <c r="D921" t="s">
        <v>176</v>
      </c>
      <c r="E921" t="s">
        <v>40</v>
      </c>
      <c r="F921" t="s">
        <v>40</v>
      </c>
      <c r="G921" t="s">
        <v>40</v>
      </c>
      <c r="H921" t="s">
        <v>40</v>
      </c>
    </row>
    <row r="922" spans="4:8" x14ac:dyDescent="0.25">
      <c r="D922" t="s">
        <v>427</v>
      </c>
    </row>
    <row r="923" spans="4:8" x14ac:dyDescent="0.25">
      <c r="D923" t="s">
        <v>428</v>
      </c>
    </row>
    <row r="924" spans="4:8" x14ac:dyDescent="0.25">
      <c r="D924" t="s">
        <v>429</v>
      </c>
      <c r="E924" t="s">
        <v>430</v>
      </c>
    </row>
    <row r="925" spans="4:8" x14ac:dyDescent="0.25">
      <c r="D925" t="s">
        <v>489</v>
      </c>
    </row>
    <row r="927" spans="4:8" x14ac:dyDescent="0.25">
      <c r="D927" t="s">
        <v>388</v>
      </c>
      <c r="E927" t="s">
        <v>432</v>
      </c>
    </row>
    <row r="928" spans="4:8" x14ac:dyDescent="0.25">
      <c r="D928" t="s">
        <v>390</v>
      </c>
      <c r="E928" t="s">
        <v>433</v>
      </c>
    </row>
    <row r="929" spans="4:5" x14ac:dyDescent="0.25">
      <c r="D929" t="s">
        <v>434</v>
      </c>
      <c r="E929">
        <v>300</v>
      </c>
    </row>
    <row r="930" spans="4:5" x14ac:dyDescent="0.25">
      <c r="D930" t="s">
        <v>490</v>
      </c>
    </row>
    <row r="932" spans="4:5" x14ac:dyDescent="0.25">
      <c r="D932" t="s">
        <v>388</v>
      </c>
      <c r="E932" t="s">
        <v>432</v>
      </c>
    </row>
    <row r="933" spans="4:5" x14ac:dyDescent="0.25">
      <c r="D933" t="s">
        <v>390</v>
      </c>
      <c r="E933" t="s">
        <v>436</v>
      </c>
    </row>
    <row r="934" spans="4:5" x14ac:dyDescent="0.25">
      <c r="D934" t="s">
        <v>491</v>
      </c>
    </row>
    <row r="936" spans="4:5" x14ac:dyDescent="0.25">
      <c r="D936" t="s">
        <v>388</v>
      </c>
      <c r="E936" t="s">
        <v>41</v>
      </c>
    </row>
    <row r="937" spans="4:5" x14ac:dyDescent="0.25">
      <c r="D937" t="s">
        <v>390</v>
      </c>
      <c r="E937" t="s">
        <v>433</v>
      </c>
    </row>
    <row r="938" spans="4:5" x14ac:dyDescent="0.25">
      <c r="D938" t="s">
        <v>397</v>
      </c>
      <c r="E938" t="s">
        <v>86</v>
      </c>
    </row>
    <row r="939" spans="4:5" x14ac:dyDescent="0.25">
      <c r="D939" t="s">
        <v>438</v>
      </c>
      <c r="E939" t="s">
        <v>439</v>
      </c>
    </row>
    <row r="940" spans="4:5" x14ac:dyDescent="0.25">
      <c r="D940" t="s">
        <v>492</v>
      </c>
    </row>
    <row r="942" spans="4:5" x14ac:dyDescent="0.25">
      <c r="D942" t="s">
        <v>388</v>
      </c>
      <c r="E942" t="s">
        <v>432</v>
      </c>
    </row>
    <row r="943" spans="4:5" x14ac:dyDescent="0.25">
      <c r="D943" t="s">
        <v>390</v>
      </c>
      <c r="E943" t="s">
        <v>433</v>
      </c>
    </row>
    <row r="944" spans="4:5" x14ac:dyDescent="0.25">
      <c r="D944" t="s">
        <v>434</v>
      </c>
      <c r="E944">
        <v>131.19999999999999</v>
      </c>
    </row>
    <row r="945" spans="2:5" x14ac:dyDescent="0.25">
      <c r="D945" t="s">
        <v>563</v>
      </c>
    </row>
    <row r="947" spans="2:5" x14ac:dyDescent="0.25">
      <c r="D947" t="s">
        <v>388</v>
      </c>
      <c r="E947" t="s">
        <v>432</v>
      </c>
    </row>
    <row r="948" spans="2:5" x14ac:dyDescent="0.25">
      <c r="D948" t="s">
        <v>390</v>
      </c>
      <c r="E948" t="s">
        <v>436</v>
      </c>
    </row>
    <row r="949" spans="2:5" x14ac:dyDescent="0.25">
      <c r="D949" t="s">
        <v>564</v>
      </c>
    </row>
    <row r="954" spans="2:5" x14ac:dyDescent="0.25">
      <c r="B954" t="s">
        <v>145</v>
      </c>
    </row>
    <row r="955" spans="2:5" x14ac:dyDescent="0.25">
      <c r="B955" t="s">
        <v>212</v>
      </c>
    </row>
    <row r="956" spans="2:5" x14ac:dyDescent="0.25">
      <c r="B956" t="s">
        <v>213</v>
      </c>
    </row>
    <row r="957" spans="2:5" x14ac:dyDescent="0.25">
      <c r="B957" t="s">
        <v>214</v>
      </c>
    </row>
    <row r="958" spans="2:5" x14ac:dyDescent="0.25">
      <c r="B958" t="s">
        <v>146</v>
      </c>
    </row>
    <row r="959" spans="2:5" x14ac:dyDescent="0.25">
      <c r="B959" t="s">
        <v>366</v>
      </c>
    </row>
    <row r="960" spans="2:5" x14ac:dyDescent="0.25">
      <c r="B960" t="s">
        <v>163</v>
      </c>
    </row>
    <row r="961" spans="2:8" x14ac:dyDescent="0.25">
      <c r="B961" t="s">
        <v>207</v>
      </c>
    </row>
    <row r="963" spans="2:8" x14ac:dyDescent="0.25">
      <c r="D963" t="s">
        <v>388</v>
      </c>
      <c r="E963" t="s">
        <v>389</v>
      </c>
    </row>
    <row r="964" spans="2:8" x14ac:dyDescent="0.25">
      <c r="D964" t="s">
        <v>390</v>
      </c>
      <c r="E964" t="s">
        <v>391</v>
      </c>
    </row>
    <row r="965" spans="2:8" x14ac:dyDescent="0.25">
      <c r="D965" t="s">
        <v>173</v>
      </c>
      <c r="E965">
        <v>150</v>
      </c>
      <c r="F965">
        <v>150</v>
      </c>
      <c r="G965">
        <v>150</v>
      </c>
      <c r="H965">
        <v>150</v>
      </c>
    </row>
    <row r="966" spans="2:8" x14ac:dyDescent="0.25">
      <c r="D966" t="s">
        <v>392</v>
      </c>
      <c r="E966" t="s">
        <v>393</v>
      </c>
    </row>
    <row r="967" spans="2:8" x14ac:dyDescent="0.25">
      <c r="D967" t="s">
        <v>217</v>
      </c>
    </row>
    <row r="969" spans="2:8" x14ac:dyDescent="0.25">
      <c r="D969" t="s">
        <v>388</v>
      </c>
      <c r="E969" t="s">
        <v>389</v>
      </c>
    </row>
    <row r="970" spans="2:8" x14ac:dyDescent="0.25">
      <c r="D970" t="s">
        <v>390</v>
      </c>
      <c r="E970" t="s">
        <v>394</v>
      </c>
    </row>
    <row r="971" spans="2:8" x14ac:dyDescent="0.25">
      <c r="D971" t="s">
        <v>173</v>
      </c>
      <c r="E971">
        <v>150</v>
      </c>
      <c r="F971">
        <v>150</v>
      </c>
      <c r="G971">
        <v>150</v>
      </c>
      <c r="H971">
        <v>150</v>
      </c>
    </row>
    <row r="972" spans="2:8" x14ac:dyDescent="0.25">
      <c r="D972" t="s">
        <v>218</v>
      </c>
    </row>
    <row r="974" spans="2:8" x14ac:dyDescent="0.25">
      <c r="D974" t="s">
        <v>388</v>
      </c>
      <c r="E974" t="s">
        <v>41</v>
      </c>
    </row>
    <row r="975" spans="2:8" x14ac:dyDescent="0.25">
      <c r="D975" t="s">
        <v>390</v>
      </c>
      <c r="E975" t="s">
        <v>396</v>
      </c>
    </row>
    <row r="976" spans="2:8" x14ac:dyDescent="0.25">
      <c r="D976" t="s">
        <v>397</v>
      </c>
      <c r="E976" t="s">
        <v>398</v>
      </c>
    </row>
    <row r="977" spans="4:8" x14ac:dyDescent="0.25">
      <c r="D977" t="s">
        <v>219</v>
      </c>
    </row>
    <row r="979" spans="4:8" x14ac:dyDescent="0.25">
      <c r="D979" t="s">
        <v>388</v>
      </c>
      <c r="E979" t="s">
        <v>389</v>
      </c>
    </row>
    <row r="980" spans="4:8" x14ac:dyDescent="0.25">
      <c r="D980" t="s">
        <v>390</v>
      </c>
      <c r="E980" t="s">
        <v>425</v>
      </c>
    </row>
    <row r="981" spans="4:8" x14ac:dyDescent="0.25">
      <c r="D981" t="s">
        <v>168</v>
      </c>
    </row>
    <row r="982" spans="4:8" x14ac:dyDescent="0.25">
      <c r="D982" t="s">
        <v>170</v>
      </c>
      <c r="E982">
        <v>2</v>
      </c>
      <c r="F982">
        <v>3</v>
      </c>
      <c r="G982">
        <v>4</v>
      </c>
      <c r="H982">
        <v>5</v>
      </c>
    </row>
    <row r="983" spans="4:8" x14ac:dyDescent="0.25">
      <c r="D983" t="s">
        <v>171</v>
      </c>
      <c r="E983" t="s">
        <v>138</v>
      </c>
      <c r="F983" t="s">
        <v>138</v>
      </c>
      <c r="G983" t="s">
        <v>138</v>
      </c>
      <c r="H983" t="s">
        <v>138</v>
      </c>
    </row>
    <row r="984" spans="4:8" x14ac:dyDescent="0.25">
      <c r="D984" t="s">
        <v>172</v>
      </c>
      <c r="E984">
        <v>2</v>
      </c>
      <c r="F984">
        <v>3</v>
      </c>
      <c r="G984">
        <v>4</v>
      </c>
      <c r="H984">
        <v>5</v>
      </c>
    </row>
    <row r="985" spans="4:8" x14ac:dyDescent="0.25">
      <c r="D985" t="s">
        <v>173</v>
      </c>
      <c r="E985">
        <v>150</v>
      </c>
      <c r="F985">
        <v>150</v>
      </c>
      <c r="G985">
        <v>150</v>
      </c>
      <c r="H985">
        <v>150</v>
      </c>
    </row>
    <row r="986" spans="4:8" x14ac:dyDescent="0.25">
      <c r="D986" t="s">
        <v>426</v>
      </c>
      <c r="E986">
        <v>0</v>
      </c>
      <c r="F986">
        <v>0</v>
      </c>
      <c r="G986">
        <v>0</v>
      </c>
      <c r="H986">
        <v>0</v>
      </c>
    </row>
    <row r="987" spans="4:8" x14ac:dyDescent="0.25">
      <c r="D987" t="s">
        <v>176</v>
      </c>
      <c r="E987" t="s">
        <v>40</v>
      </c>
      <c r="F987" t="s">
        <v>40</v>
      </c>
      <c r="G987" t="s">
        <v>40</v>
      </c>
      <c r="H987" t="s">
        <v>40</v>
      </c>
    </row>
    <row r="988" spans="4:8" x14ac:dyDescent="0.25">
      <c r="D988" t="s">
        <v>427</v>
      </c>
    </row>
    <row r="989" spans="4:8" x14ac:dyDescent="0.25">
      <c r="D989" t="s">
        <v>428</v>
      </c>
    </row>
    <row r="990" spans="4:8" x14ac:dyDescent="0.25">
      <c r="D990" t="s">
        <v>429</v>
      </c>
      <c r="E990" t="s">
        <v>430</v>
      </c>
    </row>
    <row r="991" spans="4:8" x14ac:dyDescent="0.25">
      <c r="D991" t="s">
        <v>220</v>
      </c>
    </row>
    <row r="993" spans="4:5" x14ac:dyDescent="0.25">
      <c r="D993" t="s">
        <v>388</v>
      </c>
      <c r="E993" t="s">
        <v>432</v>
      </c>
    </row>
    <row r="994" spans="4:5" x14ac:dyDescent="0.25">
      <c r="D994" t="s">
        <v>390</v>
      </c>
      <c r="E994" t="s">
        <v>433</v>
      </c>
    </row>
    <row r="995" spans="4:5" x14ac:dyDescent="0.25">
      <c r="D995" t="s">
        <v>434</v>
      </c>
      <c r="E995">
        <v>300</v>
      </c>
    </row>
    <row r="996" spans="4:5" x14ac:dyDescent="0.25">
      <c r="D996" t="s">
        <v>386</v>
      </c>
    </row>
    <row r="998" spans="4:5" x14ac:dyDescent="0.25">
      <c r="D998" t="s">
        <v>388</v>
      </c>
      <c r="E998" t="s">
        <v>432</v>
      </c>
    </row>
    <row r="999" spans="4:5" x14ac:dyDescent="0.25">
      <c r="D999" t="s">
        <v>390</v>
      </c>
      <c r="E999" t="s">
        <v>436</v>
      </c>
    </row>
    <row r="1000" spans="4:5" x14ac:dyDescent="0.25">
      <c r="D1000" t="s">
        <v>387</v>
      </c>
    </row>
    <row r="1002" spans="4:5" x14ac:dyDescent="0.25">
      <c r="D1002" t="s">
        <v>388</v>
      </c>
      <c r="E1002" t="s">
        <v>41</v>
      </c>
    </row>
    <row r="1003" spans="4:5" x14ac:dyDescent="0.25">
      <c r="D1003" t="s">
        <v>390</v>
      </c>
      <c r="E1003" t="s">
        <v>433</v>
      </c>
    </row>
    <row r="1004" spans="4:5" x14ac:dyDescent="0.25">
      <c r="D1004" t="s">
        <v>397</v>
      </c>
      <c r="E1004" t="s">
        <v>86</v>
      </c>
    </row>
    <row r="1005" spans="4:5" x14ac:dyDescent="0.25">
      <c r="D1005" t="s">
        <v>438</v>
      </c>
      <c r="E1005" t="s">
        <v>439</v>
      </c>
    </row>
    <row r="1006" spans="4:5" x14ac:dyDescent="0.25">
      <c r="D1006" t="s">
        <v>493</v>
      </c>
    </row>
    <row r="1008" spans="4:5" x14ac:dyDescent="0.25">
      <c r="D1008" t="s">
        <v>388</v>
      </c>
      <c r="E1008" t="s">
        <v>432</v>
      </c>
    </row>
    <row r="1009" spans="2:5" x14ac:dyDescent="0.25">
      <c r="D1009" t="s">
        <v>390</v>
      </c>
      <c r="E1009" t="s">
        <v>433</v>
      </c>
    </row>
    <row r="1010" spans="2:5" x14ac:dyDescent="0.25">
      <c r="D1010" t="s">
        <v>434</v>
      </c>
      <c r="E1010">
        <v>131.19999999999999</v>
      </c>
    </row>
    <row r="1011" spans="2:5" x14ac:dyDescent="0.25">
      <c r="D1011" t="s">
        <v>565</v>
      </c>
    </row>
    <row r="1013" spans="2:5" x14ac:dyDescent="0.25">
      <c r="D1013" t="s">
        <v>388</v>
      </c>
      <c r="E1013" t="s">
        <v>432</v>
      </c>
    </row>
    <row r="1014" spans="2:5" x14ac:dyDescent="0.25">
      <c r="D1014" t="s">
        <v>390</v>
      </c>
      <c r="E1014" t="s">
        <v>436</v>
      </c>
    </row>
    <row r="1015" spans="2:5" x14ac:dyDescent="0.25">
      <c r="D1015" t="s">
        <v>566</v>
      </c>
    </row>
    <row r="1020" spans="2:5" x14ac:dyDescent="0.25">
      <c r="B1020" t="s">
        <v>145</v>
      </c>
    </row>
    <row r="1021" spans="2:5" x14ac:dyDescent="0.25">
      <c r="B1021" t="s">
        <v>221</v>
      </c>
    </row>
    <row r="1022" spans="2:5" x14ac:dyDescent="0.25">
      <c r="B1022" t="s">
        <v>222</v>
      </c>
    </row>
    <row r="1023" spans="2:5" x14ac:dyDescent="0.25">
      <c r="B1023" t="s">
        <v>223</v>
      </c>
    </row>
    <row r="1024" spans="2:5" x14ac:dyDescent="0.25">
      <c r="B1024" t="s">
        <v>146</v>
      </c>
    </row>
    <row r="1025" spans="2:8" x14ac:dyDescent="0.25">
      <c r="B1025" t="s">
        <v>366</v>
      </c>
    </row>
    <row r="1026" spans="2:8" x14ac:dyDescent="0.25">
      <c r="B1026" t="s">
        <v>163</v>
      </c>
    </row>
    <row r="1027" spans="2:8" x14ac:dyDescent="0.25">
      <c r="B1027" t="s">
        <v>207</v>
      </c>
    </row>
    <row r="1029" spans="2:8" x14ac:dyDescent="0.25">
      <c r="D1029" t="s">
        <v>388</v>
      </c>
      <c r="E1029" t="s">
        <v>389</v>
      </c>
    </row>
    <row r="1030" spans="2:8" x14ac:dyDescent="0.25">
      <c r="D1030" t="s">
        <v>390</v>
      </c>
      <c r="E1030" t="s">
        <v>391</v>
      </c>
    </row>
    <row r="1031" spans="2:8" x14ac:dyDescent="0.25">
      <c r="D1031" t="s">
        <v>173</v>
      </c>
      <c r="E1031">
        <v>150</v>
      </c>
      <c r="F1031">
        <v>150</v>
      </c>
      <c r="G1031">
        <v>150</v>
      </c>
      <c r="H1031">
        <v>150</v>
      </c>
    </row>
    <row r="1032" spans="2:8" x14ac:dyDescent="0.25">
      <c r="D1032" t="s">
        <v>392</v>
      </c>
      <c r="E1032" t="s">
        <v>393</v>
      </c>
    </row>
    <row r="1033" spans="2:8" x14ac:dyDescent="0.25">
      <c r="D1033" t="s">
        <v>226</v>
      </c>
    </row>
    <row r="1035" spans="2:8" x14ac:dyDescent="0.25">
      <c r="D1035" t="s">
        <v>388</v>
      </c>
      <c r="E1035" t="s">
        <v>389</v>
      </c>
    </row>
    <row r="1036" spans="2:8" x14ac:dyDescent="0.25">
      <c r="D1036" t="s">
        <v>390</v>
      </c>
      <c r="E1036" t="s">
        <v>394</v>
      </c>
    </row>
    <row r="1037" spans="2:8" x14ac:dyDescent="0.25">
      <c r="D1037" t="s">
        <v>173</v>
      </c>
      <c r="E1037">
        <v>150</v>
      </c>
      <c r="F1037">
        <v>150</v>
      </c>
      <c r="G1037">
        <v>150</v>
      </c>
      <c r="H1037">
        <v>150</v>
      </c>
    </row>
    <row r="1038" spans="2:8" x14ac:dyDescent="0.25">
      <c r="D1038" t="s">
        <v>227</v>
      </c>
    </row>
    <row r="1040" spans="2:8" x14ac:dyDescent="0.25">
      <c r="D1040" t="s">
        <v>388</v>
      </c>
      <c r="E1040" t="s">
        <v>41</v>
      </c>
    </row>
    <row r="1041" spans="4:8" x14ac:dyDescent="0.25">
      <c r="D1041" t="s">
        <v>390</v>
      </c>
      <c r="E1041" t="s">
        <v>396</v>
      </c>
    </row>
    <row r="1042" spans="4:8" x14ac:dyDescent="0.25">
      <c r="D1042" t="s">
        <v>397</v>
      </c>
      <c r="E1042" t="s">
        <v>398</v>
      </c>
    </row>
    <row r="1043" spans="4:8" x14ac:dyDescent="0.25">
      <c r="D1043" t="s">
        <v>228</v>
      </c>
    </row>
    <row r="1045" spans="4:8" x14ac:dyDescent="0.25">
      <c r="D1045" t="s">
        <v>388</v>
      </c>
      <c r="E1045" t="s">
        <v>389</v>
      </c>
    </row>
    <row r="1046" spans="4:8" x14ac:dyDescent="0.25">
      <c r="D1046" t="s">
        <v>390</v>
      </c>
      <c r="E1046" t="s">
        <v>425</v>
      </c>
    </row>
    <row r="1047" spans="4:8" x14ac:dyDescent="0.25">
      <c r="D1047" t="s">
        <v>168</v>
      </c>
    </row>
    <row r="1048" spans="4:8" x14ac:dyDescent="0.25">
      <c r="D1048" t="s">
        <v>170</v>
      </c>
      <c r="E1048">
        <v>2</v>
      </c>
      <c r="F1048">
        <v>3</v>
      </c>
      <c r="G1048">
        <v>4</v>
      </c>
      <c r="H1048">
        <v>5</v>
      </c>
    </row>
    <row r="1049" spans="4:8" x14ac:dyDescent="0.25">
      <c r="D1049" t="s">
        <v>171</v>
      </c>
      <c r="E1049" t="s">
        <v>138</v>
      </c>
      <c r="F1049" t="s">
        <v>138</v>
      </c>
      <c r="G1049" t="s">
        <v>138</v>
      </c>
      <c r="H1049" t="s">
        <v>138</v>
      </c>
    </row>
    <row r="1050" spans="4:8" x14ac:dyDescent="0.25">
      <c r="D1050" t="s">
        <v>172</v>
      </c>
      <c r="E1050">
        <v>2</v>
      </c>
      <c r="F1050">
        <v>3</v>
      </c>
      <c r="G1050">
        <v>4</v>
      </c>
      <c r="H1050">
        <v>5</v>
      </c>
    </row>
    <row r="1051" spans="4:8" x14ac:dyDescent="0.25">
      <c r="D1051" t="s">
        <v>173</v>
      </c>
      <c r="E1051">
        <v>150</v>
      </c>
      <c r="F1051">
        <v>150</v>
      </c>
      <c r="G1051">
        <v>150</v>
      </c>
      <c r="H1051">
        <v>150</v>
      </c>
    </row>
    <row r="1052" spans="4:8" x14ac:dyDescent="0.25">
      <c r="D1052" t="s">
        <v>426</v>
      </c>
      <c r="E1052">
        <v>0</v>
      </c>
      <c r="F1052">
        <v>0</v>
      </c>
      <c r="G1052">
        <v>0</v>
      </c>
      <c r="H1052">
        <v>0</v>
      </c>
    </row>
    <row r="1053" spans="4:8" x14ac:dyDescent="0.25">
      <c r="D1053" t="s">
        <v>176</v>
      </c>
      <c r="E1053" t="s">
        <v>40</v>
      </c>
      <c r="F1053" t="s">
        <v>40</v>
      </c>
      <c r="G1053" t="s">
        <v>40</v>
      </c>
      <c r="H1053" t="s">
        <v>40</v>
      </c>
    </row>
    <row r="1054" spans="4:8" x14ac:dyDescent="0.25">
      <c r="D1054" t="s">
        <v>427</v>
      </c>
    </row>
    <row r="1055" spans="4:8" x14ac:dyDescent="0.25">
      <c r="D1055" t="s">
        <v>428</v>
      </c>
    </row>
    <row r="1056" spans="4:8" x14ac:dyDescent="0.25">
      <c r="D1056" t="s">
        <v>429</v>
      </c>
      <c r="E1056" t="s">
        <v>430</v>
      </c>
    </row>
    <row r="1057" spans="4:5" x14ac:dyDescent="0.25">
      <c r="D1057" t="s">
        <v>229</v>
      </c>
    </row>
    <row r="1059" spans="4:5" x14ac:dyDescent="0.25">
      <c r="D1059" t="s">
        <v>388</v>
      </c>
      <c r="E1059" t="s">
        <v>432</v>
      </c>
    </row>
    <row r="1060" spans="4:5" x14ac:dyDescent="0.25">
      <c r="D1060" t="s">
        <v>390</v>
      </c>
      <c r="E1060" t="s">
        <v>433</v>
      </c>
    </row>
    <row r="1061" spans="4:5" x14ac:dyDescent="0.25">
      <c r="D1061" t="s">
        <v>434</v>
      </c>
      <c r="E1061">
        <v>300</v>
      </c>
    </row>
    <row r="1062" spans="4:5" x14ac:dyDescent="0.25">
      <c r="D1062" t="s">
        <v>494</v>
      </c>
    </row>
    <row r="1064" spans="4:5" x14ac:dyDescent="0.25">
      <c r="D1064" t="s">
        <v>388</v>
      </c>
      <c r="E1064" t="s">
        <v>432</v>
      </c>
    </row>
    <row r="1065" spans="4:5" x14ac:dyDescent="0.25">
      <c r="D1065" t="s">
        <v>390</v>
      </c>
      <c r="E1065" t="s">
        <v>436</v>
      </c>
    </row>
    <row r="1066" spans="4:5" x14ac:dyDescent="0.25">
      <c r="D1066" t="s">
        <v>495</v>
      </c>
    </row>
    <row r="1068" spans="4:5" x14ac:dyDescent="0.25">
      <c r="D1068" t="s">
        <v>388</v>
      </c>
      <c r="E1068" t="s">
        <v>41</v>
      </c>
    </row>
    <row r="1069" spans="4:5" x14ac:dyDescent="0.25">
      <c r="D1069" t="s">
        <v>390</v>
      </c>
      <c r="E1069" t="s">
        <v>433</v>
      </c>
    </row>
    <row r="1070" spans="4:5" x14ac:dyDescent="0.25">
      <c r="D1070" t="s">
        <v>397</v>
      </c>
      <c r="E1070" t="s">
        <v>86</v>
      </c>
    </row>
    <row r="1071" spans="4:5" x14ac:dyDescent="0.25">
      <c r="D1071" t="s">
        <v>438</v>
      </c>
      <c r="E1071" t="s">
        <v>439</v>
      </c>
    </row>
    <row r="1072" spans="4:5" x14ac:dyDescent="0.25">
      <c r="D1072" t="s">
        <v>496</v>
      </c>
    </row>
    <row r="1074" spans="2:5" x14ac:dyDescent="0.25">
      <c r="D1074" t="s">
        <v>388</v>
      </c>
      <c r="E1074" t="s">
        <v>432</v>
      </c>
    </row>
    <row r="1075" spans="2:5" x14ac:dyDescent="0.25">
      <c r="D1075" t="s">
        <v>390</v>
      </c>
      <c r="E1075" t="s">
        <v>433</v>
      </c>
    </row>
    <row r="1076" spans="2:5" x14ac:dyDescent="0.25">
      <c r="D1076" t="s">
        <v>434</v>
      </c>
      <c r="E1076">
        <v>131.19999999999999</v>
      </c>
    </row>
    <row r="1077" spans="2:5" x14ac:dyDescent="0.25">
      <c r="D1077" t="s">
        <v>567</v>
      </c>
    </row>
    <row r="1079" spans="2:5" x14ac:dyDescent="0.25">
      <c r="D1079" t="s">
        <v>388</v>
      </c>
      <c r="E1079" t="s">
        <v>432</v>
      </c>
    </row>
    <row r="1080" spans="2:5" x14ac:dyDescent="0.25">
      <c r="D1080" t="s">
        <v>390</v>
      </c>
      <c r="E1080" t="s">
        <v>436</v>
      </c>
    </row>
    <row r="1081" spans="2:5" x14ac:dyDescent="0.25">
      <c r="D1081" t="s">
        <v>568</v>
      </c>
    </row>
    <row r="1086" spans="2:5" x14ac:dyDescent="0.25">
      <c r="B1086" t="s">
        <v>145</v>
      </c>
    </row>
    <row r="1087" spans="2:5" x14ac:dyDescent="0.25">
      <c r="B1087" t="s">
        <v>230</v>
      </c>
    </row>
    <row r="1088" spans="2:5" x14ac:dyDescent="0.25">
      <c r="B1088" t="s">
        <v>231</v>
      </c>
    </row>
    <row r="1089" spans="2:8" x14ac:dyDescent="0.25">
      <c r="B1089" t="s">
        <v>232</v>
      </c>
    </row>
    <row r="1090" spans="2:8" x14ac:dyDescent="0.25">
      <c r="B1090" t="s">
        <v>146</v>
      </c>
    </row>
    <row r="1091" spans="2:8" x14ac:dyDescent="0.25">
      <c r="B1091" t="s">
        <v>366</v>
      </c>
    </row>
    <row r="1092" spans="2:8" x14ac:dyDescent="0.25">
      <c r="B1092" t="s">
        <v>163</v>
      </c>
    </row>
    <row r="1093" spans="2:8" x14ac:dyDescent="0.25">
      <c r="B1093" t="s">
        <v>207</v>
      </c>
    </row>
    <row r="1095" spans="2:8" x14ac:dyDescent="0.25">
      <c r="D1095" t="s">
        <v>388</v>
      </c>
      <c r="E1095" t="s">
        <v>389</v>
      </c>
    </row>
    <row r="1096" spans="2:8" x14ac:dyDescent="0.25">
      <c r="D1096" t="s">
        <v>390</v>
      </c>
      <c r="E1096" t="s">
        <v>391</v>
      </c>
    </row>
    <row r="1097" spans="2:8" x14ac:dyDescent="0.25">
      <c r="D1097" t="s">
        <v>173</v>
      </c>
      <c r="E1097">
        <v>150</v>
      </c>
      <c r="F1097">
        <v>150</v>
      </c>
      <c r="G1097">
        <v>150</v>
      </c>
      <c r="H1097">
        <v>150</v>
      </c>
    </row>
    <row r="1098" spans="2:8" x14ac:dyDescent="0.25">
      <c r="D1098" t="s">
        <v>392</v>
      </c>
      <c r="E1098" t="s">
        <v>393</v>
      </c>
    </row>
    <row r="1099" spans="2:8" x14ac:dyDescent="0.25">
      <c r="D1099" t="s">
        <v>233</v>
      </c>
    </row>
    <row r="1101" spans="2:8" x14ac:dyDescent="0.25">
      <c r="D1101" t="s">
        <v>388</v>
      </c>
      <c r="E1101" t="s">
        <v>389</v>
      </c>
    </row>
    <row r="1102" spans="2:8" x14ac:dyDescent="0.25">
      <c r="D1102" t="s">
        <v>390</v>
      </c>
      <c r="E1102" t="s">
        <v>394</v>
      </c>
    </row>
    <row r="1103" spans="2:8" x14ac:dyDescent="0.25">
      <c r="D1103" t="s">
        <v>173</v>
      </c>
      <c r="E1103">
        <v>150</v>
      </c>
      <c r="F1103">
        <v>150</v>
      </c>
      <c r="G1103">
        <v>150</v>
      </c>
      <c r="H1103">
        <v>150</v>
      </c>
    </row>
    <row r="1104" spans="2:8" x14ac:dyDescent="0.25">
      <c r="D1104" t="s">
        <v>234</v>
      </c>
    </row>
    <row r="1106" spans="4:8" x14ac:dyDescent="0.25">
      <c r="D1106" t="s">
        <v>388</v>
      </c>
      <c r="E1106" t="s">
        <v>41</v>
      </c>
    </row>
    <row r="1107" spans="4:8" x14ac:dyDescent="0.25">
      <c r="D1107" t="s">
        <v>390</v>
      </c>
      <c r="E1107" t="s">
        <v>396</v>
      </c>
    </row>
    <row r="1108" spans="4:8" x14ac:dyDescent="0.25">
      <c r="D1108" t="s">
        <v>397</v>
      </c>
      <c r="E1108" t="s">
        <v>398</v>
      </c>
    </row>
    <row r="1109" spans="4:8" x14ac:dyDescent="0.25">
      <c r="D1109" t="s">
        <v>235</v>
      </c>
    </row>
    <row r="1111" spans="4:8" x14ac:dyDescent="0.25">
      <c r="D1111" t="s">
        <v>388</v>
      </c>
      <c r="E1111" t="s">
        <v>389</v>
      </c>
    </row>
    <row r="1112" spans="4:8" x14ac:dyDescent="0.25">
      <c r="D1112" t="s">
        <v>390</v>
      </c>
      <c r="E1112" t="s">
        <v>425</v>
      </c>
    </row>
    <row r="1113" spans="4:8" x14ac:dyDescent="0.25">
      <c r="D1113" t="s">
        <v>168</v>
      </c>
    </row>
    <row r="1114" spans="4:8" x14ac:dyDescent="0.25">
      <c r="D1114" t="s">
        <v>170</v>
      </c>
      <c r="E1114">
        <v>2</v>
      </c>
      <c r="F1114">
        <v>3</v>
      </c>
      <c r="G1114">
        <v>4</v>
      </c>
      <c r="H1114">
        <v>5</v>
      </c>
    </row>
    <row r="1115" spans="4:8" x14ac:dyDescent="0.25">
      <c r="D1115" t="s">
        <v>171</v>
      </c>
      <c r="E1115" t="s">
        <v>139</v>
      </c>
      <c r="F1115" t="s">
        <v>139</v>
      </c>
      <c r="G1115" t="s">
        <v>139</v>
      </c>
      <c r="H1115" t="s">
        <v>139</v>
      </c>
    </row>
    <row r="1116" spans="4:8" x14ac:dyDescent="0.25">
      <c r="D1116" t="s">
        <v>172</v>
      </c>
      <c r="E1116">
        <v>2</v>
      </c>
      <c r="F1116">
        <v>3</v>
      </c>
      <c r="G1116">
        <v>4</v>
      </c>
      <c r="H1116">
        <v>5</v>
      </c>
    </row>
    <row r="1117" spans="4:8" x14ac:dyDescent="0.25">
      <c r="D1117" t="s">
        <v>173</v>
      </c>
      <c r="E1117">
        <v>150</v>
      </c>
      <c r="F1117">
        <v>150</v>
      </c>
      <c r="G1117">
        <v>150</v>
      </c>
      <c r="H1117">
        <v>150</v>
      </c>
    </row>
    <row r="1118" spans="4:8" x14ac:dyDescent="0.25">
      <c r="D1118" t="s">
        <v>426</v>
      </c>
      <c r="E1118">
        <v>0</v>
      </c>
      <c r="F1118">
        <v>0</v>
      </c>
      <c r="G1118">
        <v>0</v>
      </c>
      <c r="H1118">
        <v>0</v>
      </c>
    </row>
    <row r="1119" spans="4:8" x14ac:dyDescent="0.25">
      <c r="D1119" t="s">
        <v>176</v>
      </c>
      <c r="E1119" t="s">
        <v>40</v>
      </c>
      <c r="F1119" t="s">
        <v>40</v>
      </c>
      <c r="G1119" t="s">
        <v>40</v>
      </c>
      <c r="H1119" t="s">
        <v>40</v>
      </c>
    </row>
    <row r="1120" spans="4:8" x14ac:dyDescent="0.25">
      <c r="D1120" t="s">
        <v>427</v>
      </c>
    </row>
    <row r="1121" spans="4:5" x14ac:dyDescent="0.25">
      <c r="D1121" t="s">
        <v>428</v>
      </c>
    </row>
    <row r="1122" spans="4:5" x14ac:dyDescent="0.25">
      <c r="D1122" t="s">
        <v>429</v>
      </c>
      <c r="E1122" t="s">
        <v>430</v>
      </c>
    </row>
    <row r="1123" spans="4:5" x14ac:dyDescent="0.25">
      <c r="D1123" t="s">
        <v>236</v>
      </c>
    </row>
    <row r="1125" spans="4:5" x14ac:dyDescent="0.25">
      <c r="D1125" t="s">
        <v>388</v>
      </c>
      <c r="E1125" t="s">
        <v>432</v>
      </c>
    </row>
    <row r="1126" spans="4:5" x14ac:dyDescent="0.25">
      <c r="D1126" t="s">
        <v>390</v>
      </c>
      <c r="E1126" t="s">
        <v>433</v>
      </c>
    </row>
    <row r="1127" spans="4:5" x14ac:dyDescent="0.25">
      <c r="D1127" t="s">
        <v>434</v>
      </c>
      <c r="E1127">
        <v>300</v>
      </c>
    </row>
    <row r="1128" spans="4:5" x14ac:dyDescent="0.25">
      <c r="D1128" t="s">
        <v>497</v>
      </c>
    </row>
    <row r="1130" spans="4:5" x14ac:dyDescent="0.25">
      <c r="D1130" t="s">
        <v>388</v>
      </c>
      <c r="E1130" t="s">
        <v>432</v>
      </c>
    </row>
    <row r="1131" spans="4:5" x14ac:dyDescent="0.25">
      <c r="D1131" t="s">
        <v>390</v>
      </c>
      <c r="E1131" t="s">
        <v>436</v>
      </c>
    </row>
    <row r="1132" spans="4:5" x14ac:dyDescent="0.25">
      <c r="D1132" t="s">
        <v>498</v>
      </c>
    </row>
    <row r="1134" spans="4:5" x14ac:dyDescent="0.25">
      <c r="D1134" t="s">
        <v>388</v>
      </c>
      <c r="E1134" t="s">
        <v>41</v>
      </c>
    </row>
    <row r="1135" spans="4:5" x14ac:dyDescent="0.25">
      <c r="D1135" t="s">
        <v>390</v>
      </c>
      <c r="E1135" t="s">
        <v>433</v>
      </c>
    </row>
    <row r="1136" spans="4:5" x14ac:dyDescent="0.25">
      <c r="D1136" t="s">
        <v>397</v>
      </c>
      <c r="E1136" t="s">
        <v>86</v>
      </c>
    </row>
    <row r="1137" spans="2:5" x14ac:dyDescent="0.25">
      <c r="D1137" t="s">
        <v>438</v>
      </c>
      <c r="E1137" t="s">
        <v>439</v>
      </c>
    </row>
    <row r="1138" spans="2:5" x14ac:dyDescent="0.25">
      <c r="D1138" t="s">
        <v>499</v>
      </c>
    </row>
    <row r="1140" spans="2:5" x14ac:dyDescent="0.25">
      <c r="D1140" t="s">
        <v>388</v>
      </c>
      <c r="E1140" t="s">
        <v>432</v>
      </c>
    </row>
    <row r="1141" spans="2:5" x14ac:dyDescent="0.25">
      <c r="D1141" t="s">
        <v>390</v>
      </c>
      <c r="E1141" t="s">
        <v>433</v>
      </c>
    </row>
    <row r="1142" spans="2:5" x14ac:dyDescent="0.25">
      <c r="D1142" t="s">
        <v>434</v>
      </c>
      <c r="E1142">
        <v>131.19999999999999</v>
      </c>
    </row>
    <row r="1143" spans="2:5" x14ac:dyDescent="0.25">
      <c r="D1143" t="s">
        <v>569</v>
      </c>
    </row>
    <row r="1145" spans="2:5" x14ac:dyDescent="0.25">
      <c r="D1145" t="s">
        <v>388</v>
      </c>
      <c r="E1145" t="s">
        <v>432</v>
      </c>
    </row>
    <row r="1146" spans="2:5" x14ac:dyDescent="0.25">
      <c r="D1146" t="s">
        <v>390</v>
      </c>
      <c r="E1146" t="s">
        <v>436</v>
      </c>
    </row>
    <row r="1147" spans="2:5" x14ac:dyDescent="0.25">
      <c r="D1147" t="s">
        <v>570</v>
      </c>
    </row>
    <row r="1152" spans="2:5" x14ac:dyDescent="0.25">
      <c r="B1152" t="s">
        <v>145</v>
      </c>
    </row>
    <row r="1153" spans="2:8" x14ac:dyDescent="0.25">
      <c r="B1153" t="s">
        <v>237</v>
      </c>
    </row>
    <row r="1154" spans="2:8" x14ac:dyDescent="0.25">
      <c r="B1154" t="s">
        <v>238</v>
      </c>
    </row>
    <row r="1155" spans="2:8" x14ac:dyDescent="0.25">
      <c r="B1155" t="s">
        <v>239</v>
      </c>
    </row>
    <row r="1156" spans="2:8" x14ac:dyDescent="0.25">
      <c r="B1156" t="s">
        <v>146</v>
      </c>
    </row>
    <row r="1157" spans="2:8" x14ac:dyDescent="0.25">
      <c r="B1157" t="s">
        <v>366</v>
      </c>
    </row>
    <row r="1158" spans="2:8" x14ac:dyDescent="0.25">
      <c r="B1158" t="s">
        <v>163</v>
      </c>
    </row>
    <row r="1159" spans="2:8" x14ac:dyDescent="0.25">
      <c r="B1159" t="s">
        <v>207</v>
      </c>
    </row>
    <row r="1161" spans="2:8" x14ac:dyDescent="0.25">
      <c r="D1161" t="s">
        <v>388</v>
      </c>
      <c r="E1161" t="s">
        <v>389</v>
      </c>
    </row>
    <row r="1162" spans="2:8" x14ac:dyDescent="0.25">
      <c r="D1162" t="s">
        <v>390</v>
      </c>
      <c r="E1162" t="s">
        <v>391</v>
      </c>
    </row>
    <row r="1163" spans="2:8" x14ac:dyDescent="0.25">
      <c r="D1163" t="s">
        <v>173</v>
      </c>
      <c r="E1163">
        <v>150</v>
      </c>
      <c r="F1163">
        <v>150</v>
      </c>
      <c r="G1163">
        <v>150</v>
      </c>
      <c r="H1163">
        <v>150</v>
      </c>
    </row>
    <row r="1164" spans="2:8" x14ac:dyDescent="0.25">
      <c r="D1164" t="s">
        <v>392</v>
      </c>
      <c r="E1164" t="s">
        <v>393</v>
      </c>
    </row>
    <row r="1165" spans="2:8" x14ac:dyDescent="0.25">
      <c r="D1165" t="s">
        <v>240</v>
      </c>
    </row>
    <row r="1167" spans="2:8" x14ac:dyDescent="0.25">
      <c r="D1167" t="s">
        <v>388</v>
      </c>
      <c r="E1167" t="s">
        <v>389</v>
      </c>
    </row>
    <row r="1168" spans="2:8" x14ac:dyDescent="0.25">
      <c r="D1168" t="s">
        <v>390</v>
      </c>
      <c r="E1168" t="s">
        <v>394</v>
      </c>
    </row>
    <row r="1169" spans="4:8" x14ac:dyDescent="0.25">
      <c r="D1169" t="s">
        <v>173</v>
      </c>
      <c r="E1169">
        <v>150</v>
      </c>
      <c r="F1169">
        <v>150</v>
      </c>
      <c r="G1169">
        <v>150</v>
      </c>
      <c r="H1169">
        <v>150</v>
      </c>
    </row>
    <row r="1170" spans="4:8" x14ac:dyDescent="0.25">
      <c r="D1170" t="s">
        <v>241</v>
      </c>
    </row>
    <row r="1172" spans="4:8" x14ac:dyDescent="0.25">
      <c r="D1172" t="s">
        <v>388</v>
      </c>
      <c r="E1172" t="s">
        <v>41</v>
      </c>
    </row>
    <row r="1173" spans="4:8" x14ac:dyDescent="0.25">
      <c r="D1173" t="s">
        <v>390</v>
      </c>
      <c r="E1173" t="s">
        <v>396</v>
      </c>
    </row>
    <row r="1174" spans="4:8" x14ac:dyDescent="0.25">
      <c r="D1174" t="s">
        <v>397</v>
      </c>
      <c r="E1174" t="s">
        <v>398</v>
      </c>
    </row>
    <row r="1175" spans="4:8" x14ac:dyDescent="0.25">
      <c r="D1175" t="s">
        <v>242</v>
      </c>
    </row>
    <row r="1177" spans="4:8" x14ac:dyDescent="0.25">
      <c r="D1177" t="s">
        <v>388</v>
      </c>
      <c r="E1177" t="s">
        <v>389</v>
      </c>
    </row>
    <row r="1178" spans="4:8" x14ac:dyDescent="0.25">
      <c r="D1178" t="s">
        <v>390</v>
      </c>
      <c r="E1178" t="s">
        <v>425</v>
      </c>
    </row>
    <row r="1179" spans="4:8" x14ac:dyDescent="0.25">
      <c r="D1179" t="s">
        <v>168</v>
      </c>
    </row>
    <row r="1180" spans="4:8" x14ac:dyDescent="0.25">
      <c r="D1180" t="s">
        <v>170</v>
      </c>
      <c r="E1180">
        <v>2</v>
      </c>
      <c r="F1180">
        <v>3</v>
      </c>
      <c r="G1180">
        <v>4</v>
      </c>
      <c r="H1180">
        <v>5</v>
      </c>
    </row>
    <row r="1181" spans="4:8" x14ac:dyDescent="0.25">
      <c r="D1181" t="s">
        <v>171</v>
      </c>
      <c r="E1181" t="s">
        <v>139</v>
      </c>
      <c r="F1181" t="s">
        <v>139</v>
      </c>
      <c r="G1181" t="s">
        <v>139</v>
      </c>
      <c r="H1181" t="s">
        <v>139</v>
      </c>
    </row>
    <row r="1182" spans="4:8" x14ac:dyDescent="0.25">
      <c r="D1182" t="s">
        <v>172</v>
      </c>
      <c r="E1182">
        <v>2</v>
      </c>
      <c r="F1182">
        <v>3</v>
      </c>
      <c r="G1182">
        <v>4</v>
      </c>
      <c r="H1182">
        <v>5</v>
      </c>
    </row>
    <row r="1183" spans="4:8" x14ac:dyDescent="0.25">
      <c r="D1183" t="s">
        <v>173</v>
      </c>
      <c r="E1183">
        <v>150</v>
      </c>
      <c r="F1183">
        <v>150</v>
      </c>
      <c r="G1183">
        <v>150</v>
      </c>
      <c r="H1183">
        <v>150</v>
      </c>
    </row>
    <row r="1184" spans="4:8" x14ac:dyDescent="0.25">
      <c r="D1184" t="s">
        <v>426</v>
      </c>
      <c r="E1184">
        <v>0</v>
      </c>
      <c r="F1184">
        <v>0</v>
      </c>
      <c r="G1184">
        <v>0</v>
      </c>
      <c r="H1184">
        <v>0</v>
      </c>
    </row>
    <row r="1185" spans="4:8" x14ac:dyDescent="0.25">
      <c r="D1185" t="s">
        <v>176</v>
      </c>
      <c r="E1185" t="s">
        <v>40</v>
      </c>
      <c r="F1185" t="s">
        <v>40</v>
      </c>
      <c r="G1185" t="s">
        <v>40</v>
      </c>
      <c r="H1185" t="s">
        <v>40</v>
      </c>
    </row>
    <row r="1186" spans="4:8" x14ac:dyDescent="0.25">
      <c r="D1186" t="s">
        <v>427</v>
      </c>
    </row>
    <row r="1187" spans="4:8" x14ac:dyDescent="0.25">
      <c r="D1187" t="s">
        <v>428</v>
      </c>
    </row>
    <row r="1188" spans="4:8" x14ac:dyDescent="0.25">
      <c r="D1188" t="s">
        <v>429</v>
      </c>
      <c r="E1188" t="s">
        <v>430</v>
      </c>
    </row>
    <row r="1189" spans="4:8" x14ac:dyDescent="0.25">
      <c r="D1189" t="s">
        <v>243</v>
      </c>
    </row>
    <row r="1191" spans="4:8" x14ac:dyDescent="0.25">
      <c r="D1191" t="s">
        <v>388</v>
      </c>
      <c r="E1191" t="s">
        <v>432</v>
      </c>
    </row>
    <row r="1192" spans="4:8" x14ac:dyDescent="0.25">
      <c r="D1192" t="s">
        <v>390</v>
      </c>
      <c r="E1192" t="s">
        <v>433</v>
      </c>
    </row>
    <row r="1193" spans="4:8" x14ac:dyDescent="0.25">
      <c r="D1193" t="s">
        <v>434</v>
      </c>
      <c r="E1193">
        <v>300</v>
      </c>
    </row>
    <row r="1194" spans="4:8" x14ac:dyDescent="0.25">
      <c r="D1194" t="s">
        <v>500</v>
      </c>
    </row>
    <row r="1196" spans="4:8" x14ac:dyDescent="0.25">
      <c r="D1196" t="s">
        <v>388</v>
      </c>
      <c r="E1196" t="s">
        <v>432</v>
      </c>
    </row>
    <row r="1197" spans="4:8" x14ac:dyDescent="0.25">
      <c r="D1197" t="s">
        <v>390</v>
      </c>
      <c r="E1197" t="s">
        <v>436</v>
      </c>
    </row>
    <row r="1198" spans="4:8" x14ac:dyDescent="0.25">
      <c r="D1198" t="s">
        <v>501</v>
      </c>
    </row>
    <row r="1200" spans="4:8" x14ac:dyDescent="0.25">
      <c r="D1200" t="s">
        <v>388</v>
      </c>
      <c r="E1200" t="s">
        <v>41</v>
      </c>
    </row>
    <row r="1201" spans="4:5" x14ac:dyDescent="0.25">
      <c r="D1201" t="s">
        <v>390</v>
      </c>
      <c r="E1201" t="s">
        <v>433</v>
      </c>
    </row>
    <row r="1202" spans="4:5" x14ac:dyDescent="0.25">
      <c r="D1202" t="s">
        <v>397</v>
      </c>
      <c r="E1202" t="s">
        <v>86</v>
      </c>
    </row>
    <row r="1203" spans="4:5" x14ac:dyDescent="0.25">
      <c r="D1203" t="s">
        <v>438</v>
      </c>
      <c r="E1203" t="s">
        <v>439</v>
      </c>
    </row>
    <row r="1204" spans="4:5" x14ac:dyDescent="0.25">
      <c r="D1204" t="s">
        <v>502</v>
      </c>
    </row>
    <row r="1206" spans="4:5" x14ac:dyDescent="0.25">
      <c r="D1206" t="s">
        <v>388</v>
      </c>
      <c r="E1206" t="s">
        <v>432</v>
      </c>
    </row>
    <row r="1207" spans="4:5" x14ac:dyDescent="0.25">
      <c r="D1207" t="s">
        <v>390</v>
      </c>
      <c r="E1207" t="s">
        <v>433</v>
      </c>
    </row>
    <row r="1208" spans="4:5" x14ac:dyDescent="0.25">
      <c r="D1208" t="s">
        <v>434</v>
      </c>
      <c r="E1208">
        <v>131.19999999999999</v>
      </c>
    </row>
    <row r="1209" spans="4:5" x14ac:dyDescent="0.25">
      <c r="D1209" t="s">
        <v>571</v>
      </c>
    </row>
    <row r="1211" spans="4:5" x14ac:dyDescent="0.25">
      <c r="D1211" t="s">
        <v>388</v>
      </c>
      <c r="E1211" t="s">
        <v>432</v>
      </c>
    </row>
    <row r="1212" spans="4:5" x14ac:dyDescent="0.25">
      <c r="D1212" t="s">
        <v>390</v>
      </c>
      <c r="E1212" t="s">
        <v>436</v>
      </c>
    </row>
    <row r="1213" spans="4:5" x14ac:dyDescent="0.25">
      <c r="D1213" t="s">
        <v>572</v>
      </c>
    </row>
    <row r="1218" spans="2:8" x14ac:dyDescent="0.25">
      <c r="B1218" t="s">
        <v>145</v>
      </c>
    </row>
    <row r="1219" spans="2:8" x14ac:dyDescent="0.25">
      <c r="B1219" t="s">
        <v>244</v>
      </c>
    </row>
    <row r="1220" spans="2:8" x14ac:dyDescent="0.25">
      <c r="B1220" t="s">
        <v>245</v>
      </c>
    </row>
    <row r="1221" spans="2:8" x14ac:dyDescent="0.25">
      <c r="B1221" t="s">
        <v>246</v>
      </c>
    </row>
    <row r="1222" spans="2:8" x14ac:dyDescent="0.25">
      <c r="B1222" t="s">
        <v>146</v>
      </c>
    </row>
    <row r="1223" spans="2:8" x14ac:dyDescent="0.25">
      <c r="B1223" t="s">
        <v>366</v>
      </c>
    </row>
    <row r="1224" spans="2:8" x14ac:dyDescent="0.25">
      <c r="B1224" t="s">
        <v>163</v>
      </c>
    </row>
    <row r="1225" spans="2:8" x14ac:dyDescent="0.25">
      <c r="B1225" t="s">
        <v>207</v>
      </c>
    </row>
    <row r="1227" spans="2:8" x14ac:dyDescent="0.25">
      <c r="D1227" t="s">
        <v>388</v>
      </c>
      <c r="E1227" t="s">
        <v>389</v>
      </c>
    </row>
    <row r="1228" spans="2:8" x14ac:dyDescent="0.25">
      <c r="D1228" t="s">
        <v>390</v>
      </c>
      <c r="E1228" t="s">
        <v>391</v>
      </c>
    </row>
    <row r="1229" spans="2:8" x14ac:dyDescent="0.25">
      <c r="D1229" t="s">
        <v>173</v>
      </c>
      <c r="E1229">
        <v>150</v>
      </c>
      <c r="F1229">
        <v>150</v>
      </c>
      <c r="G1229">
        <v>150</v>
      </c>
      <c r="H1229">
        <v>150</v>
      </c>
    </row>
    <row r="1230" spans="2:8" x14ac:dyDescent="0.25">
      <c r="D1230" t="s">
        <v>392</v>
      </c>
      <c r="E1230" t="s">
        <v>393</v>
      </c>
    </row>
    <row r="1231" spans="2:8" x14ac:dyDescent="0.25">
      <c r="D1231" t="s">
        <v>353</v>
      </c>
    </row>
    <row r="1233" spans="4:8" x14ac:dyDescent="0.25">
      <c r="D1233" t="s">
        <v>388</v>
      </c>
      <c r="E1233" t="s">
        <v>389</v>
      </c>
    </row>
    <row r="1234" spans="4:8" x14ac:dyDescent="0.25">
      <c r="D1234" t="s">
        <v>390</v>
      </c>
      <c r="E1234" t="s">
        <v>394</v>
      </c>
    </row>
    <row r="1235" spans="4:8" x14ac:dyDescent="0.25">
      <c r="D1235" t="s">
        <v>173</v>
      </c>
      <c r="E1235">
        <v>150</v>
      </c>
      <c r="F1235">
        <v>150</v>
      </c>
      <c r="G1235">
        <v>150</v>
      </c>
      <c r="H1235">
        <v>150</v>
      </c>
    </row>
    <row r="1236" spans="4:8" x14ac:dyDescent="0.25">
      <c r="D1236" t="s">
        <v>354</v>
      </c>
    </row>
    <row r="1238" spans="4:8" x14ac:dyDescent="0.25">
      <c r="D1238" t="s">
        <v>388</v>
      </c>
      <c r="E1238" t="s">
        <v>41</v>
      </c>
    </row>
    <row r="1239" spans="4:8" x14ac:dyDescent="0.25">
      <c r="D1239" t="s">
        <v>390</v>
      </c>
      <c r="E1239" t="s">
        <v>396</v>
      </c>
    </row>
    <row r="1240" spans="4:8" x14ac:dyDescent="0.25">
      <c r="D1240" t="s">
        <v>397</v>
      </c>
      <c r="E1240" t="s">
        <v>398</v>
      </c>
    </row>
    <row r="1241" spans="4:8" x14ac:dyDescent="0.25">
      <c r="D1241" t="s">
        <v>355</v>
      </c>
    </row>
    <row r="1243" spans="4:8" x14ac:dyDescent="0.25">
      <c r="D1243" t="s">
        <v>388</v>
      </c>
      <c r="E1243" t="s">
        <v>389</v>
      </c>
    </row>
    <row r="1244" spans="4:8" x14ac:dyDescent="0.25">
      <c r="D1244" t="s">
        <v>390</v>
      </c>
      <c r="E1244" t="s">
        <v>425</v>
      </c>
    </row>
    <row r="1245" spans="4:8" x14ac:dyDescent="0.25">
      <c r="D1245" t="s">
        <v>168</v>
      </c>
    </row>
    <row r="1246" spans="4:8" x14ac:dyDescent="0.25">
      <c r="D1246" t="s">
        <v>170</v>
      </c>
      <c r="E1246">
        <v>2</v>
      </c>
      <c r="F1246">
        <v>3</v>
      </c>
      <c r="G1246">
        <v>4</v>
      </c>
      <c r="H1246">
        <v>5</v>
      </c>
    </row>
    <row r="1247" spans="4:8" x14ac:dyDescent="0.25">
      <c r="D1247" t="s">
        <v>171</v>
      </c>
      <c r="E1247" t="s">
        <v>139</v>
      </c>
      <c r="F1247" t="s">
        <v>139</v>
      </c>
      <c r="G1247" t="s">
        <v>139</v>
      </c>
      <c r="H1247" t="s">
        <v>139</v>
      </c>
    </row>
    <row r="1248" spans="4:8" x14ac:dyDescent="0.25">
      <c r="D1248" t="s">
        <v>172</v>
      </c>
      <c r="E1248">
        <v>2</v>
      </c>
      <c r="F1248">
        <v>3</v>
      </c>
      <c r="G1248">
        <v>4</v>
      </c>
      <c r="H1248">
        <v>5</v>
      </c>
    </row>
    <row r="1249" spans="4:8" x14ac:dyDescent="0.25">
      <c r="D1249" t="s">
        <v>173</v>
      </c>
      <c r="E1249">
        <v>150</v>
      </c>
      <c r="F1249">
        <v>150</v>
      </c>
      <c r="G1249">
        <v>150</v>
      </c>
      <c r="H1249">
        <v>150</v>
      </c>
    </row>
    <row r="1250" spans="4:8" x14ac:dyDescent="0.25">
      <c r="D1250" t="s">
        <v>426</v>
      </c>
      <c r="E1250">
        <v>0</v>
      </c>
      <c r="F1250">
        <v>0</v>
      </c>
      <c r="G1250">
        <v>0</v>
      </c>
      <c r="H1250">
        <v>0</v>
      </c>
    </row>
    <row r="1251" spans="4:8" x14ac:dyDescent="0.25">
      <c r="D1251" t="s">
        <v>176</v>
      </c>
      <c r="E1251" t="s">
        <v>40</v>
      </c>
      <c r="F1251" t="s">
        <v>40</v>
      </c>
      <c r="G1251" t="s">
        <v>40</v>
      </c>
      <c r="H1251" t="s">
        <v>40</v>
      </c>
    </row>
    <row r="1252" spans="4:8" x14ac:dyDescent="0.25">
      <c r="D1252" t="s">
        <v>427</v>
      </c>
    </row>
    <row r="1253" spans="4:8" x14ac:dyDescent="0.25">
      <c r="D1253" t="s">
        <v>428</v>
      </c>
    </row>
    <row r="1254" spans="4:8" x14ac:dyDescent="0.25">
      <c r="D1254" t="s">
        <v>429</v>
      </c>
      <c r="E1254" t="s">
        <v>430</v>
      </c>
    </row>
    <row r="1255" spans="4:8" x14ac:dyDescent="0.25">
      <c r="D1255" t="s">
        <v>356</v>
      </c>
    </row>
    <row r="1257" spans="4:8" x14ac:dyDescent="0.25">
      <c r="D1257" t="s">
        <v>388</v>
      </c>
      <c r="E1257" t="s">
        <v>432</v>
      </c>
    </row>
    <row r="1258" spans="4:8" x14ac:dyDescent="0.25">
      <c r="D1258" t="s">
        <v>390</v>
      </c>
      <c r="E1258" t="s">
        <v>433</v>
      </c>
    </row>
    <row r="1259" spans="4:8" x14ac:dyDescent="0.25">
      <c r="D1259" t="s">
        <v>434</v>
      </c>
      <c r="E1259">
        <v>300</v>
      </c>
    </row>
    <row r="1260" spans="4:8" x14ac:dyDescent="0.25">
      <c r="D1260" t="s">
        <v>503</v>
      </c>
    </row>
    <row r="1262" spans="4:8" x14ac:dyDescent="0.25">
      <c r="D1262" t="s">
        <v>388</v>
      </c>
      <c r="E1262" t="s">
        <v>432</v>
      </c>
    </row>
    <row r="1263" spans="4:8" x14ac:dyDescent="0.25">
      <c r="D1263" t="s">
        <v>390</v>
      </c>
      <c r="E1263" t="s">
        <v>436</v>
      </c>
    </row>
    <row r="1264" spans="4:8" x14ac:dyDescent="0.25">
      <c r="D1264" t="s">
        <v>504</v>
      </c>
    </row>
    <row r="1266" spans="4:5" x14ac:dyDescent="0.25">
      <c r="D1266" t="s">
        <v>388</v>
      </c>
      <c r="E1266" t="s">
        <v>41</v>
      </c>
    </row>
    <row r="1267" spans="4:5" x14ac:dyDescent="0.25">
      <c r="D1267" t="s">
        <v>390</v>
      </c>
      <c r="E1267" t="s">
        <v>433</v>
      </c>
    </row>
    <row r="1268" spans="4:5" x14ac:dyDescent="0.25">
      <c r="D1268" t="s">
        <v>397</v>
      </c>
      <c r="E1268" t="s">
        <v>86</v>
      </c>
    </row>
    <row r="1269" spans="4:5" x14ac:dyDescent="0.25">
      <c r="D1269" t="s">
        <v>438</v>
      </c>
      <c r="E1269" t="s">
        <v>439</v>
      </c>
    </row>
    <row r="1270" spans="4:5" x14ac:dyDescent="0.25">
      <c r="D1270" t="s">
        <v>505</v>
      </c>
    </row>
    <row r="1272" spans="4:5" x14ac:dyDescent="0.25">
      <c r="D1272" t="s">
        <v>388</v>
      </c>
      <c r="E1272" t="s">
        <v>432</v>
      </c>
    </row>
    <row r="1273" spans="4:5" x14ac:dyDescent="0.25">
      <c r="D1273" t="s">
        <v>390</v>
      </c>
      <c r="E1273" t="s">
        <v>433</v>
      </c>
    </row>
    <row r="1274" spans="4:5" x14ac:dyDescent="0.25">
      <c r="D1274" t="s">
        <v>434</v>
      </c>
      <c r="E1274">
        <v>131.19999999999999</v>
      </c>
    </row>
    <row r="1275" spans="4:5" x14ac:dyDescent="0.25">
      <c r="D1275" t="s">
        <v>573</v>
      </c>
    </row>
    <row r="1277" spans="4:5" x14ac:dyDescent="0.25">
      <c r="D1277" t="s">
        <v>388</v>
      </c>
      <c r="E1277" t="s">
        <v>432</v>
      </c>
    </row>
    <row r="1278" spans="4:5" x14ac:dyDescent="0.25">
      <c r="D1278" t="s">
        <v>390</v>
      </c>
      <c r="E1278" t="s">
        <v>436</v>
      </c>
    </row>
    <row r="1279" spans="4:5" x14ac:dyDescent="0.25">
      <c r="D1279" t="s">
        <v>574</v>
      </c>
    </row>
    <row r="1284" spans="2:3" x14ac:dyDescent="0.25">
      <c r="B1284" t="s">
        <v>140</v>
      </c>
    </row>
    <row r="1285" spans="2:3" x14ac:dyDescent="0.25">
      <c r="B1285" t="s">
        <v>247</v>
      </c>
    </row>
    <row r="1286" spans="2:3" x14ac:dyDescent="0.25">
      <c r="B1286" t="s">
        <v>248</v>
      </c>
    </row>
    <row r="1287" spans="2:3" x14ac:dyDescent="0.25">
      <c r="B1287" t="s">
        <v>143</v>
      </c>
    </row>
    <row r="1289" spans="2:3" x14ac:dyDescent="0.25">
      <c r="C1289" t="s">
        <v>144</v>
      </c>
    </row>
    <row r="1294" spans="2:3" x14ac:dyDescent="0.25">
      <c r="B1294" t="s">
        <v>249</v>
      </c>
    </row>
    <row r="1295" spans="2:3" x14ac:dyDescent="0.25">
      <c r="B1295" t="s">
        <v>250</v>
      </c>
    </row>
    <row r="1296" spans="2:3" x14ac:dyDescent="0.25">
      <c r="B1296" t="s">
        <v>251</v>
      </c>
    </row>
    <row r="1297" spans="2:9" x14ac:dyDescent="0.25">
      <c r="B1297" t="s">
        <v>252</v>
      </c>
    </row>
    <row r="1298" spans="2:9" x14ac:dyDescent="0.25">
      <c r="B1298" t="s">
        <v>253</v>
      </c>
    </row>
    <row r="1299" spans="2:9" x14ac:dyDescent="0.25">
      <c r="B1299" t="s">
        <v>254</v>
      </c>
    </row>
    <row r="1300" spans="2:9" x14ac:dyDescent="0.25">
      <c r="B1300" t="s">
        <v>255</v>
      </c>
    </row>
    <row r="1302" spans="2:9" x14ac:dyDescent="0.25">
      <c r="C1302" t="s">
        <v>144</v>
      </c>
    </row>
    <row r="1304" spans="2:9" x14ac:dyDescent="0.25">
      <c r="D1304" t="s">
        <v>388</v>
      </c>
      <c r="E1304" t="s">
        <v>389</v>
      </c>
    </row>
    <row r="1305" spans="2:9" x14ac:dyDescent="0.25">
      <c r="D1305" t="s">
        <v>390</v>
      </c>
      <c r="E1305" t="s">
        <v>391</v>
      </c>
    </row>
    <row r="1306" spans="2:9" x14ac:dyDescent="0.25">
      <c r="D1306" t="s">
        <v>173</v>
      </c>
      <c r="E1306">
        <v>21.6</v>
      </c>
      <c r="F1306">
        <v>6</v>
      </c>
      <c r="G1306">
        <v>8.4</v>
      </c>
      <c r="H1306">
        <v>6</v>
      </c>
      <c r="I1306">
        <v>8.4</v>
      </c>
    </row>
    <row r="1307" spans="2:9" x14ac:dyDescent="0.25">
      <c r="D1307" t="s">
        <v>392</v>
      </c>
      <c r="E1307" t="s">
        <v>393</v>
      </c>
    </row>
    <row r="1308" spans="2:9" x14ac:dyDescent="0.25">
      <c r="D1308" t="s">
        <v>256</v>
      </c>
    </row>
    <row r="1310" spans="2:9" x14ac:dyDescent="0.25">
      <c r="D1310" t="s">
        <v>388</v>
      </c>
      <c r="E1310" t="s">
        <v>389</v>
      </c>
    </row>
    <row r="1311" spans="2:9" x14ac:dyDescent="0.25">
      <c r="D1311" t="s">
        <v>390</v>
      </c>
      <c r="E1311" t="s">
        <v>394</v>
      </c>
    </row>
    <row r="1312" spans="2:9" x14ac:dyDescent="0.25">
      <c r="D1312" t="s">
        <v>173</v>
      </c>
      <c r="E1312">
        <v>21.6</v>
      </c>
      <c r="F1312">
        <v>6</v>
      </c>
      <c r="G1312">
        <v>8.4</v>
      </c>
      <c r="H1312">
        <v>6</v>
      </c>
      <c r="I1312">
        <v>8</v>
      </c>
    </row>
    <row r="1313" spans="4:9" x14ac:dyDescent="0.25">
      <c r="D1313" t="s">
        <v>506</v>
      </c>
    </row>
    <row r="1315" spans="4:9" x14ac:dyDescent="0.25">
      <c r="D1315" t="s">
        <v>388</v>
      </c>
      <c r="E1315" t="s">
        <v>389</v>
      </c>
    </row>
    <row r="1316" spans="4:9" x14ac:dyDescent="0.25">
      <c r="D1316" t="s">
        <v>390</v>
      </c>
      <c r="E1316" t="s">
        <v>425</v>
      </c>
    </row>
    <row r="1317" spans="4:9" x14ac:dyDescent="0.25">
      <c r="D1317" t="s">
        <v>168</v>
      </c>
      <c r="E1317" t="s">
        <v>129</v>
      </c>
      <c r="F1317" t="s">
        <v>129</v>
      </c>
      <c r="G1317" t="s">
        <v>129</v>
      </c>
      <c r="H1317" t="s">
        <v>129</v>
      </c>
      <c r="I1317" t="s">
        <v>129</v>
      </c>
    </row>
    <row r="1318" spans="4:9" x14ac:dyDescent="0.25">
      <c r="D1318" t="s">
        <v>170</v>
      </c>
      <c r="E1318">
        <v>1</v>
      </c>
      <c r="F1318">
        <v>2</v>
      </c>
      <c r="G1318">
        <v>3</v>
      </c>
      <c r="H1318">
        <v>4</v>
      </c>
      <c r="I1318">
        <v>5</v>
      </c>
    </row>
    <row r="1319" spans="4:9" x14ac:dyDescent="0.25">
      <c r="D1319" t="s">
        <v>171</v>
      </c>
      <c r="E1319" t="s">
        <v>133</v>
      </c>
      <c r="F1319" t="s">
        <v>134</v>
      </c>
      <c r="G1319" t="s">
        <v>135</v>
      </c>
      <c r="H1319" t="s">
        <v>134</v>
      </c>
      <c r="I1319" t="s">
        <v>135</v>
      </c>
    </row>
    <row r="1320" spans="4:9" x14ac:dyDescent="0.25">
      <c r="D1320" t="s">
        <v>172</v>
      </c>
      <c r="E1320">
        <v>1</v>
      </c>
      <c r="F1320">
        <v>2</v>
      </c>
      <c r="G1320">
        <v>3</v>
      </c>
      <c r="H1320">
        <v>4</v>
      </c>
      <c r="I1320">
        <v>5</v>
      </c>
    </row>
    <row r="1321" spans="4:9" x14ac:dyDescent="0.25">
      <c r="D1321" t="s">
        <v>173</v>
      </c>
      <c r="E1321">
        <v>21.6</v>
      </c>
      <c r="F1321">
        <v>6</v>
      </c>
      <c r="G1321">
        <v>8.4</v>
      </c>
      <c r="H1321">
        <v>6</v>
      </c>
      <c r="I1321">
        <v>8.4</v>
      </c>
    </row>
    <row r="1322" spans="4:9" x14ac:dyDescent="0.25">
      <c r="D1322" t="s">
        <v>426</v>
      </c>
      <c r="E1322">
        <v>0</v>
      </c>
      <c r="F1322">
        <v>0</v>
      </c>
      <c r="G1322">
        <v>0</v>
      </c>
      <c r="H1322">
        <v>0</v>
      </c>
      <c r="I1322">
        <v>0</v>
      </c>
    </row>
    <row r="1323" spans="4:9" x14ac:dyDescent="0.25">
      <c r="D1323" t="s">
        <v>176</v>
      </c>
      <c r="E1323" t="s">
        <v>40</v>
      </c>
      <c r="F1323" t="s">
        <v>40</v>
      </c>
      <c r="G1323" t="s">
        <v>40</v>
      </c>
      <c r="H1323" t="s">
        <v>40</v>
      </c>
      <c r="I1323" t="s">
        <v>40</v>
      </c>
    </row>
    <row r="1324" spans="4:9" x14ac:dyDescent="0.25">
      <c r="D1324" t="s">
        <v>427</v>
      </c>
    </row>
    <row r="1325" spans="4:9" x14ac:dyDescent="0.25">
      <c r="D1325" t="s">
        <v>428</v>
      </c>
    </row>
    <row r="1326" spans="4:9" x14ac:dyDescent="0.25">
      <c r="D1326" t="s">
        <v>429</v>
      </c>
      <c r="E1326" t="s">
        <v>430</v>
      </c>
    </row>
    <row r="1327" spans="4:9" x14ac:dyDescent="0.25">
      <c r="D1327" t="s">
        <v>507</v>
      </c>
    </row>
    <row r="1332" spans="2:9" x14ac:dyDescent="0.25">
      <c r="B1332" t="s">
        <v>145</v>
      </c>
    </row>
    <row r="1333" spans="2:9" x14ac:dyDescent="0.25">
      <c r="B1333" t="s">
        <v>257</v>
      </c>
    </row>
    <row r="1334" spans="2:9" x14ac:dyDescent="0.25">
      <c r="B1334" t="s">
        <v>258</v>
      </c>
    </row>
    <row r="1335" spans="2:9" x14ac:dyDescent="0.25">
      <c r="B1335" t="s">
        <v>259</v>
      </c>
    </row>
    <row r="1336" spans="2:9" x14ac:dyDescent="0.25">
      <c r="B1336" t="s">
        <v>146</v>
      </c>
    </row>
    <row r="1337" spans="2:9" x14ac:dyDescent="0.25">
      <c r="B1337" t="s">
        <v>147</v>
      </c>
    </row>
    <row r="1338" spans="2:9" x14ac:dyDescent="0.25">
      <c r="B1338" t="s">
        <v>367</v>
      </c>
    </row>
    <row r="1339" spans="2:9" x14ac:dyDescent="0.25">
      <c r="B1339" t="s">
        <v>260</v>
      </c>
    </row>
    <row r="1341" spans="2:9" x14ac:dyDescent="0.25">
      <c r="D1341" t="s">
        <v>388</v>
      </c>
      <c r="E1341" t="s">
        <v>389</v>
      </c>
    </row>
    <row r="1342" spans="2:9" x14ac:dyDescent="0.25">
      <c r="D1342" t="s">
        <v>390</v>
      </c>
      <c r="E1342" t="s">
        <v>391</v>
      </c>
    </row>
    <row r="1343" spans="2:9" x14ac:dyDescent="0.25">
      <c r="D1343" t="s">
        <v>173</v>
      </c>
      <c r="E1343">
        <v>200</v>
      </c>
      <c r="F1343">
        <v>200</v>
      </c>
      <c r="G1343">
        <v>200</v>
      </c>
      <c r="H1343">
        <v>200</v>
      </c>
      <c r="I1343">
        <v>200</v>
      </c>
    </row>
    <row r="1344" spans="2:9" x14ac:dyDescent="0.25">
      <c r="D1344" t="s">
        <v>392</v>
      </c>
      <c r="E1344" t="s">
        <v>393</v>
      </c>
    </row>
    <row r="1345" spans="4:9" x14ac:dyDescent="0.25">
      <c r="D1345" t="s">
        <v>261</v>
      </c>
    </row>
    <row r="1347" spans="4:9" x14ac:dyDescent="0.25">
      <c r="D1347" t="s">
        <v>388</v>
      </c>
      <c r="E1347" t="s">
        <v>389</v>
      </c>
    </row>
    <row r="1348" spans="4:9" x14ac:dyDescent="0.25">
      <c r="D1348" t="s">
        <v>390</v>
      </c>
      <c r="E1348" t="s">
        <v>394</v>
      </c>
    </row>
    <row r="1349" spans="4:9" x14ac:dyDescent="0.25">
      <c r="D1349" t="s">
        <v>173</v>
      </c>
      <c r="E1349">
        <v>200</v>
      </c>
      <c r="F1349">
        <v>200</v>
      </c>
      <c r="G1349">
        <v>200</v>
      </c>
      <c r="H1349">
        <v>200</v>
      </c>
      <c r="I1349">
        <v>200</v>
      </c>
    </row>
    <row r="1350" spans="4:9" x14ac:dyDescent="0.25">
      <c r="D1350" t="s">
        <v>262</v>
      </c>
    </row>
    <row r="1352" spans="4:9" x14ac:dyDescent="0.25">
      <c r="D1352" t="s">
        <v>388</v>
      </c>
      <c r="E1352" t="s">
        <v>41</v>
      </c>
    </row>
    <row r="1353" spans="4:9" x14ac:dyDescent="0.25">
      <c r="D1353" t="s">
        <v>390</v>
      </c>
      <c r="E1353" t="s">
        <v>396</v>
      </c>
    </row>
    <row r="1354" spans="4:9" x14ac:dyDescent="0.25">
      <c r="D1354" t="s">
        <v>397</v>
      </c>
      <c r="E1354" t="s">
        <v>398</v>
      </c>
    </row>
    <row r="1355" spans="4:9" x14ac:dyDescent="0.25">
      <c r="D1355" t="s">
        <v>263</v>
      </c>
    </row>
    <row r="1357" spans="4:9" x14ac:dyDescent="0.25">
      <c r="D1357" t="s">
        <v>388</v>
      </c>
      <c r="E1357" t="s">
        <v>389</v>
      </c>
    </row>
    <row r="1358" spans="4:9" x14ac:dyDescent="0.25">
      <c r="D1358" t="s">
        <v>390</v>
      </c>
      <c r="E1358" t="s">
        <v>425</v>
      </c>
    </row>
    <row r="1359" spans="4:9" x14ac:dyDescent="0.25">
      <c r="D1359" t="s">
        <v>168</v>
      </c>
    </row>
    <row r="1360" spans="4:9" x14ac:dyDescent="0.25">
      <c r="D1360" t="s">
        <v>170</v>
      </c>
      <c r="E1360">
        <v>1</v>
      </c>
      <c r="F1360">
        <v>2</v>
      </c>
      <c r="G1360">
        <v>3</v>
      </c>
      <c r="H1360">
        <v>4</v>
      </c>
      <c r="I1360">
        <v>5</v>
      </c>
    </row>
    <row r="1361" spans="4:9" x14ac:dyDescent="0.25">
      <c r="D1361" t="s">
        <v>171</v>
      </c>
      <c r="E1361" t="s">
        <v>136</v>
      </c>
      <c r="F1361" t="s">
        <v>137</v>
      </c>
      <c r="G1361" t="s">
        <v>137</v>
      </c>
      <c r="H1361" t="s">
        <v>137</v>
      </c>
      <c r="I1361" t="s">
        <v>137</v>
      </c>
    </row>
    <row r="1362" spans="4:9" x14ac:dyDescent="0.25">
      <c r="D1362" t="s">
        <v>172</v>
      </c>
      <c r="E1362">
        <v>1</v>
      </c>
      <c r="F1362">
        <v>2</v>
      </c>
      <c r="G1362">
        <v>3</v>
      </c>
      <c r="H1362">
        <v>4</v>
      </c>
      <c r="I1362">
        <v>5</v>
      </c>
    </row>
    <row r="1363" spans="4:9" x14ac:dyDescent="0.25">
      <c r="D1363" t="s">
        <v>173</v>
      </c>
      <c r="E1363">
        <v>200</v>
      </c>
      <c r="F1363">
        <v>200</v>
      </c>
      <c r="G1363">
        <v>200</v>
      </c>
      <c r="H1363">
        <v>200</v>
      </c>
      <c r="I1363">
        <v>200</v>
      </c>
    </row>
    <row r="1364" spans="4:9" x14ac:dyDescent="0.25">
      <c r="D1364" t="s">
        <v>426</v>
      </c>
      <c r="E1364">
        <v>0</v>
      </c>
      <c r="F1364">
        <v>0</v>
      </c>
      <c r="G1364">
        <v>0</v>
      </c>
      <c r="H1364">
        <v>0</v>
      </c>
      <c r="I1364">
        <v>0</v>
      </c>
    </row>
    <row r="1365" spans="4:9" x14ac:dyDescent="0.25">
      <c r="D1365" t="s">
        <v>176</v>
      </c>
      <c r="E1365" t="s">
        <v>40</v>
      </c>
      <c r="F1365" t="s">
        <v>40</v>
      </c>
      <c r="G1365" t="s">
        <v>40</v>
      </c>
      <c r="H1365" t="s">
        <v>40</v>
      </c>
      <c r="I1365" t="s">
        <v>40</v>
      </c>
    </row>
    <row r="1366" spans="4:9" x14ac:dyDescent="0.25">
      <c r="D1366" t="s">
        <v>427</v>
      </c>
    </row>
    <row r="1367" spans="4:9" x14ac:dyDescent="0.25">
      <c r="D1367" t="s">
        <v>428</v>
      </c>
    </row>
    <row r="1368" spans="4:9" x14ac:dyDescent="0.25">
      <c r="D1368" t="s">
        <v>429</v>
      </c>
      <c r="E1368" t="s">
        <v>430</v>
      </c>
    </row>
    <row r="1369" spans="4:9" x14ac:dyDescent="0.25">
      <c r="D1369" t="s">
        <v>264</v>
      </c>
    </row>
    <row r="1371" spans="4:9" x14ac:dyDescent="0.25">
      <c r="D1371" t="s">
        <v>388</v>
      </c>
      <c r="E1371" t="s">
        <v>432</v>
      </c>
    </row>
    <row r="1372" spans="4:9" x14ac:dyDescent="0.25">
      <c r="D1372" t="s">
        <v>390</v>
      </c>
      <c r="E1372" t="s">
        <v>433</v>
      </c>
    </row>
    <row r="1373" spans="4:9" x14ac:dyDescent="0.25">
      <c r="D1373" t="s">
        <v>434</v>
      </c>
      <c r="E1373">
        <v>0</v>
      </c>
    </row>
    <row r="1374" spans="4:9" x14ac:dyDescent="0.25">
      <c r="D1374" t="s">
        <v>508</v>
      </c>
    </row>
    <row r="1376" spans="4:9" x14ac:dyDescent="0.25">
      <c r="D1376" t="s">
        <v>388</v>
      </c>
      <c r="E1376" t="s">
        <v>432</v>
      </c>
    </row>
    <row r="1377" spans="4:5" x14ac:dyDescent="0.25">
      <c r="D1377" t="s">
        <v>390</v>
      </c>
      <c r="E1377" t="s">
        <v>436</v>
      </c>
    </row>
    <row r="1378" spans="4:5" x14ac:dyDescent="0.25">
      <c r="D1378" t="s">
        <v>509</v>
      </c>
    </row>
    <row r="1380" spans="4:5" x14ac:dyDescent="0.25">
      <c r="D1380" t="s">
        <v>388</v>
      </c>
      <c r="E1380" t="s">
        <v>41</v>
      </c>
    </row>
    <row r="1381" spans="4:5" x14ac:dyDescent="0.25">
      <c r="D1381" t="s">
        <v>390</v>
      </c>
      <c r="E1381" t="s">
        <v>433</v>
      </c>
    </row>
    <row r="1382" spans="4:5" x14ac:dyDescent="0.25">
      <c r="D1382" t="s">
        <v>397</v>
      </c>
      <c r="E1382" t="s">
        <v>86</v>
      </c>
    </row>
    <row r="1383" spans="4:5" x14ac:dyDescent="0.25">
      <c r="D1383" t="s">
        <v>438</v>
      </c>
      <c r="E1383" t="s">
        <v>510</v>
      </c>
    </row>
    <row r="1384" spans="4:5" x14ac:dyDescent="0.25">
      <c r="D1384" t="s">
        <v>511</v>
      </c>
    </row>
    <row r="1386" spans="4:5" x14ac:dyDescent="0.25">
      <c r="D1386" t="s">
        <v>388</v>
      </c>
      <c r="E1386" t="s">
        <v>432</v>
      </c>
    </row>
    <row r="1387" spans="4:5" x14ac:dyDescent="0.25">
      <c r="D1387" t="s">
        <v>390</v>
      </c>
      <c r="E1387" t="s">
        <v>433</v>
      </c>
    </row>
    <row r="1388" spans="4:5" x14ac:dyDescent="0.25">
      <c r="D1388" t="s">
        <v>434</v>
      </c>
      <c r="E1388">
        <v>175</v>
      </c>
    </row>
    <row r="1389" spans="4:5" x14ac:dyDescent="0.25">
      <c r="D1389" t="s">
        <v>575</v>
      </c>
    </row>
    <row r="1391" spans="4:5" x14ac:dyDescent="0.25">
      <c r="D1391" t="s">
        <v>388</v>
      </c>
      <c r="E1391" t="s">
        <v>432</v>
      </c>
    </row>
    <row r="1392" spans="4:5" x14ac:dyDescent="0.25">
      <c r="D1392" t="s">
        <v>390</v>
      </c>
      <c r="E1392" t="s">
        <v>436</v>
      </c>
    </row>
    <row r="1393" spans="2:5" x14ac:dyDescent="0.25">
      <c r="D1393" t="s">
        <v>576</v>
      </c>
    </row>
    <row r="1398" spans="2:5" x14ac:dyDescent="0.25">
      <c r="B1398" t="s">
        <v>145</v>
      </c>
    </row>
    <row r="1399" spans="2:5" x14ac:dyDescent="0.25">
      <c r="B1399" t="s">
        <v>265</v>
      </c>
    </row>
    <row r="1400" spans="2:5" x14ac:dyDescent="0.25">
      <c r="B1400" t="s">
        <v>266</v>
      </c>
    </row>
    <row r="1401" spans="2:5" x14ac:dyDescent="0.25">
      <c r="B1401" t="s">
        <v>267</v>
      </c>
    </row>
    <row r="1402" spans="2:5" x14ac:dyDescent="0.25">
      <c r="B1402" t="s">
        <v>146</v>
      </c>
    </row>
    <row r="1403" spans="2:5" x14ac:dyDescent="0.25">
      <c r="B1403" t="s">
        <v>147</v>
      </c>
    </row>
    <row r="1404" spans="2:5" x14ac:dyDescent="0.25">
      <c r="B1404" t="s">
        <v>367</v>
      </c>
    </row>
    <row r="1405" spans="2:5" x14ac:dyDescent="0.25">
      <c r="B1405" t="s">
        <v>260</v>
      </c>
    </row>
    <row r="1407" spans="2:5" x14ac:dyDescent="0.25">
      <c r="D1407" t="s">
        <v>388</v>
      </c>
      <c r="E1407" t="s">
        <v>389</v>
      </c>
    </row>
    <row r="1408" spans="2:5" x14ac:dyDescent="0.25">
      <c r="D1408" t="s">
        <v>390</v>
      </c>
      <c r="E1408" t="s">
        <v>391</v>
      </c>
    </row>
    <row r="1409" spans="4:9" x14ac:dyDescent="0.25">
      <c r="D1409" t="s">
        <v>173</v>
      </c>
      <c r="E1409">
        <v>200</v>
      </c>
      <c r="F1409">
        <v>200</v>
      </c>
      <c r="G1409">
        <v>200</v>
      </c>
      <c r="H1409">
        <v>200</v>
      </c>
      <c r="I1409">
        <v>200</v>
      </c>
    </row>
    <row r="1410" spans="4:9" x14ac:dyDescent="0.25">
      <c r="D1410" t="s">
        <v>392</v>
      </c>
      <c r="E1410" t="s">
        <v>393</v>
      </c>
    </row>
    <row r="1411" spans="4:9" x14ac:dyDescent="0.25">
      <c r="D1411" t="s">
        <v>268</v>
      </c>
    </row>
    <row r="1413" spans="4:9" x14ac:dyDescent="0.25">
      <c r="D1413" t="s">
        <v>388</v>
      </c>
      <c r="E1413" t="s">
        <v>389</v>
      </c>
    </row>
    <row r="1414" spans="4:9" x14ac:dyDescent="0.25">
      <c r="D1414" t="s">
        <v>390</v>
      </c>
      <c r="E1414" t="s">
        <v>394</v>
      </c>
    </row>
    <row r="1415" spans="4:9" x14ac:dyDescent="0.25">
      <c r="D1415" t="s">
        <v>173</v>
      </c>
      <c r="E1415">
        <v>200</v>
      </c>
      <c r="F1415">
        <v>200</v>
      </c>
      <c r="G1415">
        <v>200</v>
      </c>
      <c r="H1415">
        <v>200</v>
      </c>
      <c r="I1415">
        <v>200</v>
      </c>
    </row>
    <row r="1416" spans="4:9" x14ac:dyDescent="0.25">
      <c r="D1416" t="s">
        <v>269</v>
      </c>
    </row>
    <row r="1418" spans="4:9" x14ac:dyDescent="0.25">
      <c r="D1418" t="s">
        <v>388</v>
      </c>
      <c r="E1418" t="s">
        <v>41</v>
      </c>
    </row>
    <row r="1419" spans="4:9" x14ac:dyDescent="0.25">
      <c r="D1419" t="s">
        <v>390</v>
      </c>
      <c r="E1419" t="s">
        <v>396</v>
      </c>
    </row>
    <row r="1420" spans="4:9" x14ac:dyDescent="0.25">
      <c r="D1420" t="s">
        <v>397</v>
      </c>
      <c r="E1420" t="s">
        <v>398</v>
      </c>
    </row>
    <row r="1421" spans="4:9" x14ac:dyDescent="0.25">
      <c r="D1421" t="s">
        <v>270</v>
      </c>
    </row>
    <row r="1423" spans="4:9" x14ac:dyDescent="0.25">
      <c r="D1423" t="s">
        <v>388</v>
      </c>
      <c r="E1423" t="s">
        <v>389</v>
      </c>
    </row>
    <row r="1424" spans="4:9" x14ac:dyDescent="0.25">
      <c r="D1424" t="s">
        <v>390</v>
      </c>
      <c r="E1424" t="s">
        <v>425</v>
      </c>
    </row>
    <row r="1425" spans="4:9" x14ac:dyDescent="0.25">
      <c r="D1425" t="s">
        <v>168</v>
      </c>
    </row>
    <row r="1426" spans="4:9" x14ac:dyDescent="0.25">
      <c r="D1426" t="s">
        <v>170</v>
      </c>
      <c r="E1426">
        <v>1</v>
      </c>
      <c r="F1426">
        <v>2</v>
      </c>
      <c r="G1426">
        <v>3</v>
      </c>
      <c r="H1426">
        <v>4</v>
      </c>
      <c r="I1426">
        <v>5</v>
      </c>
    </row>
    <row r="1427" spans="4:9" x14ac:dyDescent="0.25">
      <c r="D1427" t="s">
        <v>171</v>
      </c>
      <c r="E1427" t="s">
        <v>136</v>
      </c>
      <c r="F1427" t="s">
        <v>137</v>
      </c>
      <c r="G1427" t="s">
        <v>137</v>
      </c>
      <c r="H1427" t="s">
        <v>137</v>
      </c>
      <c r="I1427" t="s">
        <v>137</v>
      </c>
    </row>
    <row r="1428" spans="4:9" x14ac:dyDescent="0.25">
      <c r="D1428" t="s">
        <v>172</v>
      </c>
      <c r="E1428">
        <v>1</v>
      </c>
      <c r="F1428">
        <v>2</v>
      </c>
      <c r="G1428">
        <v>3</v>
      </c>
      <c r="H1428">
        <v>4</v>
      </c>
      <c r="I1428">
        <v>5</v>
      </c>
    </row>
    <row r="1429" spans="4:9" x14ac:dyDescent="0.25">
      <c r="D1429" t="s">
        <v>173</v>
      </c>
      <c r="E1429">
        <v>200</v>
      </c>
      <c r="F1429">
        <v>200</v>
      </c>
      <c r="G1429">
        <v>200</v>
      </c>
      <c r="H1429">
        <v>200</v>
      </c>
      <c r="I1429">
        <v>200</v>
      </c>
    </row>
    <row r="1430" spans="4:9" x14ac:dyDescent="0.25">
      <c r="D1430" t="s">
        <v>426</v>
      </c>
      <c r="E1430">
        <v>0</v>
      </c>
      <c r="F1430">
        <v>0</v>
      </c>
      <c r="G1430">
        <v>0</v>
      </c>
      <c r="H1430">
        <v>0</v>
      </c>
      <c r="I1430">
        <v>0</v>
      </c>
    </row>
    <row r="1431" spans="4:9" x14ac:dyDescent="0.25">
      <c r="D1431" t="s">
        <v>176</v>
      </c>
      <c r="E1431" t="s">
        <v>40</v>
      </c>
      <c r="F1431" t="s">
        <v>40</v>
      </c>
      <c r="G1431" t="s">
        <v>40</v>
      </c>
      <c r="H1431" t="s">
        <v>40</v>
      </c>
      <c r="I1431" t="s">
        <v>40</v>
      </c>
    </row>
    <row r="1432" spans="4:9" x14ac:dyDescent="0.25">
      <c r="D1432" t="s">
        <v>427</v>
      </c>
    </row>
    <row r="1433" spans="4:9" x14ac:dyDescent="0.25">
      <c r="D1433" t="s">
        <v>428</v>
      </c>
    </row>
    <row r="1434" spans="4:9" x14ac:dyDescent="0.25">
      <c r="D1434" t="s">
        <v>429</v>
      </c>
      <c r="E1434" t="s">
        <v>430</v>
      </c>
    </row>
    <row r="1435" spans="4:9" x14ac:dyDescent="0.25">
      <c r="D1435" t="s">
        <v>271</v>
      </c>
    </row>
    <row r="1437" spans="4:9" x14ac:dyDescent="0.25">
      <c r="D1437" t="s">
        <v>388</v>
      </c>
      <c r="E1437" t="s">
        <v>432</v>
      </c>
    </row>
    <row r="1438" spans="4:9" x14ac:dyDescent="0.25">
      <c r="D1438" t="s">
        <v>390</v>
      </c>
      <c r="E1438" t="s">
        <v>433</v>
      </c>
    </row>
    <row r="1439" spans="4:9" x14ac:dyDescent="0.25">
      <c r="D1439" t="s">
        <v>434</v>
      </c>
      <c r="E1439">
        <v>0</v>
      </c>
    </row>
    <row r="1440" spans="4:9" x14ac:dyDescent="0.25">
      <c r="D1440" t="s">
        <v>512</v>
      </c>
    </row>
    <row r="1442" spans="4:5" x14ac:dyDescent="0.25">
      <c r="D1442" t="s">
        <v>388</v>
      </c>
      <c r="E1442" t="s">
        <v>432</v>
      </c>
    </row>
    <row r="1443" spans="4:5" x14ac:dyDescent="0.25">
      <c r="D1443" t="s">
        <v>390</v>
      </c>
      <c r="E1443" t="s">
        <v>436</v>
      </c>
    </row>
    <row r="1444" spans="4:5" x14ac:dyDescent="0.25">
      <c r="D1444" t="s">
        <v>513</v>
      </c>
    </row>
    <row r="1446" spans="4:5" x14ac:dyDescent="0.25">
      <c r="D1446" t="s">
        <v>388</v>
      </c>
      <c r="E1446" t="s">
        <v>41</v>
      </c>
    </row>
    <row r="1447" spans="4:5" x14ac:dyDescent="0.25">
      <c r="D1447" t="s">
        <v>390</v>
      </c>
      <c r="E1447" t="s">
        <v>433</v>
      </c>
    </row>
    <row r="1448" spans="4:5" x14ac:dyDescent="0.25">
      <c r="D1448" t="s">
        <v>397</v>
      </c>
      <c r="E1448" t="s">
        <v>86</v>
      </c>
    </row>
    <row r="1449" spans="4:5" x14ac:dyDescent="0.25">
      <c r="D1449" t="s">
        <v>438</v>
      </c>
      <c r="E1449" t="s">
        <v>510</v>
      </c>
    </row>
    <row r="1450" spans="4:5" x14ac:dyDescent="0.25">
      <c r="D1450" t="s">
        <v>514</v>
      </c>
    </row>
    <row r="1452" spans="4:5" x14ac:dyDescent="0.25">
      <c r="D1452" t="s">
        <v>388</v>
      </c>
      <c r="E1452" t="s">
        <v>432</v>
      </c>
    </row>
    <row r="1453" spans="4:5" x14ac:dyDescent="0.25">
      <c r="D1453" t="s">
        <v>390</v>
      </c>
      <c r="E1453" t="s">
        <v>433</v>
      </c>
    </row>
    <row r="1454" spans="4:5" x14ac:dyDescent="0.25">
      <c r="D1454" t="s">
        <v>434</v>
      </c>
      <c r="E1454">
        <v>175</v>
      </c>
    </row>
    <row r="1455" spans="4:5" x14ac:dyDescent="0.25">
      <c r="D1455" t="s">
        <v>577</v>
      </c>
    </row>
    <row r="1457" spans="2:5" x14ac:dyDescent="0.25">
      <c r="D1457" t="s">
        <v>388</v>
      </c>
      <c r="E1457" t="s">
        <v>432</v>
      </c>
    </row>
    <row r="1458" spans="2:5" x14ac:dyDescent="0.25">
      <c r="D1458" t="s">
        <v>390</v>
      </c>
      <c r="E1458" t="s">
        <v>436</v>
      </c>
    </row>
    <row r="1459" spans="2:5" x14ac:dyDescent="0.25">
      <c r="D1459" t="s">
        <v>578</v>
      </c>
    </row>
    <row r="1464" spans="2:5" x14ac:dyDescent="0.25">
      <c r="B1464" t="s">
        <v>145</v>
      </c>
    </row>
    <row r="1465" spans="2:5" x14ac:dyDescent="0.25">
      <c r="B1465" t="s">
        <v>272</v>
      </c>
    </row>
    <row r="1466" spans="2:5" x14ac:dyDescent="0.25">
      <c r="B1466" t="s">
        <v>273</v>
      </c>
    </row>
    <row r="1467" spans="2:5" x14ac:dyDescent="0.25">
      <c r="B1467" t="s">
        <v>274</v>
      </c>
    </row>
    <row r="1468" spans="2:5" x14ac:dyDescent="0.25">
      <c r="B1468" t="s">
        <v>146</v>
      </c>
    </row>
    <row r="1469" spans="2:5" x14ac:dyDescent="0.25">
      <c r="B1469" t="s">
        <v>147</v>
      </c>
    </row>
    <row r="1470" spans="2:5" x14ac:dyDescent="0.25">
      <c r="B1470" t="s">
        <v>367</v>
      </c>
    </row>
    <row r="1471" spans="2:5" x14ac:dyDescent="0.25">
      <c r="B1471" t="s">
        <v>260</v>
      </c>
    </row>
    <row r="1473" spans="4:9" x14ac:dyDescent="0.25">
      <c r="D1473" t="s">
        <v>388</v>
      </c>
      <c r="E1473" t="s">
        <v>389</v>
      </c>
    </row>
    <row r="1474" spans="4:9" x14ac:dyDescent="0.25">
      <c r="D1474" t="s">
        <v>390</v>
      </c>
      <c r="E1474" t="s">
        <v>391</v>
      </c>
    </row>
    <row r="1475" spans="4:9" x14ac:dyDescent="0.25">
      <c r="D1475" t="s">
        <v>173</v>
      </c>
      <c r="E1475">
        <v>200</v>
      </c>
      <c r="F1475">
        <v>200</v>
      </c>
      <c r="G1475">
        <v>200</v>
      </c>
      <c r="H1475">
        <v>200</v>
      </c>
      <c r="I1475">
        <v>200</v>
      </c>
    </row>
    <row r="1476" spans="4:9" x14ac:dyDescent="0.25">
      <c r="D1476" t="s">
        <v>392</v>
      </c>
      <c r="E1476" t="s">
        <v>393</v>
      </c>
    </row>
    <row r="1477" spans="4:9" x14ac:dyDescent="0.25">
      <c r="D1477" t="s">
        <v>275</v>
      </c>
    </row>
    <row r="1479" spans="4:9" x14ac:dyDescent="0.25">
      <c r="D1479" t="s">
        <v>388</v>
      </c>
      <c r="E1479" t="s">
        <v>389</v>
      </c>
    </row>
    <row r="1480" spans="4:9" x14ac:dyDescent="0.25">
      <c r="D1480" t="s">
        <v>390</v>
      </c>
      <c r="E1480" t="s">
        <v>394</v>
      </c>
    </row>
    <row r="1481" spans="4:9" x14ac:dyDescent="0.25">
      <c r="D1481" t="s">
        <v>173</v>
      </c>
      <c r="E1481">
        <v>200</v>
      </c>
      <c r="F1481">
        <v>200</v>
      </c>
      <c r="G1481">
        <v>200</v>
      </c>
      <c r="H1481">
        <v>200</v>
      </c>
      <c r="I1481">
        <v>200</v>
      </c>
    </row>
    <row r="1482" spans="4:9" x14ac:dyDescent="0.25">
      <c r="D1482" t="s">
        <v>357</v>
      </c>
    </row>
    <row r="1484" spans="4:9" x14ac:dyDescent="0.25">
      <c r="D1484" t="s">
        <v>388</v>
      </c>
      <c r="E1484" t="s">
        <v>41</v>
      </c>
    </row>
    <row r="1485" spans="4:9" x14ac:dyDescent="0.25">
      <c r="D1485" t="s">
        <v>390</v>
      </c>
      <c r="E1485" t="s">
        <v>396</v>
      </c>
    </row>
    <row r="1486" spans="4:9" x14ac:dyDescent="0.25">
      <c r="D1486" t="s">
        <v>397</v>
      </c>
      <c r="E1486" t="s">
        <v>398</v>
      </c>
    </row>
    <row r="1487" spans="4:9" x14ac:dyDescent="0.25">
      <c r="D1487" t="s">
        <v>358</v>
      </c>
    </row>
    <row r="1489" spans="4:9" x14ac:dyDescent="0.25">
      <c r="D1489" t="s">
        <v>388</v>
      </c>
      <c r="E1489" t="s">
        <v>389</v>
      </c>
    </row>
    <row r="1490" spans="4:9" x14ac:dyDescent="0.25">
      <c r="D1490" t="s">
        <v>390</v>
      </c>
      <c r="E1490" t="s">
        <v>425</v>
      </c>
    </row>
    <row r="1491" spans="4:9" x14ac:dyDescent="0.25">
      <c r="D1491" t="s">
        <v>168</v>
      </c>
    </row>
    <row r="1492" spans="4:9" x14ac:dyDescent="0.25">
      <c r="D1492" t="s">
        <v>170</v>
      </c>
      <c r="E1492">
        <v>1</v>
      </c>
      <c r="F1492">
        <v>2</v>
      </c>
      <c r="G1492">
        <v>3</v>
      </c>
      <c r="H1492">
        <v>4</v>
      </c>
      <c r="I1492">
        <v>5</v>
      </c>
    </row>
    <row r="1493" spans="4:9" x14ac:dyDescent="0.25">
      <c r="D1493" t="s">
        <v>171</v>
      </c>
      <c r="E1493" t="s">
        <v>136</v>
      </c>
      <c r="F1493" t="s">
        <v>137</v>
      </c>
      <c r="G1493" t="s">
        <v>137</v>
      </c>
      <c r="H1493" t="s">
        <v>137</v>
      </c>
      <c r="I1493" t="s">
        <v>137</v>
      </c>
    </row>
    <row r="1494" spans="4:9" x14ac:dyDescent="0.25">
      <c r="D1494" t="s">
        <v>172</v>
      </c>
      <c r="E1494">
        <v>1</v>
      </c>
      <c r="F1494">
        <v>2</v>
      </c>
      <c r="G1494">
        <v>3</v>
      </c>
      <c r="H1494">
        <v>4</v>
      </c>
      <c r="I1494">
        <v>5</v>
      </c>
    </row>
    <row r="1495" spans="4:9" x14ac:dyDescent="0.25">
      <c r="D1495" t="s">
        <v>173</v>
      </c>
      <c r="E1495">
        <v>200</v>
      </c>
      <c r="F1495">
        <v>200</v>
      </c>
      <c r="G1495">
        <v>200</v>
      </c>
      <c r="H1495">
        <v>200</v>
      </c>
      <c r="I1495">
        <v>200</v>
      </c>
    </row>
    <row r="1496" spans="4:9" x14ac:dyDescent="0.25">
      <c r="D1496" t="s">
        <v>426</v>
      </c>
      <c r="E1496">
        <v>0</v>
      </c>
      <c r="F1496">
        <v>0</v>
      </c>
      <c r="G1496">
        <v>0</v>
      </c>
      <c r="H1496">
        <v>0</v>
      </c>
      <c r="I1496">
        <v>0</v>
      </c>
    </row>
    <row r="1497" spans="4:9" x14ac:dyDescent="0.25">
      <c r="D1497" t="s">
        <v>176</v>
      </c>
      <c r="E1497" t="s">
        <v>40</v>
      </c>
      <c r="F1497" t="s">
        <v>40</v>
      </c>
      <c r="G1497" t="s">
        <v>40</v>
      </c>
      <c r="H1497" t="s">
        <v>40</v>
      </c>
      <c r="I1497" t="s">
        <v>40</v>
      </c>
    </row>
    <row r="1498" spans="4:9" x14ac:dyDescent="0.25">
      <c r="D1498" t="s">
        <v>427</v>
      </c>
    </row>
    <row r="1499" spans="4:9" x14ac:dyDescent="0.25">
      <c r="D1499" t="s">
        <v>428</v>
      </c>
    </row>
    <row r="1500" spans="4:9" x14ac:dyDescent="0.25">
      <c r="D1500" t="s">
        <v>429</v>
      </c>
      <c r="E1500" t="s">
        <v>430</v>
      </c>
    </row>
    <row r="1501" spans="4:9" x14ac:dyDescent="0.25">
      <c r="D1501" t="s">
        <v>359</v>
      </c>
    </row>
    <row r="1503" spans="4:9" x14ac:dyDescent="0.25">
      <c r="D1503" t="s">
        <v>388</v>
      </c>
      <c r="E1503" t="s">
        <v>432</v>
      </c>
    </row>
    <row r="1504" spans="4:9" x14ac:dyDescent="0.25">
      <c r="D1504" t="s">
        <v>390</v>
      </c>
      <c r="E1504" t="s">
        <v>433</v>
      </c>
    </row>
    <row r="1505" spans="4:5" x14ac:dyDescent="0.25">
      <c r="D1505" t="s">
        <v>434</v>
      </c>
      <c r="E1505">
        <v>0</v>
      </c>
    </row>
    <row r="1506" spans="4:5" x14ac:dyDescent="0.25">
      <c r="D1506" t="s">
        <v>515</v>
      </c>
    </row>
    <row r="1508" spans="4:5" x14ac:dyDescent="0.25">
      <c r="D1508" t="s">
        <v>388</v>
      </c>
      <c r="E1508" t="s">
        <v>432</v>
      </c>
    </row>
    <row r="1509" spans="4:5" x14ac:dyDescent="0.25">
      <c r="D1509" t="s">
        <v>390</v>
      </c>
      <c r="E1509" t="s">
        <v>436</v>
      </c>
    </row>
    <row r="1510" spans="4:5" x14ac:dyDescent="0.25">
      <c r="D1510" t="s">
        <v>516</v>
      </c>
    </row>
    <row r="1512" spans="4:5" x14ac:dyDescent="0.25">
      <c r="D1512" t="s">
        <v>388</v>
      </c>
      <c r="E1512" t="s">
        <v>41</v>
      </c>
    </row>
    <row r="1513" spans="4:5" x14ac:dyDescent="0.25">
      <c r="D1513" t="s">
        <v>390</v>
      </c>
      <c r="E1513" t="s">
        <v>433</v>
      </c>
    </row>
    <row r="1514" spans="4:5" x14ac:dyDescent="0.25">
      <c r="D1514" t="s">
        <v>397</v>
      </c>
      <c r="E1514" t="s">
        <v>86</v>
      </c>
    </row>
    <row r="1515" spans="4:5" x14ac:dyDescent="0.25">
      <c r="D1515" t="s">
        <v>438</v>
      </c>
      <c r="E1515" t="s">
        <v>510</v>
      </c>
    </row>
    <row r="1516" spans="4:5" x14ac:dyDescent="0.25">
      <c r="D1516" t="s">
        <v>517</v>
      </c>
    </row>
    <row r="1518" spans="4:5" x14ac:dyDescent="0.25">
      <c r="D1518" t="s">
        <v>388</v>
      </c>
      <c r="E1518" t="s">
        <v>432</v>
      </c>
    </row>
    <row r="1519" spans="4:5" x14ac:dyDescent="0.25">
      <c r="D1519" t="s">
        <v>390</v>
      </c>
      <c r="E1519" t="s">
        <v>433</v>
      </c>
    </row>
    <row r="1520" spans="4:5" x14ac:dyDescent="0.25">
      <c r="D1520" t="s">
        <v>434</v>
      </c>
      <c r="E1520">
        <v>175</v>
      </c>
    </row>
    <row r="1521" spans="2:5" x14ac:dyDescent="0.25">
      <c r="D1521" t="s">
        <v>579</v>
      </c>
    </row>
    <row r="1523" spans="2:5" x14ac:dyDescent="0.25">
      <c r="D1523" t="s">
        <v>388</v>
      </c>
      <c r="E1523" t="s">
        <v>432</v>
      </c>
    </row>
    <row r="1524" spans="2:5" x14ac:dyDescent="0.25">
      <c r="D1524" t="s">
        <v>390</v>
      </c>
      <c r="E1524" t="s">
        <v>436</v>
      </c>
    </row>
    <row r="1525" spans="2:5" x14ac:dyDescent="0.25">
      <c r="D1525" t="s">
        <v>580</v>
      </c>
    </row>
    <row r="1530" spans="2:5" x14ac:dyDescent="0.25">
      <c r="B1530" t="s">
        <v>276</v>
      </c>
    </row>
    <row r="1531" spans="2:5" x14ac:dyDescent="0.25">
      <c r="B1531" t="s">
        <v>277</v>
      </c>
    </row>
    <row r="1532" spans="2:5" x14ac:dyDescent="0.25">
      <c r="B1532" t="s">
        <v>278</v>
      </c>
    </row>
    <row r="1533" spans="2:5" x14ac:dyDescent="0.25">
      <c r="B1533" t="s">
        <v>279</v>
      </c>
    </row>
    <row r="1534" spans="2:5" x14ac:dyDescent="0.25">
      <c r="B1534" t="s">
        <v>280</v>
      </c>
    </row>
    <row r="1536" spans="2:5" x14ac:dyDescent="0.25">
      <c r="C1536" t="s">
        <v>144</v>
      </c>
    </row>
    <row r="1541" spans="2:17" x14ac:dyDescent="0.25">
      <c r="B1541" t="s">
        <v>281</v>
      </c>
    </row>
    <row r="1542" spans="2:17" x14ac:dyDescent="0.25">
      <c r="B1542" t="s">
        <v>282</v>
      </c>
    </row>
    <row r="1544" spans="2:17" x14ac:dyDescent="0.25">
      <c r="C1544" t="s">
        <v>283</v>
      </c>
    </row>
    <row r="1546" spans="2:17" x14ac:dyDescent="0.25">
      <c r="D1546" t="s">
        <v>388</v>
      </c>
      <c r="E1546" t="s">
        <v>518</v>
      </c>
    </row>
    <row r="1547" spans="2:17" x14ac:dyDescent="0.25">
      <c r="D1547" t="s">
        <v>390</v>
      </c>
      <c r="E1547" t="s">
        <v>519</v>
      </c>
    </row>
    <row r="1548" spans="2:17" x14ac:dyDescent="0.25">
      <c r="D1548" t="s">
        <v>520</v>
      </c>
    </row>
    <row r="1550" spans="2:17" x14ac:dyDescent="0.25">
      <c r="D1550" t="s">
        <v>388</v>
      </c>
      <c r="E1550" t="s">
        <v>518</v>
      </c>
    </row>
    <row r="1551" spans="2:17" x14ac:dyDescent="0.25">
      <c r="D1551" t="s">
        <v>390</v>
      </c>
      <c r="E1551" t="s">
        <v>399</v>
      </c>
    </row>
    <row r="1552" spans="2:17" x14ac:dyDescent="0.25">
      <c r="D1552" t="s">
        <v>521</v>
      </c>
      <c r="E1552" t="s">
        <v>131</v>
      </c>
      <c r="F1552" t="s">
        <v>139</v>
      </c>
      <c r="G1552" t="s">
        <v>137</v>
      </c>
      <c r="H1552" t="s">
        <v>127</v>
      </c>
      <c r="I1552" t="s">
        <v>130</v>
      </c>
      <c r="J1552" t="s">
        <v>128</v>
      </c>
      <c r="K1552" t="s">
        <v>129</v>
      </c>
      <c r="L1552" t="s">
        <v>126</v>
      </c>
      <c r="M1552" t="s">
        <v>138</v>
      </c>
      <c r="N1552" t="s">
        <v>133</v>
      </c>
      <c r="O1552" t="s">
        <v>134</v>
      </c>
      <c r="P1552" t="s">
        <v>135</v>
      </c>
      <c r="Q1552" t="s">
        <v>136</v>
      </c>
    </row>
    <row r="1553" spans="4:78" x14ac:dyDescent="0.25">
      <c r="D1553" t="s">
        <v>522</v>
      </c>
      <c r="E1553" t="s">
        <v>307</v>
      </c>
      <c r="F1553" t="s">
        <v>523</v>
      </c>
      <c r="G1553" t="s">
        <v>524</v>
      </c>
      <c r="H1553" t="s">
        <v>296</v>
      </c>
      <c r="I1553" t="s">
        <v>311</v>
      </c>
      <c r="J1553" t="s">
        <v>313</v>
      </c>
      <c r="K1553" t="s">
        <v>525</v>
      </c>
      <c r="L1553" t="s">
        <v>312</v>
      </c>
      <c r="M1553" t="s">
        <v>314</v>
      </c>
      <c r="N1553" t="s">
        <v>526</v>
      </c>
      <c r="O1553" t="s">
        <v>527</v>
      </c>
      <c r="P1553" t="s">
        <v>528</v>
      </c>
      <c r="Q1553" t="s">
        <v>529</v>
      </c>
    </row>
    <row r="1554" spans="4:78" x14ac:dyDescent="0.25">
      <c r="D1554" t="s">
        <v>530</v>
      </c>
      <c r="E1554" t="b">
        <v>0</v>
      </c>
      <c r="F1554" t="b">
        <v>0</v>
      </c>
      <c r="G1554" t="b">
        <v>0</v>
      </c>
      <c r="H1554" t="b">
        <v>0</v>
      </c>
      <c r="I1554" t="b">
        <v>0</v>
      </c>
      <c r="J1554" t="b">
        <v>0</v>
      </c>
      <c r="K1554" t="b">
        <v>0</v>
      </c>
      <c r="L1554" t="b">
        <v>0</v>
      </c>
      <c r="M1554" t="b">
        <v>1</v>
      </c>
      <c r="N1554" t="b">
        <v>1</v>
      </c>
      <c r="O1554" t="b">
        <v>1</v>
      </c>
      <c r="P1554" t="b">
        <v>1</v>
      </c>
      <c r="Q1554" t="b">
        <v>1</v>
      </c>
    </row>
    <row r="1555" spans="4:78" x14ac:dyDescent="0.25">
      <c r="D1555" t="s">
        <v>531</v>
      </c>
      <c r="E1555" t="s">
        <v>307</v>
      </c>
      <c r="F1555" t="s">
        <v>523</v>
      </c>
      <c r="G1555" t="s">
        <v>524</v>
      </c>
      <c r="H1555" t="s">
        <v>532</v>
      </c>
      <c r="I1555" t="s">
        <v>533</v>
      </c>
      <c r="J1555" t="s">
        <v>534</v>
      </c>
      <c r="K1555" t="s">
        <v>535</v>
      </c>
      <c r="L1555" t="s">
        <v>536</v>
      </c>
      <c r="M1555" t="s">
        <v>314</v>
      </c>
      <c r="N1555" t="s">
        <v>526</v>
      </c>
      <c r="O1555" t="s">
        <v>527</v>
      </c>
      <c r="P1555" t="s">
        <v>528</v>
      </c>
      <c r="Q1555" t="s">
        <v>529</v>
      </c>
    </row>
    <row r="1556" spans="4:78" x14ac:dyDescent="0.25">
      <c r="D1556" t="s">
        <v>537</v>
      </c>
      <c r="E1556">
        <v>7100</v>
      </c>
      <c r="F1556">
        <v>2300</v>
      </c>
      <c r="G1556">
        <v>2900</v>
      </c>
      <c r="H1556">
        <v>1250</v>
      </c>
      <c r="I1556">
        <v>638</v>
      </c>
      <c r="J1556">
        <v>950</v>
      </c>
      <c r="K1556">
        <v>671.6</v>
      </c>
      <c r="L1556">
        <v>638</v>
      </c>
      <c r="M1556">
        <v>1350</v>
      </c>
      <c r="N1556">
        <v>171.6</v>
      </c>
      <c r="O1556">
        <v>162</v>
      </c>
      <c r="P1556">
        <v>166.8</v>
      </c>
      <c r="Q1556">
        <v>750</v>
      </c>
    </row>
    <row r="1557" spans="4:78" x14ac:dyDescent="0.25">
      <c r="D1557" t="s">
        <v>538</v>
      </c>
      <c r="E1557" t="s">
        <v>284</v>
      </c>
      <c r="F1557" t="s">
        <v>284</v>
      </c>
      <c r="G1557" t="s">
        <v>284</v>
      </c>
      <c r="H1557" t="s">
        <v>31</v>
      </c>
      <c r="I1557" t="s">
        <v>31</v>
      </c>
      <c r="J1557" t="s">
        <v>31</v>
      </c>
      <c r="K1557" t="s">
        <v>31</v>
      </c>
      <c r="L1557" t="s">
        <v>31</v>
      </c>
      <c r="M1557" t="s">
        <v>539</v>
      </c>
      <c r="N1557" t="s">
        <v>539</v>
      </c>
      <c r="O1557" t="s">
        <v>539</v>
      </c>
      <c r="P1557" t="s">
        <v>539</v>
      </c>
      <c r="Q1557" t="s">
        <v>539</v>
      </c>
    </row>
    <row r="1558" spans="4:78" x14ac:dyDescent="0.25">
      <c r="D1558" t="s">
        <v>540</v>
      </c>
      <c r="E1558" t="s">
        <v>285</v>
      </c>
      <c r="F1558" t="s">
        <v>285</v>
      </c>
      <c r="G1558" t="s">
        <v>285</v>
      </c>
      <c r="H1558" t="s">
        <v>2</v>
      </c>
      <c r="I1558" t="s">
        <v>2</v>
      </c>
      <c r="J1558" t="s">
        <v>2</v>
      </c>
      <c r="K1558" t="s">
        <v>2</v>
      </c>
      <c r="L1558" t="s">
        <v>2</v>
      </c>
      <c r="M1558" t="s">
        <v>285</v>
      </c>
      <c r="N1558" t="s">
        <v>285</v>
      </c>
      <c r="O1558" t="s">
        <v>285</v>
      </c>
      <c r="P1558" t="s">
        <v>285</v>
      </c>
      <c r="Q1558" t="s">
        <v>285</v>
      </c>
    </row>
    <row r="1559" spans="4:78" x14ac:dyDescent="0.25">
      <c r="D1559" t="s">
        <v>541</v>
      </c>
      <c r="E1559" t="s">
        <v>284</v>
      </c>
      <c r="F1559" t="s">
        <v>284</v>
      </c>
      <c r="G1559" t="s">
        <v>284</v>
      </c>
      <c r="H1559" t="s">
        <v>542</v>
      </c>
      <c r="I1559" t="s">
        <v>542</v>
      </c>
      <c r="J1559" t="s">
        <v>542</v>
      </c>
      <c r="K1559" t="s">
        <v>542</v>
      </c>
      <c r="L1559" t="s">
        <v>542</v>
      </c>
      <c r="M1559" t="s">
        <v>291</v>
      </c>
      <c r="N1559" t="s">
        <v>291</v>
      </c>
      <c r="O1559" t="s">
        <v>291</v>
      </c>
      <c r="P1559" t="s">
        <v>291</v>
      </c>
      <c r="Q1559" t="s">
        <v>543</v>
      </c>
    </row>
    <row r="1561" spans="4:78" x14ac:dyDescent="0.25">
      <c r="D1561" t="s">
        <v>388</v>
      </c>
      <c r="E1561" t="s">
        <v>518</v>
      </c>
    </row>
    <row r="1562" spans="4:78" x14ac:dyDescent="0.25">
      <c r="D1562" t="s">
        <v>390</v>
      </c>
      <c r="E1562" t="s">
        <v>389</v>
      </c>
    </row>
    <row r="1563" spans="4:78" x14ac:dyDescent="0.25">
      <c r="D1563" t="s">
        <v>537</v>
      </c>
      <c r="E1563">
        <v>600</v>
      </c>
      <c r="F1563">
        <v>600</v>
      </c>
      <c r="G1563">
        <v>600</v>
      </c>
      <c r="H1563">
        <v>600</v>
      </c>
      <c r="I1563">
        <v>600</v>
      </c>
      <c r="J1563">
        <v>600</v>
      </c>
      <c r="K1563">
        <v>600</v>
      </c>
      <c r="L1563">
        <v>600</v>
      </c>
      <c r="M1563">
        <v>600</v>
      </c>
      <c r="N1563">
        <v>600</v>
      </c>
      <c r="O1563">
        <v>588</v>
      </c>
      <c r="P1563">
        <v>588</v>
      </c>
      <c r="Q1563">
        <v>588</v>
      </c>
      <c r="R1563">
        <v>588</v>
      </c>
      <c r="S1563">
        <v>588</v>
      </c>
      <c r="T1563">
        <v>789</v>
      </c>
      <c r="U1563">
        <v>588</v>
      </c>
      <c r="V1563">
        <v>1034</v>
      </c>
      <c r="W1563">
        <v>641</v>
      </c>
      <c r="X1563">
        <v>1154</v>
      </c>
      <c r="Y1563">
        <v>789</v>
      </c>
      <c r="Z1563">
        <v>588</v>
      </c>
      <c r="AA1563">
        <v>1034</v>
      </c>
      <c r="AB1563">
        <v>641</v>
      </c>
      <c r="AC1563">
        <v>1154</v>
      </c>
      <c r="AD1563">
        <v>789</v>
      </c>
      <c r="AE1563">
        <v>588</v>
      </c>
      <c r="AF1563">
        <v>1034</v>
      </c>
      <c r="AG1563">
        <v>641</v>
      </c>
      <c r="AH1563">
        <v>1154</v>
      </c>
      <c r="AI1563">
        <v>150</v>
      </c>
      <c r="AJ1563">
        <v>150</v>
      </c>
      <c r="AK1563">
        <v>150</v>
      </c>
      <c r="AL1563">
        <v>150</v>
      </c>
      <c r="AM1563">
        <v>150</v>
      </c>
      <c r="AN1563">
        <v>150</v>
      </c>
      <c r="AO1563">
        <v>150</v>
      </c>
      <c r="AP1563">
        <v>150</v>
      </c>
      <c r="AQ1563">
        <v>150</v>
      </c>
      <c r="AR1563">
        <v>150</v>
      </c>
      <c r="AS1563">
        <v>150</v>
      </c>
      <c r="AT1563">
        <v>150</v>
      </c>
      <c r="AU1563">
        <v>150</v>
      </c>
      <c r="AV1563">
        <v>150</v>
      </c>
      <c r="AW1563">
        <v>150</v>
      </c>
      <c r="AX1563">
        <v>150</v>
      </c>
      <c r="AY1563">
        <v>150</v>
      </c>
      <c r="AZ1563">
        <v>150</v>
      </c>
      <c r="BA1563">
        <v>150</v>
      </c>
      <c r="BB1563">
        <v>150</v>
      </c>
      <c r="BC1563">
        <v>150</v>
      </c>
      <c r="BD1563">
        <v>150</v>
      </c>
      <c r="BE1563">
        <v>150</v>
      </c>
      <c r="BF1563">
        <v>150</v>
      </c>
      <c r="BG1563">
        <v>21.6</v>
      </c>
      <c r="BH1563">
        <v>6</v>
      </c>
      <c r="BI1563">
        <v>8.4</v>
      </c>
      <c r="BJ1563">
        <v>6</v>
      </c>
      <c r="BK1563">
        <v>8.4</v>
      </c>
      <c r="BL1563">
        <v>200</v>
      </c>
      <c r="BM1563">
        <v>200</v>
      </c>
      <c r="BN1563">
        <v>200</v>
      </c>
      <c r="BO1563">
        <v>200</v>
      </c>
      <c r="BP1563">
        <v>200</v>
      </c>
      <c r="BQ1563">
        <v>200</v>
      </c>
      <c r="BR1563">
        <v>200</v>
      </c>
      <c r="BS1563">
        <v>200</v>
      </c>
      <c r="BT1563">
        <v>200</v>
      </c>
      <c r="BU1563">
        <v>200</v>
      </c>
      <c r="BV1563">
        <v>200</v>
      </c>
      <c r="BW1563">
        <v>200</v>
      </c>
      <c r="BX1563">
        <v>200</v>
      </c>
      <c r="BY1563">
        <v>200</v>
      </c>
      <c r="BZ1563">
        <v>200</v>
      </c>
    </row>
    <row r="1565" spans="4:78" x14ac:dyDescent="0.25">
      <c r="D1565" t="s">
        <v>388</v>
      </c>
      <c r="E1565" t="s">
        <v>518</v>
      </c>
    </row>
    <row r="1566" spans="4:78" x14ac:dyDescent="0.25">
      <c r="D1566" t="s">
        <v>390</v>
      </c>
      <c r="E1566" t="s">
        <v>549</v>
      </c>
    </row>
    <row r="1568" spans="4:78" x14ac:dyDescent="0.25">
      <c r="D1568" t="s">
        <v>388</v>
      </c>
      <c r="E1568" t="s">
        <v>518</v>
      </c>
    </row>
    <row r="1569" spans="4:5" x14ac:dyDescent="0.25">
      <c r="D1569" t="s">
        <v>390</v>
      </c>
      <c r="E1569" t="s">
        <v>550</v>
      </c>
    </row>
    <row r="1571" spans="4:5" x14ac:dyDescent="0.25">
      <c r="D1571" t="s">
        <v>388</v>
      </c>
      <c r="E1571" t="s">
        <v>518</v>
      </c>
    </row>
    <row r="1572" spans="4:5" x14ac:dyDescent="0.25">
      <c r="D1572" t="s">
        <v>390</v>
      </c>
      <c r="E1572" t="s">
        <v>41</v>
      </c>
    </row>
    <row r="1573" spans="4:5" x14ac:dyDescent="0.25">
      <c r="D1573" t="s">
        <v>581</v>
      </c>
      <c r="E1573" t="s">
        <v>398</v>
      </c>
    </row>
    <row r="1575" spans="4:5" x14ac:dyDescent="0.25">
      <c r="D1575" t="s">
        <v>388</v>
      </c>
      <c r="E1575" t="s">
        <v>518</v>
      </c>
    </row>
    <row r="1576" spans="4:5" x14ac:dyDescent="0.25">
      <c r="D1576" t="s">
        <v>390</v>
      </c>
      <c r="E1576" t="s">
        <v>582</v>
      </c>
    </row>
    <row r="1578" spans="4:5" x14ac:dyDescent="0.25">
      <c r="D1578" t="s">
        <v>388</v>
      </c>
      <c r="E1578" t="s">
        <v>518</v>
      </c>
    </row>
    <row r="1579" spans="4:5" x14ac:dyDescent="0.25">
      <c r="D1579" t="s">
        <v>390</v>
      </c>
      <c r="E1579" t="s">
        <v>583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03C01-B926-4C5F-A72F-2EEA135F4489}">
  <dimension ref="B1:M70"/>
  <sheetViews>
    <sheetView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130" t="s">
        <v>544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2"/>
    </row>
    <row r="3" spans="2:13" x14ac:dyDescent="0.25">
      <c r="B3" s="64" t="s">
        <v>545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2:13" x14ac:dyDescent="0.25">
      <c r="B4" s="67"/>
      <c r="C4" s="52"/>
      <c r="D4" s="52"/>
      <c r="E4" s="52"/>
      <c r="F4" s="52"/>
      <c r="G4" s="52"/>
      <c r="H4" s="52"/>
      <c r="I4" s="52"/>
      <c r="J4" s="52"/>
      <c r="K4" s="52"/>
      <c r="L4" s="52"/>
      <c r="M4" s="68"/>
    </row>
    <row r="5" spans="2:13" x14ac:dyDescent="0.25">
      <c r="B5" s="67" t="s">
        <v>546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68"/>
    </row>
    <row r="6" spans="2:13" x14ac:dyDescent="0.25">
      <c r="B6" s="67" t="s">
        <v>547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68"/>
    </row>
    <row r="7" spans="2:13" x14ac:dyDescent="0.25">
      <c r="B7" s="67" t="s">
        <v>548</v>
      </c>
      <c r="C7" s="52"/>
      <c r="D7" s="52"/>
      <c r="E7" s="52"/>
      <c r="F7" s="52"/>
      <c r="G7" s="52"/>
      <c r="H7" s="52"/>
      <c r="I7" s="52"/>
      <c r="J7" s="52"/>
      <c r="K7" s="52"/>
      <c r="L7" s="52"/>
      <c r="M7" s="68"/>
    </row>
    <row r="8" spans="2:13" x14ac:dyDescent="0.25">
      <c r="B8" s="67"/>
      <c r="C8" s="52"/>
      <c r="D8" s="52"/>
      <c r="E8" s="52"/>
      <c r="F8" s="52"/>
      <c r="G8" s="52"/>
      <c r="H8" s="52"/>
      <c r="I8" s="52"/>
      <c r="J8" s="52"/>
      <c r="K8" s="52"/>
      <c r="L8" s="52"/>
      <c r="M8" s="68"/>
    </row>
    <row r="9" spans="2:13" x14ac:dyDescent="0.25">
      <c r="B9" s="67"/>
      <c r="C9" s="52"/>
      <c r="D9" s="52"/>
      <c r="E9" s="52"/>
      <c r="F9" s="52"/>
      <c r="G9" s="52"/>
      <c r="H9" s="52"/>
      <c r="I9" s="52"/>
      <c r="J9" s="52"/>
      <c r="K9" s="52"/>
      <c r="L9" s="52"/>
      <c r="M9" s="68"/>
    </row>
    <row r="10" spans="2:13" ht="15.75" thickBot="1" x14ac:dyDescent="0.3">
      <c r="B10" s="70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71"/>
    </row>
    <row r="12" spans="2:13" ht="15.75" thickBot="1" x14ac:dyDescent="0.3"/>
    <row r="13" spans="2:13" ht="27" thickBot="1" x14ac:dyDescent="0.45">
      <c r="B13" s="130" t="s">
        <v>321</v>
      </c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2"/>
    </row>
    <row r="14" spans="2:13" x14ac:dyDescent="0.25">
      <c r="B14" s="64" t="s">
        <v>545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6"/>
    </row>
    <row r="15" spans="2:13" x14ac:dyDescent="0.25">
      <c r="B15" s="67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68"/>
    </row>
    <row r="16" spans="2:13" x14ac:dyDescent="0.25">
      <c r="B16" s="67" t="s">
        <v>546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68"/>
    </row>
    <row r="17" spans="2:13" x14ac:dyDescent="0.25">
      <c r="B17" s="67" t="s">
        <v>547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68"/>
    </row>
    <row r="18" spans="2:13" x14ac:dyDescent="0.25">
      <c r="B18" s="67" t="s">
        <v>548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68"/>
    </row>
    <row r="19" spans="2:13" x14ac:dyDescent="0.25">
      <c r="B19" s="67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68"/>
    </row>
    <row r="20" spans="2:13" x14ac:dyDescent="0.25">
      <c r="B20" s="67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68"/>
    </row>
    <row r="21" spans="2:13" ht="15.75" thickBot="1" x14ac:dyDescent="0.3">
      <c r="B21" s="70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71"/>
    </row>
    <row r="25" spans="2:13" ht="15.75" thickBot="1" x14ac:dyDescent="0.3"/>
    <row r="26" spans="2:13" ht="19.5" thickBot="1" x14ac:dyDescent="0.35">
      <c r="B26" s="133" t="s">
        <v>131</v>
      </c>
      <c r="C26" s="134"/>
      <c r="D26" s="134"/>
      <c r="E26" s="134"/>
      <c r="F26" s="135"/>
      <c r="I26" s="133" t="s">
        <v>139</v>
      </c>
      <c r="J26" s="134"/>
      <c r="K26" s="134"/>
      <c r="L26" s="134"/>
      <c r="M26" s="135"/>
    </row>
    <row r="27" spans="2:13" ht="16.5" thickBot="1" x14ac:dyDescent="0.3">
      <c r="B27" s="136" t="s">
        <v>284</v>
      </c>
      <c r="C27" s="137"/>
      <c r="D27" s="137"/>
      <c r="E27" s="137"/>
      <c r="F27" s="138"/>
      <c r="I27" s="136" t="s">
        <v>284</v>
      </c>
      <c r="J27" s="137"/>
      <c r="K27" s="137"/>
      <c r="L27" s="137"/>
      <c r="M27" s="138"/>
    </row>
    <row r="28" spans="2:13" ht="16.5" thickBot="1" x14ac:dyDescent="0.3">
      <c r="B28" s="136" t="s">
        <v>322</v>
      </c>
      <c r="C28" s="137"/>
      <c r="D28" s="137"/>
      <c r="E28" s="137"/>
      <c r="F28" s="138"/>
      <c r="I28" s="136" t="s">
        <v>290</v>
      </c>
      <c r="J28" s="137"/>
      <c r="K28" s="137"/>
      <c r="L28" s="137"/>
      <c r="M28" s="138"/>
    </row>
    <row r="29" spans="2:13" x14ac:dyDescent="0.25">
      <c r="B29" s="139" t="s">
        <v>285</v>
      </c>
      <c r="C29" s="140"/>
      <c r="D29" s="140"/>
      <c r="E29" s="140"/>
      <c r="F29" s="145"/>
      <c r="I29" s="139" t="s">
        <v>285</v>
      </c>
      <c r="J29" s="140"/>
      <c r="K29" s="140"/>
      <c r="L29" s="140"/>
      <c r="M29" s="145"/>
    </row>
    <row r="30" spans="2:13" x14ac:dyDescent="0.25">
      <c r="B30" s="141" t="s">
        <v>286</v>
      </c>
      <c r="C30" s="142"/>
      <c r="D30" s="142"/>
      <c r="E30" s="142"/>
      <c r="F30" s="146"/>
      <c r="I30" s="141" t="s">
        <v>286</v>
      </c>
      <c r="J30" s="142"/>
      <c r="K30" s="142"/>
      <c r="L30" s="142"/>
      <c r="M30" s="146"/>
    </row>
    <row r="31" spans="2:13" x14ac:dyDescent="0.25">
      <c r="B31" s="141" t="s">
        <v>287</v>
      </c>
      <c r="C31" s="142"/>
      <c r="D31" s="142"/>
      <c r="E31" s="142"/>
      <c r="F31" s="146"/>
      <c r="I31" s="141" t="s">
        <v>287</v>
      </c>
      <c r="J31" s="142"/>
      <c r="K31" s="142"/>
      <c r="L31" s="142"/>
      <c r="M31" s="146"/>
    </row>
    <row r="32" spans="2:13" x14ac:dyDescent="0.25">
      <c r="B32" s="141" t="s">
        <v>3</v>
      </c>
      <c r="C32" s="142"/>
      <c r="D32" s="142"/>
      <c r="E32" s="142"/>
      <c r="F32" s="146"/>
      <c r="I32" s="141" t="s">
        <v>3</v>
      </c>
      <c r="J32" s="142"/>
      <c r="K32" s="142"/>
      <c r="L32" s="142"/>
      <c r="M32" s="146"/>
    </row>
    <row r="33" spans="2:13" x14ac:dyDescent="0.25">
      <c r="B33" s="141" t="s">
        <v>288</v>
      </c>
      <c r="C33" s="142"/>
      <c r="D33" s="142"/>
      <c r="E33" s="142"/>
      <c r="F33" s="146"/>
      <c r="I33" s="141" t="s">
        <v>288</v>
      </c>
      <c r="J33" s="142"/>
      <c r="K33" s="142"/>
      <c r="L33" s="142"/>
      <c r="M33" s="146"/>
    </row>
    <row r="34" spans="2:13" ht="15.75" thickBot="1" x14ac:dyDescent="0.3">
      <c r="B34" s="143" t="s">
        <v>289</v>
      </c>
      <c r="C34" s="144"/>
      <c r="D34" s="144"/>
      <c r="E34" s="144"/>
      <c r="F34" s="147"/>
      <c r="I34" s="143" t="s">
        <v>289</v>
      </c>
      <c r="J34" s="144"/>
      <c r="K34" s="144"/>
      <c r="L34" s="144"/>
      <c r="M34" s="147"/>
    </row>
    <row r="37" spans="2:13" ht="15.75" thickBot="1" x14ac:dyDescent="0.3"/>
    <row r="38" spans="2:13" ht="19.5" thickBot="1" x14ac:dyDescent="0.35">
      <c r="B38" s="133" t="s">
        <v>137</v>
      </c>
      <c r="C38" s="134"/>
      <c r="D38" s="134"/>
      <c r="E38" s="134"/>
      <c r="F38" s="135"/>
      <c r="I38" s="133" t="s">
        <v>138</v>
      </c>
      <c r="J38" s="134"/>
      <c r="K38" s="134"/>
      <c r="L38" s="134"/>
      <c r="M38" s="135"/>
    </row>
    <row r="39" spans="2:13" ht="16.5" thickBot="1" x14ac:dyDescent="0.3">
      <c r="B39" s="136" t="s">
        <v>284</v>
      </c>
      <c r="C39" s="137"/>
      <c r="D39" s="137"/>
      <c r="E39" s="137"/>
      <c r="F39" s="138"/>
      <c r="I39" s="136" t="s">
        <v>291</v>
      </c>
      <c r="J39" s="137"/>
      <c r="K39" s="137"/>
      <c r="L39" s="137"/>
      <c r="M39" s="138"/>
    </row>
    <row r="40" spans="2:13" ht="16.5" thickBot="1" x14ac:dyDescent="0.3">
      <c r="B40" s="136" t="s">
        <v>323</v>
      </c>
      <c r="C40" s="137"/>
      <c r="D40" s="137"/>
      <c r="E40" s="137"/>
      <c r="F40" s="138"/>
      <c r="I40" s="136" t="s">
        <v>324</v>
      </c>
      <c r="J40" s="137"/>
      <c r="K40" s="137"/>
      <c r="L40" s="137"/>
      <c r="M40" s="138"/>
    </row>
    <row r="41" spans="2:13" x14ac:dyDescent="0.25">
      <c r="B41" s="139" t="s">
        <v>285</v>
      </c>
      <c r="C41" s="140"/>
      <c r="D41" s="140"/>
      <c r="E41" s="140"/>
      <c r="F41" s="145"/>
      <c r="I41" s="139" t="s">
        <v>285</v>
      </c>
      <c r="J41" s="140"/>
      <c r="K41" s="140"/>
      <c r="L41" s="140"/>
      <c r="M41" s="145"/>
    </row>
    <row r="42" spans="2:13" x14ac:dyDescent="0.25">
      <c r="B42" s="141" t="s">
        <v>286</v>
      </c>
      <c r="C42" s="142"/>
      <c r="D42" s="142"/>
      <c r="E42" s="142"/>
      <c r="F42" s="146"/>
      <c r="I42" s="141" t="s">
        <v>286</v>
      </c>
      <c r="J42" s="142"/>
      <c r="K42" s="142"/>
      <c r="L42" s="142"/>
      <c r="M42" s="146"/>
    </row>
    <row r="43" spans="2:13" x14ac:dyDescent="0.25">
      <c r="B43" s="141" t="s">
        <v>287</v>
      </c>
      <c r="C43" s="142"/>
      <c r="D43" s="142"/>
      <c r="E43" s="142"/>
      <c r="F43" s="146"/>
      <c r="I43" s="141" t="s">
        <v>287</v>
      </c>
      <c r="J43" s="142"/>
      <c r="K43" s="142"/>
      <c r="L43" s="142"/>
      <c r="M43" s="146"/>
    </row>
    <row r="44" spans="2:13" x14ac:dyDescent="0.25">
      <c r="B44" s="141" t="s">
        <v>3</v>
      </c>
      <c r="C44" s="142"/>
      <c r="D44" s="142"/>
      <c r="E44" s="142"/>
      <c r="F44" s="146"/>
      <c r="I44" s="141" t="s">
        <v>3</v>
      </c>
      <c r="J44" s="142"/>
      <c r="K44" s="142"/>
      <c r="L44" s="142"/>
      <c r="M44" s="146"/>
    </row>
    <row r="45" spans="2:13" x14ac:dyDescent="0.25">
      <c r="B45" s="141" t="s">
        <v>288</v>
      </c>
      <c r="C45" s="142"/>
      <c r="D45" s="142"/>
      <c r="E45" s="142"/>
      <c r="F45" s="146"/>
      <c r="I45" s="141" t="s">
        <v>288</v>
      </c>
      <c r="J45" s="142"/>
      <c r="K45" s="142"/>
      <c r="L45" s="142"/>
      <c r="M45" s="146"/>
    </row>
    <row r="46" spans="2:13" ht="15.75" thickBot="1" x14ac:dyDescent="0.3">
      <c r="B46" s="143" t="s">
        <v>289</v>
      </c>
      <c r="C46" s="144"/>
      <c r="D46" s="144"/>
      <c r="E46" s="144"/>
      <c r="F46" s="147"/>
      <c r="I46" s="143" t="s">
        <v>289</v>
      </c>
      <c r="J46" s="144"/>
      <c r="K46" s="144"/>
      <c r="L46" s="144"/>
      <c r="M46" s="147"/>
    </row>
    <row r="49" spans="2:13" ht="15.75" thickBot="1" x14ac:dyDescent="0.3"/>
    <row r="50" spans="2:13" ht="19.5" thickBot="1" x14ac:dyDescent="0.35">
      <c r="B50" s="133" t="s">
        <v>133</v>
      </c>
      <c r="C50" s="134"/>
      <c r="D50" s="134"/>
      <c r="E50" s="134"/>
      <c r="F50" s="135"/>
      <c r="I50" s="133" t="s">
        <v>134</v>
      </c>
      <c r="J50" s="134"/>
      <c r="K50" s="134"/>
      <c r="L50" s="134"/>
      <c r="M50" s="135"/>
    </row>
    <row r="51" spans="2:13" ht="16.5" thickBot="1" x14ac:dyDescent="0.3">
      <c r="B51" s="136" t="s">
        <v>291</v>
      </c>
      <c r="C51" s="137"/>
      <c r="D51" s="137"/>
      <c r="E51" s="137"/>
      <c r="F51" s="138"/>
      <c r="I51" s="136" t="s">
        <v>291</v>
      </c>
      <c r="J51" s="137"/>
      <c r="K51" s="137"/>
      <c r="L51" s="137"/>
      <c r="M51" s="138"/>
    </row>
    <row r="52" spans="2:13" ht="16.5" thickBot="1" x14ac:dyDescent="0.3">
      <c r="B52" s="136" t="s">
        <v>292</v>
      </c>
      <c r="C52" s="137"/>
      <c r="D52" s="137"/>
      <c r="E52" s="137"/>
      <c r="F52" s="138"/>
      <c r="I52" s="136" t="s">
        <v>325</v>
      </c>
      <c r="J52" s="137"/>
      <c r="K52" s="137"/>
      <c r="L52" s="137"/>
      <c r="M52" s="138"/>
    </row>
    <row r="53" spans="2:13" x14ac:dyDescent="0.25">
      <c r="B53" s="139" t="s">
        <v>285</v>
      </c>
      <c r="C53" s="140"/>
      <c r="D53" s="140"/>
      <c r="E53" s="140"/>
      <c r="F53" s="145"/>
      <c r="I53" s="139" t="s">
        <v>285</v>
      </c>
      <c r="J53" s="140"/>
      <c r="K53" s="140"/>
      <c r="L53" s="140"/>
      <c r="M53" s="145"/>
    </row>
    <row r="54" spans="2:13" x14ac:dyDescent="0.25">
      <c r="B54" s="141" t="s">
        <v>286</v>
      </c>
      <c r="C54" s="142"/>
      <c r="D54" s="142"/>
      <c r="E54" s="142"/>
      <c r="F54" s="146"/>
      <c r="I54" s="141" t="s">
        <v>286</v>
      </c>
      <c r="J54" s="142"/>
      <c r="K54" s="142"/>
      <c r="L54" s="142"/>
      <c r="M54" s="146"/>
    </row>
    <row r="55" spans="2:13" x14ac:dyDescent="0.25">
      <c r="B55" s="141" t="s">
        <v>287</v>
      </c>
      <c r="C55" s="142"/>
      <c r="D55" s="142"/>
      <c r="E55" s="142"/>
      <c r="F55" s="146"/>
      <c r="I55" s="141" t="s">
        <v>287</v>
      </c>
      <c r="J55" s="142"/>
      <c r="K55" s="142"/>
      <c r="L55" s="142"/>
      <c r="M55" s="146"/>
    </row>
    <row r="56" spans="2:13" x14ac:dyDescent="0.25">
      <c r="B56" s="141" t="s">
        <v>3</v>
      </c>
      <c r="C56" s="142"/>
      <c r="D56" s="142"/>
      <c r="E56" s="142"/>
      <c r="F56" s="146"/>
      <c r="I56" s="141" t="s">
        <v>3</v>
      </c>
      <c r="J56" s="142"/>
      <c r="K56" s="142"/>
      <c r="L56" s="142"/>
      <c r="M56" s="146"/>
    </row>
    <row r="57" spans="2:13" x14ac:dyDescent="0.25">
      <c r="B57" s="141" t="s">
        <v>288</v>
      </c>
      <c r="C57" s="142"/>
      <c r="D57" s="142"/>
      <c r="E57" s="142"/>
      <c r="F57" s="146"/>
      <c r="I57" s="141" t="s">
        <v>288</v>
      </c>
      <c r="J57" s="142"/>
      <c r="K57" s="142"/>
      <c r="L57" s="142"/>
      <c r="M57" s="146"/>
    </row>
    <row r="58" spans="2:13" ht="15.75" thickBot="1" x14ac:dyDescent="0.3">
      <c r="B58" s="143" t="s">
        <v>289</v>
      </c>
      <c r="C58" s="144"/>
      <c r="D58" s="144"/>
      <c r="E58" s="144"/>
      <c r="F58" s="147"/>
      <c r="I58" s="143" t="s">
        <v>289</v>
      </c>
      <c r="J58" s="144"/>
      <c r="K58" s="144"/>
      <c r="L58" s="144"/>
      <c r="M58" s="147"/>
    </row>
    <row r="61" spans="2:13" ht="15.75" thickBot="1" x14ac:dyDescent="0.3"/>
    <row r="62" spans="2:13" ht="19.5" thickBot="1" x14ac:dyDescent="0.35">
      <c r="B62" s="133" t="s">
        <v>135</v>
      </c>
      <c r="C62" s="134"/>
      <c r="D62" s="134"/>
      <c r="E62" s="134"/>
      <c r="F62" s="135"/>
      <c r="I62" s="133" t="s">
        <v>136</v>
      </c>
      <c r="J62" s="134"/>
      <c r="K62" s="134"/>
      <c r="L62" s="134"/>
      <c r="M62" s="135"/>
    </row>
    <row r="63" spans="2:13" ht="16.5" thickBot="1" x14ac:dyDescent="0.3">
      <c r="B63" s="136" t="s">
        <v>291</v>
      </c>
      <c r="C63" s="137"/>
      <c r="D63" s="137"/>
      <c r="E63" s="137"/>
      <c r="F63" s="138"/>
      <c r="I63" s="136" t="s">
        <v>291</v>
      </c>
      <c r="J63" s="137"/>
      <c r="K63" s="137"/>
      <c r="L63" s="137"/>
      <c r="M63" s="138"/>
    </row>
    <row r="64" spans="2:13" ht="16.5" thickBot="1" x14ac:dyDescent="0.3">
      <c r="B64" s="136" t="s">
        <v>326</v>
      </c>
      <c r="C64" s="137"/>
      <c r="D64" s="137"/>
      <c r="E64" s="137"/>
      <c r="F64" s="138"/>
      <c r="I64" s="136" t="s">
        <v>293</v>
      </c>
      <c r="J64" s="137"/>
      <c r="K64" s="137"/>
      <c r="L64" s="137"/>
      <c r="M64" s="138"/>
    </row>
    <row r="65" spans="2:13" x14ac:dyDescent="0.25">
      <c r="B65" s="139" t="s">
        <v>285</v>
      </c>
      <c r="C65" s="140"/>
      <c r="D65" s="140"/>
      <c r="E65" s="140"/>
      <c r="F65" s="145"/>
      <c r="I65" s="139" t="s">
        <v>285</v>
      </c>
      <c r="J65" s="140"/>
      <c r="K65" s="140"/>
      <c r="L65" s="140"/>
      <c r="M65" s="145"/>
    </row>
    <row r="66" spans="2:13" x14ac:dyDescent="0.25">
      <c r="B66" s="141" t="s">
        <v>286</v>
      </c>
      <c r="C66" s="142"/>
      <c r="D66" s="142"/>
      <c r="E66" s="142"/>
      <c r="F66" s="146"/>
      <c r="I66" s="141" t="s">
        <v>286</v>
      </c>
      <c r="J66" s="142"/>
      <c r="K66" s="142"/>
      <c r="L66" s="142"/>
      <c r="M66" s="146"/>
    </row>
    <row r="67" spans="2:13" x14ac:dyDescent="0.25">
      <c r="B67" s="141" t="s">
        <v>287</v>
      </c>
      <c r="C67" s="142"/>
      <c r="D67" s="142"/>
      <c r="E67" s="142"/>
      <c r="F67" s="146"/>
      <c r="I67" s="141" t="s">
        <v>287</v>
      </c>
      <c r="J67" s="142"/>
      <c r="K67" s="142"/>
      <c r="L67" s="142"/>
      <c r="M67" s="146"/>
    </row>
    <row r="68" spans="2:13" x14ac:dyDescent="0.25">
      <c r="B68" s="141" t="s">
        <v>3</v>
      </c>
      <c r="C68" s="142"/>
      <c r="D68" s="142"/>
      <c r="E68" s="142"/>
      <c r="F68" s="146"/>
      <c r="I68" s="141" t="s">
        <v>3</v>
      </c>
      <c r="J68" s="142"/>
      <c r="K68" s="142"/>
      <c r="L68" s="142"/>
      <c r="M68" s="146"/>
    </row>
    <row r="69" spans="2:13" x14ac:dyDescent="0.25">
      <c r="B69" s="141" t="s">
        <v>288</v>
      </c>
      <c r="C69" s="142"/>
      <c r="D69" s="142"/>
      <c r="E69" s="142"/>
      <c r="F69" s="146"/>
      <c r="I69" s="141" t="s">
        <v>288</v>
      </c>
      <c r="J69" s="142"/>
      <c r="K69" s="142"/>
      <c r="L69" s="142"/>
      <c r="M69" s="146"/>
    </row>
    <row r="70" spans="2:13" ht="15.75" thickBot="1" x14ac:dyDescent="0.3">
      <c r="B70" s="143" t="s">
        <v>289</v>
      </c>
      <c r="C70" s="144"/>
      <c r="D70" s="144"/>
      <c r="E70" s="144"/>
      <c r="F70" s="147"/>
      <c r="I70" s="143" t="s">
        <v>289</v>
      </c>
      <c r="J70" s="144"/>
      <c r="K70" s="144"/>
      <c r="L70" s="144"/>
      <c r="M70" s="147"/>
    </row>
  </sheetData>
  <mergeCells count="122">
    <mergeCell ref="I68:J68"/>
    <mergeCell ref="I69:J69"/>
    <mergeCell ref="I70:J70"/>
    <mergeCell ref="K65:M65"/>
    <mergeCell ref="K66:M66"/>
    <mergeCell ref="K67:M67"/>
    <mergeCell ref="K68:M68"/>
    <mergeCell ref="K69:M69"/>
    <mergeCell ref="K70:M70"/>
    <mergeCell ref="I62:M62"/>
    <mergeCell ref="I63:M63"/>
    <mergeCell ref="I64:M64"/>
    <mergeCell ref="I65:J65"/>
    <mergeCell ref="I66:J66"/>
    <mergeCell ref="I67:J67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56:C56"/>
    <mergeCell ref="B57:C57"/>
    <mergeCell ref="B58:C58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6:I910"/>
  <sheetViews>
    <sheetView workbookViewId="0"/>
  </sheetViews>
  <sheetFormatPr defaultRowHeight="15" x14ac:dyDescent="0.25"/>
  <sheetData>
    <row r="6" spans="2:3" x14ac:dyDescent="0.25">
      <c r="B6" t="s">
        <v>140</v>
      </c>
    </row>
    <row r="7" spans="2:3" x14ac:dyDescent="0.25">
      <c r="B7" t="s">
        <v>141</v>
      </c>
    </row>
    <row r="8" spans="2:3" x14ac:dyDescent="0.25">
      <c r="B8" t="s">
        <v>142</v>
      </c>
    </row>
    <row r="9" spans="2:3" x14ac:dyDescent="0.25">
      <c r="B9" t="s">
        <v>143</v>
      </c>
    </row>
    <row r="11" spans="2:3" x14ac:dyDescent="0.25">
      <c r="C11" t="s">
        <v>144</v>
      </c>
    </row>
    <row r="16" spans="2:3" x14ac:dyDescent="0.25">
      <c r="B16" t="s">
        <v>145</v>
      </c>
    </row>
    <row r="17" spans="2:5" x14ac:dyDescent="0.25">
      <c r="B17" t="s">
        <v>327</v>
      </c>
    </row>
    <row r="18" spans="2:5" x14ac:dyDescent="0.25">
      <c r="B18" t="s">
        <v>328</v>
      </c>
    </row>
    <row r="19" spans="2:5" x14ac:dyDescent="0.25">
      <c r="B19" t="s">
        <v>329</v>
      </c>
    </row>
    <row r="20" spans="2:5" x14ac:dyDescent="0.25">
      <c r="B20" t="s">
        <v>146</v>
      </c>
    </row>
    <row r="21" spans="2:5" x14ac:dyDescent="0.25">
      <c r="B21" t="s">
        <v>147</v>
      </c>
    </row>
    <row r="22" spans="2:5" x14ac:dyDescent="0.25">
      <c r="B22" t="s">
        <v>163</v>
      </c>
    </row>
    <row r="23" spans="2:5" x14ac:dyDescent="0.25">
      <c r="B23" t="s">
        <v>330</v>
      </c>
    </row>
    <row r="25" spans="2:5" x14ac:dyDescent="0.25">
      <c r="D25" t="s">
        <v>294</v>
      </c>
    </row>
    <row r="26" spans="2:5" x14ac:dyDescent="0.25">
      <c r="D26" t="s">
        <v>295</v>
      </c>
    </row>
    <row r="27" spans="2:5" x14ac:dyDescent="0.25">
      <c r="D27" t="s">
        <v>171</v>
      </c>
      <c r="E27" t="s">
        <v>296</v>
      </c>
    </row>
    <row r="28" spans="2:5" x14ac:dyDescent="0.25">
      <c r="D28" t="s">
        <v>168</v>
      </c>
      <c r="E28" t="s">
        <v>297</v>
      </c>
    </row>
    <row r="29" spans="2:5" x14ac:dyDescent="0.25">
      <c r="D29" t="s">
        <v>298</v>
      </c>
      <c r="E29">
        <v>85</v>
      </c>
    </row>
    <row r="30" spans="2:5" x14ac:dyDescent="0.25">
      <c r="D30" t="s">
        <v>299</v>
      </c>
      <c r="E30">
        <v>73</v>
      </c>
    </row>
    <row r="31" spans="2:5" x14ac:dyDescent="0.25">
      <c r="D31" t="s">
        <v>300</v>
      </c>
      <c r="E31">
        <v>10</v>
      </c>
    </row>
    <row r="32" spans="2:5" x14ac:dyDescent="0.25">
      <c r="D32" t="s">
        <v>301</v>
      </c>
      <c r="E32">
        <v>0</v>
      </c>
    </row>
    <row r="33" spans="3:5" x14ac:dyDescent="0.25">
      <c r="D33" t="s">
        <v>302</v>
      </c>
      <c r="E33">
        <v>0</v>
      </c>
    </row>
    <row r="34" spans="3:5" x14ac:dyDescent="0.25">
      <c r="D34" t="s">
        <v>303</v>
      </c>
    </row>
    <row r="36" spans="3:5" x14ac:dyDescent="0.25">
      <c r="D36" t="s">
        <v>294</v>
      </c>
    </row>
    <row r="37" spans="3:5" x14ac:dyDescent="0.25">
      <c r="D37" t="s">
        <v>295</v>
      </c>
    </row>
    <row r="38" spans="3:5" x14ac:dyDescent="0.25">
      <c r="D38" t="s">
        <v>171</v>
      </c>
      <c r="E38" t="s">
        <v>304</v>
      </c>
    </row>
    <row r="39" spans="3:5" x14ac:dyDescent="0.25">
      <c r="D39" t="s">
        <v>168</v>
      </c>
      <c r="E39" t="s">
        <v>305</v>
      </c>
    </row>
    <row r="40" spans="3:5" x14ac:dyDescent="0.25">
      <c r="D40" t="s">
        <v>298</v>
      </c>
      <c r="E40">
        <v>97</v>
      </c>
    </row>
    <row r="41" spans="3:5" x14ac:dyDescent="0.25">
      <c r="D41" t="s">
        <v>299</v>
      </c>
      <c r="E41">
        <v>89</v>
      </c>
    </row>
    <row r="42" spans="3:5" x14ac:dyDescent="0.25">
      <c r="D42" t="s">
        <v>300</v>
      </c>
      <c r="E42">
        <v>4</v>
      </c>
    </row>
    <row r="43" spans="3:5" x14ac:dyDescent="0.25">
      <c r="D43" t="s">
        <v>301</v>
      </c>
      <c r="E43">
        <v>1</v>
      </c>
    </row>
    <row r="44" spans="3:5" x14ac:dyDescent="0.25">
      <c r="D44" t="s">
        <v>302</v>
      </c>
      <c r="E44">
        <v>0</v>
      </c>
    </row>
    <row r="45" spans="3:5" x14ac:dyDescent="0.25">
      <c r="D45" t="s">
        <v>154</v>
      </c>
    </row>
    <row r="47" spans="3:5" x14ac:dyDescent="0.25">
      <c r="C47" t="s">
        <v>331</v>
      </c>
    </row>
    <row r="50" spans="4:5" x14ac:dyDescent="0.25">
      <c r="D50" t="s">
        <v>151</v>
      </c>
    </row>
    <row r="51" spans="4:5" x14ac:dyDescent="0.25">
      <c r="D51" t="s">
        <v>152</v>
      </c>
    </row>
    <row r="52" spans="4:5" x14ac:dyDescent="0.25">
      <c r="D52" t="s">
        <v>153</v>
      </c>
      <c r="E52">
        <v>0</v>
      </c>
    </row>
    <row r="53" spans="4:5" x14ac:dyDescent="0.25">
      <c r="D53" t="s">
        <v>159</v>
      </c>
    </row>
    <row r="55" spans="4:5" x14ac:dyDescent="0.25">
      <c r="D55" t="s">
        <v>151</v>
      </c>
    </row>
    <row r="56" spans="4:5" x14ac:dyDescent="0.25">
      <c r="D56" t="s">
        <v>155</v>
      </c>
    </row>
    <row r="57" spans="4:5" x14ac:dyDescent="0.25">
      <c r="D57" t="s">
        <v>306</v>
      </c>
    </row>
    <row r="59" spans="4:5" x14ac:dyDescent="0.25">
      <c r="D59" t="s">
        <v>157</v>
      </c>
    </row>
    <row r="60" spans="4:5" x14ac:dyDescent="0.25">
      <c r="D60" t="s">
        <v>152</v>
      </c>
    </row>
    <row r="61" spans="4:5" x14ac:dyDescent="0.25">
      <c r="D61" t="s">
        <v>158</v>
      </c>
      <c r="E61">
        <v>175</v>
      </c>
    </row>
    <row r="62" spans="4:5" x14ac:dyDescent="0.25">
      <c r="D62" t="s">
        <v>153</v>
      </c>
      <c r="E62">
        <v>700</v>
      </c>
    </row>
    <row r="63" spans="4:5" x14ac:dyDescent="0.25">
      <c r="D63" t="s">
        <v>308</v>
      </c>
    </row>
    <row r="68" spans="2:5" x14ac:dyDescent="0.25">
      <c r="B68" t="s">
        <v>145</v>
      </c>
    </row>
    <row r="69" spans="2:5" x14ac:dyDescent="0.25">
      <c r="B69" t="s">
        <v>160</v>
      </c>
    </row>
    <row r="70" spans="2:5" x14ac:dyDescent="0.25">
      <c r="B70" t="s">
        <v>161</v>
      </c>
    </row>
    <row r="71" spans="2:5" x14ac:dyDescent="0.25">
      <c r="B71" t="s">
        <v>162</v>
      </c>
    </row>
    <row r="72" spans="2:5" x14ac:dyDescent="0.25">
      <c r="B72" t="s">
        <v>146</v>
      </c>
    </row>
    <row r="73" spans="2:5" x14ac:dyDescent="0.25">
      <c r="B73" t="s">
        <v>147</v>
      </c>
    </row>
    <row r="74" spans="2:5" x14ac:dyDescent="0.25">
      <c r="B74" t="s">
        <v>163</v>
      </c>
    </row>
    <row r="75" spans="2:5" x14ac:dyDescent="0.25">
      <c r="B75" t="s">
        <v>164</v>
      </c>
    </row>
    <row r="77" spans="2:5" x14ac:dyDescent="0.25">
      <c r="D77" t="s">
        <v>148</v>
      </c>
    </row>
    <row r="78" spans="2:5" x14ac:dyDescent="0.25">
      <c r="D78" t="s">
        <v>149</v>
      </c>
    </row>
    <row r="79" spans="2:5" x14ac:dyDescent="0.25">
      <c r="D79" t="s">
        <v>150</v>
      </c>
      <c r="E79" t="s">
        <v>319</v>
      </c>
    </row>
    <row r="80" spans="2:5" x14ac:dyDescent="0.25">
      <c r="D80" t="s">
        <v>165</v>
      </c>
    </row>
    <row r="81" spans="3:5" x14ac:dyDescent="0.25">
      <c r="C81" t="s">
        <v>144</v>
      </c>
    </row>
    <row r="83" spans="3:5" x14ac:dyDescent="0.25">
      <c r="D83" t="s">
        <v>166</v>
      </c>
    </row>
    <row r="84" spans="3:5" x14ac:dyDescent="0.25">
      <c r="D84" t="s">
        <v>167</v>
      </c>
    </row>
    <row r="85" spans="3:5" x14ac:dyDescent="0.25">
      <c r="D85" t="s">
        <v>168</v>
      </c>
      <c r="E85" t="s">
        <v>169</v>
      </c>
    </row>
    <row r="86" spans="3:5" x14ac:dyDescent="0.25">
      <c r="D86" t="s">
        <v>170</v>
      </c>
      <c r="E86">
        <v>2</v>
      </c>
    </row>
    <row r="87" spans="3:5" x14ac:dyDescent="0.25">
      <c r="D87" t="s">
        <v>171</v>
      </c>
      <c r="E87" t="s">
        <v>307</v>
      </c>
    </row>
    <row r="88" spans="3:5" x14ac:dyDescent="0.25">
      <c r="D88" t="s">
        <v>172</v>
      </c>
      <c r="E88">
        <v>2</v>
      </c>
    </row>
    <row r="89" spans="3:5" x14ac:dyDescent="0.25">
      <c r="D89" t="s">
        <v>173</v>
      </c>
      <c r="E89">
        <v>600</v>
      </c>
    </row>
    <row r="90" spans="3:5" x14ac:dyDescent="0.25">
      <c r="D90" t="s">
        <v>174</v>
      </c>
      <c r="E90">
        <v>0</v>
      </c>
    </row>
    <row r="91" spans="3:5" x14ac:dyDescent="0.25">
      <c r="D91" t="s">
        <v>175</v>
      </c>
      <c r="E91">
        <v>0</v>
      </c>
    </row>
    <row r="92" spans="3:5" x14ac:dyDescent="0.25">
      <c r="D92" t="s">
        <v>176</v>
      </c>
      <c r="E92" t="s">
        <v>177</v>
      </c>
    </row>
    <row r="93" spans="3:5" x14ac:dyDescent="0.25">
      <c r="D93" t="s">
        <v>178</v>
      </c>
    </row>
    <row r="95" spans="3:5" x14ac:dyDescent="0.25">
      <c r="D95" t="s">
        <v>151</v>
      </c>
    </row>
    <row r="96" spans="3:5" x14ac:dyDescent="0.25">
      <c r="D96" t="s">
        <v>152</v>
      </c>
    </row>
    <row r="97" spans="4:5" x14ac:dyDescent="0.25">
      <c r="D97" t="s">
        <v>153</v>
      </c>
      <c r="E97">
        <v>0</v>
      </c>
    </row>
    <row r="98" spans="4:5" x14ac:dyDescent="0.25">
      <c r="D98" t="s">
        <v>179</v>
      </c>
    </row>
    <row r="100" spans="4:5" x14ac:dyDescent="0.25">
      <c r="D100" t="s">
        <v>151</v>
      </c>
    </row>
    <row r="101" spans="4:5" x14ac:dyDescent="0.25">
      <c r="D101" t="s">
        <v>155</v>
      </c>
    </row>
    <row r="102" spans="4:5" x14ac:dyDescent="0.25">
      <c r="D102" t="s">
        <v>180</v>
      </c>
    </row>
    <row r="104" spans="4:5" x14ac:dyDescent="0.25">
      <c r="D104" t="s">
        <v>157</v>
      </c>
    </row>
    <row r="105" spans="4:5" x14ac:dyDescent="0.25">
      <c r="D105" t="s">
        <v>152</v>
      </c>
    </row>
    <row r="106" spans="4:5" x14ac:dyDescent="0.25">
      <c r="D106" t="s">
        <v>158</v>
      </c>
      <c r="E106">
        <v>175</v>
      </c>
    </row>
    <row r="107" spans="4:5" x14ac:dyDescent="0.25">
      <c r="D107" t="s">
        <v>153</v>
      </c>
      <c r="E107">
        <v>525</v>
      </c>
    </row>
    <row r="108" spans="4:5" x14ac:dyDescent="0.25">
      <c r="D108" t="s">
        <v>181</v>
      </c>
    </row>
    <row r="113" spans="2:5" x14ac:dyDescent="0.25">
      <c r="B113" t="s">
        <v>145</v>
      </c>
    </row>
    <row r="114" spans="2:5" x14ac:dyDescent="0.25">
      <c r="B114" t="s">
        <v>182</v>
      </c>
    </row>
    <row r="115" spans="2:5" x14ac:dyDescent="0.25">
      <c r="B115" t="s">
        <v>183</v>
      </c>
    </row>
    <row r="116" spans="2:5" x14ac:dyDescent="0.25">
      <c r="B116" t="s">
        <v>184</v>
      </c>
    </row>
    <row r="117" spans="2:5" x14ac:dyDescent="0.25">
      <c r="B117" t="s">
        <v>146</v>
      </c>
    </row>
    <row r="118" spans="2:5" x14ac:dyDescent="0.25">
      <c r="B118" t="s">
        <v>147</v>
      </c>
    </row>
    <row r="119" spans="2:5" x14ac:dyDescent="0.25">
      <c r="B119" t="s">
        <v>163</v>
      </c>
    </row>
    <row r="120" spans="2:5" x14ac:dyDescent="0.25">
      <c r="B120" t="s">
        <v>164</v>
      </c>
    </row>
    <row r="122" spans="2:5" x14ac:dyDescent="0.25">
      <c r="D122" t="s">
        <v>148</v>
      </c>
    </row>
    <row r="123" spans="2:5" x14ac:dyDescent="0.25">
      <c r="D123" t="s">
        <v>149</v>
      </c>
    </row>
    <row r="124" spans="2:5" x14ac:dyDescent="0.25">
      <c r="D124" t="s">
        <v>150</v>
      </c>
      <c r="E124" t="s">
        <v>185</v>
      </c>
    </row>
    <row r="125" spans="2:5" x14ac:dyDescent="0.25">
      <c r="D125" t="s">
        <v>332</v>
      </c>
    </row>
    <row r="126" spans="2:5" x14ac:dyDescent="0.25">
      <c r="C126" t="s">
        <v>144</v>
      </c>
    </row>
    <row r="128" spans="2:5" x14ac:dyDescent="0.25">
      <c r="D128" t="s">
        <v>166</v>
      </c>
    </row>
    <row r="129" spans="4:5" x14ac:dyDescent="0.25">
      <c r="D129" t="s">
        <v>167</v>
      </c>
    </row>
    <row r="130" spans="4:5" x14ac:dyDescent="0.25">
      <c r="D130" t="s">
        <v>168</v>
      </c>
      <c r="E130" t="s">
        <v>169</v>
      </c>
    </row>
    <row r="131" spans="4:5" x14ac:dyDescent="0.25">
      <c r="D131" t="s">
        <v>170</v>
      </c>
      <c r="E131">
        <v>2</v>
      </c>
    </row>
    <row r="132" spans="4:5" x14ac:dyDescent="0.25">
      <c r="D132" t="s">
        <v>171</v>
      </c>
      <c r="E132" t="s">
        <v>307</v>
      </c>
    </row>
    <row r="133" spans="4:5" x14ac:dyDescent="0.25">
      <c r="D133" t="s">
        <v>172</v>
      </c>
      <c r="E133">
        <v>2</v>
      </c>
    </row>
    <row r="134" spans="4:5" x14ac:dyDescent="0.25">
      <c r="D134" t="s">
        <v>173</v>
      </c>
      <c r="E134">
        <v>600</v>
      </c>
    </row>
    <row r="135" spans="4:5" x14ac:dyDescent="0.25">
      <c r="D135" t="s">
        <v>174</v>
      </c>
      <c r="E135">
        <v>0</v>
      </c>
    </row>
    <row r="136" spans="4:5" x14ac:dyDescent="0.25">
      <c r="D136" t="s">
        <v>175</v>
      </c>
      <c r="E136">
        <v>0</v>
      </c>
    </row>
    <row r="137" spans="4:5" x14ac:dyDescent="0.25">
      <c r="D137" t="s">
        <v>176</v>
      </c>
      <c r="E137" t="s">
        <v>177</v>
      </c>
    </row>
    <row r="138" spans="4:5" x14ac:dyDescent="0.25">
      <c r="D138" t="s">
        <v>333</v>
      </c>
    </row>
    <row r="140" spans="4:5" x14ac:dyDescent="0.25">
      <c r="D140" t="s">
        <v>151</v>
      </c>
    </row>
    <row r="141" spans="4:5" x14ac:dyDescent="0.25">
      <c r="D141" t="s">
        <v>152</v>
      </c>
    </row>
    <row r="142" spans="4:5" x14ac:dyDescent="0.25">
      <c r="D142" t="s">
        <v>153</v>
      </c>
      <c r="E142">
        <v>0</v>
      </c>
    </row>
    <row r="143" spans="4:5" x14ac:dyDescent="0.25">
      <c r="D143" t="s">
        <v>334</v>
      </c>
    </row>
    <row r="145" spans="4:5" x14ac:dyDescent="0.25">
      <c r="D145" t="s">
        <v>151</v>
      </c>
    </row>
    <row r="146" spans="4:5" x14ac:dyDescent="0.25">
      <c r="D146" t="s">
        <v>155</v>
      </c>
    </row>
    <row r="147" spans="4:5" x14ac:dyDescent="0.25">
      <c r="D147" t="s">
        <v>335</v>
      </c>
    </row>
    <row r="149" spans="4:5" x14ac:dyDescent="0.25">
      <c r="D149" t="s">
        <v>157</v>
      </c>
    </row>
    <row r="150" spans="4:5" x14ac:dyDescent="0.25">
      <c r="D150" t="s">
        <v>152</v>
      </c>
    </row>
    <row r="151" spans="4:5" x14ac:dyDescent="0.25">
      <c r="D151" t="s">
        <v>158</v>
      </c>
      <c r="E151">
        <v>175</v>
      </c>
    </row>
    <row r="152" spans="4:5" x14ac:dyDescent="0.25">
      <c r="D152" t="s">
        <v>153</v>
      </c>
      <c r="E152">
        <v>525</v>
      </c>
    </row>
    <row r="153" spans="4:5" x14ac:dyDescent="0.25">
      <c r="D153" t="s">
        <v>336</v>
      </c>
    </row>
    <row r="155" spans="4:5" x14ac:dyDescent="0.25">
      <c r="D155" t="s">
        <v>294</v>
      </c>
    </row>
    <row r="156" spans="4:5" x14ac:dyDescent="0.25">
      <c r="D156" t="s">
        <v>295</v>
      </c>
    </row>
    <row r="157" spans="4:5" x14ac:dyDescent="0.25">
      <c r="D157" t="s">
        <v>171</v>
      </c>
      <c r="E157" t="s">
        <v>305</v>
      </c>
    </row>
    <row r="158" spans="4:5" x14ac:dyDescent="0.25">
      <c r="D158" t="s">
        <v>168</v>
      </c>
      <c r="E158" t="s">
        <v>304</v>
      </c>
    </row>
    <row r="159" spans="4:5" x14ac:dyDescent="0.25">
      <c r="D159" t="s">
        <v>298</v>
      </c>
      <c r="E159">
        <v>97</v>
      </c>
    </row>
    <row r="160" spans="4:5" x14ac:dyDescent="0.25">
      <c r="D160" t="s">
        <v>299</v>
      </c>
      <c r="E160">
        <v>89</v>
      </c>
    </row>
    <row r="161" spans="4:5" x14ac:dyDescent="0.25">
      <c r="D161" t="s">
        <v>300</v>
      </c>
      <c r="E161">
        <v>4</v>
      </c>
    </row>
    <row r="162" spans="4:5" x14ac:dyDescent="0.25">
      <c r="D162" t="s">
        <v>301</v>
      </c>
      <c r="E162">
        <v>0</v>
      </c>
    </row>
    <row r="163" spans="4:5" x14ac:dyDescent="0.25">
      <c r="D163" t="s">
        <v>302</v>
      </c>
      <c r="E163">
        <v>0</v>
      </c>
    </row>
    <row r="164" spans="4:5" x14ac:dyDescent="0.25">
      <c r="D164" t="s">
        <v>360</v>
      </c>
    </row>
    <row r="166" spans="4:5" x14ac:dyDescent="0.25">
      <c r="D166" t="s">
        <v>294</v>
      </c>
    </row>
    <row r="167" spans="4:5" x14ac:dyDescent="0.25">
      <c r="D167" t="s">
        <v>295</v>
      </c>
    </row>
    <row r="168" spans="4:5" x14ac:dyDescent="0.25">
      <c r="D168" t="s">
        <v>171</v>
      </c>
      <c r="E168" t="s">
        <v>297</v>
      </c>
    </row>
    <row r="169" spans="4:5" x14ac:dyDescent="0.25">
      <c r="D169" t="s">
        <v>168</v>
      </c>
      <c r="E169" t="s">
        <v>296</v>
      </c>
    </row>
    <row r="170" spans="4:5" x14ac:dyDescent="0.25">
      <c r="D170" t="s">
        <v>298</v>
      </c>
      <c r="E170">
        <v>85</v>
      </c>
    </row>
    <row r="171" spans="4:5" x14ac:dyDescent="0.25">
      <c r="D171" t="s">
        <v>299</v>
      </c>
      <c r="E171">
        <v>73</v>
      </c>
    </row>
    <row r="172" spans="4:5" x14ac:dyDescent="0.25">
      <c r="D172" t="s">
        <v>300</v>
      </c>
      <c r="E172">
        <v>10</v>
      </c>
    </row>
    <row r="173" spans="4:5" x14ac:dyDescent="0.25">
      <c r="D173" t="s">
        <v>301</v>
      </c>
      <c r="E173">
        <v>1</v>
      </c>
    </row>
    <row r="174" spans="4:5" x14ac:dyDescent="0.25">
      <c r="D174" t="s">
        <v>302</v>
      </c>
      <c r="E174">
        <v>1</v>
      </c>
    </row>
    <row r="175" spans="4:5" x14ac:dyDescent="0.25">
      <c r="D175" t="s">
        <v>361</v>
      </c>
    </row>
    <row r="180" spans="2:3" x14ac:dyDescent="0.25">
      <c r="B180" t="s">
        <v>140</v>
      </c>
    </row>
    <row r="181" spans="2:3" x14ac:dyDescent="0.25">
      <c r="B181" t="s">
        <v>186</v>
      </c>
    </row>
    <row r="182" spans="2:3" x14ac:dyDescent="0.25">
      <c r="B182" t="s">
        <v>187</v>
      </c>
    </row>
    <row r="183" spans="2:3" x14ac:dyDescent="0.25">
      <c r="B183" t="s">
        <v>143</v>
      </c>
    </row>
    <row r="185" spans="2:3" x14ac:dyDescent="0.25">
      <c r="C185" t="s">
        <v>144</v>
      </c>
    </row>
    <row r="190" spans="2:3" x14ac:dyDescent="0.25">
      <c r="B190" t="s">
        <v>145</v>
      </c>
    </row>
    <row r="191" spans="2:3" x14ac:dyDescent="0.25">
      <c r="B191" t="s">
        <v>188</v>
      </c>
    </row>
    <row r="192" spans="2:3" x14ac:dyDescent="0.25">
      <c r="B192" t="s">
        <v>189</v>
      </c>
    </row>
    <row r="193" spans="2:5" x14ac:dyDescent="0.25">
      <c r="B193" t="s">
        <v>190</v>
      </c>
    </row>
    <row r="194" spans="2:5" x14ac:dyDescent="0.25">
      <c r="B194" t="s">
        <v>146</v>
      </c>
    </row>
    <row r="195" spans="2:5" x14ac:dyDescent="0.25">
      <c r="B195" t="s">
        <v>147</v>
      </c>
    </row>
    <row r="196" spans="2:5" x14ac:dyDescent="0.25">
      <c r="B196" t="s">
        <v>163</v>
      </c>
    </row>
    <row r="197" spans="2:5" x14ac:dyDescent="0.25">
      <c r="B197" t="s">
        <v>320</v>
      </c>
    </row>
    <row r="199" spans="2:5" x14ac:dyDescent="0.25">
      <c r="D199" t="s">
        <v>294</v>
      </c>
    </row>
    <row r="200" spans="2:5" x14ac:dyDescent="0.25">
      <c r="D200" t="s">
        <v>295</v>
      </c>
    </row>
    <row r="201" spans="2:5" x14ac:dyDescent="0.25">
      <c r="D201" t="s">
        <v>171</v>
      </c>
      <c r="E201" t="s">
        <v>311</v>
      </c>
    </row>
    <row r="202" spans="2:5" x14ac:dyDescent="0.25">
      <c r="D202" t="s">
        <v>168</v>
      </c>
      <c r="E202" t="s">
        <v>297</v>
      </c>
    </row>
    <row r="203" spans="2:5" x14ac:dyDescent="0.25">
      <c r="D203" t="s">
        <v>298</v>
      </c>
      <c r="E203">
        <v>85</v>
      </c>
    </row>
    <row r="204" spans="2:5" x14ac:dyDescent="0.25">
      <c r="D204" t="s">
        <v>299</v>
      </c>
      <c r="E204">
        <v>73</v>
      </c>
    </row>
    <row r="205" spans="2:5" x14ac:dyDescent="0.25">
      <c r="D205" t="s">
        <v>300</v>
      </c>
      <c r="E205">
        <v>10</v>
      </c>
    </row>
    <row r="206" spans="2:5" x14ac:dyDescent="0.25">
      <c r="D206" t="s">
        <v>301</v>
      </c>
      <c r="E206">
        <v>0</v>
      </c>
    </row>
    <row r="207" spans="2:5" x14ac:dyDescent="0.25">
      <c r="D207" t="s">
        <v>302</v>
      </c>
      <c r="E207">
        <v>0</v>
      </c>
    </row>
    <row r="208" spans="2:5" x14ac:dyDescent="0.25">
      <c r="D208" t="s">
        <v>337</v>
      </c>
    </row>
    <row r="210" spans="3:5" x14ac:dyDescent="0.25">
      <c r="D210" t="s">
        <v>294</v>
      </c>
    </row>
    <row r="211" spans="3:5" x14ac:dyDescent="0.25">
      <c r="D211" t="s">
        <v>295</v>
      </c>
    </row>
    <row r="212" spans="3:5" x14ac:dyDescent="0.25">
      <c r="D212" t="s">
        <v>171</v>
      </c>
      <c r="E212" t="s">
        <v>304</v>
      </c>
    </row>
    <row r="213" spans="3:5" x14ac:dyDescent="0.25">
      <c r="D213" t="s">
        <v>168</v>
      </c>
      <c r="E213" t="s">
        <v>305</v>
      </c>
    </row>
    <row r="214" spans="3:5" x14ac:dyDescent="0.25">
      <c r="D214" t="s">
        <v>298</v>
      </c>
      <c r="E214">
        <v>97</v>
      </c>
    </row>
    <row r="215" spans="3:5" x14ac:dyDescent="0.25">
      <c r="D215" t="s">
        <v>299</v>
      </c>
      <c r="E215">
        <v>89</v>
      </c>
    </row>
    <row r="216" spans="3:5" x14ac:dyDescent="0.25">
      <c r="D216" t="s">
        <v>300</v>
      </c>
      <c r="E216">
        <v>4</v>
      </c>
    </row>
    <row r="217" spans="3:5" x14ac:dyDescent="0.25">
      <c r="D217" t="s">
        <v>301</v>
      </c>
      <c r="E217">
        <v>1</v>
      </c>
    </row>
    <row r="218" spans="3:5" x14ac:dyDescent="0.25">
      <c r="D218" t="s">
        <v>302</v>
      </c>
      <c r="E218">
        <v>0</v>
      </c>
    </row>
    <row r="219" spans="3:5" x14ac:dyDescent="0.25">
      <c r="D219" t="s">
        <v>338</v>
      </c>
    </row>
    <row r="221" spans="3:5" x14ac:dyDescent="0.25">
      <c r="C221" t="s">
        <v>144</v>
      </c>
    </row>
    <row r="223" spans="3:5" x14ac:dyDescent="0.25">
      <c r="D223" t="s">
        <v>166</v>
      </c>
    </row>
    <row r="224" spans="3:5" x14ac:dyDescent="0.25">
      <c r="D224" t="s">
        <v>167</v>
      </c>
    </row>
    <row r="225" spans="4:5" x14ac:dyDescent="0.25">
      <c r="D225" t="s">
        <v>168</v>
      </c>
      <c r="E225" t="s">
        <v>169</v>
      </c>
    </row>
    <row r="226" spans="4:5" x14ac:dyDescent="0.25">
      <c r="D226" t="s">
        <v>170</v>
      </c>
      <c r="E226">
        <v>2</v>
      </c>
    </row>
    <row r="227" spans="4:5" x14ac:dyDescent="0.25">
      <c r="D227" t="s">
        <v>171</v>
      </c>
      <c r="E227" t="s">
        <v>312</v>
      </c>
    </row>
    <row r="228" spans="4:5" x14ac:dyDescent="0.25">
      <c r="D228" t="s">
        <v>172</v>
      </c>
      <c r="E228">
        <v>2</v>
      </c>
    </row>
    <row r="229" spans="4:5" x14ac:dyDescent="0.25">
      <c r="D229" t="s">
        <v>173</v>
      </c>
      <c r="E229">
        <v>789</v>
      </c>
    </row>
    <row r="230" spans="4:5" x14ac:dyDescent="0.25">
      <c r="D230" t="s">
        <v>174</v>
      </c>
      <c r="E230">
        <v>0</v>
      </c>
    </row>
    <row r="231" spans="4:5" x14ac:dyDescent="0.25">
      <c r="D231" t="s">
        <v>175</v>
      </c>
      <c r="E231">
        <v>0</v>
      </c>
    </row>
    <row r="232" spans="4:5" x14ac:dyDescent="0.25">
      <c r="D232" t="s">
        <v>176</v>
      </c>
      <c r="E232" t="s">
        <v>177</v>
      </c>
    </row>
    <row r="233" spans="4:5" x14ac:dyDescent="0.25">
      <c r="D233" t="s">
        <v>339</v>
      </c>
    </row>
    <row r="235" spans="4:5" x14ac:dyDescent="0.25">
      <c r="D235" t="s">
        <v>151</v>
      </c>
    </row>
    <row r="236" spans="4:5" x14ac:dyDescent="0.25">
      <c r="D236" t="s">
        <v>152</v>
      </c>
    </row>
    <row r="237" spans="4:5" x14ac:dyDescent="0.25">
      <c r="D237" t="s">
        <v>153</v>
      </c>
      <c r="E237">
        <v>0</v>
      </c>
    </row>
    <row r="238" spans="4:5" x14ac:dyDescent="0.25">
      <c r="D238" t="s">
        <v>340</v>
      </c>
    </row>
    <row r="240" spans="4:5" x14ac:dyDescent="0.25">
      <c r="D240" t="s">
        <v>151</v>
      </c>
    </row>
    <row r="241" spans="4:5" x14ac:dyDescent="0.25">
      <c r="D241" t="s">
        <v>155</v>
      </c>
    </row>
    <row r="242" spans="4:5" x14ac:dyDescent="0.25">
      <c r="D242" t="s">
        <v>362</v>
      </c>
    </row>
    <row r="244" spans="4:5" x14ac:dyDescent="0.25">
      <c r="D244" t="s">
        <v>157</v>
      </c>
    </row>
    <row r="245" spans="4:5" x14ac:dyDescent="0.25">
      <c r="D245" t="s">
        <v>152</v>
      </c>
    </row>
    <row r="246" spans="4:5" x14ac:dyDescent="0.25">
      <c r="D246" t="s">
        <v>158</v>
      </c>
      <c r="E246">
        <v>175</v>
      </c>
    </row>
    <row r="247" spans="4:5" x14ac:dyDescent="0.25">
      <c r="D247" t="s">
        <v>153</v>
      </c>
      <c r="E247">
        <v>1009.75</v>
      </c>
    </row>
    <row r="248" spans="4:5" x14ac:dyDescent="0.25">
      <c r="D248" t="s">
        <v>363</v>
      </c>
    </row>
    <row r="250" spans="4:5" x14ac:dyDescent="0.25">
      <c r="D250" t="s">
        <v>294</v>
      </c>
    </row>
    <row r="251" spans="4:5" x14ac:dyDescent="0.25">
      <c r="D251" t="s">
        <v>295</v>
      </c>
    </row>
    <row r="252" spans="4:5" x14ac:dyDescent="0.25">
      <c r="D252" t="s">
        <v>171</v>
      </c>
      <c r="E252" t="s">
        <v>305</v>
      </c>
    </row>
    <row r="253" spans="4:5" x14ac:dyDescent="0.25">
      <c r="D253" t="s">
        <v>168</v>
      </c>
      <c r="E253" t="s">
        <v>304</v>
      </c>
    </row>
    <row r="254" spans="4:5" x14ac:dyDescent="0.25">
      <c r="D254" t="s">
        <v>298</v>
      </c>
      <c r="E254">
        <v>97</v>
      </c>
    </row>
    <row r="255" spans="4:5" x14ac:dyDescent="0.25">
      <c r="D255" t="s">
        <v>299</v>
      </c>
      <c r="E255">
        <v>89</v>
      </c>
    </row>
    <row r="256" spans="4:5" x14ac:dyDescent="0.25">
      <c r="D256" t="s">
        <v>300</v>
      </c>
      <c r="E256">
        <v>4</v>
      </c>
    </row>
    <row r="257" spans="4:5" x14ac:dyDescent="0.25">
      <c r="D257" t="s">
        <v>301</v>
      </c>
      <c r="E257">
        <v>0</v>
      </c>
    </row>
    <row r="258" spans="4:5" x14ac:dyDescent="0.25">
      <c r="D258" t="s">
        <v>302</v>
      </c>
      <c r="E258">
        <v>0</v>
      </c>
    </row>
    <row r="259" spans="4:5" x14ac:dyDescent="0.25">
      <c r="D259" t="s">
        <v>364</v>
      </c>
    </row>
    <row r="261" spans="4:5" x14ac:dyDescent="0.25">
      <c r="D261" t="s">
        <v>294</v>
      </c>
    </row>
    <row r="262" spans="4:5" x14ac:dyDescent="0.25">
      <c r="D262" t="s">
        <v>295</v>
      </c>
    </row>
    <row r="263" spans="4:5" x14ac:dyDescent="0.25">
      <c r="D263" t="s">
        <v>171</v>
      </c>
      <c r="E263" t="s">
        <v>297</v>
      </c>
    </row>
    <row r="264" spans="4:5" x14ac:dyDescent="0.25">
      <c r="D264" t="s">
        <v>168</v>
      </c>
      <c r="E264" t="s">
        <v>311</v>
      </c>
    </row>
    <row r="265" spans="4:5" x14ac:dyDescent="0.25">
      <c r="D265" t="s">
        <v>298</v>
      </c>
      <c r="E265">
        <v>85</v>
      </c>
    </row>
    <row r="266" spans="4:5" x14ac:dyDescent="0.25">
      <c r="D266" t="s">
        <v>299</v>
      </c>
      <c r="E266">
        <v>73</v>
      </c>
    </row>
    <row r="267" spans="4:5" x14ac:dyDescent="0.25">
      <c r="D267" t="s">
        <v>300</v>
      </c>
      <c r="E267">
        <v>10</v>
      </c>
    </row>
    <row r="268" spans="4:5" x14ac:dyDescent="0.25">
      <c r="D268" t="s">
        <v>301</v>
      </c>
      <c r="E268">
        <v>1</v>
      </c>
    </row>
    <row r="269" spans="4:5" x14ac:dyDescent="0.25">
      <c r="D269" t="s">
        <v>302</v>
      </c>
      <c r="E269">
        <v>1</v>
      </c>
    </row>
    <row r="270" spans="4:5" x14ac:dyDescent="0.25">
      <c r="D270" t="s">
        <v>365</v>
      </c>
    </row>
    <row r="275" spans="2:3" x14ac:dyDescent="0.25">
      <c r="B275" t="s">
        <v>140</v>
      </c>
    </row>
    <row r="276" spans="2:3" x14ac:dyDescent="0.25">
      <c r="B276" t="s">
        <v>191</v>
      </c>
    </row>
    <row r="277" spans="2:3" x14ac:dyDescent="0.25">
      <c r="B277" t="s">
        <v>192</v>
      </c>
    </row>
    <row r="278" spans="2:3" x14ac:dyDescent="0.25">
      <c r="B278" t="s">
        <v>143</v>
      </c>
    </row>
    <row r="280" spans="2:3" x14ac:dyDescent="0.25">
      <c r="C280" t="s">
        <v>144</v>
      </c>
    </row>
    <row r="285" spans="2:3" x14ac:dyDescent="0.25">
      <c r="B285" t="s">
        <v>145</v>
      </c>
    </row>
    <row r="286" spans="2:3" x14ac:dyDescent="0.25">
      <c r="B286" t="s">
        <v>193</v>
      </c>
    </row>
    <row r="287" spans="2:3" x14ac:dyDescent="0.25">
      <c r="B287" t="s">
        <v>194</v>
      </c>
    </row>
    <row r="288" spans="2:3" x14ac:dyDescent="0.25">
      <c r="B288" t="s">
        <v>195</v>
      </c>
    </row>
    <row r="289" spans="2:3" x14ac:dyDescent="0.25">
      <c r="B289" t="s">
        <v>146</v>
      </c>
    </row>
    <row r="290" spans="2:3" x14ac:dyDescent="0.25">
      <c r="B290" t="s">
        <v>366</v>
      </c>
    </row>
    <row r="291" spans="2:3" x14ac:dyDescent="0.25">
      <c r="B291" t="s">
        <v>163</v>
      </c>
    </row>
    <row r="295" spans="2:3" x14ac:dyDescent="0.25">
      <c r="B295" t="s">
        <v>140</v>
      </c>
    </row>
    <row r="296" spans="2:3" x14ac:dyDescent="0.25">
      <c r="B296" t="s">
        <v>141</v>
      </c>
    </row>
    <row r="297" spans="2:3" x14ac:dyDescent="0.25">
      <c r="B297" t="s">
        <v>142</v>
      </c>
    </row>
    <row r="298" spans="2:3" x14ac:dyDescent="0.25">
      <c r="B298" t="s">
        <v>143</v>
      </c>
    </row>
    <row r="300" spans="2:3" x14ac:dyDescent="0.25">
      <c r="C300" t="s">
        <v>144</v>
      </c>
    </row>
    <row r="305" spans="2:3" x14ac:dyDescent="0.25">
      <c r="B305" t="s">
        <v>145</v>
      </c>
    </row>
    <row r="306" spans="2:3" x14ac:dyDescent="0.25">
      <c r="B306" t="s">
        <v>327</v>
      </c>
    </row>
    <row r="307" spans="2:3" x14ac:dyDescent="0.25">
      <c r="B307" t="s">
        <v>328</v>
      </c>
    </row>
    <row r="308" spans="2:3" x14ac:dyDescent="0.25">
      <c r="B308" t="s">
        <v>329</v>
      </c>
    </row>
    <row r="309" spans="2:3" x14ac:dyDescent="0.25">
      <c r="B309" t="s">
        <v>146</v>
      </c>
    </row>
    <row r="310" spans="2:3" x14ac:dyDescent="0.25">
      <c r="B310" t="s">
        <v>147</v>
      </c>
    </row>
    <row r="311" spans="2:3" x14ac:dyDescent="0.25">
      <c r="B311" t="s">
        <v>163</v>
      </c>
    </row>
    <row r="312" spans="2:3" x14ac:dyDescent="0.25">
      <c r="B312" t="s">
        <v>330</v>
      </c>
    </row>
    <row r="316" spans="2:3" x14ac:dyDescent="0.25">
      <c r="C316" t="s">
        <v>331</v>
      </c>
    </row>
    <row r="322" spans="4:5" x14ac:dyDescent="0.25">
      <c r="D322" t="s">
        <v>294</v>
      </c>
    </row>
    <row r="323" spans="4:5" x14ac:dyDescent="0.25">
      <c r="D323" t="s">
        <v>295</v>
      </c>
    </row>
    <row r="324" spans="4:5" x14ac:dyDescent="0.25">
      <c r="D324" t="s">
        <v>171</v>
      </c>
      <c r="E324" t="s">
        <v>305</v>
      </c>
    </row>
    <row r="325" spans="4:5" x14ac:dyDescent="0.25">
      <c r="D325" t="s">
        <v>168</v>
      </c>
      <c r="E325" t="s">
        <v>304</v>
      </c>
    </row>
    <row r="326" spans="4:5" x14ac:dyDescent="0.25">
      <c r="D326" t="s">
        <v>298</v>
      </c>
      <c r="E326">
        <v>97</v>
      </c>
    </row>
    <row r="327" spans="4:5" x14ac:dyDescent="0.25">
      <c r="D327" t="s">
        <v>299</v>
      </c>
      <c r="E327">
        <v>89</v>
      </c>
    </row>
    <row r="328" spans="4:5" x14ac:dyDescent="0.25">
      <c r="D328" t="s">
        <v>300</v>
      </c>
      <c r="E328">
        <v>4</v>
      </c>
    </row>
    <row r="329" spans="4:5" x14ac:dyDescent="0.25">
      <c r="D329" t="s">
        <v>301</v>
      </c>
      <c r="E329">
        <v>0</v>
      </c>
    </row>
    <row r="330" spans="4:5" x14ac:dyDescent="0.25">
      <c r="D330" t="s">
        <v>302</v>
      </c>
      <c r="E330">
        <v>0</v>
      </c>
    </row>
    <row r="331" spans="4:5" x14ac:dyDescent="0.25">
      <c r="D331" t="s">
        <v>368</v>
      </c>
    </row>
    <row r="333" spans="4:5" x14ac:dyDescent="0.25">
      <c r="D333" t="s">
        <v>294</v>
      </c>
    </row>
    <row r="334" spans="4:5" x14ac:dyDescent="0.25">
      <c r="D334" t="s">
        <v>295</v>
      </c>
    </row>
    <row r="335" spans="4:5" x14ac:dyDescent="0.25">
      <c r="D335" t="s">
        <v>171</v>
      </c>
      <c r="E335" t="s">
        <v>297</v>
      </c>
    </row>
    <row r="336" spans="4:5" x14ac:dyDescent="0.25">
      <c r="D336" t="s">
        <v>168</v>
      </c>
      <c r="E336" t="s">
        <v>296</v>
      </c>
    </row>
    <row r="337" spans="2:5" x14ac:dyDescent="0.25">
      <c r="D337" t="s">
        <v>298</v>
      </c>
      <c r="E337">
        <v>85</v>
      </c>
    </row>
    <row r="338" spans="2:5" x14ac:dyDescent="0.25">
      <c r="D338" t="s">
        <v>299</v>
      </c>
      <c r="E338">
        <v>73</v>
      </c>
    </row>
    <row r="339" spans="2:5" x14ac:dyDescent="0.25">
      <c r="D339" t="s">
        <v>300</v>
      </c>
      <c r="E339">
        <v>10</v>
      </c>
    </row>
    <row r="340" spans="2:5" x14ac:dyDescent="0.25">
      <c r="D340" t="s">
        <v>301</v>
      </c>
      <c r="E340">
        <v>1</v>
      </c>
    </row>
    <row r="341" spans="2:5" x14ac:dyDescent="0.25">
      <c r="D341" t="s">
        <v>302</v>
      </c>
      <c r="E341">
        <v>1</v>
      </c>
    </row>
    <row r="342" spans="2:5" x14ac:dyDescent="0.25">
      <c r="D342" t="s">
        <v>369</v>
      </c>
    </row>
    <row r="347" spans="2:5" x14ac:dyDescent="0.25">
      <c r="B347" t="s">
        <v>145</v>
      </c>
    </row>
    <row r="348" spans="2:5" x14ac:dyDescent="0.25">
      <c r="B348" t="s">
        <v>160</v>
      </c>
    </row>
    <row r="349" spans="2:5" x14ac:dyDescent="0.25">
      <c r="B349" t="s">
        <v>161</v>
      </c>
    </row>
    <row r="350" spans="2:5" x14ac:dyDescent="0.25">
      <c r="B350" t="s">
        <v>162</v>
      </c>
    </row>
    <row r="351" spans="2:5" x14ac:dyDescent="0.25">
      <c r="B351" t="s">
        <v>146</v>
      </c>
    </row>
    <row r="352" spans="2:5" x14ac:dyDescent="0.25">
      <c r="B352" t="s">
        <v>147</v>
      </c>
    </row>
    <row r="353" spans="2:5" x14ac:dyDescent="0.25">
      <c r="B353" t="s">
        <v>163</v>
      </c>
    </row>
    <row r="354" spans="2:5" x14ac:dyDescent="0.25">
      <c r="B354" t="s">
        <v>164</v>
      </c>
    </row>
    <row r="356" spans="2:5" x14ac:dyDescent="0.25">
      <c r="C356" t="s">
        <v>144</v>
      </c>
    </row>
    <row r="362" spans="2:5" x14ac:dyDescent="0.25">
      <c r="D362" t="s">
        <v>294</v>
      </c>
    </row>
    <row r="363" spans="2:5" x14ac:dyDescent="0.25">
      <c r="D363" t="s">
        <v>295</v>
      </c>
    </row>
    <row r="364" spans="2:5" x14ac:dyDescent="0.25">
      <c r="D364" t="s">
        <v>171</v>
      </c>
      <c r="E364" t="s">
        <v>305</v>
      </c>
    </row>
    <row r="365" spans="2:5" x14ac:dyDescent="0.25">
      <c r="D365" t="s">
        <v>168</v>
      </c>
      <c r="E365" t="s">
        <v>304</v>
      </c>
    </row>
    <row r="366" spans="2:5" x14ac:dyDescent="0.25">
      <c r="D366" t="s">
        <v>298</v>
      </c>
      <c r="E366">
        <v>97</v>
      </c>
    </row>
    <row r="367" spans="2:5" x14ac:dyDescent="0.25">
      <c r="D367" t="s">
        <v>299</v>
      </c>
      <c r="E367">
        <v>89</v>
      </c>
    </row>
    <row r="368" spans="2:5" x14ac:dyDescent="0.25">
      <c r="D368" t="s">
        <v>300</v>
      </c>
      <c r="E368">
        <v>4</v>
      </c>
    </row>
    <row r="369" spans="4:5" x14ac:dyDescent="0.25">
      <c r="D369" t="s">
        <v>301</v>
      </c>
      <c r="E369">
        <v>0</v>
      </c>
    </row>
    <row r="370" spans="4:5" x14ac:dyDescent="0.25">
      <c r="D370" t="s">
        <v>302</v>
      </c>
      <c r="E370">
        <v>0</v>
      </c>
    </row>
    <row r="371" spans="4:5" x14ac:dyDescent="0.25">
      <c r="D371" t="s">
        <v>309</v>
      </c>
    </row>
    <row r="373" spans="4:5" x14ac:dyDescent="0.25">
      <c r="D373" t="s">
        <v>294</v>
      </c>
    </row>
    <row r="374" spans="4:5" x14ac:dyDescent="0.25">
      <c r="D374" t="s">
        <v>295</v>
      </c>
    </row>
    <row r="375" spans="4:5" x14ac:dyDescent="0.25">
      <c r="D375" t="s">
        <v>171</v>
      </c>
      <c r="E375" t="s">
        <v>297</v>
      </c>
    </row>
    <row r="376" spans="4:5" x14ac:dyDescent="0.25">
      <c r="D376" t="s">
        <v>168</v>
      </c>
      <c r="E376" t="s">
        <v>296</v>
      </c>
    </row>
    <row r="377" spans="4:5" x14ac:dyDescent="0.25">
      <c r="D377" t="s">
        <v>298</v>
      </c>
      <c r="E377">
        <v>85</v>
      </c>
    </row>
    <row r="378" spans="4:5" x14ac:dyDescent="0.25">
      <c r="D378" t="s">
        <v>299</v>
      </c>
      <c r="E378">
        <v>73</v>
      </c>
    </row>
    <row r="379" spans="4:5" x14ac:dyDescent="0.25">
      <c r="D379" t="s">
        <v>300</v>
      </c>
      <c r="E379">
        <v>10</v>
      </c>
    </row>
    <row r="380" spans="4:5" x14ac:dyDescent="0.25">
      <c r="D380" t="s">
        <v>301</v>
      </c>
      <c r="E380">
        <v>1</v>
      </c>
    </row>
    <row r="381" spans="4:5" x14ac:dyDescent="0.25">
      <c r="D381" t="s">
        <v>302</v>
      </c>
      <c r="E381">
        <v>1</v>
      </c>
    </row>
    <row r="382" spans="4:5" x14ac:dyDescent="0.25">
      <c r="D382" t="s">
        <v>310</v>
      </c>
    </row>
    <row r="387" spans="2:3" x14ac:dyDescent="0.25">
      <c r="B387" t="s">
        <v>145</v>
      </c>
    </row>
    <row r="388" spans="2:3" x14ac:dyDescent="0.25">
      <c r="B388" t="s">
        <v>182</v>
      </c>
    </row>
    <row r="389" spans="2:3" x14ac:dyDescent="0.25">
      <c r="B389" t="s">
        <v>183</v>
      </c>
    </row>
    <row r="390" spans="2:3" x14ac:dyDescent="0.25">
      <c r="B390" t="s">
        <v>184</v>
      </c>
    </row>
    <row r="391" spans="2:3" x14ac:dyDescent="0.25">
      <c r="B391" t="s">
        <v>146</v>
      </c>
    </row>
    <row r="392" spans="2:3" x14ac:dyDescent="0.25">
      <c r="B392" t="s">
        <v>147</v>
      </c>
    </row>
    <row r="393" spans="2:3" x14ac:dyDescent="0.25">
      <c r="B393" t="s">
        <v>163</v>
      </c>
    </row>
    <row r="394" spans="2:3" x14ac:dyDescent="0.25">
      <c r="B394" t="s">
        <v>164</v>
      </c>
    </row>
    <row r="396" spans="2:3" x14ac:dyDescent="0.25">
      <c r="C396" t="s">
        <v>144</v>
      </c>
    </row>
    <row r="407" spans="2:3" x14ac:dyDescent="0.25">
      <c r="B407" t="s">
        <v>140</v>
      </c>
    </row>
    <row r="408" spans="2:3" x14ac:dyDescent="0.25">
      <c r="B408" t="s">
        <v>186</v>
      </c>
    </row>
    <row r="409" spans="2:3" x14ac:dyDescent="0.25">
      <c r="B409" t="s">
        <v>187</v>
      </c>
    </row>
    <row r="410" spans="2:3" x14ac:dyDescent="0.25">
      <c r="B410" t="s">
        <v>143</v>
      </c>
    </row>
    <row r="412" spans="2:3" x14ac:dyDescent="0.25">
      <c r="C412" t="s">
        <v>144</v>
      </c>
    </row>
    <row r="417" spans="2:3" x14ac:dyDescent="0.25">
      <c r="B417" t="s">
        <v>145</v>
      </c>
    </row>
    <row r="418" spans="2:3" x14ac:dyDescent="0.25">
      <c r="B418" t="s">
        <v>188</v>
      </c>
    </row>
    <row r="419" spans="2:3" x14ac:dyDescent="0.25">
      <c r="B419" t="s">
        <v>189</v>
      </c>
    </row>
    <row r="420" spans="2:3" x14ac:dyDescent="0.25">
      <c r="B420" t="s">
        <v>190</v>
      </c>
    </row>
    <row r="421" spans="2:3" x14ac:dyDescent="0.25">
      <c r="B421" t="s">
        <v>146</v>
      </c>
    </row>
    <row r="422" spans="2:3" x14ac:dyDescent="0.25">
      <c r="B422" t="s">
        <v>366</v>
      </c>
    </row>
    <row r="423" spans="2:3" x14ac:dyDescent="0.25">
      <c r="B423" t="s">
        <v>163</v>
      </c>
    </row>
    <row r="424" spans="2:3" x14ac:dyDescent="0.25">
      <c r="B424" t="s">
        <v>320</v>
      </c>
    </row>
    <row r="428" spans="2:3" x14ac:dyDescent="0.25">
      <c r="C428" t="s">
        <v>144</v>
      </c>
    </row>
    <row r="439" spans="2:3" x14ac:dyDescent="0.25">
      <c r="B439" t="s">
        <v>140</v>
      </c>
    </row>
    <row r="440" spans="2:3" x14ac:dyDescent="0.25">
      <c r="B440" t="s">
        <v>191</v>
      </c>
    </row>
    <row r="441" spans="2:3" x14ac:dyDescent="0.25">
      <c r="B441" t="s">
        <v>192</v>
      </c>
    </row>
    <row r="442" spans="2:3" x14ac:dyDescent="0.25">
      <c r="B442" t="s">
        <v>143</v>
      </c>
    </row>
    <row r="444" spans="2:3" x14ac:dyDescent="0.25">
      <c r="C444" t="s">
        <v>144</v>
      </c>
    </row>
    <row r="449" spans="2:5" x14ac:dyDescent="0.25">
      <c r="B449" t="s">
        <v>145</v>
      </c>
    </row>
    <row r="450" spans="2:5" x14ac:dyDescent="0.25">
      <c r="B450" t="s">
        <v>193</v>
      </c>
    </row>
    <row r="451" spans="2:5" x14ac:dyDescent="0.25">
      <c r="B451" t="s">
        <v>194</v>
      </c>
    </row>
    <row r="452" spans="2:5" x14ac:dyDescent="0.25">
      <c r="B452" t="s">
        <v>195</v>
      </c>
    </row>
    <row r="453" spans="2:5" x14ac:dyDescent="0.25">
      <c r="B453" t="s">
        <v>146</v>
      </c>
    </row>
    <row r="454" spans="2:5" x14ac:dyDescent="0.25">
      <c r="B454" t="s">
        <v>366</v>
      </c>
    </row>
    <row r="455" spans="2:5" x14ac:dyDescent="0.25">
      <c r="B455" t="s">
        <v>163</v>
      </c>
    </row>
    <row r="456" spans="2:5" x14ac:dyDescent="0.25">
      <c r="B456" t="s">
        <v>320</v>
      </c>
    </row>
    <row r="458" spans="2:5" x14ac:dyDescent="0.25">
      <c r="D458" t="s">
        <v>294</v>
      </c>
    </row>
    <row r="459" spans="2:5" x14ac:dyDescent="0.25">
      <c r="D459" t="s">
        <v>295</v>
      </c>
    </row>
    <row r="460" spans="2:5" x14ac:dyDescent="0.25">
      <c r="D460" t="s">
        <v>171</v>
      </c>
      <c r="E460" t="s">
        <v>312</v>
      </c>
    </row>
    <row r="461" spans="2:5" x14ac:dyDescent="0.25">
      <c r="D461" t="s">
        <v>168</v>
      </c>
      <c r="E461" t="s">
        <v>297</v>
      </c>
    </row>
    <row r="462" spans="2:5" x14ac:dyDescent="0.25">
      <c r="D462" t="s">
        <v>298</v>
      </c>
      <c r="E462">
        <v>85</v>
      </c>
    </row>
    <row r="463" spans="2:5" x14ac:dyDescent="0.25">
      <c r="D463" t="s">
        <v>299</v>
      </c>
      <c r="E463">
        <v>73</v>
      </c>
    </row>
    <row r="464" spans="2:5" x14ac:dyDescent="0.25">
      <c r="D464" t="s">
        <v>300</v>
      </c>
      <c r="E464">
        <v>10</v>
      </c>
    </row>
    <row r="465" spans="3:5" x14ac:dyDescent="0.25">
      <c r="D465" t="s">
        <v>301</v>
      </c>
      <c r="E465">
        <v>0</v>
      </c>
    </row>
    <row r="466" spans="3:5" x14ac:dyDescent="0.25">
      <c r="D466" t="s">
        <v>302</v>
      </c>
      <c r="E466">
        <v>0</v>
      </c>
    </row>
    <row r="467" spans="3:5" x14ac:dyDescent="0.25">
      <c r="D467" t="s">
        <v>341</v>
      </c>
    </row>
    <row r="469" spans="3:5" x14ac:dyDescent="0.25">
      <c r="D469" t="s">
        <v>294</v>
      </c>
    </row>
    <row r="470" spans="3:5" x14ac:dyDescent="0.25">
      <c r="D470" t="s">
        <v>295</v>
      </c>
    </row>
    <row r="471" spans="3:5" x14ac:dyDescent="0.25">
      <c r="D471" t="s">
        <v>171</v>
      </c>
      <c r="E471" t="s">
        <v>304</v>
      </c>
    </row>
    <row r="472" spans="3:5" x14ac:dyDescent="0.25">
      <c r="D472" t="s">
        <v>168</v>
      </c>
      <c r="E472" t="s">
        <v>305</v>
      </c>
    </row>
    <row r="473" spans="3:5" x14ac:dyDescent="0.25">
      <c r="D473" t="s">
        <v>298</v>
      </c>
      <c r="E473">
        <v>97</v>
      </c>
    </row>
    <row r="474" spans="3:5" x14ac:dyDescent="0.25">
      <c r="D474" t="s">
        <v>299</v>
      </c>
      <c r="E474">
        <v>89</v>
      </c>
    </row>
    <row r="475" spans="3:5" x14ac:dyDescent="0.25">
      <c r="D475" t="s">
        <v>300</v>
      </c>
      <c r="E475">
        <v>4</v>
      </c>
    </row>
    <row r="476" spans="3:5" x14ac:dyDescent="0.25">
      <c r="D476" t="s">
        <v>301</v>
      </c>
      <c r="E476">
        <v>1</v>
      </c>
    </row>
    <row r="477" spans="3:5" x14ac:dyDescent="0.25">
      <c r="D477" t="s">
        <v>302</v>
      </c>
      <c r="E477">
        <v>0</v>
      </c>
    </row>
    <row r="478" spans="3:5" x14ac:dyDescent="0.25">
      <c r="D478" t="s">
        <v>342</v>
      </c>
    </row>
    <row r="480" spans="3:5" x14ac:dyDescent="0.25">
      <c r="C480" t="s">
        <v>144</v>
      </c>
    </row>
    <row r="482" spans="4:9" x14ac:dyDescent="0.25">
      <c r="D482" t="s">
        <v>166</v>
      </c>
    </row>
    <row r="483" spans="4:9" x14ac:dyDescent="0.25">
      <c r="D483" t="s">
        <v>167</v>
      </c>
    </row>
    <row r="484" spans="4:9" x14ac:dyDescent="0.25">
      <c r="D484" t="s">
        <v>168</v>
      </c>
      <c r="E484" t="s">
        <v>169</v>
      </c>
      <c r="F484" t="s">
        <v>169</v>
      </c>
      <c r="G484" t="s">
        <v>169</v>
      </c>
      <c r="H484" t="s">
        <v>169</v>
      </c>
      <c r="I484" t="s">
        <v>169</v>
      </c>
    </row>
    <row r="485" spans="4:9" x14ac:dyDescent="0.25">
      <c r="D485" t="s">
        <v>170</v>
      </c>
      <c r="E485">
        <v>2</v>
      </c>
      <c r="F485">
        <v>3</v>
      </c>
      <c r="G485">
        <v>4</v>
      </c>
      <c r="H485">
        <v>5</v>
      </c>
      <c r="I485">
        <v>6</v>
      </c>
    </row>
    <row r="486" spans="4:9" x14ac:dyDescent="0.25">
      <c r="D486" t="s">
        <v>171</v>
      </c>
      <c r="E486" t="s">
        <v>311</v>
      </c>
      <c r="F486" t="s">
        <v>311</v>
      </c>
      <c r="G486" t="s">
        <v>311</v>
      </c>
      <c r="H486" t="s">
        <v>311</v>
      </c>
      <c r="I486" t="s">
        <v>311</v>
      </c>
    </row>
    <row r="487" spans="4:9" x14ac:dyDescent="0.25">
      <c r="D487" t="s">
        <v>172</v>
      </c>
      <c r="E487">
        <v>2</v>
      </c>
      <c r="F487">
        <v>3</v>
      </c>
      <c r="G487">
        <v>4</v>
      </c>
      <c r="H487">
        <v>5</v>
      </c>
      <c r="I487">
        <v>6</v>
      </c>
    </row>
    <row r="488" spans="4:9" x14ac:dyDescent="0.25">
      <c r="D488" t="s">
        <v>173</v>
      </c>
      <c r="E488">
        <v>789</v>
      </c>
      <c r="F488">
        <v>588</v>
      </c>
      <c r="G488">
        <v>1034</v>
      </c>
      <c r="H488">
        <v>641</v>
      </c>
      <c r="I488">
        <v>1154</v>
      </c>
    </row>
    <row r="489" spans="4:9" x14ac:dyDescent="0.25">
      <c r="D489" t="s">
        <v>174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4:9" x14ac:dyDescent="0.25">
      <c r="D490" t="s">
        <v>175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4:9" x14ac:dyDescent="0.25">
      <c r="D491" t="s">
        <v>176</v>
      </c>
      <c r="E491" t="s">
        <v>177</v>
      </c>
      <c r="F491" t="s">
        <v>177</v>
      </c>
      <c r="G491" t="s">
        <v>177</v>
      </c>
      <c r="H491" t="s">
        <v>177</v>
      </c>
      <c r="I491" t="s">
        <v>177</v>
      </c>
    </row>
    <row r="492" spans="4:9" x14ac:dyDescent="0.25">
      <c r="D492" t="s">
        <v>343</v>
      </c>
    </row>
    <row r="494" spans="4:9" x14ac:dyDescent="0.25">
      <c r="D494" t="s">
        <v>151</v>
      </c>
    </row>
    <row r="495" spans="4:9" x14ac:dyDescent="0.25">
      <c r="D495" t="s">
        <v>152</v>
      </c>
    </row>
    <row r="496" spans="4:9" x14ac:dyDescent="0.25">
      <c r="D496" t="s">
        <v>153</v>
      </c>
      <c r="E496">
        <v>300</v>
      </c>
    </row>
    <row r="497" spans="4:5" x14ac:dyDescent="0.25">
      <c r="D497" t="s">
        <v>344</v>
      </c>
    </row>
    <row r="499" spans="4:5" x14ac:dyDescent="0.25">
      <c r="D499" t="s">
        <v>151</v>
      </c>
    </row>
    <row r="500" spans="4:5" x14ac:dyDescent="0.25">
      <c r="D500" t="s">
        <v>155</v>
      </c>
    </row>
    <row r="501" spans="4:5" x14ac:dyDescent="0.25">
      <c r="D501" t="s">
        <v>370</v>
      </c>
    </row>
    <row r="503" spans="4:5" x14ac:dyDescent="0.25">
      <c r="D503" t="s">
        <v>157</v>
      </c>
    </row>
    <row r="504" spans="4:5" x14ac:dyDescent="0.25">
      <c r="D504" t="s">
        <v>152</v>
      </c>
    </row>
    <row r="505" spans="4:5" x14ac:dyDescent="0.25">
      <c r="D505" t="s">
        <v>158</v>
      </c>
      <c r="E505">
        <v>175</v>
      </c>
    </row>
    <row r="506" spans="4:5" x14ac:dyDescent="0.25">
      <c r="D506" t="s">
        <v>153</v>
      </c>
      <c r="E506">
        <v>1009.75</v>
      </c>
    </row>
    <row r="507" spans="4:5" x14ac:dyDescent="0.25">
      <c r="D507" t="s">
        <v>371</v>
      </c>
    </row>
    <row r="509" spans="4:5" x14ac:dyDescent="0.25">
      <c r="D509" t="s">
        <v>294</v>
      </c>
    </row>
    <row r="510" spans="4:5" x14ac:dyDescent="0.25">
      <c r="D510" t="s">
        <v>295</v>
      </c>
    </row>
    <row r="511" spans="4:5" x14ac:dyDescent="0.25">
      <c r="D511" t="s">
        <v>171</v>
      </c>
      <c r="E511" t="s">
        <v>305</v>
      </c>
    </row>
    <row r="512" spans="4:5" x14ac:dyDescent="0.25">
      <c r="D512" t="s">
        <v>168</v>
      </c>
      <c r="E512" t="s">
        <v>304</v>
      </c>
    </row>
    <row r="513" spans="4:5" x14ac:dyDescent="0.25">
      <c r="D513" t="s">
        <v>298</v>
      </c>
      <c r="E513">
        <v>97</v>
      </c>
    </row>
    <row r="514" spans="4:5" x14ac:dyDescent="0.25">
      <c r="D514" t="s">
        <v>299</v>
      </c>
      <c r="E514">
        <v>89</v>
      </c>
    </row>
    <row r="515" spans="4:5" x14ac:dyDescent="0.25">
      <c r="D515" t="s">
        <v>300</v>
      </c>
      <c r="E515">
        <v>4</v>
      </c>
    </row>
    <row r="516" spans="4:5" x14ac:dyDescent="0.25">
      <c r="D516" t="s">
        <v>301</v>
      </c>
      <c r="E516">
        <v>0</v>
      </c>
    </row>
    <row r="517" spans="4:5" x14ac:dyDescent="0.25">
      <c r="D517" t="s">
        <v>302</v>
      </c>
      <c r="E517">
        <v>0</v>
      </c>
    </row>
    <row r="518" spans="4:5" x14ac:dyDescent="0.25">
      <c r="D518" t="s">
        <v>372</v>
      </c>
    </row>
    <row r="520" spans="4:5" x14ac:dyDescent="0.25">
      <c r="D520" t="s">
        <v>294</v>
      </c>
    </row>
    <row r="521" spans="4:5" x14ac:dyDescent="0.25">
      <c r="D521" t="s">
        <v>295</v>
      </c>
    </row>
    <row r="522" spans="4:5" x14ac:dyDescent="0.25">
      <c r="D522" t="s">
        <v>171</v>
      </c>
      <c r="E522" t="s">
        <v>297</v>
      </c>
    </row>
    <row r="523" spans="4:5" x14ac:dyDescent="0.25">
      <c r="D523" t="s">
        <v>168</v>
      </c>
      <c r="E523" t="s">
        <v>312</v>
      </c>
    </row>
    <row r="524" spans="4:5" x14ac:dyDescent="0.25">
      <c r="D524" t="s">
        <v>298</v>
      </c>
      <c r="E524">
        <v>85</v>
      </c>
    </row>
    <row r="525" spans="4:5" x14ac:dyDescent="0.25">
      <c r="D525" t="s">
        <v>299</v>
      </c>
      <c r="E525">
        <v>73</v>
      </c>
    </row>
    <row r="526" spans="4:5" x14ac:dyDescent="0.25">
      <c r="D526" t="s">
        <v>300</v>
      </c>
      <c r="E526">
        <v>10</v>
      </c>
    </row>
    <row r="527" spans="4:5" x14ac:dyDescent="0.25">
      <c r="D527" t="s">
        <v>301</v>
      </c>
      <c r="E527">
        <v>1</v>
      </c>
    </row>
    <row r="528" spans="4:5" x14ac:dyDescent="0.25">
      <c r="D528" t="s">
        <v>302</v>
      </c>
      <c r="E528">
        <v>1</v>
      </c>
    </row>
    <row r="529" spans="2:4" x14ac:dyDescent="0.25">
      <c r="D529" t="s">
        <v>373</v>
      </c>
    </row>
    <row r="534" spans="2:4" x14ac:dyDescent="0.25">
      <c r="B534" t="s">
        <v>140</v>
      </c>
    </row>
    <row r="535" spans="2:4" x14ac:dyDescent="0.25">
      <c r="B535" t="s">
        <v>196</v>
      </c>
    </row>
    <row r="536" spans="2:4" x14ac:dyDescent="0.25">
      <c r="B536" t="s">
        <v>187</v>
      </c>
    </row>
    <row r="537" spans="2:4" x14ac:dyDescent="0.25">
      <c r="B537" t="s">
        <v>143</v>
      </c>
    </row>
    <row r="539" spans="2:4" x14ac:dyDescent="0.25">
      <c r="C539" t="s">
        <v>144</v>
      </c>
    </row>
    <row r="544" spans="2:4" x14ac:dyDescent="0.25">
      <c r="B544" t="s">
        <v>145</v>
      </c>
    </row>
    <row r="545" spans="2:5" x14ac:dyDescent="0.25">
      <c r="B545" t="s">
        <v>197</v>
      </c>
    </row>
    <row r="546" spans="2:5" x14ac:dyDescent="0.25">
      <c r="B546" t="s">
        <v>189</v>
      </c>
    </row>
    <row r="547" spans="2:5" x14ac:dyDescent="0.25">
      <c r="B547" t="s">
        <v>198</v>
      </c>
    </row>
    <row r="548" spans="2:5" x14ac:dyDescent="0.25">
      <c r="B548" t="s">
        <v>146</v>
      </c>
    </row>
    <row r="549" spans="2:5" x14ac:dyDescent="0.25">
      <c r="B549" t="s">
        <v>366</v>
      </c>
    </row>
    <row r="550" spans="2:5" x14ac:dyDescent="0.25">
      <c r="B550" t="s">
        <v>163</v>
      </c>
    </row>
    <row r="551" spans="2:5" x14ac:dyDescent="0.25">
      <c r="B551" t="s">
        <v>320</v>
      </c>
    </row>
    <row r="553" spans="2:5" x14ac:dyDescent="0.25">
      <c r="D553" t="s">
        <v>294</v>
      </c>
    </row>
    <row r="554" spans="2:5" x14ac:dyDescent="0.25">
      <c r="D554" t="s">
        <v>295</v>
      </c>
    </row>
    <row r="555" spans="2:5" x14ac:dyDescent="0.25">
      <c r="D555" t="s">
        <v>171</v>
      </c>
      <c r="E555" t="s">
        <v>311</v>
      </c>
    </row>
    <row r="556" spans="2:5" x14ac:dyDescent="0.25">
      <c r="D556" t="s">
        <v>168</v>
      </c>
      <c r="E556" t="s">
        <v>297</v>
      </c>
    </row>
    <row r="557" spans="2:5" x14ac:dyDescent="0.25">
      <c r="D557" t="s">
        <v>298</v>
      </c>
      <c r="E557">
        <v>85</v>
      </c>
    </row>
    <row r="558" spans="2:5" x14ac:dyDescent="0.25">
      <c r="D558" t="s">
        <v>299</v>
      </c>
      <c r="E558">
        <v>73</v>
      </c>
    </row>
    <row r="559" spans="2:5" x14ac:dyDescent="0.25">
      <c r="D559" t="s">
        <v>300</v>
      </c>
      <c r="E559">
        <v>10</v>
      </c>
    </row>
    <row r="560" spans="2:5" x14ac:dyDescent="0.25">
      <c r="D560" t="s">
        <v>301</v>
      </c>
      <c r="E560">
        <v>0</v>
      </c>
    </row>
    <row r="561" spans="3:5" x14ac:dyDescent="0.25">
      <c r="D561" t="s">
        <v>302</v>
      </c>
      <c r="E561">
        <v>0</v>
      </c>
    </row>
    <row r="562" spans="3:5" x14ac:dyDescent="0.25">
      <c r="D562" t="s">
        <v>345</v>
      </c>
    </row>
    <row r="564" spans="3:5" x14ac:dyDescent="0.25">
      <c r="D564" t="s">
        <v>294</v>
      </c>
    </row>
    <row r="565" spans="3:5" x14ac:dyDescent="0.25">
      <c r="D565" t="s">
        <v>295</v>
      </c>
    </row>
    <row r="566" spans="3:5" x14ac:dyDescent="0.25">
      <c r="D566" t="s">
        <v>171</v>
      </c>
      <c r="E566" t="s">
        <v>304</v>
      </c>
    </row>
    <row r="567" spans="3:5" x14ac:dyDescent="0.25">
      <c r="D567" t="s">
        <v>168</v>
      </c>
      <c r="E567" t="s">
        <v>305</v>
      </c>
    </row>
    <row r="568" spans="3:5" x14ac:dyDescent="0.25">
      <c r="D568" t="s">
        <v>298</v>
      </c>
      <c r="E568">
        <v>97</v>
      </c>
    </row>
    <row r="569" spans="3:5" x14ac:dyDescent="0.25">
      <c r="D569" t="s">
        <v>299</v>
      </c>
      <c r="E569">
        <v>89</v>
      </c>
    </row>
    <row r="570" spans="3:5" x14ac:dyDescent="0.25">
      <c r="D570" t="s">
        <v>300</v>
      </c>
      <c r="E570">
        <v>4</v>
      </c>
    </row>
    <row r="571" spans="3:5" x14ac:dyDescent="0.25">
      <c r="D571" t="s">
        <v>301</v>
      </c>
      <c r="E571">
        <v>1</v>
      </c>
    </row>
    <row r="572" spans="3:5" x14ac:dyDescent="0.25">
      <c r="D572" t="s">
        <v>302</v>
      </c>
      <c r="E572">
        <v>0</v>
      </c>
    </row>
    <row r="573" spans="3:5" x14ac:dyDescent="0.25">
      <c r="D573" t="s">
        <v>346</v>
      </c>
    </row>
    <row r="575" spans="3:5" x14ac:dyDescent="0.25">
      <c r="C575" t="s">
        <v>144</v>
      </c>
    </row>
    <row r="577" spans="4:9" x14ac:dyDescent="0.25">
      <c r="D577" t="s">
        <v>166</v>
      </c>
    </row>
    <row r="578" spans="4:9" x14ac:dyDescent="0.25">
      <c r="D578" t="s">
        <v>167</v>
      </c>
    </row>
    <row r="579" spans="4:9" x14ac:dyDescent="0.25">
      <c r="D579" t="s">
        <v>168</v>
      </c>
      <c r="E579" t="s">
        <v>169</v>
      </c>
      <c r="F579" t="s">
        <v>169</v>
      </c>
      <c r="G579" t="s">
        <v>169</v>
      </c>
      <c r="H579" t="s">
        <v>169</v>
      </c>
      <c r="I579" t="s">
        <v>169</v>
      </c>
    </row>
    <row r="580" spans="4:9" x14ac:dyDescent="0.25">
      <c r="D580" t="s">
        <v>170</v>
      </c>
      <c r="E580">
        <v>2</v>
      </c>
      <c r="F580">
        <v>3</v>
      </c>
      <c r="G580">
        <v>4</v>
      </c>
      <c r="H580">
        <v>5</v>
      </c>
      <c r="I580">
        <v>6</v>
      </c>
    </row>
    <row r="581" spans="4:9" x14ac:dyDescent="0.25">
      <c r="D581" t="s">
        <v>171</v>
      </c>
      <c r="E581" t="s">
        <v>312</v>
      </c>
      <c r="F581" t="s">
        <v>312</v>
      </c>
      <c r="G581" t="s">
        <v>312</v>
      </c>
      <c r="H581" t="s">
        <v>312</v>
      </c>
      <c r="I581" t="s">
        <v>312</v>
      </c>
    </row>
    <row r="582" spans="4:9" x14ac:dyDescent="0.25">
      <c r="D582" t="s">
        <v>172</v>
      </c>
      <c r="E582">
        <v>2</v>
      </c>
      <c r="F582">
        <v>3</v>
      </c>
      <c r="G582">
        <v>4</v>
      </c>
      <c r="H582">
        <v>5</v>
      </c>
      <c r="I582">
        <v>6</v>
      </c>
    </row>
    <row r="583" spans="4:9" x14ac:dyDescent="0.25">
      <c r="D583" t="s">
        <v>173</v>
      </c>
      <c r="E583">
        <v>789</v>
      </c>
      <c r="F583">
        <v>588</v>
      </c>
      <c r="G583">
        <v>1034</v>
      </c>
      <c r="H583">
        <v>641</v>
      </c>
      <c r="I583">
        <v>1154</v>
      </c>
    </row>
    <row r="584" spans="4:9" x14ac:dyDescent="0.25">
      <c r="D584" t="s">
        <v>174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4:9" x14ac:dyDescent="0.25">
      <c r="D585" t="s">
        <v>175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4:9" x14ac:dyDescent="0.25">
      <c r="D586" t="s">
        <v>176</v>
      </c>
      <c r="E586" t="s">
        <v>177</v>
      </c>
      <c r="F586" t="s">
        <v>177</v>
      </c>
      <c r="G586" t="s">
        <v>177</v>
      </c>
      <c r="H586" t="s">
        <v>177</v>
      </c>
      <c r="I586" t="s">
        <v>177</v>
      </c>
    </row>
    <row r="587" spans="4:9" x14ac:dyDescent="0.25">
      <c r="D587" t="s">
        <v>347</v>
      </c>
    </row>
    <row r="589" spans="4:9" x14ac:dyDescent="0.25">
      <c r="D589" t="s">
        <v>151</v>
      </c>
    </row>
    <row r="590" spans="4:9" x14ac:dyDescent="0.25">
      <c r="D590" t="s">
        <v>152</v>
      </c>
    </row>
    <row r="591" spans="4:9" x14ac:dyDescent="0.25">
      <c r="D591" t="s">
        <v>153</v>
      </c>
      <c r="E591">
        <v>300</v>
      </c>
    </row>
    <row r="592" spans="4:9" x14ac:dyDescent="0.25">
      <c r="D592" t="s">
        <v>348</v>
      </c>
    </row>
    <row r="594" spans="4:5" x14ac:dyDescent="0.25">
      <c r="D594" t="s">
        <v>151</v>
      </c>
    </row>
    <row r="595" spans="4:5" x14ac:dyDescent="0.25">
      <c r="D595" t="s">
        <v>155</v>
      </c>
    </row>
    <row r="596" spans="4:5" x14ac:dyDescent="0.25">
      <c r="D596" t="s">
        <v>374</v>
      </c>
    </row>
    <row r="598" spans="4:5" x14ac:dyDescent="0.25">
      <c r="D598" t="s">
        <v>157</v>
      </c>
    </row>
    <row r="599" spans="4:5" x14ac:dyDescent="0.25">
      <c r="D599" t="s">
        <v>152</v>
      </c>
    </row>
    <row r="600" spans="4:5" x14ac:dyDescent="0.25">
      <c r="D600" t="s">
        <v>158</v>
      </c>
      <c r="E600">
        <v>175</v>
      </c>
    </row>
    <row r="601" spans="4:5" x14ac:dyDescent="0.25">
      <c r="D601" t="s">
        <v>153</v>
      </c>
      <c r="E601">
        <v>1009.75</v>
      </c>
    </row>
    <row r="602" spans="4:5" x14ac:dyDescent="0.25">
      <c r="D602" t="s">
        <v>375</v>
      </c>
    </row>
    <row r="604" spans="4:5" x14ac:dyDescent="0.25">
      <c r="D604" t="s">
        <v>294</v>
      </c>
    </row>
    <row r="605" spans="4:5" x14ac:dyDescent="0.25">
      <c r="D605" t="s">
        <v>295</v>
      </c>
    </row>
    <row r="606" spans="4:5" x14ac:dyDescent="0.25">
      <c r="D606" t="s">
        <v>171</v>
      </c>
      <c r="E606" t="s">
        <v>305</v>
      </c>
    </row>
    <row r="607" spans="4:5" x14ac:dyDescent="0.25">
      <c r="D607" t="s">
        <v>168</v>
      </c>
      <c r="E607" t="s">
        <v>304</v>
      </c>
    </row>
    <row r="608" spans="4:5" x14ac:dyDescent="0.25">
      <c r="D608" t="s">
        <v>298</v>
      </c>
      <c r="E608">
        <v>97</v>
      </c>
    </row>
    <row r="609" spans="4:5" x14ac:dyDescent="0.25">
      <c r="D609" t="s">
        <v>299</v>
      </c>
      <c r="E609">
        <v>89</v>
      </c>
    </row>
    <row r="610" spans="4:5" x14ac:dyDescent="0.25">
      <c r="D610" t="s">
        <v>300</v>
      </c>
      <c r="E610">
        <v>4</v>
      </c>
    </row>
    <row r="611" spans="4:5" x14ac:dyDescent="0.25">
      <c r="D611" t="s">
        <v>301</v>
      </c>
      <c r="E611">
        <v>0</v>
      </c>
    </row>
    <row r="612" spans="4:5" x14ac:dyDescent="0.25">
      <c r="D612" t="s">
        <v>302</v>
      </c>
      <c r="E612">
        <v>0</v>
      </c>
    </row>
    <row r="613" spans="4:5" x14ac:dyDescent="0.25">
      <c r="D613" t="s">
        <v>376</v>
      </c>
    </row>
    <row r="615" spans="4:5" x14ac:dyDescent="0.25">
      <c r="D615" t="s">
        <v>294</v>
      </c>
    </row>
    <row r="616" spans="4:5" x14ac:dyDescent="0.25">
      <c r="D616" t="s">
        <v>295</v>
      </c>
    </row>
    <row r="617" spans="4:5" x14ac:dyDescent="0.25">
      <c r="D617" t="s">
        <v>171</v>
      </c>
      <c r="E617" t="s">
        <v>297</v>
      </c>
    </row>
    <row r="618" spans="4:5" x14ac:dyDescent="0.25">
      <c r="D618" t="s">
        <v>168</v>
      </c>
      <c r="E618" t="s">
        <v>311</v>
      </c>
    </row>
    <row r="619" spans="4:5" x14ac:dyDescent="0.25">
      <c r="D619" t="s">
        <v>298</v>
      </c>
      <c r="E619">
        <v>85</v>
      </c>
    </row>
    <row r="620" spans="4:5" x14ac:dyDescent="0.25">
      <c r="D620" t="s">
        <v>299</v>
      </c>
      <c r="E620">
        <v>73</v>
      </c>
    </row>
    <row r="621" spans="4:5" x14ac:dyDescent="0.25">
      <c r="D621" t="s">
        <v>300</v>
      </c>
      <c r="E621">
        <v>10</v>
      </c>
    </row>
    <row r="622" spans="4:5" x14ac:dyDescent="0.25">
      <c r="D622" t="s">
        <v>301</v>
      </c>
      <c r="E622">
        <v>1</v>
      </c>
    </row>
    <row r="623" spans="4:5" x14ac:dyDescent="0.25">
      <c r="D623" t="s">
        <v>302</v>
      </c>
      <c r="E623">
        <v>1</v>
      </c>
    </row>
    <row r="624" spans="4:5" x14ac:dyDescent="0.25">
      <c r="D624" t="s">
        <v>377</v>
      </c>
    </row>
    <row r="629" spans="2:3" x14ac:dyDescent="0.25">
      <c r="B629" t="s">
        <v>140</v>
      </c>
    </row>
    <row r="630" spans="2:3" x14ac:dyDescent="0.25">
      <c r="B630" t="s">
        <v>199</v>
      </c>
    </row>
    <row r="631" spans="2:3" x14ac:dyDescent="0.25">
      <c r="B631" t="s">
        <v>192</v>
      </c>
    </row>
    <row r="632" spans="2:3" x14ac:dyDescent="0.25">
      <c r="B632" t="s">
        <v>143</v>
      </c>
    </row>
    <row r="634" spans="2:3" x14ac:dyDescent="0.25">
      <c r="C634" t="s">
        <v>144</v>
      </c>
    </row>
    <row r="639" spans="2:3" x14ac:dyDescent="0.25">
      <c r="B639" t="s">
        <v>145</v>
      </c>
    </row>
    <row r="640" spans="2:3" x14ac:dyDescent="0.25">
      <c r="B640" t="s">
        <v>200</v>
      </c>
    </row>
    <row r="641" spans="2:5" x14ac:dyDescent="0.25">
      <c r="B641" t="s">
        <v>194</v>
      </c>
    </row>
    <row r="642" spans="2:5" x14ac:dyDescent="0.25">
      <c r="B642" t="s">
        <v>201</v>
      </c>
    </row>
    <row r="643" spans="2:5" x14ac:dyDescent="0.25">
      <c r="B643" t="s">
        <v>146</v>
      </c>
    </row>
    <row r="644" spans="2:5" x14ac:dyDescent="0.25">
      <c r="B644" t="s">
        <v>366</v>
      </c>
    </row>
    <row r="645" spans="2:5" x14ac:dyDescent="0.25">
      <c r="B645" t="s">
        <v>163</v>
      </c>
    </row>
    <row r="646" spans="2:5" x14ac:dyDescent="0.25">
      <c r="B646" t="s">
        <v>320</v>
      </c>
    </row>
    <row r="648" spans="2:5" x14ac:dyDescent="0.25">
      <c r="D648" t="s">
        <v>294</v>
      </c>
    </row>
    <row r="649" spans="2:5" x14ac:dyDescent="0.25">
      <c r="D649" t="s">
        <v>295</v>
      </c>
    </row>
    <row r="650" spans="2:5" x14ac:dyDescent="0.25">
      <c r="D650" t="s">
        <v>171</v>
      </c>
      <c r="E650" t="s">
        <v>312</v>
      </c>
    </row>
    <row r="651" spans="2:5" x14ac:dyDescent="0.25">
      <c r="D651" t="s">
        <v>168</v>
      </c>
      <c r="E651" t="s">
        <v>297</v>
      </c>
    </row>
    <row r="652" spans="2:5" x14ac:dyDescent="0.25">
      <c r="D652" t="s">
        <v>298</v>
      </c>
      <c r="E652">
        <v>85</v>
      </c>
    </row>
    <row r="653" spans="2:5" x14ac:dyDescent="0.25">
      <c r="D653" t="s">
        <v>299</v>
      </c>
      <c r="E653">
        <v>73</v>
      </c>
    </row>
    <row r="654" spans="2:5" x14ac:dyDescent="0.25">
      <c r="D654" t="s">
        <v>300</v>
      </c>
      <c r="E654">
        <v>10</v>
      </c>
    </row>
    <row r="655" spans="2:5" x14ac:dyDescent="0.25">
      <c r="D655" t="s">
        <v>301</v>
      </c>
      <c r="E655">
        <v>0</v>
      </c>
    </row>
    <row r="656" spans="2:5" x14ac:dyDescent="0.25">
      <c r="D656" t="s">
        <v>302</v>
      </c>
      <c r="E656">
        <v>0</v>
      </c>
    </row>
    <row r="657" spans="3:5" x14ac:dyDescent="0.25">
      <c r="D657" t="s">
        <v>349</v>
      </c>
    </row>
    <row r="659" spans="3:5" x14ac:dyDescent="0.25">
      <c r="D659" t="s">
        <v>294</v>
      </c>
    </row>
    <row r="660" spans="3:5" x14ac:dyDescent="0.25">
      <c r="D660" t="s">
        <v>295</v>
      </c>
    </row>
    <row r="661" spans="3:5" x14ac:dyDescent="0.25">
      <c r="D661" t="s">
        <v>171</v>
      </c>
      <c r="E661" t="s">
        <v>304</v>
      </c>
    </row>
    <row r="662" spans="3:5" x14ac:dyDescent="0.25">
      <c r="D662" t="s">
        <v>168</v>
      </c>
      <c r="E662" t="s">
        <v>305</v>
      </c>
    </row>
    <row r="663" spans="3:5" x14ac:dyDescent="0.25">
      <c r="D663" t="s">
        <v>298</v>
      </c>
      <c r="E663">
        <v>97</v>
      </c>
    </row>
    <row r="664" spans="3:5" x14ac:dyDescent="0.25">
      <c r="D664" t="s">
        <v>299</v>
      </c>
      <c r="E664">
        <v>89</v>
      </c>
    </row>
    <row r="665" spans="3:5" x14ac:dyDescent="0.25">
      <c r="D665" t="s">
        <v>300</v>
      </c>
      <c r="E665">
        <v>4</v>
      </c>
    </row>
    <row r="666" spans="3:5" x14ac:dyDescent="0.25">
      <c r="D666" t="s">
        <v>301</v>
      </c>
      <c r="E666">
        <v>1</v>
      </c>
    </row>
    <row r="667" spans="3:5" x14ac:dyDescent="0.25">
      <c r="D667" t="s">
        <v>302</v>
      </c>
      <c r="E667">
        <v>0</v>
      </c>
    </row>
    <row r="668" spans="3:5" x14ac:dyDescent="0.25">
      <c r="D668" t="s">
        <v>350</v>
      </c>
    </row>
    <row r="670" spans="3:5" x14ac:dyDescent="0.25">
      <c r="C670" t="s">
        <v>144</v>
      </c>
    </row>
    <row r="672" spans="3:5" x14ac:dyDescent="0.25">
      <c r="D672" t="s">
        <v>166</v>
      </c>
    </row>
    <row r="673" spans="4:9" x14ac:dyDescent="0.25">
      <c r="D673" t="s">
        <v>167</v>
      </c>
    </row>
    <row r="674" spans="4:9" x14ac:dyDescent="0.25">
      <c r="D674" t="s">
        <v>168</v>
      </c>
      <c r="E674" t="s">
        <v>169</v>
      </c>
      <c r="F674" t="s">
        <v>169</v>
      </c>
      <c r="G674" t="s">
        <v>169</v>
      </c>
      <c r="H674" t="s">
        <v>169</v>
      </c>
      <c r="I674" t="s">
        <v>169</v>
      </c>
    </row>
    <row r="675" spans="4:9" x14ac:dyDescent="0.25">
      <c r="D675" t="s">
        <v>170</v>
      </c>
      <c r="E675">
        <v>2</v>
      </c>
      <c r="F675">
        <v>3</v>
      </c>
      <c r="G675">
        <v>4</v>
      </c>
      <c r="H675">
        <v>5</v>
      </c>
      <c r="I675">
        <v>6</v>
      </c>
    </row>
    <row r="676" spans="4:9" x14ac:dyDescent="0.25">
      <c r="D676" t="s">
        <v>171</v>
      </c>
      <c r="E676" t="s">
        <v>311</v>
      </c>
      <c r="F676" t="s">
        <v>311</v>
      </c>
      <c r="G676" t="s">
        <v>311</v>
      </c>
      <c r="H676" t="s">
        <v>311</v>
      </c>
      <c r="I676" t="s">
        <v>311</v>
      </c>
    </row>
    <row r="677" spans="4:9" x14ac:dyDescent="0.25">
      <c r="D677" t="s">
        <v>172</v>
      </c>
      <c r="E677">
        <v>2</v>
      </c>
      <c r="F677">
        <v>3</v>
      </c>
      <c r="G677">
        <v>4</v>
      </c>
      <c r="H677">
        <v>5</v>
      </c>
      <c r="I677">
        <v>6</v>
      </c>
    </row>
    <row r="678" spans="4:9" x14ac:dyDescent="0.25">
      <c r="D678" t="s">
        <v>173</v>
      </c>
      <c r="E678">
        <v>789</v>
      </c>
      <c r="F678">
        <v>588</v>
      </c>
      <c r="G678">
        <v>1034</v>
      </c>
      <c r="H678">
        <v>641</v>
      </c>
      <c r="I678">
        <v>1154</v>
      </c>
    </row>
    <row r="679" spans="4:9" x14ac:dyDescent="0.25">
      <c r="D679" t="s">
        <v>174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4:9" x14ac:dyDescent="0.25">
      <c r="D680" t="s">
        <v>175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4:9" x14ac:dyDescent="0.25">
      <c r="D681" t="s">
        <v>176</v>
      </c>
      <c r="E681" t="s">
        <v>177</v>
      </c>
      <c r="F681" t="s">
        <v>177</v>
      </c>
      <c r="G681" t="s">
        <v>177</v>
      </c>
      <c r="H681" t="s">
        <v>177</v>
      </c>
      <c r="I681" t="s">
        <v>177</v>
      </c>
    </row>
    <row r="682" spans="4:9" x14ac:dyDescent="0.25">
      <c r="D682" t="s">
        <v>351</v>
      </c>
    </row>
    <row r="684" spans="4:9" x14ac:dyDescent="0.25">
      <c r="D684" t="s">
        <v>151</v>
      </c>
    </row>
    <row r="685" spans="4:9" x14ac:dyDescent="0.25">
      <c r="D685" t="s">
        <v>152</v>
      </c>
    </row>
    <row r="686" spans="4:9" x14ac:dyDescent="0.25">
      <c r="D686" t="s">
        <v>153</v>
      </c>
      <c r="E686">
        <v>300</v>
      </c>
    </row>
    <row r="687" spans="4:9" x14ac:dyDescent="0.25">
      <c r="D687" t="s">
        <v>352</v>
      </c>
    </row>
    <row r="689" spans="4:5" x14ac:dyDescent="0.25">
      <c r="D689" t="s">
        <v>151</v>
      </c>
    </row>
    <row r="690" spans="4:5" x14ac:dyDescent="0.25">
      <c r="D690" t="s">
        <v>155</v>
      </c>
    </row>
    <row r="691" spans="4:5" x14ac:dyDescent="0.25">
      <c r="D691" t="s">
        <v>378</v>
      </c>
    </row>
    <row r="693" spans="4:5" x14ac:dyDescent="0.25">
      <c r="D693" t="s">
        <v>157</v>
      </c>
    </row>
    <row r="694" spans="4:5" x14ac:dyDescent="0.25">
      <c r="D694" t="s">
        <v>152</v>
      </c>
    </row>
    <row r="695" spans="4:5" x14ac:dyDescent="0.25">
      <c r="D695" t="s">
        <v>158</v>
      </c>
      <c r="E695">
        <v>175</v>
      </c>
    </row>
    <row r="696" spans="4:5" x14ac:dyDescent="0.25">
      <c r="D696" t="s">
        <v>153</v>
      </c>
      <c r="E696">
        <v>1009.75</v>
      </c>
    </row>
    <row r="697" spans="4:5" x14ac:dyDescent="0.25">
      <c r="D697" t="s">
        <v>379</v>
      </c>
    </row>
    <row r="699" spans="4:5" x14ac:dyDescent="0.25">
      <c r="D699" t="s">
        <v>294</v>
      </c>
    </row>
    <row r="700" spans="4:5" x14ac:dyDescent="0.25">
      <c r="D700" t="s">
        <v>295</v>
      </c>
    </row>
    <row r="701" spans="4:5" x14ac:dyDescent="0.25">
      <c r="D701" t="s">
        <v>171</v>
      </c>
      <c r="E701" t="s">
        <v>305</v>
      </c>
    </row>
    <row r="702" spans="4:5" x14ac:dyDescent="0.25">
      <c r="D702" t="s">
        <v>168</v>
      </c>
      <c r="E702" t="s">
        <v>304</v>
      </c>
    </row>
    <row r="703" spans="4:5" x14ac:dyDescent="0.25">
      <c r="D703" t="s">
        <v>298</v>
      </c>
      <c r="E703">
        <v>97</v>
      </c>
    </row>
    <row r="704" spans="4:5" x14ac:dyDescent="0.25">
      <c r="D704" t="s">
        <v>299</v>
      </c>
      <c r="E704">
        <v>89</v>
      </c>
    </row>
    <row r="705" spans="4:5" x14ac:dyDescent="0.25">
      <c r="D705" t="s">
        <v>300</v>
      </c>
      <c r="E705">
        <v>4</v>
      </c>
    </row>
    <row r="706" spans="4:5" x14ac:dyDescent="0.25">
      <c r="D706" t="s">
        <v>301</v>
      </c>
      <c r="E706">
        <v>0</v>
      </c>
    </row>
    <row r="707" spans="4:5" x14ac:dyDescent="0.25">
      <c r="D707" t="s">
        <v>302</v>
      </c>
      <c r="E707">
        <v>0</v>
      </c>
    </row>
    <row r="708" spans="4:5" x14ac:dyDescent="0.25">
      <c r="D708" t="s">
        <v>380</v>
      </c>
    </row>
    <row r="710" spans="4:5" x14ac:dyDescent="0.25">
      <c r="D710" t="s">
        <v>294</v>
      </c>
    </row>
    <row r="711" spans="4:5" x14ac:dyDescent="0.25">
      <c r="D711" t="s">
        <v>295</v>
      </c>
    </row>
    <row r="712" spans="4:5" x14ac:dyDescent="0.25">
      <c r="D712" t="s">
        <v>171</v>
      </c>
      <c r="E712" t="s">
        <v>297</v>
      </c>
    </row>
    <row r="713" spans="4:5" x14ac:dyDescent="0.25">
      <c r="D713" t="s">
        <v>168</v>
      </c>
      <c r="E713" t="s">
        <v>312</v>
      </c>
    </row>
    <row r="714" spans="4:5" x14ac:dyDescent="0.25">
      <c r="D714" t="s">
        <v>298</v>
      </c>
      <c r="E714">
        <v>85</v>
      </c>
    </row>
    <row r="715" spans="4:5" x14ac:dyDescent="0.25">
      <c r="D715" t="s">
        <v>299</v>
      </c>
      <c r="E715">
        <v>73</v>
      </c>
    </row>
    <row r="716" spans="4:5" x14ac:dyDescent="0.25">
      <c r="D716" t="s">
        <v>300</v>
      </c>
      <c r="E716">
        <v>10</v>
      </c>
    </row>
    <row r="717" spans="4:5" x14ac:dyDescent="0.25">
      <c r="D717" t="s">
        <v>301</v>
      </c>
      <c r="E717">
        <v>1</v>
      </c>
    </row>
    <row r="718" spans="4:5" x14ac:dyDescent="0.25">
      <c r="D718" t="s">
        <v>302</v>
      </c>
      <c r="E718">
        <v>1</v>
      </c>
    </row>
    <row r="719" spans="4:5" x14ac:dyDescent="0.25">
      <c r="D719" t="s">
        <v>381</v>
      </c>
    </row>
    <row r="724" spans="2:3" x14ac:dyDescent="0.25">
      <c r="B724" t="s">
        <v>140</v>
      </c>
    </row>
    <row r="725" spans="2:3" x14ac:dyDescent="0.25">
      <c r="B725" t="s">
        <v>202</v>
      </c>
    </row>
    <row r="726" spans="2:3" x14ac:dyDescent="0.25">
      <c r="B726" t="s">
        <v>203</v>
      </c>
    </row>
    <row r="727" spans="2:3" x14ac:dyDescent="0.25">
      <c r="B727" t="s">
        <v>143</v>
      </c>
    </row>
    <row r="729" spans="2:3" x14ac:dyDescent="0.25">
      <c r="C729" t="s">
        <v>144</v>
      </c>
    </row>
    <row r="734" spans="2:3" x14ac:dyDescent="0.25">
      <c r="B734" t="s">
        <v>145</v>
      </c>
    </row>
    <row r="735" spans="2:3" x14ac:dyDescent="0.25">
      <c r="B735" t="s">
        <v>204</v>
      </c>
    </row>
    <row r="736" spans="2:3" x14ac:dyDescent="0.25">
      <c r="B736" t="s">
        <v>205</v>
      </c>
    </row>
    <row r="737" spans="2:5" x14ac:dyDescent="0.25">
      <c r="B737" t="s">
        <v>206</v>
      </c>
    </row>
    <row r="738" spans="2:5" x14ac:dyDescent="0.25">
      <c r="B738" t="s">
        <v>146</v>
      </c>
    </row>
    <row r="739" spans="2:5" x14ac:dyDescent="0.25">
      <c r="B739" t="s">
        <v>366</v>
      </c>
    </row>
    <row r="740" spans="2:5" x14ac:dyDescent="0.25">
      <c r="B740" t="s">
        <v>163</v>
      </c>
    </row>
    <row r="741" spans="2:5" x14ac:dyDescent="0.25">
      <c r="B741" t="s">
        <v>207</v>
      </c>
    </row>
    <row r="743" spans="2:5" x14ac:dyDescent="0.25">
      <c r="D743" t="s">
        <v>294</v>
      </c>
    </row>
    <row r="744" spans="2:5" x14ac:dyDescent="0.25">
      <c r="D744" t="s">
        <v>295</v>
      </c>
    </row>
    <row r="745" spans="2:5" x14ac:dyDescent="0.25">
      <c r="D745" t="s">
        <v>171</v>
      </c>
      <c r="E745" t="s">
        <v>313</v>
      </c>
    </row>
    <row r="746" spans="2:5" x14ac:dyDescent="0.25">
      <c r="D746" t="s">
        <v>168</v>
      </c>
      <c r="E746" t="s">
        <v>297</v>
      </c>
    </row>
    <row r="747" spans="2:5" x14ac:dyDescent="0.25">
      <c r="D747" t="s">
        <v>298</v>
      </c>
      <c r="E747">
        <v>85</v>
      </c>
    </row>
    <row r="748" spans="2:5" x14ac:dyDescent="0.25">
      <c r="D748" t="s">
        <v>299</v>
      </c>
      <c r="E748">
        <v>73</v>
      </c>
    </row>
    <row r="749" spans="2:5" x14ac:dyDescent="0.25">
      <c r="D749" t="s">
        <v>300</v>
      </c>
      <c r="E749">
        <v>10</v>
      </c>
    </row>
    <row r="750" spans="2:5" x14ac:dyDescent="0.25">
      <c r="D750" t="s">
        <v>301</v>
      </c>
      <c r="E750">
        <v>0</v>
      </c>
    </row>
    <row r="751" spans="2:5" x14ac:dyDescent="0.25">
      <c r="D751" t="s">
        <v>302</v>
      </c>
      <c r="E751">
        <v>0</v>
      </c>
    </row>
    <row r="752" spans="2:5" x14ac:dyDescent="0.25">
      <c r="D752" t="s">
        <v>208</v>
      </c>
    </row>
    <row r="754" spans="3:5" x14ac:dyDescent="0.25">
      <c r="D754" t="s">
        <v>294</v>
      </c>
    </row>
    <row r="755" spans="3:5" x14ac:dyDescent="0.25">
      <c r="D755" t="s">
        <v>295</v>
      </c>
    </row>
    <row r="756" spans="3:5" x14ac:dyDescent="0.25">
      <c r="D756" t="s">
        <v>171</v>
      </c>
      <c r="E756" t="s">
        <v>304</v>
      </c>
    </row>
    <row r="757" spans="3:5" x14ac:dyDescent="0.25">
      <c r="D757" t="s">
        <v>168</v>
      </c>
      <c r="E757" t="s">
        <v>305</v>
      </c>
    </row>
    <row r="758" spans="3:5" x14ac:dyDescent="0.25">
      <c r="D758" t="s">
        <v>298</v>
      </c>
      <c r="E758">
        <v>97</v>
      </c>
    </row>
    <row r="759" spans="3:5" x14ac:dyDescent="0.25">
      <c r="D759" t="s">
        <v>299</v>
      </c>
      <c r="E759">
        <v>89</v>
      </c>
    </row>
    <row r="760" spans="3:5" x14ac:dyDescent="0.25">
      <c r="D760" t="s">
        <v>300</v>
      </c>
      <c r="E760">
        <v>4</v>
      </c>
    </row>
    <row r="761" spans="3:5" x14ac:dyDescent="0.25">
      <c r="D761" t="s">
        <v>301</v>
      </c>
      <c r="E761">
        <v>1</v>
      </c>
    </row>
    <row r="762" spans="3:5" x14ac:dyDescent="0.25">
      <c r="D762" t="s">
        <v>302</v>
      </c>
      <c r="E762">
        <v>0</v>
      </c>
    </row>
    <row r="763" spans="3:5" x14ac:dyDescent="0.25">
      <c r="D763" t="s">
        <v>209</v>
      </c>
    </row>
    <row r="765" spans="3:5" x14ac:dyDescent="0.25">
      <c r="C765" t="s">
        <v>144</v>
      </c>
    </row>
    <row r="767" spans="3:5" x14ac:dyDescent="0.25">
      <c r="D767" t="s">
        <v>166</v>
      </c>
    </row>
    <row r="768" spans="3:5" x14ac:dyDescent="0.25">
      <c r="D768" t="s">
        <v>167</v>
      </c>
    </row>
    <row r="769" spans="4:8" x14ac:dyDescent="0.25">
      <c r="D769" t="s">
        <v>168</v>
      </c>
      <c r="E769" t="s">
        <v>169</v>
      </c>
      <c r="F769" t="s">
        <v>169</v>
      </c>
      <c r="G769" t="s">
        <v>169</v>
      </c>
      <c r="H769" t="s">
        <v>169</v>
      </c>
    </row>
    <row r="770" spans="4:8" x14ac:dyDescent="0.25">
      <c r="D770" t="s">
        <v>170</v>
      </c>
      <c r="E770">
        <v>3</v>
      </c>
      <c r="F770">
        <v>4</v>
      </c>
      <c r="G770">
        <v>5</v>
      </c>
      <c r="H770">
        <v>6</v>
      </c>
    </row>
    <row r="771" spans="4:8" x14ac:dyDescent="0.25">
      <c r="D771" t="s">
        <v>171</v>
      </c>
      <c r="E771" t="s">
        <v>307</v>
      </c>
      <c r="F771" t="s">
        <v>307</v>
      </c>
      <c r="G771" t="s">
        <v>307</v>
      </c>
      <c r="H771" t="s">
        <v>307</v>
      </c>
    </row>
    <row r="772" spans="4:8" x14ac:dyDescent="0.25">
      <c r="D772" t="s">
        <v>172</v>
      </c>
      <c r="E772">
        <v>3</v>
      </c>
      <c r="F772">
        <v>4</v>
      </c>
      <c r="G772">
        <v>5</v>
      </c>
      <c r="H772">
        <v>6</v>
      </c>
    </row>
    <row r="773" spans="4:8" x14ac:dyDescent="0.25">
      <c r="D773" t="s">
        <v>173</v>
      </c>
      <c r="E773">
        <v>150</v>
      </c>
      <c r="F773">
        <v>150</v>
      </c>
      <c r="G773">
        <v>150</v>
      </c>
      <c r="H773">
        <v>150</v>
      </c>
    </row>
    <row r="774" spans="4:8" x14ac:dyDescent="0.25">
      <c r="D774" t="s">
        <v>174</v>
      </c>
      <c r="E774">
        <v>0</v>
      </c>
      <c r="F774">
        <v>0</v>
      </c>
      <c r="G774">
        <v>0</v>
      </c>
      <c r="H774">
        <v>0</v>
      </c>
    </row>
    <row r="775" spans="4:8" x14ac:dyDescent="0.25">
      <c r="D775" t="s">
        <v>175</v>
      </c>
      <c r="E775">
        <v>0</v>
      </c>
      <c r="F775">
        <v>0</v>
      </c>
      <c r="G775">
        <v>0</v>
      </c>
      <c r="H775">
        <v>0</v>
      </c>
    </row>
    <row r="776" spans="4:8" x14ac:dyDescent="0.25">
      <c r="D776" t="s">
        <v>176</v>
      </c>
      <c r="E776" t="s">
        <v>177</v>
      </c>
      <c r="F776" t="s">
        <v>177</v>
      </c>
      <c r="G776" t="s">
        <v>177</v>
      </c>
      <c r="H776" t="s">
        <v>177</v>
      </c>
    </row>
    <row r="777" spans="4:8" x14ac:dyDescent="0.25">
      <c r="D777" t="s">
        <v>210</v>
      </c>
    </row>
    <row r="779" spans="4:8" x14ac:dyDescent="0.25">
      <c r="D779" t="s">
        <v>151</v>
      </c>
    </row>
    <row r="780" spans="4:8" x14ac:dyDescent="0.25">
      <c r="D780" t="s">
        <v>152</v>
      </c>
    </row>
    <row r="781" spans="4:8" x14ac:dyDescent="0.25">
      <c r="D781" t="s">
        <v>153</v>
      </c>
      <c r="E781">
        <v>300</v>
      </c>
    </row>
    <row r="782" spans="4:8" x14ac:dyDescent="0.25">
      <c r="D782" t="s">
        <v>211</v>
      </c>
    </row>
    <row r="784" spans="4:8" x14ac:dyDescent="0.25">
      <c r="D784" t="s">
        <v>151</v>
      </c>
    </row>
    <row r="785" spans="4:5" x14ac:dyDescent="0.25">
      <c r="D785" t="s">
        <v>155</v>
      </c>
    </row>
    <row r="786" spans="4:5" x14ac:dyDescent="0.25">
      <c r="D786" t="s">
        <v>382</v>
      </c>
    </row>
    <row r="788" spans="4:5" x14ac:dyDescent="0.25">
      <c r="D788" t="s">
        <v>157</v>
      </c>
    </row>
    <row r="789" spans="4:5" x14ac:dyDescent="0.25">
      <c r="D789" t="s">
        <v>152</v>
      </c>
    </row>
    <row r="790" spans="4:5" x14ac:dyDescent="0.25">
      <c r="D790" t="s">
        <v>158</v>
      </c>
      <c r="E790">
        <v>175</v>
      </c>
    </row>
    <row r="791" spans="4:5" x14ac:dyDescent="0.25">
      <c r="D791" t="s">
        <v>153</v>
      </c>
      <c r="E791">
        <v>131.25</v>
      </c>
    </row>
    <row r="792" spans="4:5" x14ac:dyDescent="0.25">
      <c r="D792" t="s">
        <v>383</v>
      </c>
    </row>
    <row r="794" spans="4:5" x14ac:dyDescent="0.25">
      <c r="D794" t="s">
        <v>294</v>
      </c>
    </row>
    <row r="795" spans="4:5" x14ac:dyDescent="0.25">
      <c r="D795" t="s">
        <v>295</v>
      </c>
    </row>
    <row r="796" spans="4:5" x14ac:dyDescent="0.25">
      <c r="D796" t="s">
        <v>171</v>
      </c>
      <c r="E796" t="s">
        <v>305</v>
      </c>
    </row>
    <row r="797" spans="4:5" x14ac:dyDescent="0.25">
      <c r="D797" t="s">
        <v>168</v>
      </c>
      <c r="E797" t="s">
        <v>304</v>
      </c>
    </row>
    <row r="798" spans="4:5" x14ac:dyDescent="0.25">
      <c r="D798" t="s">
        <v>298</v>
      </c>
      <c r="E798">
        <v>97</v>
      </c>
    </row>
    <row r="799" spans="4:5" x14ac:dyDescent="0.25">
      <c r="D799" t="s">
        <v>299</v>
      </c>
      <c r="E799">
        <v>89</v>
      </c>
    </row>
    <row r="800" spans="4:5" x14ac:dyDescent="0.25">
      <c r="D800" t="s">
        <v>300</v>
      </c>
      <c r="E800">
        <v>4</v>
      </c>
    </row>
    <row r="801" spans="4:5" x14ac:dyDescent="0.25">
      <c r="D801" t="s">
        <v>301</v>
      </c>
      <c r="E801">
        <v>0</v>
      </c>
    </row>
    <row r="802" spans="4:5" x14ac:dyDescent="0.25">
      <c r="D802" t="s">
        <v>302</v>
      </c>
      <c r="E802">
        <v>0</v>
      </c>
    </row>
    <row r="803" spans="4:5" x14ac:dyDescent="0.25">
      <c r="D803" t="s">
        <v>384</v>
      </c>
    </row>
    <row r="805" spans="4:5" x14ac:dyDescent="0.25">
      <c r="D805" t="s">
        <v>294</v>
      </c>
    </row>
    <row r="806" spans="4:5" x14ac:dyDescent="0.25">
      <c r="D806" t="s">
        <v>295</v>
      </c>
    </row>
    <row r="807" spans="4:5" x14ac:dyDescent="0.25">
      <c r="D807" t="s">
        <v>171</v>
      </c>
      <c r="E807" t="s">
        <v>297</v>
      </c>
    </row>
    <row r="808" spans="4:5" x14ac:dyDescent="0.25">
      <c r="D808" t="s">
        <v>168</v>
      </c>
      <c r="E808" t="s">
        <v>313</v>
      </c>
    </row>
    <row r="809" spans="4:5" x14ac:dyDescent="0.25">
      <c r="D809" t="s">
        <v>298</v>
      </c>
      <c r="E809">
        <v>85</v>
      </c>
    </row>
    <row r="810" spans="4:5" x14ac:dyDescent="0.25">
      <c r="D810" t="s">
        <v>299</v>
      </c>
      <c r="E810">
        <v>73</v>
      </c>
    </row>
    <row r="811" spans="4:5" x14ac:dyDescent="0.25">
      <c r="D811" t="s">
        <v>300</v>
      </c>
      <c r="E811">
        <v>10</v>
      </c>
    </row>
    <row r="812" spans="4:5" x14ac:dyDescent="0.25">
      <c r="D812" t="s">
        <v>301</v>
      </c>
      <c r="E812">
        <v>1</v>
      </c>
    </row>
    <row r="813" spans="4:5" x14ac:dyDescent="0.25">
      <c r="D813" t="s">
        <v>302</v>
      </c>
      <c r="E813">
        <v>1</v>
      </c>
    </row>
    <row r="814" spans="4:5" x14ac:dyDescent="0.25">
      <c r="D814" t="s">
        <v>385</v>
      </c>
    </row>
    <row r="819" spans="2:5" x14ac:dyDescent="0.25">
      <c r="B819" t="s">
        <v>145</v>
      </c>
    </row>
    <row r="820" spans="2:5" x14ac:dyDescent="0.25">
      <c r="B820" t="s">
        <v>212</v>
      </c>
    </row>
    <row r="821" spans="2:5" x14ac:dyDescent="0.25">
      <c r="B821" t="s">
        <v>213</v>
      </c>
    </row>
    <row r="822" spans="2:5" x14ac:dyDescent="0.25">
      <c r="B822" t="s">
        <v>214</v>
      </c>
    </row>
    <row r="823" spans="2:5" x14ac:dyDescent="0.25">
      <c r="B823" t="s">
        <v>146</v>
      </c>
    </row>
    <row r="824" spans="2:5" x14ac:dyDescent="0.25">
      <c r="B824" t="s">
        <v>366</v>
      </c>
    </row>
    <row r="825" spans="2:5" x14ac:dyDescent="0.25">
      <c r="B825" t="s">
        <v>163</v>
      </c>
    </row>
    <row r="826" spans="2:5" x14ac:dyDescent="0.25">
      <c r="B826" t="s">
        <v>207</v>
      </c>
    </row>
    <row r="828" spans="2:5" x14ac:dyDescent="0.25">
      <c r="D828" t="s">
        <v>148</v>
      </c>
    </row>
    <row r="829" spans="2:5" x14ac:dyDescent="0.25">
      <c r="D829" t="s">
        <v>149</v>
      </c>
    </row>
    <row r="830" spans="2:5" x14ac:dyDescent="0.25">
      <c r="D830" t="s">
        <v>150</v>
      </c>
      <c r="E830" t="s">
        <v>215</v>
      </c>
    </row>
    <row r="831" spans="2:5" x14ac:dyDescent="0.25">
      <c r="D831" t="s">
        <v>216</v>
      </c>
    </row>
    <row r="832" spans="2:5" x14ac:dyDescent="0.25">
      <c r="C832" t="s">
        <v>144</v>
      </c>
    </row>
    <row r="834" spans="4:8" x14ac:dyDescent="0.25">
      <c r="D834" t="s">
        <v>166</v>
      </c>
    </row>
    <row r="835" spans="4:8" x14ac:dyDescent="0.25">
      <c r="D835" t="s">
        <v>167</v>
      </c>
    </row>
    <row r="836" spans="4:8" x14ac:dyDescent="0.25">
      <c r="D836" t="s">
        <v>168</v>
      </c>
      <c r="E836" t="s">
        <v>169</v>
      </c>
      <c r="F836" t="s">
        <v>169</v>
      </c>
      <c r="G836" t="s">
        <v>169</v>
      </c>
      <c r="H836" t="s">
        <v>169</v>
      </c>
    </row>
    <row r="837" spans="4:8" x14ac:dyDescent="0.25">
      <c r="D837" t="s">
        <v>170</v>
      </c>
      <c r="E837">
        <v>3</v>
      </c>
      <c r="F837">
        <v>4</v>
      </c>
      <c r="G837">
        <v>5</v>
      </c>
      <c r="H837">
        <v>6</v>
      </c>
    </row>
    <row r="838" spans="4:8" x14ac:dyDescent="0.25">
      <c r="D838" t="s">
        <v>171</v>
      </c>
      <c r="E838" t="s">
        <v>314</v>
      </c>
      <c r="F838" t="s">
        <v>314</v>
      </c>
      <c r="G838" t="s">
        <v>314</v>
      </c>
      <c r="H838" t="s">
        <v>314</v>
      </c>
    </row>
    <row r="839" spans="4:8" x14ac:dyDescent="0.25">
      <c r="D839" t="s">
        <v>172</v>
      </c>
      <c r="E839">
        <v>3</v>
      </c>
      <c r="F839">
        <v>4</v>
      </c>
      <c r="G839">
        <v>5</v>
      </c>
      <c r="H839">
        <v>6</v>
      </c>
    </row>
    <row r="840" spans="4:8" x14ac:dyDescent="0.25">
      <c r="D840" t="s">
        <v>173</v>
      </c>
      <c r="E840">
        <v>150</v>
      </c>
      <c r="F840">
        <v>150</v>
      </c>
      <c r="G840">
        <v>150</v>
      </c>
      <c r="H840">
        <v>150</v>
      </c>
    </row>
    <row r="841" spans="4:8" x14ac:dyDescent="0.25">
      <c r="D841" t="s">
        <v>174</v>
      </c>
      <c r="E841">
        <v>0</v>
      </c>
      <c r="F841">
        <v>0</v>
      </c>
      <c r="G841">
        <v>0</v>
      </c>
      <c r="H841">
        <v>0</v>
      </c>
    </row>
    <row r="842" spans="4:8" x14ac:dyDescent="0.25">
      <c r="D842" t="s">
        <v>175</v>
      </c>
      <c r="E842">
        <v>0</v>
      </c>
      <c r="F842">
        <v>0</v>
      </c>
      <c r="G842">
        <v>0</v>
      </c>
      <c r="H842">
        <v>0</v>
      </c>
    </row>
    <row r="843" spans="4:8" x14ac:dyDescent="0.25">
      <c r="D843" t="s">
        <v>176</v>
      </c>
      <c r="E843" t="s">
        <v>177</v>
      </c>
      <c r="F843" t="s">
        <v>177</v>
      </c>
      <c r="G843" t="s">
        <v>177</v>
      </c>
      <c r="H843" t="s">
        <v>177</v>
      </c>
    </row>
    <row r="844" spans="4:8" x14ac:dyDescent="0.25">
      <c r="D844" t="s">
        <v>217</v>
      </c>
    </row>
    <row r="846" spans="4:8" x14ac:dyDescent="0.25">
      <c r="D846" t="s">
        <v>151</v>
      </c>
    </row>
    <row r="847" spans="4:8" x14ac:dyDescent="0.25">
      <c r="D847" t="s">
        <v>152</v>
      </c>
    </row>
    <row r="848" spans="4:8" x14ac:dyDescent="0.25">
      <c r="D848" t="s">
        <v>153</v>
      </c>
      <c r="E848">
        <v>300</v>
      </c>
    </row>
    <row r="849" spans="4:5" x14ac:dyDescent="0.25">
      <c r="D849" t="s">
        <v>218</v>
      </c>
    </row>
    <row r="851" spans="4:5" x14ac:dyDescent="0.25">
      <c r="D851" t="s">
        <v>151</v>
      </c>
    </row>
    <row r="852" spans="4:5" x14ac:dyDescent="0.25">
      <c r="D852" t="s">
        <v>155</v>
      </c>
    </row>
    <row r="853" spans="4:5" x14ac:dyDescent="0.25">
      <c r="D853" t="s">
        <v>219</v>
      </c>
    </row>
    <row r="855" spans="4:5" x14ac:dyDescent="0.25">
      <c r="D855" t="s">
        <v>157</v>
      </c>
    </row>
    <row r="856" spans="4:5" x14ac:dyDescent="0.25">
      <c r="D856" t="s">
        <v>152</v>
      </c>
    </row>
    <row r="857" spans="4:5" x14ac:dyDescent="0.25">
      <c r="D857" t="s">
        <v>158</v>
      </c>
      <c r="E857">
        <v>175</v>
      </c>
    </row>
    <row r="858" spans="4:5" x14ac:dyDescent="0.25">
      <c r="D858" t="s">
        <v>153</v>
      </c>
      <c r="E858">
        <v>131.25</v>
      </c>
    </row>
    <row r="859" spans="4:5" x14ac:dyDescent="0.25">
      <c r="D859" t="s">
        <v>220</v>
      </c>
    </row>
    <row r="861" spans="4:5" x14ac:dyDescent="0.25">
      <c r="D861" t="s">
        <v>294</v>
      </c>
    </row>
    <row r="862" spans="4:5" x14ac:dyDescent="0.25">
      <c r="D862" t="s">
        <v>295</v>
      </c>
    </row>
    <row r="863" spans="4:5" x14ac:dyDescent="0.25">
      <c r="D863" t="s">
        <v>171</v>
      </c>
      <c r="E863" t="s">
        <v>305</v>
      </c>
    </row>
    <row r="864" spans="4:5" x14ac:dyDescent="0.25">
      <c r="D864" t="s">
        <v>168</v>
      </c>
      <c r="E864" t="s">
        <v>304</v>
      </c>
    </row>
    <row r="865" spans="4:5" x14ac:dyDescent="0.25">
      <c r="D865" t="s">
        <v>298</v>
      </c>
      <c r="E865">
        <v>97</v>
      </c>
    </row>
    <row r="866" spans="4:5" x14ac:dyDescent="0.25">
      <c r="D866" t="s">
        <v>299</v>
      </c>
      <c r="E866">
        <v>89</v>
      </c>
    </row>
    <row r="867" spans="4:5" x14ac:dyDescent="0.25">
      <c r="D867" t="s">
        <v>300</v>
      </c>
      <c r="E867">
        <v>4</v>
      </c>
    </row>
    <row r="868" spans="4:5" x14ac:dyDescent="0.25">
      <c r="D868" t="s">
        <v>301</v>
      </c>
      <c r="E868">
        <v>0</v>
      </c>
    </row>
    <row r="869" spans="4:5" x14ac:dyDescent="0.25">
      <c r="D869" t="s">
        <v>302</v>
      </c>
      <c r="E869">
        <v>0</v>
      </c>
    </row>
    <row r="870" spans="4:5" x14ac:dyDescent="0.25">
      <c r="D870" t="s">
        <v>386</v>
      </c>
    </row>
    <row r="872" spans="4:5" x14ac:dyDescent="0.25">
      <c r="D872" t="s">
        <v>294</v>
      </c>
    </row>
    <row r="873" spans="4:5" x14ac:dyDescent="0.25">
      <c r="D873" t="s">
        <v>295</v>
      </c>
    </row>
    <row r="874" spans="4:5" x14ac:dyDescent="0.25">
      <c r="D874" t="s">
        <v>171</v>
      </c>
      <c r="E874" t="s">
        <v>297</v>
      </c>
    </row>
    <row r="875" spans="4:5" x14ac:dyDescent="0.25">
      <c r="D875" t="s">
        <v>168</v>
      </c>
      <c r="E875" t="s">
        <v>313</v>
      </c>
    </row>
    <row r="876" spans="4:5" x14ac:dyDescent="0.25">
      <c r="D876" t="s">
        <v>298</v>
      </c>
      <c r="E876">
        <v>85</v>
      </c>
    </row>
    <row r="877" spans="4:5" x14ac:dyDescent="0.25">
      <c r="D877" t="s">
        <v>299</v>
      </c>
      <c r="E877">
        <v>73</v>
      </c>
    </row>
    <row r="878" spans="4:5" x14ac:dyDescent="0.25">
      <c r="D878" t="s">
        <v>300</v>
      </c>
      <c r="E878">
        <v>10</v>
      </c>
    </row>
    <row r="879" spans="4:5" x14ac:dyDescent="0.25">
      <c r="D879" t="s">
        <v>301</v>
      </c>
      <c r="E879">
        <v>1</v>
      </c>
    </row>
    <row r="880" spans="4:5" x14ac:dyDescent="0.25">
      <c r="D880" t="s">
        <v>302</v>
      </c>
      <c r="E880">
        <v>1</v>
      </c>
    </row>
    <row r="881" spans="2:4" x14ac:dyDescent="0.25">
      <c r="D881" t="s">
        <v>387</v>
      </c>
    </row>
    <row r="886" spans="2:4" x14ac:dyDescent="0.25">
      <c r="B886" t="s">
        <v>145</v>
      </c>
    </row>
    <row r="887" spans="2:4" x14ac:dyDescent="0.25">
      <c r="B887" t="s">
        <v>221</v>
      </c>
    </row>
    <row r="888" spans="2:4" x14ac:dyDescent="0.25">
      <c r="B888" t="s">
        <v>222</v>
      </c>
    </row>
    <row r="889" spans="2:4" x14ac:dyDescent="0.25">
      <c r="B889" t="s">
        <v>223</v>
      </c>
    </row>
    <row r="890" spans="2:4" x14ac:dyDescent="0.25">
      <c r="B890" t="s">
        <v>146</v>
      </c>
    </row>
    <row r="891" spans="2:4" x14ac:dyDescent="0.25">
      <c r="B891" t="s">
        <v>366</v>
      </c>
    </row>
    <row r="892" spans="2:4" x14ac:dyDescent="0.25">
      <c r="B892" t="s">
        <v>163</v>
      </c>
    </row>
    <row r="893" spans="2:4" x14ac:dyDescent="0.25">
      <c r="B893" t="s">
        <v>207</v>
      </c>
    </row>
    <row r="895" spans="2:4" x14ac:dyDescent="0.25">
      <c r="D895" t="s">
        <v>148</v>
      </c>
    </row>
    <row r="896" spans="2:4" x14ac:dyDescent="0.25">
      <c r="D896" t="s">
        <v>149</v>
      </c>
    </row>
    <row r="897" spans="3:8" x14ac:dyDescent="0.25">
      <c r="D897" t="s">
        <v>150</v>
      </c>
      <c r="E897" t="s">
        <v>224</v>
      </c>
    </row>
    <row r="898" spans="3:8" x14ac:dyDescent="0.25">
      <c r="D898" t="s">
        <v>225</v>
      </c>
    </row>
    <row r="899" spans="3:8" x14ac:dyDescent="0.25">
      <c r="C899" t="s">
        <v>144</v>
      </c>
    </row>
    <row r="901" spans="3:8" x14ac:dyDescent="0.25">
      <c r="D901" t="s">
        <v>166</v>
      </c>
    </row>
    <row r="902" spans="3:8" x14ac:dyDescent="0.25">
      <c r="D902" t="s">
        <v>167</v>
      </c>
    </row>
    <row r="903" spans="3:8" x14ac:dyDescent="0.25">
      <c r="D903" t="s">
        <v>168</v>
      </c>
      <c r="E903" t="s">
        <v>169</v>
      </c>
      <c r="F903" t="s">
        <v>169</v>
      </c>
      <c r="G903" t="s">
        <v>169</v>
      </c>
      <c r="H903" t="s">
        <v>169</v>
      </c>
    </row>
    <row r="904" spans="3:8" x14ac:dyDescent="0.25">
      <c r="D904" t="s">
        <v>170</v>
      </c>
      <c r="E904">
        <v>3</v>
      </c>
      <c r="F904">
        <v>4</v>
      </c>
      <c r="G904">
        <v>5</v>
      </c>
      <c r="H904">
        <v>6</v>
      </c>
    </row>
    <row r="905" spans="3:8" x14ac:dyDescent="0.25">
      <c r="D905" t="s">
        <v>171</v>
      </c>
      <c r="E905" t="s">
        <v>314</v>
      </c>
      <c r="F905" t="s">
        <v>314</v>
      </c>
      <c r="G905" t="s">
        <v>314</v>
      </c>
      <c r="H905" t="s">
        <v>314</v>
      </c>
    </row>
    <row r="906" spans="3:8" x14ac:dyDescent="0.25">
      <c r="D906" t="s">
        <v>172</v>
      </c>
      <c r="E906">
        <v>3</v>
      </c>
      <c r="F906">
        <v>4</v>
      </c>
      <c r="G906">
        <v>5</v>
      </c>
      <c r="H906">
        <v>6</v>
      </c>
    </row>
    <row r="907" spans="3:8" x14ac:dyDescent="0.25">
      <c r="D907" t="s">
        <v>173</v>
      </c>
      <c r="E907">
        <v>150</v>
      </c>
      <c r="F907">
        <v>150</v>
      </c>
      <c r="G907">
        <v>150</v>
      </c>
      <c r="H907">
        <v>150</v>
      </c>
    </row>
    <row r="908" spans="3:8" x14ac:dyDescent="0.25">
      <c r="D908" t="s">
        <v>174</v>
      </c>
      <c r="E908">
        <v>0</v>
      </c>
      <c r="F908">
        <v>0</v>
      </c>
      <c r="G908">
        <v>0</v>
      </c>
      <c r="H908">
        <v>0</v>
      </c>
    </row>
    <row r="909" spans="3:8" x14ac:dyDescent="0.25">
      <c r="D909" t="s">
        <v>175</v>
      </c>
      <c r="E909">
        <v>0</v>
      </c>
      <c r="F909">
        <v>0</v>
      </c>
      <c r="G909">
        <v>0</v>
      </c>
      <c r="H909">
        <v>0</v>
      </c>
    </row>
    <row r="910" spans="3:8" x14ac:dyDescent="0.25">
      <c r="D910" t="s">
        <v>176</v>
      </c>
      <c r="E910" t="s">
        <v>177</v>
      </c>
      <c r="F910" t="s">
        <v>177</v>
      </c>
      <c r="G910" t="s">
        <v>177</v>
      </c>
      <c r="H910" t="s">
        <v>177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6:I729"/>
  <sheetViews>
    <sheetView topLeftCell="B641" workbookViewId="0">
      <selection activeCell="E725" sqref="E725"/>
    </sheetView>
  </sheetViews>
  <sheetFormatPr defaultRowHeight="15" x14ac:dyDescent="0.25"/>
  <sheetData>
    <row r="6" spans="2:3" x14ac:dyDescent="0.25">
      <c r="B6" t="s">
        <v>140</v>
      </c>
    </row>
    <row r="7" spans="2:3" x14ac:dyDescent="0.25">
      <c r="B7" t="s">
        <v>141</v>
      </c>
    </row>
    <row r="8" spans="2:3" x14ac:dyDescent="0.25">
      <c r="B8" t="s">
        <v>142</v>
      </c>
    </row>
    <row r="9" spans="2:3" x14ac:dyDescent="0.25">
      <c r="B9" t="s">
        <v>143</v>
      </c>
    </row>
    <row r="11" spans="2:3" x14ac:dyDescent="0.25">
      <c r="C11" t="s">
        <v>144</v>
      </c>
    </row>
    <row r="16" spans="2:3" x14ac:dyDescent="0.25">
      <c r="B16" t="s">
        <v>145</v>
      </c>
    </row>
    <row r="17" spans="2:5" x14ac:dyDescent="0.25">
      <c r="B17" t="s">
        <v>327</v>
      </c>
    </row>
    <row r="18" spans="2:5" x14ac:dyDescent="0.25">
      <c r="B18" t="s">
        <v>328</v>
      </c>
    </row>
    <row r="19" spans="2:5" x14ac:dyDescent="0.25">
      <c r="B19" t="s">
        <v>329</v>
      </c>
    </row>
    <row r="20" spans="2:5" x14ac:dyDescent="0.25">
      <c r="B20" t="s">
        <v>146</v>
      </c>
    </row>
    <row r="21" spans="2:5" x14ac:dyDescent="0.25">
      <c r="B21" t="s">
        <v>147</v>
      </c>
    </row>
    <row r="22" spans="2:5" x14ac:dyDescent="0.25">
      <c r="B22" t="s">
        <v>163</v>
      </c>
    </row>
    <row r="23" spans="2:5" x14ac:dyDescent="0.25">
      <c r="B23" t="s">
        <v>330</v>
      </c>
    </row>
    <row r="25" spans="2:5" x14ac:dyDescent="0.25">
      <c r="D25" t="s">
        <v>294</v>
      </c>
    </row>
    <row r="26" spans="2:5" x14ac:dyDescent="0.25">
      <c r="D26" t="s">
        <v>295</v>
      </c>
    </row>
    <row r="27" spans="2:5" x14ac:dyDescent="0.25">
      <c r="D27" t="s">
        <v>171</v>
      </c>
      <c r="E27" t="s">
        <v>296</v>
      </c>
    </row>
    <row r="28" spans="2:5" x14ac:dyDescent="0.25">
      <c r="D28" t="s">
        <v>168</v>
      </c>
      <c r="E28" t="s">
        <v>297</v>
      </c>
    </row>
    <row r="29" spans="2:5" x14ac:dyDescent="0.25">
      <c r="D29" t="s">
        <v>298</v>
      </c>
      <c r="E29">
        <v>85</v>
      </c>
    </row>
    <row r="30" spans="2:5" x14ac:dyDescent="0.25">
      <c r="D30" t="s">
        <v>299</v>
      </c>
      <c r="E30">
        <v>73</v>
      </c>
    </row>
    <row r="31" spans="2:5" x14ac:dyDescent="0.25">
      <c r="D31" t="s">
        <v>300</v>
      </c>
      <c r="E31">
        <v>10</v>
      </c>
    </row>
    <row r="32" spans="2:5" x14ac:dyDescent="0.25">
      <c r="D32" t="s">
        <v>301</v>
      </c>
      <c r="E32">
        <v>0</v>
      </c>
    </row>
    <row r="33" spans="3:5" x14ac:dyDescent="0.25">
      <c r="D33" t="s">
        <v>302</v>
      </c>
      <c r="E33">
        <v>0</v>
      </c>
    </row>
    <row r="34" spans="3:5" x14ac:dyDescent="0.25">
      <c r="D34" t="s">
        <v>303</v>
      </c>
    </row>
    <row r="36" spans="3:5" x14ac:dyDescent="0.25">
      <c r="D36" t="s">
        <v>294</v>
      </c>
    </row>
    <row r="37" spans="3:5" x14ac:dyDescent="0.25">
      <c r="D37" t="s">
        <v>295</v>
      </c>
    </row>
    <row r="38" spans="3:5" x14ac:dyDescent="0.25">
      <c r="D38" t="s">
        <v>171</v>
      </c>
      <c r="E38" t="s">
        <v>304</v>
      </c>
    </row>
    <row r="39" spans="3:5" x14ac:dyDescent="0.25">
      <c r="D39" t="s">
        <v>168</v>
      </c>
      <c r="E39" t="s">
        <v>305</v>
      </c>
    </row>
    <row r="40" spans="3:5" x14ac:dyDescent="0.25">
      <c r="D40" t="s">
        <v>298</v>
      </c>
      <c r="E40">
        <v>97</v>
      </c>
    </row>
    <row r="41" spans="3:5" x14ac:dyDescent="0.25">
      <c r="D41" t="s">
        <v>299</v>
      </c>
      <c r="E41">
        <v>89</v>
      </c>
    </row>
    <row r="42" spans="3:5" x14ac:dyDescent="0.25">
      <c r="D42" t="s">
        <v>300</v>
      </c>
      <c r="E42">
        <v>4</v>
      </c>
    </row>
    <row r="43" spans="3:5" x14ac:dyDescent="0.25">
      <c r="D43" t="s">
        <v>301</v>
      </c>
      <c r="E43">
        <v>1</v>
      </c>
    </row>
    <row r="44" spans="3:5" x14ac:dyDescent="0.25">
      <c r="D44" t="s">
        <v>302</v>
      </c>
      <c r="E44">
        <v>0</v>
      </c>
    </row>
    <row r="45" spans="3:5" x14ac:dyDescent="0.25">
      <c r="D45" t="s">
        <v>154</v>
      </c>
    </row>
    <row r="47" spans="3:5" x14ac:dyDescent="0.25">
      <c r="C47" t="s">
        <v>331</v>
      </c>
    </row>
    <row r="50" spans="4:5" x14ac:dyDescent="0.25">
      <c r="D50" t="s">
        <v>151</v>
      </c>
    </row>
    <row r="51" spans="4:5" x14ac:dyDescent="0.25">
      <c r="D51" t="s">
        <v>152</v>
      </c>
    </row>
    <row r="52" spans="4:5" x14ac:dyDescent="0.25">
      <c r="D52" t="s">
        <v>153</v>
      </c>
      <c r="E52">
        <v>0</v>
      </c>
    </row>
    <row r="53" spans="4:5" x14ac:dyDescent="0.25">
      <c r="D53" t="s">
        <v>159</v>
      </c>
    </row>
    <row r="55" spans="4:5" x14ac:dyDescent="0.25">
      <c r="D55" t="s">
        <v>151</v>
      </c>
    </row>
    <row r="56" spans="4:5" x14ac:dyDescent="0.25">
      <c r="D56" t="s">
        <v>155</v>
      </c>
    </row>
    <row r="57" spans="4:5" x14ac:dyDescent="0.25">
      <c r="D57" t="s">
        <v>306</v>
      </c>
    </row>
    <row r="59" spans="4:5" x14ac:dyDescent="0.25">
      <c r="D59" t="s">
        <v>157</v>
      </c>
    </row>
    <row r="60" spans="4:5" x14ac:dyDescent="0.25">
      <c r="D60" t="s">
        <v>152</v>
      </c>
    </row>
    <row r="61" spans="4:5" x14ac:dyDescent="0.25">
      <c r="D61" t="s">
        <v>158</v>
      </c>
      <c r="E61">
        <v>175</v>
      </c>
    </row>
    <row r="62" spans="4:5" x14ac:dyDescent="0.25">
      <c r="D62" t="s">
        <v>153</v>
      </c>
      <c r="E62">
        <v>700</v>
      </c>
    </row>
    <row r="63" spans="4:5" x14ac:dyDescent="0.25">
      <c r="D63" t="s">
        <v>308</v>
      </c>
    </row>
    <row r="68" spans="2:5" x14ac:dyDescent="0.25">
      <c r="B68" t="s">
        <v>145</v>
      </c>
    </row>
    <row r="69" spans="2:5" x14ac:dyDescent="0.25">
      <c r="B69" t="s">
        <v>160</v>
      </c>
    </row>
    <row r="70" spans="2:5" x14ac:dyDescent="0.25">
      <c r="B70" t="s">
        <v>161</v>
      </c>
    </row>
    <row r="71" spans="2:5" x14ac:dyDescent="0.25">
      <c r="B71" t="s">
        <v>162</v>
      </c>
    </row>
    <row r="72" spans="2:5" x14ac:dyDescent="0.25">
      <c r="B72" t="s">
        <v>146</v>
      </c>
    </row>
    <row r="73" spans="2:5" x14ac:dyDescent="0.25">
      <c r="B73" t="s">
        <v>147</v>
      </c>
    </row>
    <row r="74" spans="2:5" x14ac:dyDescent="0.25">
      <c r="B74" t="s">
        <v>163</v>
      </c>
    </row>
    <row r="75" spans="2:5" x14ac:dyDescent="0.25">
      <c r="B75" t="s">
        <v>164</v>
      </c>
    </row>
    <row r="77" spans="2:5" x14ac:dyDescent="0.25">
      <c r="D77" t="s">
        <v>148</v>
      </c>
    </row>
    <row r="78" spans="2:5" x14ac:dyDescent="0.25">
      <c r="D78" t="s">
        <v>149</v>
      </c>
    </row>
    <row r="79" spans="2:5" x14ac:dyDescent="0.25">
      <c r="D79" t="s">
        <v>150</v>
      </c>
      <c r="E79" t="s">
        <v>319</v>
      </c>
    </row>
    <row r="80" spans="2:5" x14ac:dyDescent="0.25">
      <c r="D80" t="s">
        <v>165</v>
      </c>
    </row>
    <row r="81" spans="3:5" x14ac:dyDescent="0.25">
      <c r="C81" t="s">
        <v>144</v>
      </c>
    </row>
    <row r="83" spans="3:5" x14ac:dyDescent="0.25">
      <c r="D83" t="s">
        <v>166</v>
      </c>
    </row>
    <row r="84" spans="3:5" x14ac:dyDescent="0.25">
      <c r="D84" t="s">
        <v>167</v>
      </c>
    </row>
    <row r="85" spans="3:5" x14ac:dyDescent="0.25">
      <c r="D85" t="s">
        <v>168</v>
      </c>
      <c r="E85" t="s">
        <v>169</v>
      </c>
    </row>
    <row r="86" spans="3:5" x14ac:dyDescent="0.25">
      <c r="D86" t="s">
        <v>170</v>
      </c>
      <c r="E86">
        <v>2</v>
      </c>
    </row>
    <row r="87" spans="3:5" x14ac:dyDescent="0.25">
      <c r="D87" t="s">
        <v>171</v>
      </c>
      <c r="E87" t="s">
        <v>307</v>
      </c>
    </row>
    <row r="88" spans="3:5" x14ac:dyDescent="0.25">
      <c r="D88" t="s">
        <v>172</v>
      </c>
      <c r="E88">
        <v>2</v>
      </c>
    </row>
    <row r="89" spans="3:5" x14ac:dyDescent="0.25">
      <c r="D89" t="s">
        <v>173</v>
      </c>
      <c r="E89">
        <v>600</v>
      </c>
    </row>
    <row r="90" spans="3:5" x14ac:dyDescent="0.25">
      <c r="D90" t="s">
        <v>174</v>
      </c>
      <c r="E90">
        <v>0</v>
      </c>
    </row>
    <row r="91" spans="3:5" x14ac:dyDescent="0.25">
      <c r="D91" t="s">
        <v>175</v>
      </c>
      <c r="E91">
        <v>0</v>
      </c>
    </row>
    <row r="92" spans="3:5" x14ac:dyDescent="0.25">
      <c r="D92" t="s">
        <v>176</v>
      </c>
      <c r="E92" t="s">
        <v>177</v>
      </c>
    </row>
    <row r="93" spans="3:5" x14ac:dyDescent="0.25">
      <c r="D93" t="s">
        <v>178</v>
      </c>
    </row>
    <row r="95" spans="3:5" x14ac:dyDescent="0.25">
      <c r="D95" t="s">
        <v>151</v>
      </c>
    </row>
    <row r="96" spans="3:5" x14ac:dyDescent="0.25">
      <c r="D96" t="s">
        <v>152</v>
      </c>
    </row>
    <row r="97" spans="4:5" x14ac:dyDescent="0.25">
      <c r="D97" t="s">
        <v>153</v>
      </c>
      <c r="E97">
        <v>0</v>
      </c>
    </row>
    <row r="98" spans="4:5" x14ac:dyDescent="0.25">
      <c r="D98" t="s">
        <v>179</v>
      </c>
    </row>
    <row r="100" spans="4:5" x14ac:dyDescent="0.25">
      <c r="D100" t="s">
        <v>151</v>
      </c>
    </row>
    <row r="101" spans="4:5" x14ac:dyDescent="0.25">
      <c r="D101" t="s">
        <v>155</v>
      </c>
    </row>
    <row r="102" spans="4:5" x14ac:dyDescent="0.25">
      <c r="D102" t="s">
        <v>180</v>
      </c>
    </row>
    <row r="104" spans="4:5" x14ac:dyDescent="0.25">
      <c r="D104" t="s">
        <v>157</v>
      </c>
    </row>
    <row r="105" spans="4:5" x14ac:dyDescent="0.25">
      <c r="D105" t="s">
        <v>152</v>
      </c>
    </row>
    <row r="106" spans="4:5" x14ac:dyDescent="0.25">
      <c r="D106" t="s">
        <v>158</v>
      </c>
      <c r="E106">
        <v>175</v>
      </c>
    </row>
    <row r="107" spans="4:5" x14ac:dyDescent="0.25">
      <c r="D107" t="s">
        <v>153</v>
      </c>
      <c r="E107">
        <v>525</v>
      </c>
    </row>
    <row r="108" spans="4:5" x14ac:dyDescent="0.25">
      <c r="D108" t="s">
        <v>181</v>
      </c>
    </row>
    <row r="113" spans="2:5" x14ac:dyDescent="0.25">
      <c r="B113" t="s">
        <v>145</v>
      </c>
    </row>
    <row r="114" spans="2:5" x14ac:dyDescent="0.25">
      <c r="B114" t="s">
        <v>182</v>
      </c>
    </row>
    <row r="115" spans="2:5" x14ac:dyDescent="0.25">
      <c r="B115" t="s">
        <v>183</v>
      </c>
    </row>
    <row r="116" spans="2:5" x14ac:dyDescent="0.25">
      <c r="B116" t="s">
        <v>184</v>
      </c>
    </row>
    <row r="117" spans="2:5" x14ac:dyDescent="0.25">
      <c r="B117" t="s">
        <v>146</v>
      </c>
    </row>
    <row r="118" spans="2:5" x14ac:dyDescent="0.25">
      <c r="B118" t="s">
        <v>147</v>
      </c>
    </row>
    <row r="119" spans="2:5" x14ac:dyDescent="0.25">
      <c r="B119" t="s">
        <v>163</v>
      </c>
    </row>
    <row r="120" spans="2:5" x14ac:dyDescent="0.25">
      <c r="B120" t="s">
        <v>164</v>
      </c>
    </row>
    <row r="122" spans="2:5" x14ac:dyDescent="0.25">
      <c r="D122" t="s">
        <v>148</v>
      </c>
    </row>
    <row r="123" spans="2:5" x14ac:dyDescent="0.25">
      <c r="D123" t="s">
        <v>149</v>
      </c>
    </row>
    <row r="124" spans="2:5" x14ac:dyDescent="0.25">
      <c r="D124" t="s">
        <v>150</v>
      </c>
      <c r="E124" t="s">
        <v>185</v>
      </c>
    </row>
    <row r="125" spans="2:5" x14ac:dyDescent="0.25">
      <c r="D125" t="s">
        <v>332</v>
      </c>
    </row>
    <row r="126" spans="2:5" x14ac:dyDescent="0.25">
      <c r="C126" t="s">
        <v>144</v>
      </c>
    </row>
    <row r="128" spans="2:5" x14ac:dyDescent="0.25">
      <c r="D128" t="s">
        <v>166</v>
      </c>
    </row>
    <row r="129" spans="4:5" x14ac:dyDescent="0.25">
      <c r="D129" t="s">
        <v>167</v>
      </c>
    </row>
    <row r="130" spans="4:5" x14ac:dyDescent="0.25">
      <c r="D130" t="s">
        <v>168</v>
      </c>
      <c r="E130" t="s">
        <v>169</v>
      </c>
    </row>
    <row r="131" spans="4:5" x14ac:dyDescent="0.25">
      <c r="D131" t="s">
        <v>170</v>
      </c>
      <c r="E131">
        <v>2</v>
      </c>
    </row>
    <row r="132" spans="4:5" x14ac:dyDescent="0.25">
      <c r="D132" t="s">
        <v>171</v>
      </c>
      <c r="E132" t="s">
        <v>307</v>
      </c>
    </row>
    <row r="133" spans="4:5" x14ac:dyDescent="0.25">
      <c r="D133" t="s">
        <v>172</v>
      </c>
      <c r="E133">
        <v>2</v>
      </c>
    </row>
    <row r="134" spans="4:5" x14ac:dyDescent="0.25">
      <c r="D134" t="s">
        <v>173</v>
      </c>
      <c r="E134">
        <v>600</v>
      </c>
    </row>
    <row r="135" spans="4:5" x14ac:dyDescent="0.25">
      <c r="D135" t="s">
        <v>174</v>
      </c>
      <c r="E135">
        <v>0</v>
      </c>
    </row>
    <row r="136" spans="4:5" x14ac:dyDescent="0.25">
      <c r="D136" t="s">
        <v>175</v>
      </c>
      <c r="E136">
        <v>0</v>
      </c>
    </row>
    <row r="137" spans="4:5" x14ac:dyDescent="0.25">
      <c r="D137" t="s">
        <v>176</v>
      </c>
      <c r="E137" t="s">
        <v>177</v>
      </c>
    </row>
    <row r="138" spans="4:5" x14ac:dyDescent="0.25">
      <c r="D138" t="s">
        <v>333</v>
      </c>
    </row>
    <row r="140" spans="4:5" x14ac:dyDescent="0.25">
      <c r="D140" t="s">
        <v>151</v>
      </c>
    </row>
    <row r="141" spans="4:5" x14ac:dyDescent="0.25">
      <c r="D141" t="s">
        <v>152</v>
      </c>
    </row>
    <row r="142" spans="4:5" x14ac:dyDescent="0.25">
      <c r="D142" t="s">
        <v>153</v>
      </c>
      <c r="E142">
        <v>0</v>
      </c>
    </row>
    <row r="143" spans="4:5" x14ac:dyDescent="0.25">
      <c r="D143" t="s">
        <v>334</v>
      </c>
    </row>
    <row r="145" spans="4:5" x14ac:dyDescent="0.25">
      <c r="D145" t="s">
        <v>151</v>
      </c>
    </row>
    <row r="146" spans="4:5" x14ac:dyDescent="0.25">
      <c r="D146" t="s">
        <v>155</v>
      </c>
    </row>
    <row r="147" spans="4:5" x14ac:dyDescent="0.25">
      <c r="D147" t="s">
        <v>335</v>
      </c>
    </row>
    <row r="149" spans="4:5" x14ac:dyDescent="0.25">
      <c r="D149" t="s">
        <v>157</v>
      </c>
    </row>
    <row r="150" spans="4:5" x14ac:dyDescent="0.25">
      <c r="D150" t="s">
        <v>152</v>
      </c>
    </row>
    <row r="151" spans="4:5" x14ac:dyDescent="0.25">
      <c r="D151" t="s">
        <v>158</v>
      </c>
      <c r="E151">
        <v>175</v>
      </c>
    </row>
    <row r="152" spans="4:5" x14ac:dyDescent="0.25">
      <c r="D152" t="s">
        <v>153</v>
      </c>
      <c r="E152">
        <v>525</v>
      </c>
    </row>
    <row r="153" spans="4:5" x14ac:dyDescent="0.25">
      <c r="D153" t="s">
        <v>336</v>
      </c>
    </row>
    <row r="155" spans="4:5" x14ac:dyDescent="0.25">
      <c r="D155" t="s">
        <v>294</v>
      </c>
    </row>
    <row r="156" spans="4:5" x14ac:dyDescent="0.25">
      <c r="D156" t="s">
        <v>295</v>
      </c>
    </row>
    <row r="157" spans="4:5" x14ac:dyDescent="0.25">
      <c r="D157" t="s">
        <v>171</v>
      </c>
      <c r="E157" t="s">
        <v>305</v>
      </c>
    </row>
    <row r="158" spans="4:5" x14ac:dyDescent="0.25">
      <c r="D158" t="s">
        <v>168</v>
      </c>
      <c r="E158" t="s">
        <v>304</v>
      </c>
    </row>
    <row r="159" spans="4:5" x14ac:dyDescent="0.25">
      <c r="D159" t="s">
        <v>298</v>
      </c>
      <c r="E159">
        <v>97</v>
      </c>
    </row>
    <row r="160" spans="4:5" x14ac:dyDescent="0.25">
      <c r="D160" t="s">
        <v>299</v>
      </c>
      <c r="E160">
        <v>89</v>
      </c>
    </row>
    <row r="161" spans="4:5" x14ac:dyDescent="0.25">
      <c r="D161" t="s">
        <v>300</v>
      </c>
      <c r="E161">
        <v>4</v>
      </c>
    </row>
    <row r="162" spans="4:5" x14ac:dyDescent="0.25">
      <c r="D162" t="s">
        <v>301</v>
      </c>
      <c r="E162">
        <v>0</v>
      </c>
    </row>
    <row r="163" spans="4:5" x14ac:dyDescent="0.25">
      <c r="D163" t="s">
        <v>302</v>
      </c>
      <c r="E163">
        <v>0</v>
      </c>
    </row>
    <row r="164" spans="4:5" x14ac:dyDescent="0.25">
      <c r="D164" t="s">
        <v>360</v>
      </c>
    </row>
    <row r="166" spans="4:5" x14ac:dyDescent="0.25">
      <c r="D166" t="s">
        <v>294</v>
      </c>
    </row>
    <row r="167" spans="4:5" x14ac:dyDescent="0.25">
      <c r="D167" t="s">
        <v>295</v>
      </c>
    </row>
    <row r="168" spans="4:5" x14ac:dyDescent="0.25">
      <c r="D168" t="s">
        <v>171</v>
      </c>
      <c r="E168" t="s">
        <v>297</v>
      </c>
    </row>
    <row r="169" spans="4:5" x14ac:dyDescent="0.25">
      <c r="D169" t="s">
        <v>168</v>
      </c>
      <c r="E169" t="s">
        <v>296</v>
      </c>
    </row>
    <row r="170" spans="4:5" x14ac:dyDescent="0.25">
      <c r="D170" t="s">
        <v>298</v>
      </c>
      <c r="E170">
        <v>85</v>
      </c>
    </row>
    <row r="171" spans="4:5" x14ac:dyDescent="0.25">
      <c r="D171" t="s">
        <v>299</v>
      </c>
      <c r="E171">
        <v>73</v>
      </c>
    </row>
    <row r="172" spans="4:5" x14ac:dyDescent="0.25">
      <c r="D172" t="s">
        <v>300</v>
      </c>
      <c r="E172">
        <v>10</v>
      </c>
    </row>
    <row r="173" spans="4:5" x14ac:dyDescent="0.25">
      <c r="D173" t="s">
        <v>301</v>
      </c>
      <c r="E173">
        <v>1</v>
      </c>
    </row>
    <row r="174" spans="4:5" x14ac:dyDescent="0.25">
      <c r="D174" t="s">
        <v>302</v>
      </c>
      <c r="E174">
        <v>1</v>
      </c>
    </row>
    <row r="175" spans="4:5" x14ac:dyDescent="0.25">
      <c r="D175" t="s">
        <v>361</v>
      </c>
    </row>
    <row r="180" spans="2:3" x14ac:dyDescent="0.25">
      <c r="B180" t="s">
        <v>140</v>
      </c>
    </row>
    <row r="181" spans="2:3" x14ac:dyDescent="0.25">
      <c r="B181" t="s">
        <v>186</v>
      </c>
    </row>
    <row r="182" spans="2:3" x14ac:dyDescent="0.25">
      <c r="B182" t="s">
        <v>187</v>
      </c>
    </row>
    <row r="183" spans="2:3" x14ac:dyDescent="0.25">
      <c r="B183" t="s">
        <v>143</v>
      </c>
    </row>
    <row r="185" spans="2:3" x14ac:dyDescent="0.25">
      <c r="C185" t="s">
        <v>144</v>
      </c>
    </row>
    <row r="190" spans="2:3" x14ac:dyDescent="0.25">
      <c r="B190" t="s">
        <v>145</v>
      </c>
    </row>
    <row r="191" spans="2:3" x14ac:dyDescent="0.25">
      <c r="B191" t="s">
        <v>188</v>
      </c>
    </row>
    <row r="192" spans="2:3" x14ac:dyDescent="0.25">
      <c r="B192" t="s">
        <v>189</v>
      </c>
    </row>
    <row r="193" spans="2:5" x14ac:dyDescent="0.25">
      <c r="B193" t="s">
        <v>190</v>
      </c>
    </row>
    <row r="194" spans="2:5" x14ac:dyDescent="0.25">
      <c r="B194" t="s">
        <v>146</v>
      </c>
    </row>
    <row r="195" spans="2:5" x14ac:dyDescent="0.25">
      <c r="B195" t="s">
        <v>147</v>
      </c>
    </row>
    <row r="196" spans="2:5" x14ac:dyDescent="0.25">
      <c r="B196" t="s">
        <v>163</v>
      </c>
    </row>
    <row r="197" spans="2:5" x14ac:dyDescent="0.25">
      <c r="B197" t="s">
        <v>320</v>
      </c>
    </row>
    <row r="199" spans="2:5" x14ac:dyDescent="0.25">
      <c r="D199" t="s">
        <v>294</v>
      </c>
    </row>
    <row r="200" spans="2:5" x14ac:dyDescent="0.25">
      <c r="D200" t="s">
        <v>295</v>
      </c>
    </row>
    <row r="201" spans="2:5" x14ac:dyDescent="0.25">
      <c r="D201" t="s">
        <v>171</v>
      </c>
      <c r="E201" t="s">
        <v>311</v>
      </c>
    </row>
    <row r="202" spans="2:5" x14ac:dyDescent="0.25">
      <c r="D202" t="s">
        <v>168</v>
      </c>
      <c r="E202" t="s">
        <v>297</v>
      </c>
    </row>
    <row r="203" spans="2:5" x14ac:dyDescent="0.25">
      <c r="D203" t="s">
        <v>298</v>
      </c>
      <c r="E203">
        <v>85</v>
      </c>
    </row>
    <row r="204" spans="2:5" x14ac:dyDescent="0.25">
      <c r="D204" t="s">
        <v>299</v>
      </c>
      <c r="E204">
        <v>73</v>
      </c>
    </row>
    <row r="205" spans="2:5" x14ac:dyDescent="0.25">
      <c r="D205" t="s">
        <v>300</v>
      </c>
      <c r="E205">
        <v>10</v>
      </c>
    </row>
    <row r="206" spans="2:5" x14ac:dyDescent="0.25">
      <c r="D206" t="s">
        <v>301</v>
      </c>
      <c r="E206">
        <v>0</v>
      </c>
    </row>
    <row r="207" spans="2:5" x14ac:dyDescent="0.25">
      <c r="D207" t="s">
        <v>302</v>
      </c>
      <c r="E207">
        <v>0</v>
      </c>
    </row>
    <row r="208" spans="2:5" x14ac:dyDescent="0.25">
      <c r="D208" t="s">
        <v>337</v>
      </c>
    </row>
    <row r="210" spans="3:5" x14ac:dyDescent="0.25">
      <c r="D210" t="s">
        <v>294</v>
      </c>
    </row>
    <row r="211" spans="3:5" x14ac:dyDescent="0.25">
      <c r="D211" t="s">
        <v>295</v>
      </c>
    </row>
    <row r="212" spans="3:5" x14ac:dyDescent="0.25">
      <c r="D212" t="s">
        <v>171</v>
      </c>
      <c r="E212" t="s">
        <v>304</v>
      </c>
    </row>
    <row r="213" spans="3:5" x14ac:dyDescent="0.25">
      <c r="D213" t="s">
        <v>168</v>
      </c>
      <c r="E213" t="s">
        <v>305</v>
      </c>
    </row>
    <row r="214" spans="3:5" x14ac:dyDescent="0.25">
      <c r="D214" t="s">
        <v>298</v>
      </c>
      <c r="E214">
        <v>97</v>
      </c>
    </row>
    <row r="215" spans="3:5" x14ac:dyDescent="0.25">
      <c r="D215" t="s">
        <v>299</v>
      </c>
      <c r="E215">
        <v>89</v>
      </c>
    </row>
    <row r="216" spans="3:5" x14ac:dyDescent="0.25">
      <c r="D216" t="s">
        <v>300</v>
      </c>
      <c r="E216">
        <v>4</v>
      </c>
    </row>
    <row r="217" spans="3:5" x14ac:dyDescent="0.25">
      <c r="D217" t="s">
        <v>301</v>
      </c>
      <c r="E217">
        <v>1</v>
      </c>
    </row>
    <row r="218" spans="3:5" x14ac:dyDescent="0.25">
      <c r="D218" t="s">
        <v>302</v>
      </c>
      <c r="E218">
        <v>0</v>
      </c>
    </row>
    <row r="219" spans="3:5" x14ac:dyDescent="0.25">
      <c r="D219" t="s">
        <v>338</v>
      </c>
    </row>
    <row r="221" spans="3:5" x14ac:dyDescent="0.25">
      <c r="C221" t="s">
        <v>144</v>
      </c>
    </row>
    <row r="223" spans="3:5" x14ac:dyDescent="0.25">
      <c r="D223" t="s">
        <v>166</v>
      </c>
    </row>
    <row r="224" spans="3:5" x14ac:dyDescent="0.25">
      <c r="D224" t="s">
        <v>167</v>
      </c>
    </row>
    <row r="225" spans="4:5" x14ac:dyDescent="0.25">
      <c r="D225" t="s">
        <v>168</v>
      </c>
      <c r="E225" t="s">
        <v>169</v>
      </c>
    </row>
    <row r="226" spans="4:5" x14ac:dyDescent="0.25">
      <c r="D226" t="s">
        <v>170</v>
      </c>
      <c r="E226">
        <v>2</v>
      </c>
    </row>
    <row r="227" spans="4:5" x14ac:dyDescent="0.25">
      <c r="D227" t="s">
        <v>171</v>
      </c>
      <c r="E227" t="s">
        <v>312</v>
      </c>
    </row>
    <row r="228" spans="4:5" x14ac:dyDescent="0.25">
      <c r="D228" t="s">
        <v>172</v>
      </c>
      <c r="E228">
        <v>2</v>
      </c>
    </row>
    <row r="229" spans="4:5" x14ac:dyDescent="0.25">
      <c r="D229" t="s">
        <v>173</v>
      </c>
      <c r="E229">
        <v>789</v>
      </c>
    </row>
    <row r="230" spans="4:5" x14ac:dyDescent="0.25">
      <c r="D230" t="s">
        <v>174</v>
      </c>
      <c r="E230">
        <v>0</v>
      </c>
    </row>
    <row r="231" spans="4:5" x14ac:dyDescent="0.25">
      <c r="D231" t="s">
        <v>175</v>
      </c>
      <c r="E231">
        <v>0</v>
      </c>
    </row>
    <row r="232" spans="4:5" x14ac:dyDescent="0.25">
      <c r="D232" t="s">
        <v>176</v>
      </c>
      <c r="E232" t="s">
        <v>177</v>
      </c>
    </row>
    <row r="233" spans="4:5" x14ac:dyDescent="0.25">
      <c r="D233" t="s">
        <v>339</v>
      </c>
    </row>
    <row r="235" spans="4:5" x14ac:dyDescent="0.25">
      <c r="D235" t="s">
        <v>151</v>
      </c>
    </row>
    <row r="236" spans="4:5" x14ac:dyDescent="0.25">
      <c r="D236" t="s">
        <v>152</v>
      </c>
    </row>
    <row r="237" spans="4:5" x14ac:dyDescent="0.25">
      <c r="D237" t="s">
        <v>153</v>
      </c>
      <c r="E237">
        <v>0</v>
      </c>
    </row>
    <row r="238" spans="4:5" x14ac:dyDescent="0.25">
      <c r="D238" t="s">
        <v>340</v>
      </c>
    </row>
    <row r="240" spans="4:5" x14ac:dyDescent="0.25">
      <c r="D240" t="s">
        <v>151</v>
      </c>
    </row>
    <row r="241" spans="4:5" x14ac:dyDescent="0.25">
      <c r="D241" t="s">
        <v>155</v>
      </c>
    </row>
    <row r="242" spans="4:5" x14ac:dyDescent="0.25">
      <c r="D242" t="s">
        <v>362</v>
      </c>
    </row>
    <row r="244" spans="4:5" x14ac:dyDescent="0.25">
      <c r="D244" t="s">
        <v>157</v>
      </c>
    </row>
    <row r="245" spans="4:5" x14ac:dyDescent="0.25">
      <c r="D245" t="s">
        <v>152</v>
      </c>
    </row>
    <row r="246" spans="4:5" x14ac:dyDescent="0.25">
      <c r="D246" t="s">
        <v>158</v>
      </c>
      <c r="E246">
        <v>175</v>
      </c>
    </row>
    <row r="247" spans="4:5" x14ac:dyDescent="0.25">
      <c r="D247" t="s">
        <v>153</v>
      </c>
      <c r="E247">
        <v>1009.75</v>
      </c>
    </row>
    <row r="248" spans="4:5" x14ac:dyDescent="0.25">
      <c r="D248" t="s">
        <v>363</v>
      </c>
    </row>
    <row r="250" spans="4:5" x14ac:dyDescent="0.25">
      <c r="D250" t="s">
        <v>294</v>
      </c>
    </row>
    <row r="251" spans="4:5" x14ac:dyDescent="0.25">
      <c r="D251" t="s">
        <v>295</v>
      </c>
    </row>
    <row r="252" spans="4:5" x14ac:dyDescent="0.25">
      <c r="D252" t="s">
        <v>171</v>
      </c>
      <c r="E252" t="s">
        <v>305</v>
      </c>
    </row>
    <row r="253" spans="4:5" x14ac:dyDescent="0.25">
      <c r="D253" t="s">
        <v>168</v>
      </c>
      <c r="E253" t="s">
        <v>304</v>
      </c>
    </row>
    <row r="254" spans="4:5" x14ac:dyDescent="0.25">
      <c r="D254" t="s">
        <v>298</v>
      </c>
      <c r="E254">
        <v>97</v>
      </c>
    </row>
    <row r="255" spans="4:5" x14ac:dyDescent="0.25">
      <c r="D255" t="s">
        <v>299</v>
      </c>
      <c r="E255">
        <v>89</v>
      </c>
    </row>
    <row r="256" spans="4:5" x14ac:dyDescent="0.25">
      <c r="D256" t="s">
        <v>300</v>
      </c>
      <c r="E256">
        <v>4</v>
      </c>
    </row>
    <row r="257" spans="4:5" x14ac:dyDescent="0.25">
      <c r="D257" t="s">
        <v>301</v>
      </c>
      <c r="E257">
        <v>0</v>
      </c>
    </row>
    <row r="258" spans="4:5" x14ac:dyDescent="0.25">
      <c r="D258" t="s">
        <v>302</v>
      </c>
      <c r="E258">
        <v>0</v>
      </c>
    </row>
    <row r="259" spans="4:5" x14ac:dyDescent="0.25">
      <c r="D259" t="s">
        <v>364</v>
      </c>
    </row>
    <row r="261" spans="4:5" x14ac:dyDescent="0.25">
      <c r="D261" t="s">
        <v>294</v>
      </c>
    </row>
    <row r="262" spans="4:5" x14ac:dyDescent="0.25">
      <c r="D262" t="s">
        <v>295</v>
      </c>
    </row>
    <row r="263" spans="4:5" x14ac:dyDescent="0.25">
      <c r="D263" t="s">
        <v>171</v>
      </c>
      <c r="E263" t="s">
        <v>297</v>
      </c>
    </row>
    <row r="264" spans="4:5" x14ac:dyDescent="0.25">
      <c r="D264" t="s">
        <v>168</v>
      </c>
      <c r="E264" t="s">
        <v>311</v>
      </c>
    </row>
    <row r="265" spans="4:5" x14ac:dyDescent="0.25">
      <c r="D265" t="s">
        <v>298</v>
      </c>
      <c r="E265">
        <v>85</v>
      </c>
    </row>
    <row r="266" spans="4:5" x14ac:dyDescent="0.25">
      <c r="D266" t="s">
        <v>299</v>
      </c>
      <c r="E266">
        <v>73</v>
      </c>
    </row>
    <row r="267" spans="4:5" x14ac:dyDescent="0.25">
      <c r="D267" t="s">
        <v>300</v>
      </c>
      <c r="E267">
        <v>10</v>
      </c>
    </row>
    <row r="268" spans="4:5" x14ac:dyDescent="0.25">
      <c r="D268" t="s">
        <v>301</v>
      </c>
      <c r="E268">
        <v>1</v>
      </c>
    </row>
    <row r="269" spans="4:5" x14ac:dyDescent="0.25">
      <c r="D269" t="s">
        <v>302</v>
      </c>
      <c r="E269">
        <v>1</v>
      </c>
    </row>
    <row r="270" spans="4:5" x14ac:dyDescent="0.25">
      <c r="D270" t="s">
        <v>365</v>
      </c>
    </row>
    <row r="275" spans="2:3" x14ac:dyDescent="0.25">
      <c r="B275" t="s">
        <v>140</v>
      </c>
    </row>
    <row r="276" spans="2:3" x14ac:dyDescent="0.25">
      <c r="B276" t="s">
        <v>191</v>
      </c>
    </row>
    <row r="277" spans="2:3" x14ac:dyDescent="0.25">
      <c r="B277" t="s">
        <v>192</v>
      </c>
    </row>
    <row r="278" spans="2:3" x14ac:dyDescent="0.25">
      <c r="B278" t="s">
        <v>143</v>
      </c>
    </row>
    <row r="280" spans="2:3" x14ac:dyDescent="0.25">
      <c r="C280" t="s">
        <v>144</v>
      </c>
    </row>
    <row r="285" spans="2:3" x14ac:dyDescent="0.25">
      <c r="B285" t="s">
        <v>145</v>
      </c>
    </row>
    <row r="286" spans="2:3" x14ac:dyDescent="0.25">
      <c r="B286" t="s">
        <v>193</v>
      </c>
    </row>
    <row r="287" spans="2:3" x14ac:dyDescent="0.25">
      <c r="B287" t="s">
        <v>194</v>
      </c>
    </row>
    <row r="288" spans="2:3" x14ac:dyDescent="0.25">
      <c r="B288" t="s">
        <v>195</v>
      </c>
    </row>
    <row r="289" spans="2:3" x14ac:dyDescent="0.25">
      <c r="B289" t="s">
        <v>146</v>
      </c>
    </row>
    <row r="290" spans="2:3" x14ac:dyDescent="0.25">
      <c r="B290" t="s">
        <v>366</v>
      </c>
    </row>
    <row r="291" spans="2:3" x14ac:dyDescent="0.25">
      <c r="B291" t="s">
        <v>163</v>
      </c>
    </row>
    <row r="295" spans="2:3" x14ac:dyDescent="0.25">
      <c r="B295" t="s">
        <v>140</v>
      </c>
    </row>
    <row r="296" spans="2:3" x14ac:dyDescent="0.25">
      <c r="B296" t="s">
        <v>141</v>
      </c>
    </row>
    <row r="297" spans="2:3" x14ac:dyDescent="0.25">
      <c r="B297" t="s">
        <v>142</v>
      </c>
    </row>
    <row r="298" spans="2:3" x14ac:dyDescent="0.25">
      <c r="B298" t="s">
        <v>143</v>
      </c>
    </row>
    <row r="300" spans="2:3" x14ac:dyDescent="0.25">
      <c r="C300" t="s">
        <v>144</v>
      </c>
    </row>
    <row r="305" spans="2:3" x14ac:dyDescent="0.25">
      <c r="B305" t="s">
        <v>145</v>
      </c>
    </row>
    <row r="306" spans="2:3" x14ac:dyDescent="0.25">
      <c r="B306" t="s">
        <v>327</v>
      </c>
    </row>
    <row r="307" spans="2:3" x14ac:dyDescent="0.25">
      <c r="B307" t="s">
        <v>328</v>
      </c>
    </row>
    <row r="308" spans="2:3" x14ac:dyDescent="0.25">
      <c r="B308" t="s">
        <v>329</v>
      </c>
    </row>
    <row r="309" spans="2:3" x14ac:dyDescent="0.25">
      <c r="B309" t="s">
        <v>146</v>
      </c>
    </row>
    <row r="310" spans="2:3" x14ac:dyDescent="0.25">
      <c r="B310" t="s">
        <v>147</v>
      </c>
    </row>
    <row r="311" spans="2:3" x14ac:dyDescent="0.25">
      <c r="B311" t="s">
        <v>163</v>
      </c>
    </row>
    <row r="312" spans="2:3" x14ac:dyDescent="0.25">
      <c r="B312" t="s">
        <v>330</v>
      </c>
    </row>
    <row r="316" spans="2:3" x14ac:dyDescent="0.25">
      <c r="C316" t="s">
        <v>331</v>
      </c>
    </row>
    <row r="322" spans="4:5" x14ac:dyDescent="0.25">
      <c r="D322" t="s">
        <v>294</v>
      </c>
    </row>
    <row r="323" spans="4:5" x14ac:dyDescent="0.25">
      <c r="D323" t="s">
        <v>295</v>
      </c>
    </row>
    <row r="324" spans="4:5" x14ac:dyDescent="0.25">
      <c r="D324" t="s">
        <v>171</v>
      </c>
      <c r="E324" t="s">
        <v>305</v>
      </c>
    </row>
    <row r="325" spans="4:5" x14ac:dyDescent="0.25">
      <c r="D325" t="s">
        <v>168</v>
      </c>
      <c r="E325" t="s">
        <v>304</v>
      </c>
    </row>
    <row r="326" spans="4:5" x14ac:dyDescent="0.25">
      <c r="D326" t="s">
        <v>298</v>
      </c>
      <c r="E326">
        <v>97</v>
      </c>
    </row>
    <row r="327" spans="4:5" x14ac:dyDescent="0.25">
      <c r="D327" t="s">
        <v>299</v>
      </c>
      <c r="E327">
        <v>89</v>
      </c>
    </row>
    <row r="328" spans="4:5" x14ac:dyDescent="0.25">
      <c r="D328" t="s">
        <v>300</v>
      </c>
      <c r="E328">
        <v>4</v>
      </c>
    </row>
    <row r="329" spans="4:5" x14ac:dyDescent="0.25">
      <c r="D329" t="s">
        <v>301</v>
      </c>
      <c r="E329">
        <v>0</v>
      </c>
    </row>
    <row r="330" spans="4:5" x14ac:dyDescent="0.25">
      <c r="D330" t="s">
        <v>302</v>
      </c>
      <c r="E330">
        <v>0</v>
      </c>
    </row>
    <row r="331" spans="4:5" x14ac:dyDescent="0.25">
      <c r="D331" t="s">
        <v>368</v>
      </c>
    </row>
    <row r="333" spans="4:5" x14ac:dyDescent="0.25">
      <c r="D333" t="s">
        <v>294</v>
      </c>
    </row>
    <row r="334" spans="4:5" x14ac:dyDescent="0.25">
      <c r="D334" t="s">
        <v>295</v>
      </c>
    </row>
    <row r="335" spans="4:5" x14ac:dyDescent="0.25">
      <c r="D335" t="s">
        <v>171</v>
      </c>
      <c r="E335" t="s">
        <v>297</v>
      </c>
    </row>
    <row r="336" spans="4:5" x14ac:dyDescent="0.25">
      <c r="D336" t="s">
        <v>168</v>
      </c>
      <c r="E336" t="s">
        <v>296</v>
      </c>
    </row>
    <row r="337" spans="2:5" x14ac:dyDescent="0.25">
      <c r="D337" t="s">
        <v>298</v>
      </c>
      <c r="E337">
        <v>85</v>
      </c>
    </row>
    <row r="338" spans="2:5" x14ac:dyDescent="0.25">
      <c r="D338" t="s">
        <v>299</v>
      </c>
      <c r="E338">
        <v>73</v>
      </c>
    </row>
    <row r="339" spans="2:5" x14ac:dyDescent="0.25">
      <c r="D339" t="s">
        <v>300</v>
      </c>
      <c r="E339">
        <v>10</v>
      </c>
    </row>
    <row r="340" spans="2:5" x14ac:dyDescent="0.25">
      <c r="D340" t="s">
        <v>301</v>
      </c>
      <c r="E340">
        <v>1</v>
      </c>
    </row>
    <row r="341" spans="2:5" x14ac:dyDescent="0.25">
      <c r="D341" t="s">
        <v>302</v>
      </c>
      <c r="E341">
        <v>1</v>
      </c>
    </row>
    <row r="342" spans="2:5" x14ac:dyDescent="0.25">
      <c r="D342" t="s">
        <v>369</v>
      </c>
    </row>
    <row r="347" spans="2:5" x14ac:dyDescent="0.25">
      <c r="B347" t="s">
        <v>145</v>
      </c>
    </row>
    <row r="348" spans="2:5" x14ac:dyDescent="0.25">
      <c r="B348" t="s">
        <v>160</v>
      </c>
    </row>
    <row r="349" spans="2:5" x14ac:dyDescent="0.25">
      <c r="B349" t="s">
        <v>161</v>
      </c>
    </row>
    <row r="350" spans="2:5" x14ac:dyDescent="0.25">
      <c r="B350" t="s">
        <v>162</v>
      </c>
    </row>
    <row r="351" spans="2:5" x14ac:dyDescent="0.25">
      <c r="B351" t="s">
        <v>146</v>
      </c>
    </row>
    <row r="352" spans="2:5" x14ac:dyDescent="0.25">
      <c r="B352" t="s">
        <v>147</v>
      </c>
    </row>
    <row r="353" spans="2:5" x14ac:dyDescent="0.25">
      <c r="B353" t="s">
        <v>163</v>
      </c>
    </row>
    <row r="354" spans="2:5" x14ac:dyDescent="0.25">
      <c r="B354" t="s">
        <v>164</v>
      </c>
    </row>
    <row r="356" spans="2:5" x14ac:dyDescent="0.25">
      <c r="C356" t="s">
        <v>144</v>
      </c>
    </row>
    <row r="362" spans="2:5" x14ac:dyDescent="0.25">
      <c r="D362" t="s">
        <v>294</v>
      </c>
    </row>
    <row r="363" spans="2:5" x14ac:dyDescent="0.25">
      <c r="D363" t="s">
        <v>295</v>
      </c>
    </row>
    <row r="364" spans="2:5" x14ac:dyDescent="0.25">
      <c r="D364" t="s">
        <v>171</v>
      </c>
      <c r="E364" t="s">
        <v>305</v>
      </c>
    </row>
    <row r="365" spans="2:5" x14ac:dyDescent="0.25">
      <c r="D365" t="s">
        <v>168</v>
      </c>
      <c r="E365" t="s">
        <v>304</v>
      </c>
    </row>
    <row r="366" spans="2:5" x14ac:dyDescent="0.25">
      <c r="D366" t="s">
        <v>298</v>
      </c>
      <c r="E366">
        <v>97</v>
      </c>
    </row>
    <row r="367" spans="2:5" x14ac:dyDescent="0.25">
      <c r="D367" t="s">
        <v>299</v>
      </c>
      <c r="E367">
        <v>89</v>
      </c>
    </row>
    <row r="368" spans="2:5" x14ac:dyDescent="0.25">
      <c r="D368" t="s">
        <v>300</v>
      </c>
      <c r="E368">
        <v>4</v>
      </c>
    </row>
    <row r="369" spans="4:5" x14ac:dyDescent="0.25">
      <c r="D369" t="s">
        <v>301</v>
      </c>
      <c r="E369">
        <v>0</v>
      </c>
    </row>
    <row r="370" spans="4:5" x14ac:dyDescent="0.25">
      <c r="D370" t="s">
        <v>302</v>
      </c>
      <c r="E370">
        <v>0</v>
      </c>
    </row>
    <row r="371" spans="4:5" x14ac:dyDescent="0.25">
      <c r="D371" t="s">
        <v>309</v>
      </c>
    </row>
    <row r="373" spans="4:5" x14ac:dyDescent="0.25">
      <c r="D373" t="s">
        <v>294</v>
      </c>
    </row>
    <row r="374" spans="4:5" x14ac:dyDescent="0.25">
      <c r="D374" t="s">
        <v>295</v>
      </c>
    </row>
    <row r="375" spans="4:5" x14ac:dyDescent="0.25">
      <c r="D375" t="s">
        <v>171</v>
      </c>
      <c r="E375" t="s">
        <v>297</v>
      </c>
    </row>
    <row r="376" spans="4:5" x14ac:dyDescent="0.25">
      <c r="D376" t="s">
        <v>168</v>
      </c>
      <c r="E376" t="s">
        <v>296</v>
      </c>
    </row>
    <row r="377" spans="4:5" x14ac:dyDescent="0.25">
      <c r="D377" t="s">
        <v>298</v>
      </c>
      <c r="E377">
        <v>85</v>
      </c>
    </row>
    <row r="378" spans="4:5" x14ac:dyDescent="0.25">
      <c r="D378" t="s">
        <v>299</v>
      </c>
      <c r="E378">
        <v>73</v>
      </c>
    </row>
    <row r="379" spans="4:5" x14ac:dyDescent="0.25">
      <c r="D379" t="s">
        <v>300</v>
      </c>
      <c r="E379">
        <v>10</v>
      </c>
    </row>
    <row r="380" spans="4:5" x14ac:dyDescent="0.25">
      <c r="D380" t="s">
        <v>301</v>
      </c>
      <c r="E380">
        <v>1</v>
      </c>
    </row>
    <row r="381" spans="4:5" x14ac:dyDescent="0.25">
      <c r="D381" t="s">
        <v>302</v>
      </c>
      <c r="E381">
        <v>1</v>
      </c>
    </row>
    <row r="382" spans="4:5" x14ac:dyDescent="0.25">
      <c r="D382" t="s">
        <v>310</v>
      </c>
    </row>
    <row r="387" spans="2:3" x14ac:dyDescent="0.25">
      <c r="B387" t="s">
        <v>145</v>
      </c>
    </row>
    <row r="388" spans="2:3" x14ac:dyDescent="0.25">
      <c r="B388" t="s">
        <v>182</v>
      </c>
    </row>
    <row r="389" spans="2:3" x14ac:dyDescent="0.25">
      <c r="B389" t="s">
        <v>183</v>
      </c>
    </row>
    <row r="390" spans="2:3" x14ac:dyDescent="0.25">
      <c r="B390" t="s">
        <v>184</v>
      </c>
    </row>
    <row r="391" spans="2:3" x14ac:dyDescent="0.25">
      <c r="B391" t="s">
        <v>146</v>
      </c>
    </row>
    <row r="392" spans="2:3" x14ac:dyDescent="0.25">
      <c r="B392" t="s">
        <v>147</v>
      </c>
    </row>
    <row r="393" spans="2:3" x14ac:dyDescent="0.25">
      <c r="B393" t="s">
        <v>163</v>
      </c>
    </row>
    <row r="394" spans="2:3" x14ac:dyDescent="0.25">
      <c r="B394" t="s">
        <v>164</v>
      </c>
    </row>
    <row r="396" spans="2:3" x14ac:dyDescent="0.25">
      <c r="C396" t="s">
        <v>144</v>
      </c>
    </row>
    <row r="407" spans="2:3" x14ac:dyDescent="0.25">
      <c r="B407" t="s">
        <v>140</v>
      </c>
    </row>
    <row r="408" spans="2:3" x14ac:dyDescent="0.25">
      <c r="B408" t="s">
        <v>186</v>
      </c>
    </row>
    <row r="409" spans="2:3" x14ac:dyDescent="0.25">
      <c r="B409" t="s">
        <v>187</v>
      </c>
    </row>
    <row r="410" spans="2:3" x14ac:dyDescent="0.25">
      <c r="B410" t="s">
        <v>143</v>
      </c>
    </row>
    <row r="412" spans="2:3" x14ac:dyDescent="0.25">
      <c r="C412" t="s">
        <v>144</v>
      </c>
    </row>
    <row r="417" spans="2:3" x14ac:dyDescent="0.25">
      <c r="B417" t="s">
        <v>145</v>
      </c>
    </row>
    <row r="418" spans="2:3" x14ac:dyDescent="0.25">
      <c r="B418" t="s">
        <v>188</v>
      </c>
    </row>
    <row r="419" spans="2:3" x14ac:dyDescent="0.25">
      <c r="B419" t="s">
        <v>189</v>
      </c>
    </row>
    <row r="420" spans="2:3" x14ac:dyDescent="0.25">
      <c r="B420" t="s">
        <v>190</v>
      </c>
    </row>
    <row r="421" spans="2:3" x14ac:dyDescent="0.25">
      <c r="B421" t="s">
        <v>146</v>
      </c>
    </row>
    <row r="422" spans="2:3" x14ac:dyDescent="0.25">
      <c r="B422" t="s">
        <v>366</v>
      </c>
    </row>
    <row r="423" spans="2:3" x14ac:dyDescent="0.25">
      <c r="B423" t="s">
        <v>163</v>
      </c>
    </row>
    <row r="424" spans="2:3" x14ac:dyDescent="0.25">
      <c r="B424" t="s">
        <v>320</v>
      </c>
    </row>
    <row r="428" spans="2:3" x14ac:dyDescent="0.25">
      <c r="C428" t="s">
        <v>144</v>
      </c>
    </row>
    <row r="439" spans="2:3" x14ac:dyDescent="0.25">
      <c r="B439" t="s">
        <v>140</v>
      </c>
    </row>
    <row r="440" spans="2:3" x14ac:dyDescent="0.25">
      <c r="B440" t="s">
        <v>191</v>
      </c>
    </row>
    <row r="441" spans="2:3" x14ac:dyDescent="0.25">
      <c r="B441" t="s">
        <v>192</v>
      </c>
    </row>
    <row r="442" spans="2:3" x14ac:dyDescent="0.25">
      <c r="B442" t="s">
        <v>143</v>
      </c>
    </row>
    <row r="444" spans="2:3" x14ac:dyDescent="0.25">
      <c r="C444" t="s">
        <v>144</v>
      </c>
    </row>
    <row r="449" spans="2:5" x14ac:dyDescent="0.25">
      <c r="B449" t="s">
        <v>145</v>
      </c>
    </row>
    <row r="450" spans="2:5" x14ac:dyDescent="0.25">
      <c r="B450" t="s">
        <v>193</v>
      </c>
    </row>
    <row r="451" spans="2:5" x14ac:dyDescent="0.25">
      <c r="B451" t="s">
        <v>194</v>
      </c>
    </row>
    <row r="452" spans="2:5" x14ac:dyDescent="0.25">
      <c r="B452" t="s">
        <v>195</v>
      </c>
    </row>
    <row r="453" spans="2:5" x14ac:dyDescent="0.25">
      <c r="B453" t="s">
        <v>146</v>
      </c>
    </row>
    <row r="454" spans="2:5" x14ac:dyDescent="0.25">
      <c r="B454" t="s">
        <v>366</v>
      </c>
    </row>
    <row r="455" spans="2:5" x14ac:dyDescent="0.25">
      <c r="B455" t="s">
        <v>163</v>
      </c>
    </row>
    <row r="456" spans="2:5" x14ac:dyDescent="0.25">
      <c r="B456" t="s">
        <v>320</v>
      </c>
    </row>
    <row r="458" spans="2:5" x14ac:dyDescent="0.25">
      <c r="D458" t="s">
        <v>294</v>
      </c>
    </row>
    <row r="459" spans="2:5" x14ac:dyDescent="0.25">
      <c r="D459" t="s">
        <v>295</v>
      </c>
    </row>
    <row r="460" spans="2:5" x14ac:dyDescent="0.25">
      <c r="D460" t="s">
        <v>171</v>
      </c>
      <c r="E460" t="s">
        <v>312</v>
      </c>
    </row>
    <row r="461" spans="2:5" x14ac:dyDescent="0.25">
      <c r="D461" t="s">
        <v>168</v>
      </c>
      <c r="E461" t="s">
        <v>297</v>
      </c>
    </row>
    <row r="462" spans="2:5" x14ac:dyDescent="0.25">
      <c r="D462" t="s">
        <v>298</v>
      </c>
      <c r="E462">
        <v>85</v>
      </c>
    </row>
    <row r="463" spans="2:5" x14ac:dyDescent="0.25">
      <c r="D463" t="s">
        <v>299</v>
      </c>
      <c r="E463">
        <v>73</v>
      </c>
    </row>
    <row r="464" spans="2:5" x14ac:dyDescent="0.25">
      <c r="D464" t="s">
        <v>300</v>
      </c>
      <c r="E464">
        <v>10</v>
      </c>
    </row>
    <row r="465" spans="3:5" x14ac:dyDescent="0.25">
      <c r="D465" t="s">
        <v>301</v>
      </c>
      <c r="E465">
        <v>0</v>
      </c>
    </row>
    <row r="466" spans="3:5" x14ac:dyDescent="0.25">
      <c r="D466" t="s">
        <v>302</v>
      </c>
      <c r="E466">
        <v>0</v>
      </c>
    </row>
    <row r="467" spans="3:5" x14ac:dyDescent="0.25">
      <c r="D467" t="s">
        <v>341</v>
      </c>
    </row>
    <row r="469" spans="3:5" x14ac:dyDescent="0.25">
      <c r="D469" t="s">
        <v>294</v>
      </c>
    </row>
    <row r="470" spans="3:5" x14ac:dyDescent="0.25">
      <c r="D470" t="s">
        <v>295</v>
      </c>
    </row>
    <row r="471" spans="3:5" x14ac:dyDescent="0.25">
      <c r="D471" t="s">
        <v>171</v>
      </c>
      <c r="E471" t="s">
        <v>304</v>
      </c>
    </row>
    <row r="472" spans="3:5" x14ac:dyDescent="0.25">
      <c r="D472" t="s">
        <v>168</v>
      </c>
      <c r="E472" t="s">
        <v>305</v>
      </c>
    </row>
    <row r="473" spans="3:5" x14ac:dyDescent="0.25">
      <c r="D473" t="s">
        <v>298</v>
      </c>
      <c r="E473">
        <v>97</v>
      </c>
    </row>
    <row r="474" spans="3:5" x14ac:dyDescent="0.25">
      <c r="D474" t="s">
        <v>299</v>
      </c>
      <c r="E474">
        <v>89</v>
      </c>
    </row>
    <row r="475" spans="3:5" x14ac:dyDescent="0.25">
      <c r="D475" t="s">
        <v>300</v>
      </c>
      <c r="E475">
        <v>4</v>
      </c>
    </row>
    <row r="476" spans="3:5" x14ac:dyDescent="0.25">
      <c r="D476" t="s">
        <v>301</v>
      </c>
      <c r="E476">
        <v>1</v>
      </c>
    </row>
    <row r="477" spans="3:5" x14ac:dyDescent="0.25">
      <c r="D477" t="s">
        <v>302</v>
      </c>
      <c r="E477">
        <v>0</v>
      </c>
    </row>
    <row r="478" spans="3:5" x14ac:dyDescent="0.25">
      <c r="D478" t="s">
        <v>342</v>
      </c>
    </row>
    <row r="480" spans="3:5" x14ac:dyDescent="0.25">
      <c r="C480" t="s">
        <v>144</v>
      </c>
    </row>
    <row r="482" spans="4:9" x14ac:dyDescent="0.25">
      <c r="D482" t="s">
        <v>166</v>
      </c>
    </row>
    <row r="483" spans="4:9" x14ac:dyDescent="0.25">
      <c r="D483" t="s">
        <v>167</v>
      </c>
    </row>
    <row r="484" spans="4:9" x14ac:dyDescent="0.25">
      <c r="D484" t="s">
        <v>168</v>
      </c>
      <c r="E484" t="s">
        <v>169</v>
      </c>
      <c r="F484" t="s">
        <v>169</v>
      </c>
      <c r="G484" t="s">
        <v>169</v>
      </c>
      <c r="H484" t="s">
        <v>169</v>
      </c>
      <c r="I484" t="s">
        <v>169</v>
      </c>
    </row>
    <row r="485" spans="4:9" x14ac:dyDescent="0.25">
      <c r="D485" t="s">
        <v>170</v>
      </c>
      <c r="E485">
        <v>2</v>
      </c>
      <c r="F485">
        <v>3</v>
      </c>
      <c r="G485">
        <v>4</v>
      </c>
      <c r="H485">
        <v>5</v>
      </c>
      <c r="I485">
        <v>6</v>
      </c>
    </row>
    <row r="486" spans="4:9" x14ac:dyDescent="0.25">
      <c r="D486" t="s">
        <v>171</v>
      </c>
      <c r="E486" t="s">
        <v>311</v>
      </c>
      <c r="F486" t="s">
        <v>311</v>
      </c>
      <c r="G486" t="s">
        <v>311</v>
      </c>
      <c r="H486" t="s">
        <v>311</v>
      </c>
      <c r="I486" t="s">
        <v>311</v>
      </c>
    </row>
    <row r="487" spans="4:9" x14ac:dyDescent="0.25">
      <c r="D487" t="s">
        <v>172</v>
      </c>
      <c r="E487">
        <v>2</v>
      </c>
      <c r="F487">
        <v>3</v>
      </c>
      <c r="G487">
        <v>4</v>
      </c>
      <c r="H487">
        <v>5</v>
      </c>
      <c r="I487">
        <v>6</v>
      </c>
    </row>
    <row r="488" spans="4:9" x14ac:dyDescent="0.25">
      <c r="D488" t="s">
        <v>173</v>
      </c>
      <c r="E488">
        <v>789</v>
      </c>
      <c r="F488">
        <v>588</v>
      </c>
      <c r="G488">
        <v>1034</v>
      </c>
      <c r="H488">
        <v>641</v>
      </c>
      <c r="I488">
        <v>1154</v>
      </c>
    </row>
    <row r="489" spans="4:9" x14ac:dyDescent="0.25">
      <c r="D489" t="s">
        <v>174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4:9" x14ac:dyDescent="0.25">
      <c r="D490" t="s">
        <v>175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4:9" x14ac:dyDescent="0.25">
      <c r="D491" t="s">
        <v>176</v>
      </c>
      <c r="E491" t="s">
        <v>177</v>
      </c>
      <c r="F491" t="s">
        <v>177</v>
      </c>
      <c r="G491" t="s">
        <v>177</v>
      </c>
      <c r="H491" t="s">
        <v>177</v>
      </c>
      <c r="I491" t="s">
        <v>177</v>
      </c>
    </row>
    <row r="492" spans="4:9" x14ac:dyDescent="0.25">
      <c r="D492" t="s">
        <v>343</v>
      </c>
    </row>
    <row r="494" spans="4:9" x14ac:dyDescent="0.25">
      <c r="D494" t="s">
        <v>151</v>
      </c>
    </row>
    <row r="495" spans="4:9" x14ac:dyDescent="0.25">
      <c r="D495" t="s">
        <v>152</v>
      </c>
    </row>
    <row r="496" spans="4:9" x14ac:dyDescent="0.25">
      <c r="D496" t="s">
        <v>153</v>
      </c>
      <c r="E496">
        <v>300</v>
      </c>
    </row>
    <row r="497" spans="4:5" x14ac:dyDescent="0.25">
      <c r="D497" t="s">
        <v>344</v>
      </c>
    </row>
    <row r="499" spans="4:5" x14ac:dyDescent="0.25">
      <c r="D499" t="s">
        <v>151</v>
      </c>
    </row>
    <row r="500" spans="4:5" x14ac:dyDescent="0.25">
      <c r="D500" t="s">
        <v>155</v>
      </c>
    </row>
    <row r="501" spans="4:5" x14ac:dyDescent="0.25">
      <c r="D501" t="s">
        <v>370</v>
      </c>
    </row>
    <row r="503" spans="4:5" x14ac:dyDescent="0.25">
      <c r="D503" t="s">
        <v>157</v>
      </c>
    </row>
    <row r="504" spans="4:5" x14ac:dyDescent="0.25">
      <c r="D504" t="s">
        <v>152</v>
      </c>
    </row>
    <row r="505" spans="4:5" x14ac:dyDescent="0.25">
      <c r="D505" t="s">
        <v>158</v>
      </c>
      <c r="E505">
        <v>175</v>
      </c>
    </row>
    <row r="506" spans="4:5" x14ac:dyDescent="0.25">
      <c r="D506" t="s">
        <v>153</v>
      </c>
      <c r="E506">
        <v>1009.75</v>
      </c>
    </row>
    <row r="507" spans="4:5" x14ac:dyDescent="0.25">
      <c r="D507" t="s">
        <v>371</v>
      </c>
    </row>
    <row r="509" spans="4:5" x14ac:dyDescent="0.25">
      <c r="D509" t="s">
        <v>294</v>
      </c>
    </row>
    <row r="510" spans="4:5" x14ac:dyDescent="0.25">
      <c r="D510" t="s">
        <v>295</v>
      </c>
    </row>
    <row r="511" spans="4:5" x14ac:dyDescent="0.25">
      <c r="D511" t="s">
        <v>171</v>
      </c>
      <c r="E511" t="s">
        <v>305</v>
      </c>
    </row>
    <row r="512" spans="4:5" x14ac:dyDescent="0.25">
      <c r="D512" t="s">
        <v>168</v>
      </c>
      <c r="E512" t="s">
        <v>304</v>
      </c>
    </row>
    <row r="513" spans="4:5" x14ac:dyDescent="0.25">
      <c r="D513" t="s">
        <v>298</v>
      </c>
      <c r="E513">
        <v>97</v>
      </c>
    </row>
    <row r="514" spans="4:5" x14ac:dyDescent="0.25">
      <c r="D514" t="s">
        <v>299</v>
      </c>
      <c r="E514">
        <v>89</v>
      </c>
    </row>
    <row r="515" spans="4:5" x14ac:dyDescent="0.25">
      <c r="D515" t="s">
        <v>300</v>
      </c>
      <c r="E515">
        <v>4</v>
      </c>
    </row>
    <row r="516" spans="4:5" x14ac:dyDescent="0.25">
      <c r="D516" t="s">
        <v>301</v>
      </c>
      <c r="E516">
        <v>0</v>
      </c>
    </row>
    <row r="517" spans="4:5" x14ac:dyDescent="0.25">
      <c r="D517" t="s">
        <v>302</v>
      </c>
      <c r="E517">
        <v>0</v>
      </c>
    </row>
    <row r="518" spans="4:5" x14ac:dyDescent="0.25">
      <c r="D518" t="s">
        <v>372</v>
      </c>
    </row>
    <row r="520" spans="4:5" x14ac:dyDescent="0.25">
      <c r="D520" t="s">
        <v>294</v>
      </c>
    </row>
    <row r="521" spans="4:5" x14ac:dyDescent="0.25">
      <c r="D521" t="s">
        <v>295</v>
      </c>
    </row>
    <row r="522" spans="4:5" x14ac:dyDescent="0.25">
      <c r="D522" t="s">
        <v>171</v>
      </c>
      <c r="E522" t="s">
        <v>297</v>
      </c>
    </row>
    <row r="523" spans="4:5" x14ac:dyDescent="0.25">
      <c r="D523" t="s">
        <v>168</v>
      </c>
      <c r="E523" t="s">
        <v>312</v>
      </c>
    </row>
    <row r="524" spans="4:5" x14ac:dyDescent="0.25">
      <c r="D524" t="s">
        <v>298</v>
      </c>
      <c r="E524">
        <v>85</v>
      </c>
    </row>
    <row r="525" spans="4:5" x14ac:dyDescent="0.25">
      <c r="D525" t="s">
        <v>299</v>
      </c>
      <c r="E525">
        <v>73</v>
      </c>
    </row>
    <row r="526" spans="4:5" x14ac:dyDescent="0.25">
      <c r="D526" t="s">
        <v>300</v>
      </c>
      <c r="E526">
        <v>10</v>
      </c>
    </row>
    <row r="527" spans="4:5" x14ac:dyDescent="0.25">
      <c r="D527" t="s">
        <v>301</v>
      </c>
      <c r="E527">
        <v>1</v>
      </c>
    </row>
    <row r="528" spans="4:5" x14ac:dyDescent="0.25">
      <c r="D528" t="s">
        <v>302</v>
      </c>
      <c r="E528">
        <v>1</v>
      </c>
    </row>
    <row r="529" spans="2:4" x14ac:dyDescent="0.25">
      <c r="D529" t="s">
        <v>373</v>
      </c>
    </row>
    <row r="534" spans="2:4" x14ac:dyDescent="0.25">
      <c r="B534" t="s">
        <v>140</v>
      </c>
    </row>
    <row r="535" spans="2:4" x14ac:dyDescent="0.25">
      <c r="B535" t="s">
        <v>196</v>
      </c>
    </row>
    <row r="536" spans="2:4" x14ac:dyDescent="0.25">
      <c r="B536" t="s">
        <v>187</v>
      </c>
    </row>
    <row r="537" spans="2:4" x14ac:dyDescent="0.25">
      <c r="B537" t="s">
        <v>143</v>
      </c>
    </row>
    <row r="539" spans="2:4" x14ac:dyDescent="0.25">
      <c r="C539" t="s">
        <v>144</v>
      </c>
    </row>
    <row r="544" spans="2:4" x14ac:dyDescent="0.25">
      <c r="B544" t="s">
        <v>145</v>
      </c>
    </row>
    <row r="545" spans="2:5" x14ac:dyDescent="0.25">
      <c r="B545" t="s">
        <v>197</v>
      </c>
    </row>
    <row r="546" spans="2:5" x14ac:dyDescent="0.25">
      <c r="B546" t="s">
        <v>189</v>
      </c>
    </row>
    <row r="547" spans="2:5" x14ac:dyDescent="0.25">
      <c r="B547" t="s">
        <v>198</v>
      </c>
    </row>
    <row r="548" spans="2:5" x14ac:dyDescent="0.25">
      <c r="B548" t="s">
        <v>146</v>
      </c>
    </row>
    <row r="549" spans="2:5" x14ac:dyDescent="0.25">
      <c r="B549" t="s">
        <v>366</v>
      </c>
    </row>
    <row r="550" spans="2:5" x14ac:dyDescent="0.25">
      <c r="B550" t="s">
        <v>163</v>
      </c>
    </row>
    <row r="551" spans="2:5" x14ac:dyDescent="0.25">
      <c r="B551" t="s">
        <v>320</v>
      </c>
    </row>
    <row r="553" spans="2:5" x14ac:dyDescent="0.25">
      <c r="D553" t="s">
        <v>294</v>
      </c>
    </row>
    <row r="554" spans="2:5" x14ac:dyDescent="0.25">
      <c r="D554" t="s">
        <v>295</v>
      </c>
    </row>
    <row r="555" spans="2:5" x14ac:dyDescent="0.25">
      <c r="D555" t="s">
        <v>171</v>
      </c>
      <c r="E555" t="s">
        <v>311</v>
      </c>
    </row>
    <row r="556" spans="2:5" x14ac:dyDescent="0.25">
      <c r="D556" t="s">
        <v>168</v>
      </c>
      <c r="E556" t="s">
        <v>297</v>
      </c>
    </row>
    <row r="557" spans="2:5" x14ac:dyDescent="0.25">
      <c r="D557" t="s">
        <v>298</v>
      </c>
      <c r="E557">
        <v>85</v>
      </c>
    </row>
    <row r="558" spans="2:5" x14ac:dyDescent="0.25">
      <c r="D558" t="s">
        <v>299</v>
      </c>
      <c r="E558">
        <v>73</v>
      </c>
    </row>
    <row r="559" spans="2:5" x14ac:dyDescent="0.25">
      <c r="D559" t="s">
        <v>300</v>
      </c>
      <c r="E559">
        <v>10</v>
      </c>
    </row>
    <row r="560" spans="2:5" x14ac:dyDescent="0.25">
      <c r="D560" t="s">
        <v>301</v>
      </c>
      <c r="E560">
        <v>0</v>
      </c>
    </row>
    <row r="561" spans="3:5" x14ac:dyDescent="0.25">
      <c r="D561" t="s">
        <v>302</v>
      </c>
      <c r="E561">
        <v>0</v>
      </c>
    </row>
    <row r="562" spans="3:5" x14ac:dyDescent="0.25">
      <c r="D562" t="s">
        <v>345</v>
      </c>
    </row>
    <row r="564" spans="3:5" x14ac:dyDescent="0.25">
      <c r="D564" t="s">
        <v>294</v>
      </c>
    </row>
    <row r="565" spans="3:5" x14ac:dyDescent="0.25">
      <c r="D565" t="s">
        <v>295</v>
      </c>
    </row>
    <row r="566" spans="3:5" x14ac:dyDescent="0.25">
      <c r="D566" t="s">
        <v>171</v>
      </c>
      <c r="E566" t="s">
        <v>304</v>
      </c>
    </row>
    <row r="567" spans="3:5" x14ac:dyDescent="0.25">
      <c r="D567" t="s">
        <v>168</v>
      </c>
      <c r="E567" t="s">
        <v>305</v>
      </c>
    </row>
    <row r="568" spans="3:5" x14ac:dyDescent="0.25">
      <c r="D568" t="s">
        <v>298</v>
      </c>
      <c r="E568">
        <v>97</v>
      </c>
    </row>
    <row r="569" spans="3:5" x14ac:dyDescent="0.25">
      <c r="D569" t="s">
        <v>299</v>
      </c>
      <c r="E569">
        <v>89</v>
      </c>
    </row>
    <row r="570" spans="3:5" x14ac:dyDescent="0.25">
      <c r="D570" t="s">
        <v>300</v>
      </c>
      <c r="E570">
        <v>4</v>
      </c>
    </row>
    <row r="571" spans="3:5" x14ac:dyDescent="0.25">
      <c r="D571" t="s">
        <v>301</v>
      </c>
      <c r="E571">
        <v>1</v>
      </c>
    </row>
    <row r="572" spans="3:5" x14ac:dyDescent="0.25">
      <c r="D572" t="s">
        <v>302</v>
      </c>
      <c r="E572">
        <v>0</v>
      </c>
    </row>
    <row r="573" spans="3:5" x14ac:dyDescent="0.25">
      <c r="D573" t="s">
        <v>346</v>
      </c>
    </row>
    <row r="575" spans="3:5" x14ac:dyDescent="0.25">
      <c r="C575" t="s">
        <v>144</v>
      </c>
    </row>
    <row r="577" spans="4:9" x14ac:dyDescent="0.25">
      <c r="D577" t="s">
        <v>166</v>
      </c>
    </row>
    <row r="578" spans="4:9" x14ac:dyDescent="0.25">
      <c r="D578" t="s">
        <v>167</v>
      </c>
    </row>
    <row r="579" spans="4:9" x14ac:dyDescent="0.25">
      <c r="D579" t="s">
        <v>168</v>
      </c>
      <c r="E579" t="s">
        <v>169</v>
      </c>
      <c r="F579" t="s">
        <v>169</v>
      </c>
      <c r="G579" t="s">
        <v>169</v>
      </c>
      <c r="H579" t="s">
        <v>169</v>
      </c>
      <c r="I579" t="s">
        <v>169</v>
      </c>
    </row>
    <row r="580" spans="4:9" x14ac:dyDescent="0.25">
      <c r="D580" t="s">
        <v>170</v>
      </c>
      <c r="E580">
        <v>2</v>
      </c>
      <c r="F580">
        <v>3</v>
      </c>
      <c r="G580">
        <v>4</v>
      </c>
      <c r="H580">
        <v>5</v>
      </c>
      <c r="I580">
        <v>6</v>
      </c>
    </row>
    <row r="581" spans="4:9" x14ac:dyDescent="0.25">
      <c r="D581" t="s">
        <v>171</v>
      </c>
      <c r="E581" t="s">
        <v>312</v>
      </c>
      <c r="F581" t="s">
        <v>312</v>
      </c>
      <c r="G581" t="s">
        <v>312</v>
      </c>
      <c r="H581" t="s">
        <v>312</v>
      </c>
      <c r="I581" t="s">
        <v>312</v>
      </c>
    </row>
    <row r="582" spans="4:9" x14ac:dyDescent="0.25">
      <c r="D582" t="s">
        <v>172</v>
      </c>
      <c r="E582">
        <v>2</v>
      </c>
      <c r="F582">
        <v>3</v>
      </c>
      <c r="G582">
        <v>4</v>
      </c>
      <c r="H582">
        <v>5</v>
      </c>
      <c r="I582">
        <v>6</v>
      </c>
    </row>
    <row r="583" spans="4:9" x14ac:dyDescent="0.25">
      <c r="D583" t="s">
        <v>173</v>
      </c>
      <c r="E583">
        <v>789</v>
      </c>
      <c r="F583">
        <v>588</v>
      </c>
      <c r="G583">
        <v>1034</v>
      </c>
      <c r="H583">
        <v>641</v>
      </c>
      <c r="I583">
        <v>1154</v>
      </c>
    </row>
    <row r="584" spans="4:9" x14ac:dyDescent="0.25">
      <c r="D584" t="s">
        <v>174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4:9" x14ac:dyDescent="0.25">
      <c r="D585" t="s">
        <v>175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4:9" x14ac:dyDescent="0.25">
      <c r="D586" t="s">
        <v>176</v>
      </c>
      <c r="E586" t="s">
        <v>177</v>
      </c>
      <c r="F586" t="s">
        <v>177</v>
      </c>
      <c r="G586" t="s">
        <v>177</v>
      </c>
      <c r="H586" t="s">
        <v>177</v>
      </c>
      <c r="I586" t="s">
        <v>177</v>
      </c>
    </row>
    <row r="587" spans="4:9" x14ac:dyDescent="0.25">
      <c r="D587" t="s">
        <v>347</v>
      </c>
    </row>
    <row r="589" spans="4:9" x14ac:dyDescent="0.25">
      <c r="D589" t="s">
        <v>151</v>
      </c>
    </row>
    <row r="590" spans="4:9" x14ac:dyDescent="0.25">
      <c r="D590" t="s">
        <v>152</v>
      </c>
    </row>
    <row r="591" spans="4:9" x14ac:dyDescent="0.25">
      <c r="D591" t="s">
        <v>153</v>
      </c>
      <c r="E591">
        <v>300</v>
      </c>
    </row>
    <row r="592" spans="4:9" x14ac:dyDescent="0.25">
      <c r="D592" t="s">
        <v>348</v>
      </c>
    </row>
    <row r="594" spans="4:5" x14ac:dyDescent="0.25">
      <c r="D594" t="s">
        <v>151</v>
      </c>
    </row>
    <row r="595" spans="4:5" x14ac:dyDescent="0.25">
      <c r="D595" t="s">
        <v>155</v>
      </c>
    </row>
    <row r="596" spans="4:5" x14ac:dyDescent="0.25">
      <c r="D596" t="s">
        <v>374</v>
      </c>
    </row>
    <row r="598" spans="4:5" x14ac:dyDescent="0.25">
      <c r="D598" t="s">
        <v>157</v>
      </c>
    </row>
    <row r="599" spans="4:5" x14ac:dyDescent="0.25">
      <c r="D599" t="s">
        <v>152</v>
      </c>
    </row>
    <row r="600" spans="4:5" x14ac:dyDescent="0.25">
      <c r="D600" t="s">
        <v>158</v>
      </c>
      <c r="E600">
        <v>175</v>
      </c>
    </row>
    <row r="601" spans="4:5" x14ac:dyDescent="0.25">
      <c r="D601" t="s">
        <v>153</v>
      </c>
      <c r="E601">
        <v>1009.75</v>
      </c>
    </row>
    <row r="602" spans="4:5" x14ac:dyDescent="0.25">
      <c r="D602" t="s">
        <v>375</v>
      </c>
    </row>
    <row r="604" spans="4:5" x14ac:dyDescent="0.25">
      <c r="D604" t="s">
        <v>294</v>
      </c>
    </row>
    <row r="605" spans="4:5" x14ac:dyDescent="0.25">
      <c r="D605" t="s">
        <v>295</v>
      </c>
    </row>
    <row r="606" spans="4:5" x14ac:dyDescent="0.25">
      <c r="D606" t="s">
        <v>171</v>
      </c>
      <c r="E606" t="s">
        <v>305</v>
      </c>
    </row>
    <row r="607" spans="4:5" x14ac:dyDescent="0.25">
      <c r="D607" t="s">
        <v>168</v>
      </c>
      <c r="E607" t="s">
        <v>304</v>
      </c>
    </row>
    <row r="608" spans="4:5" x14ac:dyDescent="0.25">
      <c r="D608" t="s">
        <v>298</v>
      </c>
      <c r="E608">
        <v>97</v>
      </c>
    </row>
    <row r="609" spans="4:5" x14ac:dyDescent="0.25">
      <c r="D609" t="s">
        <v>299</v>
      </c>
      <c r="E609">
        <v>89</v>
      </c>
    </row>
    <row r="610" spans="4:5" x14ac:dyDescent="0.25">
      <c r="D610" t="s">
        <v>300</v>
      </c>
      <c r="E610">
        <v>4</v>
      </c>
    </row>
    <row r="611" spans="4:5" x14ac:dyDescent="0.25">
      <c r="D611" t="s">
        <v>301</v>
      </c>
      <c r="E611">
        <v>0</v>
      </c>
    </row>
    <row r="612" spans="4:5" x14ac:dyDescent="0.25">
      <c r="D612" t="s">
        <v>302</v>
      </c>
      <c r="E612">
        <v>0</v>
      </c>
    </row>
    <row r="613" spans="4:5" x14ac:dyDescent="0.25">
      <c r="D613" t="s">
        <v>376</v>
      </c>
    </row>
    <row r="615" spans="4:5" x14ac:dyDescent="0.25">
      <c r="D615" t="s">
        <v>294</v>
      </c>
    </row>
    <row r="616" spans="4:5" x14ac:dyDescent="0.25">
      <c r="D616" t="s">
        <v>295</v>
      </c>
    </row>
    <row r="617" spans="4:5" x14ac:dyDescent="0.25">
      <c r="D617" t="s">
        <v>171</v>
      </c>
      <c r="E617" t="s">
        <v>297</v>
      </c>
    </row>
    <row r="618" spans="4:5" x14ac:dyDescent="0.25">
      <c r="D618" t="s">
        <v>168</v>
      </c>
      <c r="E618" t="s">
        <v>311</v>
      </c>
    </row>
    <row r="619" spans="4:5" x14ac:dyDescent="0.25">
      <c r="D619" t="s">
        <v>298</v>
      </c>
      <c r="E619">
        <v>85</v>
      </c>
    </row>
    <row r="620" spans="4:5" x14ac:dyDescent="0.25">
      <c r="D620" t="s">
        <v>299</v>
      </c>
      <c r="E620">
        <v>73</v>
      </c>
    </row>
    <row r="621" spans="4:5" x14ac:dyDescent="0.25">
      <c r="D621" t="s">
        <v>300</v>
      </c>
      <c r="E621">
        <v>10</v>
      </c>
    </row>
    <row r="622" spans="4:5" x14ac:dyDescent="0.25">
      <c r="D622" t="s">
        <v>301</v>
      </c>
      <c r="E622">
        <v>1</v>
      </c>
    </row>
    <row r="623" spans="4:5" x14ac:dyDescent="0.25">
      <c r="D623" t="s">
        <v>302</v>
      </c>
      <c r="E623">
        <v>1</v>
      </c>
    </row>
    <row r="624" spans="4:5" x14ac:dyDescent="0.25">
      <c r="D624" t="s">
        <v>377</v>
      </c>
    </row>
    <row r="629" spans="2:3" x14ac:dyDescent="0.25">
      <c r="B629" t="s">
        <v>140</v>
      </c>
    </row>
    <row r="630" spans="2:3" x14ac:dyDescent="0.25">
      <c r="B630" t="s">
        <v>199</v>
      </c>
    </row>
    <row r="631" spans="2:3" x14ac:dyDescent="0.25">
      <c r="B631" t="s">
        <v>192</v>
      </c>
    </row>
    <row r="632" spans="2:3" x14ac:dyDescent="0.25">
      <c r="B632" t="s">
        <v>143</v>
      </c>
    </row>
    <row r="634" spans="2:3" x14ac:dyDescent="0.25">
      <c r="C634" t="s">
        <v>144</v>
      </c>
    </row>
    <row r="639" spans="2:3" x14ac:dyDescent="0.25">
      <c r="B639" t="s">
        <v>145</v>
      </c>
    </row>
    <row r="640" spans="2:3" x14ac:dyDescent="0.25">
      <c r="B640" t="s">
        <v>200</v>
      </c>
    </row>
    <row r="641" spans="2:5" x14ac:dyDescent="0.25">
      <c r="B641" t="s">
        <v>194</v>
      </c>
    </row>
    <row r="642" spans="2:5" x14ac:dyDescent="0.25">
      <c r="B642" t="s">
        <v>201</v>
      </c>
    </row>
    <row r="643" spans="2:5" x14ac:dyDescent="0.25">
      <c r="B643" t="s">
        <v>146</v>
      </c>
    </row>
    <row r="644" spans="2:5" x14ac:dyDescent="0.25">
      <c r="B644" t="s">
        <v>366</v>
      </c>
    </row>
    <row r="645" spans="2:5" x14ac:dyDescent="0.25">
      <c r="B645" t="s">
        <v>163</v>
      </c>
    </row>
    <row r="646" spans="2:5" x14ac:dyDescent="0.25">
      <c r="B646" t="s">
        <v>320</v>
      </c>
    </row>
    <row r="648" spans="2:5" x14ac:dyDescent="0.25">
      <c r="D648" t="s">
        <v>294</v>
      </c>
    </row>
    <row r="649" spans="2:5" x14ac:dyDescent="0.25">
      <c r="D649" t="s">
        <v>295</v>
      </c>
    </row>
    <row r="650" spans="2:5" x14ac:dyDescent="0.25">
      <c r="D650" t="s">
        <v>171</v>
      </c>
      <c r="E650" t="s">
        <v>312</v>
      </c>
    </row>
    <row r="651" spans="2:5" x14ac:dyDescent="0.25">
      <c r="D651" t="s">
        <v>168</v>
      </c>
      <c r="E651" t="s">
        <v>297</v>
      </c>
    </row>
    <row r="652" spans="2:5" x14ac:dyDescent="0.25">
      <c r="D652" t="s">
        <v>298</v>
      </c>
      <c r="E652">
        <v>85</v>
      </c>
    </row>
    <row r="653" spans="2:5" x14ac:dyDescent="0.25">
      <c r="D653" t="s">
        <v>299</v>
      </c>
      <c r="E653">
        <v>73</v>
      </c>
    </row>
    <row r="654" spans="2:5" x14ac:dyDescent="0.25">
      <c r="D654" t="s">
        <v>300</v>
      </c>
      <c r="E654">
        <v>10</v>
      </c>
    </row>
    <row r="655" spans="2:5" x14ac:dyDescent="0.25">
      <c r="D655" t="s">
        <v>301</v>
      </c>
      <c r="E655">
        <v>0</v>
      </c>
    </row>
    <row r="656" spans="2:5" x14ac:dyDescent="0.25">
      <c r="D656" t="s">
        <v>302</v>
      </c>
      <c r="E656">
        <v>0</v>
      </c>
    </row>
    <row r="657" spans="3:5" x14ac:dyDescent="0.25">
      <c r="D657" t="s">
        <v>349</v>
      </c>
    </row>
    <row r="659" spans="3:5" x14ac:dyDescent="0.25">
      <c r="D659" t="s">
        <v>294</v>
      </c>
    </row>
    <row r="660" spans="3:5" x14ac:dyDescent="0.25">
      <c r="D660" t="s">
        <v>295</v>
      </c>
    </row>
    <row r="661" spans="3:5" x14ac:dyDescent="0.25">
      <c r="D661" t="s">
        <v>171</v>
      </c>
      <c r="E661" t="s">
        <v>304</v>
      </c>
    </row>
    <row r="662" spans="3:5" x14ac:dyDescent="0.25">
      <c r="D662" t="s">
        <v>168</v>
      </c>
      <c r="E662" t="s">
        <v>305</v>
      </c>
    </row>
    <row r="663" spans="3:5" x14ac:dyDescent="0.25">
      <c r="D663" t="s">
        <v>298</v>
      </c>
      <c r="E663">
        <v>97</v>
      </c>
    </row>
    <row r="664" spans="3:5" x14ac:dyDescent="0.25">
      <c r="D664" t="s">
        <v>299</v>
      </c>
      <c r="E664">
        <v>89</v>
      </c>
    </row>
    <row r="665" spans="3:5" x14ac:dyDescent="0.25">
      <c r="D665" t="s">
        <v>300</v>
      </c>
      <c r="E665">
        <v>4</v>
      </c>
    </row>
    <row r="666" spans="3:5" x14ac:dyDescent="0.25">
      <c r="D666" t="s">
        <v>301</v>
      </c>
      <c r="E666">
        <v>1</v>
      </c>
    </row>
    <row r="667" spans="3:5" x14ac:dyDescent="0.25">
      <c r="D667" t="s">
        <v>302</v>
      </c>
      <c r="E667">
        <v>0</v>
      </c>
    </row>
    <row r="668" spans="3:5" x14ac:dyDescent="0.25">
      <c r="D668" t="s">
        <v>350</v>
      </c>
    </row>
    <row r="670" spans="3:5" x14ac:dyDescent="0.25">
      <c r="C670" t="s">
        <v>144</v>
      </c>
    </row>
    <row r="672" spans="3:5" x14ac:dyDescent="0.25">
      <c r="D672" t="s">
        <v>166</v>
      </c>
    </row>
    <row r="673" spans="4:9" x14ac:dyDescent="0.25">
      <c r="D673" t="s">
        <v>167</v>
      </c>
    </row>
    <row r="674" spans="4:9" x14ac:dyDescent="0.25">
      <c r="D674" t="s">
        <v>168</v>
      </c>
      <c r="E674" t="s">
        <v>169</v>
      </c>
      <c r="F674" t="s">
        <v>169</v>
      </c>
      <c r="G674" t="s">
        <v>169</v>
      </c>
      <c r="H674" t="s">
        <v>169</v>
      </c>
      <c r="I674" t="s">
        <v>169</v>
      </c>
    </row>
    <row r="675" spans="4:9" x14ac:dyDescent="0.25">
      <c r="D675" t="s">
        <v>170</v>
      </c>
      <c r="E675">
        <v>2</v>
      </c>
      <c r="F675">
        <v>3</v>
      </c>
      <c r="G675">
        <v>4</v>
      </c>
      <c r="H675">
        <v>5</v>
      </c>
      <c r="I675">
        <v>6</v>
      </c>
    </row>
    <row r="676" spans="4:9" x14ac:dyDescent="0.25">
      <c r="D676" t="s">
        <v>171</v>
      </c>
      <c r="E676" t="s">
        <v>311</v>
      </c>
      <c r="F676" t="s">
        <v>311</v>
      </c>
      <c r="G676" t="s">
        <v>311</v>
      </c>
      <c r="H676" t="s">
        <v>311</v>
      </c>
      <c r="I676" t="s">
        <v>311</v>
      </c>
    </row>
    <row r="677" spans="4:9" x14ac:dyDescent="0.25">
      <c r="D677" t="s">
        <v>172</v>
      </c>
      <c r="E677">
        <v>2</v>
      </c>
      <c r="F677">
        <v>3</v>
      </c>
      <c r="G677">
        <v>4</v>
      </c>
      <c r="H677">
        <v>5</v>
      </c>
      <c r="I677">
        <v>6</v>
      </c>
    </row>
    <row r="678" spans="4:9" x14ac:dyDescent="0.25">
      <c r="D678" t="s">
        <v>173</v>
      </c>
      <c r="E678">
        <v>789</v>
      </c>
      <c r="F678">
        <v>588</v>
      </c>
      <c r="G678">
        <v>1034</v>
      </c>
      <c r="H678">
        <v>641</v>
      </c>
      <c r="I678">
        <v>1154</v>
      </c>
    </row>
    <row r="679" spans="4:9" x14ac:dyDescent="0.25">
      <c r="D679" t="s">
        <v>174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4:9" x14ac:dyDescent="0.25">
      <c r="D680" t="s">
        <v>175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4:9" x14ac:dyDescent="0.25">
      <c r="D681" t="s">
        <v>176</v>
      </c>
      <c r="E681" t="s">
        <v>177</v>
      </c>
      <c r="F681" t="s">
        <v>177</v>
      </c>
      <c r="G681" t="s">
        <v>177</v>
      </c>
      <c r="H681" t="s">
        <v>177</v>
      </c>
      <c r="I681" t="s">
        <v>177</v>
      </c>
    </row>
    <row r="682" spans="4:9" x14ac:dyDescent="0.25">
      <c r="D682" t="s">
        <v>351</v>
      </c>
    </row>
    <row r="684" spans="4:9" x14ac:dyDescent="0.25">
      <c r="D684" t="s">
        <v>151</v>
      </c>
    </row>
    <row r="685" spans="4:9" x14ac:dyDescent="0.25">
      <c r="D685" t="s">
        <v>152</v>
      </c>
    </row>
    <row r="686" spans="4:9" x14ac:dyDescent="0.25">
      <c r="D686" t="s">
        <v>153</v>
      </c>
      <c r="E686">
        <v>300</v>
      </c>
    </row>
    <row r="687" spans="4:9" x14ac:dyDescent="0.25">
      <c r="D687" t="s">
        <v>352</v>
      </c>
    </row>
    <row r="689" spans="4:5" x14ac:dyDescent="0.25">
      <c r="D689" t="s">
        <v>151</v>
      </c>
    </row>
    <row r="690" spans="4:5" x14ac:dyDescent="0.25">
      <c r="D690" t="s">
        <v>155</v>
      </c>
    </row>
    <row r="691" spans="4:5" x14ac:dyDescent="0.25">
      <c r="D691" t="s">
        <v>378</v>
      </c>
    </row>
    <row r="693" spans="4:5" x14ac:dyDescent="0.25">
      <c r="D693" t="s">
        <v>157</v>
      </c>
    </row>
    <row r="694" spans="4:5" x14ac:dyDescent="0.25">
      <c r="D694" t="s">
        <v>152</v>
      </c>
    </row>
    <row r="695" spans="4:5" x14ac:dyDescent="0.25">
      <c r="D695" t="s">
        <v>158</v>
      </c>
      <c r="E695">
        <v>175</v>
      </c>
    </row>
    <row r="696" spans="4:5" x14ac:dyDescent="0.25">
      <c r="D696" t="s">
        <v>153</v>
      </c>
      <c r="E696">
        <v>1009.75</v>
      </c>
    </row>
    <row r="697" spans="4:5" x14ac:dyDescent="0.25">
      <c r="D697" t="s">
        <v>379</v>
      </c>
    </row>
    <row r="699" spans="4:5" x14ac:dyDescent="0.25">
      <c r="D699" t="s">
        <v>294</v>
      </c>
    </row>
    <row r="700" spans="4:5" x14ac:dyDescent="0.25">
      <c r="D700" t="s">
        <v>295</v>
      </c>
    </row>
    <row r="701" spans="4:5" x14ac:dyDescent="0.25">
      <c r="D701" t="s">
        <v>171</v>
      </c>
      <c r="E701" t="s">
        <v>305</v>
      </c>
    </row>
    <row r="702" spans="4:5" x14ac:dyDescent="0.25">
      <c r="D702" t="s">
        <v>168</v>
      </c>
      <c r="E702" t="s">
        <v>304</v>
      </c>
    </row>
    <row r="703" spans="4:5" x14ac:dyDescent="0.25">
      <c r="D703" t="s">
        <v>298</v>
      </c>
      <c r="E703">
        <v>97</v>
      </c>
    </row>
    <row r="704" spans="4:5" x14ac:dyDescent="0.25">
      <c r="D704" t="s">
        <v>299</v>
      </c>
      <c r="E704">
        <v>89</v>
      </c>
    </row>
    <row r="705" spans="4:5" x14ac:dyDescent="0.25">
      <c r="D705" t="s">
        <v>300</v>
      </c>
      <c r="E705">
        <v>4</v>
      </c>
    </row>
    <row r="706" spans="4:5" x14ac:dyDescent="0.25">
      <c r="D706" t="s">
        <v>301</v>
      </c>
      <c r="E706">
        <v>0</v>
      </c>
    </row>
    <row r="707" spans="4:5" x14ac:dyDescent="0.25">
      <c r="D707" t="s">
        <v>302</v>
      </c>
      <c r="E707">
        <v>0</v>
      </c>
    </row>
    <row r="708" spans="4:5" x14ac:dyDescent="0.25">
      <c r="D708" t="s">
        <v>380</v>
      </c>
    </row>
    <row r="710" spans="4:5" x14ac:dyDescent="0.25">
      <c r="D710" t="s">
        <v>294</v>
      </c>
    </row>
    <row r="711" spans="4:5" x14ac:dyDescent="0.25">
      <c r="D711" t="s">
        <v>295</v>
      </c>
    </row>
    <row r="712" spans="4:5" x14ac:dyDescent="0.25">
      <c r="D712" t="s">
        <v>171</v>
      </c>
      <c r="E712" t="s">
        <v>297</v>
      </c>
    </row>
    <row r="713" spans="4:5" x14ac:dyDescent="0.25">
      <c r="D713" t="s">
        <v>168</v>
      </c>
      <c r="E713" t="s">
        <v>312</v>
      </c>
    </row>
    <row r="714" spans="4:5" x14ac:dyDescent="0.25">
      <c r="D714" t="s">
        <v>298</v>
      </c>
      <c r="E714">
        <v>85</v>
      </c>
    </row>
    <row r="715" spans="4:5" x14ac:dyDescent="0.25">
      <c r="D715" t="s">
        <v>299</v>
      </c>
      <c r="E715">
        <v>73</v>
      </c>
    </row>
    <row r="716" spans="4:5" x14ac:dyDescent="0.25">
      <c r="D716" t="s">
        <v>300</v>
      </c>
      <c r="E716">
        <v>10</v>
      </c>
    </row>
    <row r="717" spans="4:5" x14ac:dyDescent="0.25">
      <c r="D717" t="s">
        <v>301</v>
      </c>
      <c r="E717">
        <v>1</v>
      </c>
    </row>
    <row r="718" spans="4:5" x14ac:dyDescent="0.25">
      <c r="D718" t="s">
        <v>302</v>
      </c>
      <c r="E718">
        <v>1</v>
      </c>
    </row>
    <row r="719" spans="4:5" x14ac:dyDescent="0.25">
      <c r="D719" t="s">
        <v>381</v>
      </c>
    </row>
    <row r="724" spans="2:3" x14ac:dyDescent="0.25">
      <c r="B724" t="s">
        <v>140</v>
      </c>
    </row>
    <row r="725" spans="2:3" x14ac:dyDescent="0.25">
      <c r="B725" t="s">
        <v>202</v>
      </c>
    </row>
    <row r="726" spans="2:3" x14ac:dyDescent="0.25">
      <c r="B726" t="s">
        <v>203</v>
      </c>
    </row>
    <row r="727" spans="2:3" x14ac:dyDescent="0.25">
      <c r="B727" t="s">
        <v>143</v>
      </c>
    </row>
    <row r="729" spans="2:3" x14ac:dyDescent="0.25">
      <c r="C729" t="s">
        <v>144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6:I292"/>
  <sheetViews>
    <sheetView topLeftCell="A184" workbookViewId="0"/>
  </sheetViews>
  <sheetFormatPr defaultRowHeight="15" x14ac:dyDescent="0.25"/>
  <sheetData>
    <row r="6" spans="2:3" x14ac:dyDescent="0.25">
      <c r="B6" t="s">
        <v>140</v>
      </c>
    </row>
    <row r="7" spans="2:3" x14ac:dyDescent="0.25">
      <c r="B7" t="s">
        <v>141</v>
      </c>
    </row>
    <row r="8" spans="2:3" x14ac:dyDescent="0.25">
      <c r="B8" t="s">
        <v>142</v>
      </c>
    </row>
    <row r="9" spans="2:3" x14ac:dyDescent="0.25">
      <c r="B9" t="s">
        <v>143</v>
      </c>
    </row>
    <row r="11" spans="2:3" x14ac:dyDescent="0.25">
      <c r="C11" t="s">
        <v>144</v>
      </c>
    </row>
    <row r="16" spans="2:3" x14ac:dyDescent="0.25">
      <c r="B16" t="s">
        <v>145</v>
      </c>
    </row>
    <row r="17" spans="2:5" x14ac:dyDescent="0.25">
      <c r="B17" t="s">
        <v>327</v>
      </c>
    </row>
    <row r="18" spans="2:5" x14ac:dyDescent="0.25">
      <c r="B18" t="s">
        <v>328</v>
      </c>
    </row>
    <row r="19" spans="2:5" x14ac:dyDescent="0.25">
      <c r="B19" t="s">
        <v>329</v>
      </c>
    </row>
    <row r="20" spans="2:5" x14ac:dyDescent="0.25">
      <c r="B20" t="s">
        <v>146</v>
      </c>
    </row>
    <row r="21" spans="2:5" x14ac:dyDescent="0.25">
      <c r="B21" t="s">
        <v>147</v>
      </c>
    </row>
    <row r="22" spans="2:5" x14ac:dyDescent="0.25">
      <c r="B22" t="s">
        <v>163</v>
      </c>
    </row>
    <row r="23" spans="2:5" x14ac:dyDescent="0.25">
      <c r="B23" t="s">
        <v>330</v>
      </c>
    </row>
    <row r="25" spans="2:5" x14ac:dyDescent="0.25">
      <c r="D25" t="s">
        <v>294</v>
      </c>
    </row>
    <row r="26" spans="2:5" x14ac:dyDescent="0.25">
      <c r="D26" t="s">
        <v>295</v>
      </c>
    </row>
    <row r="27" spans="2:5" x14ac:dyDescent="0.25">
      <c r="D27" t="s">
        <v>171</v>
      </c>
      <c r="E27" t="s">
        <v>296</v>
      </c>
    </row>
    <row r="28" spans="2:5" x14ac:dyDescent="0.25">
      <c r="D28" t="s">
        <v>168</v>
      </c>
      <c r="E28" t="s">
        <v>297</v>
      </c>
    </row>
    <row r="29" spans="2:5" x14ac:dyDescent="0.25">
      <c r="D29" t="s">
        <v>298</v>
      </c>
      <c r="E29">
        <v>85</v>
      </c>
    </row>
    <row r="30" spans="2:5" x14ac:dyDescent="0.25">
      <c r="D30" t="s">
        <v>299</v>
      </c>
      <c r="E30">
        <v>73</v>
      </c>
    </row>
    <row r="31" spans="2:5" x14ac:dyDescent="0.25">
      <c r="D31" t="s">
        <v>300</v>
      </c>
      <c r="E31">
        <v>10</v>
      </c>
    </row>
    <row r="32" spans="2:5" x14ac:dyDescent="0.25">
      <c r="D32" t="s">
        <v>301</v>
      </c>
      <c r="E32">
        <v>0</v>
      </c>
    </row>
    <row r="33" spans="3:5" x14ac:dyDescent="0.25">
      <c r="D33" t="s">
        <v>302</v>
      </c>
      <c r="E33">
        <v>0</v>
      </c>
    </row>
    <row r="34" spans="3:5" x14ac:dyDescent="0.25">
      <c r="D34" t="s">
        <v>303</v>
      </c>
    </row>
    <row r="36" spans="3:5" x14ac:dyDescent="0.25">
      <c r="D36" t="s">
        <v>294</v>
      </c>
    </row>
    <row r="37" spans="3:5" x14ac:dyDescent="0.25">
      <c r="D37" t="s">
        <v>295</v>
      </c>
    </row>
    <row r="38" spans="3:5" x14ac:dyDescent="0.25">
      <c r="D38" t="s">
        <v>171</v>
      </c>
      <c r="E38" t="s">
        <v>304</v>
      </c>
    </row>
    <row r="39" spans="3:5" x14ac:dyDescent="0.25">
      <c r="D39" t="s">
        <v>168</v>
      </c>
      <c r="E39" t="s">
        <v>305</v>
      </c>
    </row>
    <row r="40" spans="3:5" x14ac:dyDescent="0.25">
      <c r="D40" t="s">
        <v>298</v>
      </c>
      <c r="E40">
        <v>97</v>
      </c>
    </row>
    <row r="41" spans="3:5" x14ac:dyDescent="0.25">
      <c r="D41" t="s">
        <v>299</v>
      </c>
      <c r="E41">
        <v>89</v>
      </c>
    </row>
    <row r="42" spans="3:5" x14ac:dyDescent="0.25">
      <c r="D42" t="s">
        <v>300</v>
      </c>
      <c r="E42">
        <v>4</v>
      </c>
    </row>
    <row r="43" spans="3:5" x14ac:dyDescent="0.25">
      <c r="D43" t="s">
        <v>301</v>
      </c>
      <c r="E43">
        <v>1</v>
      </c>
    </row>
    <row r="44" spans="3:5" x14ac:dyDescent="0.25">
      <c r="D44" t="s">
        <v>302</v>
      </c>
      <c r="E44">
        <v>0</v>
      </c>
    </row>
    <row r="45" spans="3:5" x14ac:dyDescent="0.25">
      <c r="D45" t="s">
        <v>154</v>
      </c>
    </row>
    <row r="47" spans="3:5" x14ac:dyDescent="0.25">
      <c r="C47" t="s">
        <v>331</v>
      </c>
    </row>
    <row r="50" spans="4:5" x14ac:dyDescent="0.25">
      <c r="D50" t="s">
        <v>151</v>
      </c>
    </row>
    <row r="51" spans="4:5" x14ac:dyDescent="0.25">
      <c r="D51" t="s">
        <v>152</v>
      </c>
    </row>
    <row r="52" spans="4:5" x14ac:dyDescent="0.25">
      <c r="D52" t="s">
        <v>153</v>
      </c>
      <c r="E52">
        <v>0</v>
      </c>
    </row>
    <row r="53" spans="4:5" x14ac:dyDescent="0.25">
      <c r="D53" t="s">
        <v>159</v>
      </c>
    </row>
    <row r="55" spans="4:5" x14ac:dyDescent="0.25">
      <c r="D55" t="s">
        <v>151</v>
      </c>
    </row>
    <row r="56" spans="4:5" x14ac:dyDescent="0.25">
      <c r="D56" t="s">
        <v>155</v>
      </c>
    </row>
    <row r="57" spans="4:5" x14ac:dyDescent="0.25">
      <c r="D57" t="s">
        <v>306</v>
      </c>
    </row>
    <row r="59" spans="4:5" x14ac:dyDescent="0.25">
      <c r="D59" t="s">
        <v>157</v>
      </c>
    </row>
    <row r="60" spans="4:5" x14ac:dyDescent="0.25">
      <c r="D60" t="s">
        <v>152</v>
      </c>
    </row>
    <row r="61" spans="4:5" x14ac:dyDescent="0.25">
      <c r="D61" t="s">
        <v>158</v>
      </c>
      <c r="E61">
        <v>175</v>
      </c>
    </row>
    <row r="62" spans="4:5" x14ac:dyDescent="0.25">
      <c r="D62" t="s">
        <v>153</v>
      </c>
      <c r="E62">
        <v>700</v>
      </c>
    </row>
    <row r="63" spans="4:5" x14ac:dyDescent="0.25">
      <c r="D63" t="s">
        <v>308</v>
      </c>
    </row>
    <row r="68" spans="2:5" x14ac:dyDescent="0.25">
      <c r="B68" t="s">
        <v>145</v>
      </c>
    </row>
    <row r="69" spans="2:5" x14ac:dyDescent="0.25">
      <c r="B69" t="s">
        <v>160</v>
      </c>
    </row>
    <row r="70" spans="2:5" x14ac:dyDescent="0.25">
      <c r="B70" t="s">
        <v>161</v>
      </c>
    </row>
    <row r="71" spans="2:5" x14ac:dyDescent="0.25">
      <c r="B71" t="s">
        <v>162</v>
      </c>
    </row>
    <row r="72" spans="2:5" x14ac:dyDescent="0.25">
      <c r="B72" t="s">
        <v>146</v>
      </c>
    </row>
    <row r="73" spans="2:5" x14ac:dyDescent="0.25">
      <c r="B73" t="s">
        <v>147</v>
      </c>
    </row>
    <row r="74" spans="2:5" x14ac:dyDescent="0.25">
      <c r="B74" t="s">
        <v>163</v>
      </c>
    </row>
    <row r="75" spans="2:5" x14ac:dyDescent="0.25">
      <c r="B75" t="s">
        <v>164</v>
      </c>
    </row>
    <row r="77" spans="2:5" x14ac:dyDescent="0.25">
      <c r="D77" t="s">
        <v>148</v>
      </c>
    </row>
    <row r="78" spans="2:5" x14ac:dyDescent="0.25">
      <c r="D78" t="s">
        <v>149</v>
      </c>
    </row>
    <row r="79" spans="2:5" x14ac:dyDescent="0.25">
      <c r="D79" t="s">
        <v>150</v>
      </c>
      <c r="E79" t="s">
        <v>319</v>
      </c>
    </row>
    <row r="80" spans="2:5" x14ac:dyDescent="0.25">
      <c r="D80" t="s">
        <v>165</v>
      </c>
    </row>
    <row r="81" spans="3:9" x14ac:dyDescent="0.25">
      <c r="C81" t="s">
        <v>144</v>
      </c>
    </row>
    <row r="83" spans="3:9" x14ac:dyDescent="0.25">
      <c r="D83" t="s">
        <v>166</v>
      </c>
    </row>
    <row r="84" spans="3:9" x14ac:dyDescent="0.25">
      <c r="D84" t="s">
        <v>167</v>
      </c>
    </row>
    <row r="85" spans="3:9" x14ac:dyDescent="0.25">
      <c r="D85" t="s">
        <v>168</v>
      </c>
      <c r="E85" t="s">
        <v>169</v>
      </c>
      <c r="F85" t="s">
        <v>169</v>
      </c>
      <c r="G85" t="s">
        <v>169</v>
      </c>
      <c r="H85" t="s">
        <v>169</v>
      </c>
      <c r="I85" t="s">
        <v>169</v>
      </c>
    </row>
    <row r="86" spans="3:9" x14ac:dyDescent="0.25">
      <c r="D86" t="s">
        <v>170</v>
      </c>
      <c r="E86">
        <v>2</v>
      </c>
      <c r="F86">
        <v>3</v>
      </c>
      <c r="G86">
        <v>4</v>
      </c>
      <c r="H86">
        <v>5</v>
      </c>
      <c r="I86">
        <v>6</v>
      </c>
    </row>
    <row r="87" spans="3:9" x14ac:dyDescent="0.25">
      <c r="D87" t="s">
        <v>171</v>
      </c>
      <c r="E87" t="s">
        <v>307</v>
      </c>
      <c r="F87" t="s">
        <v>307</v>
      </c>
      <c r="G87" t="s">
        <v>307</v>
      </c>
      <c r="H87" t="s">
        <v>307</v>
      </c>
      <c r="I87" t="s">
        <v>307</v>
      </c>
    </row>
    <row r="88" spans="3:9" x14ac:dyDescent="0.25">
      <c r="D88" t="s">
        <v>172</v>
      </c>
      <c r="E88">
        <v>2</v>
      </c>
      <c r="F88">
        <v>3</v>
      </c>
      <c r="G88">
        <v>4</v>
      </c>
      <c r="H88">
        <v>5</v>
      </c>
      <c r="I88">
        <v>6</v>
      </c>
    </row>
    <row r="89" spans="3:9" x14ac:dyDescent="0.25">
      <c r="D89" t="s">
        <v>173</v>
      </c>
      <c r="E89">
        <v>600</v>
      </c>
      <c r="F89">
        <v>600</v>
      </c>
      <c r="G89">
        <v>600</v>
      </c>
      <c r="H89">
        <v>600</v>
      </c>
      <c r="I89">
        <v>600</v>
      </c>
    </row>
    <row r="90" spans="3:9" x14ac:dyDescent="0.25">
      <c r="D90" t="s">
        <v>174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3:9" x14ac:dyDescent="0.25">
      <c r="D91" t="s">
        <v>175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3:9" x14ac:dyDescent="0.25">
      <c r="D92" t="s">
        <v>176</v>
      </c>
      <c r="E92" t="s">
        <v>177</v>
      </c>
      <c r="F92" t="s">
        <v>177</v>
      </c>
      <c r="G92" t="s">
        <v>177</v>
      </c>
      <c r="H92" t="s">
        <v>177</v>
      </c>
      <c r="I92" t="s">
        <v>177</v>
      </c>
    </row>
    <row r="93" spans="3:9" x14ac:dyDescent="0.25">
      <c r="D93" t="s">
        <v>178</v>
      </c>
    </row>
    <row r="95" spans="3:9" x14ac:dyDescent="0.25">
      <c r="D95" t="s">
        <v>151</v>
      </c>
    </row>
    <row r="96" spans="3:9" x14ac:dyDescent="0.25">
      <c r="D96" t="s">
        <v>152</v>
      </c>
    </row>
    <row r="97" spans="4:5" x14ac:dyDescent="0.25">
      <c r="D97" t="s">
        <v>153</v>
      </c>
      <c r="E97">
        <v>0</v>
      </c>
    </row>
    <row r="98" spans="4:5" x14ac:dyDescent="0.25">
      <c r="D98" t="s">
        <v>179</v>
      </c>
    </row>
    <row r="100" spans="4:5" x14ac:dyDescent="0.25">
      <c r="D100" t="s">
        <v>151</v>
      </c>
    </row>
    <row r="101" spans="4:5" x14ac:dyDescent="0.25">
      <c r="D101" t="s">
        <v>155</v>
      </c>
    </row>
    <row r="102" spans="4:5" x14ac:dyDescent="0.25">
      <c r="D102" t="s">
        <v>180</v>
      </c>
    </row>
    <row r="104" spans="4:5" x14ac:dyDescent="0.25">
      <c r="D104" t="s">
        <v>157</v>
      </c>
    </row>
    <row r="105" spans="4:5" x14ac:dyDescent="0.25">
      <c r="D105" t="s">
        <v>152</v>
      </c>
    </row>
    <row r="106" spans="4:5" x14ac:dyDescent="0.25">
      <c r="D106" t="s">
        <v>158</v>
      </c>
      <c r="E106">
        <v>175</v>
      </c>
    </row>
    <row r="107" spans="4:5" x14ac:dyDescent="0.25">
      <c r="D107" t="s">
        <v>153</v>
      </c>
      <c r="E107">
        <v>525</v>
      </c>
    </row>
    <row r="108" spans="4:5" x14ac:dyDescent="0.25">
      <c r="D108" t="s">
        <v>181</v>
      </c>
    </row>
    <row r="113" spans="2:5" x14ac:dyDescent="0.25">
      <c r="B113" t="s">
        <v>145</v>
      </c>
    </row>
    <row r="114" spans="2:5" x14ac:dyDescent="0.25">
      <c r="B114" t="s">
        <v>182</v>
      </c>
    </row>
    <row r="115" spans="2:5" x14ac:dyDescent="0.25">
      <c r="B115" t="s">
        <v>183</v>
      </c>
    </row>
    <row r="116" spans="2:5" x14ac:dyDescent="0.25">
      <c r="B116" t="s">
        <v>184</v>
      </c>
    </row>
    <row r="117" spans="2:5" x14ac:dyDescent="0.25">
      <c r="B117" t="s">
        <v>146</v>
      </c>
    </row>
    <row r="118" spans="2:5" x14ac:dyDescent="0.25">
      <c r="B118" t="s">
        <v>147</v>
      </c>
    </row>
    <row r="119" spans="2:5" x14ac:dyDescent="0.25">
      <c r="B119" t="s">
        <v>163</v>
      </c>
    </row>
    <row r="120" spans="2:5" x14ac:dyDescent="0.25">
      <c r="B120" t="s">
        <v>164</v>
      </c>
    </row>
    <row r="122" spans="2:5" x14ac:dyDescent="0.25">
      <c r="D122" t="s">
        <v>148</v>
      </c>
    </row>
    <row r="123" spans="2:5" x14ac:dyDescent="0.25">
      <c r="D123" t="s">
        <v>149</v>
      </c>
    </row>
    <row r="124" spans="2:5" x14ac:dyDescent="0.25">
      <c r="D124" t="s">
        <v>150</v>
      </c>
      <c r="E124" t="s">
        <v>185</v>
      </c>
    </row>
    <row r="125" spans="2:5" x14ac:dyDescent="0.25">
      <c r="D125" t="s">
        <v>332</v>
      </c>
    </row>
    <row r="126" spans="2:5" x14ac:dyDescent="0.25">
      <c r="C126" t="s">
        <v>144</v>
      </c>
    </row>
    <row r="128" spans="2:5" x14ac:dyDescent="0.25">
      <c r="D128" t="s">
        <v>166</v>
      </c>
    </row>
    <row r="129" spans="4:9" x14ac:dyDescent="0.25">
      <c r="D129" t="s">
        <v>167</v>
      </c>
    </row>
    <row r="130" spans="4:9" x14ac:dyDescent="0.25">
      <c r="D130" t="s">
        <v>168</v>
      </c>
      <c r="E130" t="s">
        <v>169</v>
      </c>
      <c r="F130" t="s">
        <v>169</v>
      </c>
      <c r="G130" t="s">
        <v>169</v>
      </c>
      <c r="H130" t="s">
        <v>169</v>
      </c>
      <c r="I130" t="s">
        <v>169</v>
      </c>
    </row>
    <row r="131" spans="4:9" x14ac:dyDescent="0.25">
      <c r="D131" t="s">
        <v>170</v>
      </c>
      <c r="E131">
        <v>2</v>
      </c>
      <c r="F131">
        <v>3</v>
      </c>
      <c r="G131">
        <v>4</v>
      </c>
      <c r="H131">
        <v>5</v>
      </c>
      <c r="I131">
        <v>6</v>
      </c>
    </row>
    <row r="132" spans="4:9" x14ac:dyDescent="0.25">
      <c r="D132" t="s">
        <v>171</v>
      </c>
      <c r="E132" t="s">
        <v>307</v>
      </c>
      <c r="F132" t="s">
        <v>307</v>
      </c>
      <c r="G132" t="s">
        <v>307</v>
      </c>
      <c r="H132" t="s">
        <v>307</v>
      </c>
      <c r="I132" t="s">
        <v>307</v>
      </c>
    </row>
    <row r="133" spans="4:9" x14ac:dyDescent="0.25">
      <c r="D133" t="s">
        <v>172</v>
      </c>
      <c r="E133">
        <v>2</v>
      </c>
      <c r="F133">
        <v>3</v>
      </c>
      <c r="G133">
        <v>4</v>
      </c>
      <c r="H133">
        <v>5</v>
      </c>
      <c r="I133">
        <v>6</v>
      </c>
    </row>
    <row r="134" spans="4:9" x14ac:dyDescent="0.25">
      <c r="D134" t="s">
        <v>173</v>
      </c>
      <c r="E134">
        <v>600</v>
      </c>
      <c r="F134">
        <v>600</v>
      </c>
      <c r="G134">
        <v>600</v>
      </c>
      <c r="H134">
        <v>600</v>
      </c>
      <c r="I134">
        <v>600</v>
      </c>
    </row>
    <row r="135" spans="4:9" x14ac:dyDescent="0.25">
      <c r="D135" t="s">
        <v>174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4:9" x14ac:dyDescent="0.25">
      <c r="D136" t="s">
        <v>175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4:9" x14ac:dyDescent="0.25">
      <c r="D137" t="s">
        <v>176</v>
      </c>
      <c r="E137" t="s">
        <v>177</v>
      </c>
      <c r="F137" t="s">
        <v>177</v>
      </c>
      <c r="G137" t="s">
        <v>177</v>
      </c>
      <c r="H137" t="s">
        <v>177</v>
      </c>
      <c r="I137" t="s">
        <v>177</v>
      </c>
    </row>
    <row r="138" spans="4:9" x14ac:dyDescent="0.25">
      <c r="D138" t="s">
        <v>333</v>
      </c>
    </row>
    <row r="140" spans="4:9" x14ac:dyDescent="0.25">
      <c r="D140" t="s">
        <v>151</v>
      </c>
    </row>
    <row r="141" spans="4:9" x14ac:dyDescent="0.25">
      <c r="D141" t="s">
        <v>152</v>
      </c>
    </row>
    <row r="142" spans="4:9" x14ac:dyDescent="0.25">
      <c r="D142" t="s">
        <v>153</v>
      </c>
      <c r="E142">
        <v>0</v>
      </c>
    </row>
    <row r="143" spans="4:9" x14ac:dyDescent="0.25">
      <c r="D143" t="s">
        <v>334</v>
      </c>
    </row>
    <row r="145" spans="4:5" x14ac:dyDescent="0.25">
      <c r="D145" t="s">
        <v>151</v>
      </c>
    </row>
    <row r="146" spans="4:5" x14ac:dyDescent="0.25">
      <c r="D146" t="s">
        <v>155</v>
      </c>
    </row>
    <row r="147" spans="4:5" x14ac:dyDescent="0.25">
      <c r="D147" t="s">
        <v>335</v>
      </c>
    </row>
    <row r="149" spans="4:5" x14ac:dyDescent="0.25">
      <c r="D149" t="s">
        <v>157</v>
      </c>
    </row>
    <row r="150" spans="4:5" x14ac:dyDescent="0.25">
      <c r="D150" t="s">
        <v>152</v>
      </c>
    </row>
    <row r="151" spans="4:5" x14ac:dyDescent="0.25">
      <c r="D151" t="s">
        <v>158</v>
      </c>
      <c r="E151">
        <v>175</v>
      </c>
    </row>
    <row r="152" spans="4:5" x14ac:dyDescent="0.25">
      <c r="D152" t="s">
        <v>153</v>
      </c>
      <c r="E152">
        <v>525</v>
      </c>
    </row>
    <row r="153" spans="4:5" x14ac:dyDescent="0.25">
      <c r="D153" t="s">
        <v>336</v>
      </c>
    </row>
    <row r="155" spans="4:5" x14ac:dyDescent="0.25">
      <c r="D155" t="s">
        <v>294</v>
      </c>
    </row>
    <row r="156" spans="4:5" x14ac:dyDescent="0.25">
      <c r="D156" t="s">
        <v>295</v>
      </c>
    </row>
    <row r="157" spans="4:5" x14ac:dyDescent="0.25">
      <c r="D157" t="s">
        <v>171</v>
      </c>
      <c r="E157" t="s">
        <v>305</v>
      </c>
    </row>
    <row r="158" spans="4:5" x14ac:dyDescent="0.25">
      <c r="D158" t="s">
        <v>168</v>
      </c>
      <c r="E158" t="s">
        <v>304</v>
      </c>
    </row>
    <row r="159" spans="4:5" x14ac:dyDescent="0.25">
      <c r="D159" t="s">
        <v>298</v>
      </c>
      <c r="E159">
        <v>97</v>
      </c>
    </row>
    <row r="160" spans="4:5" x14ac:dyDescent="0.25">
      <c r="D160" t="s">
        <v>299</v>
      </c>
      <c r="E160">
        <v>89</v>
      </c>
    </row>
    <row r="161" spans="4:5" x14ac:dyDescent="0.25">
      <c r="D161" t="s">
        <v>300</v>
      </c>
      <c r="E161">
        <v>4</v>
      </c>
    </row>
    <row r="162" spans="4:5" x14ac:dyDescent="0.25">
      <c r="D162" t="s">
        <v>301</v>
      </c>
      <c r="E162">
        <v>0</v>
      </c>
    </row>
    <row r="163" spans="4:5" x14ac:dyDescent="0.25">
      <c r="D163" t="s">
        <v>302</v>
      </c>
      <c r="E163">
        <v>0</v>
      </c>
    </row>
    <row r="164" spans="4:5" x14ac:dyDescent="0.25">
      <c r="D164" t="s">
        <v>360</v>
      </c>
    </row>
    <row r="166" spans="4:5" x14ac:dyDescent="0.25">
      <c r="D166" t="s">
        <v>294</v>
      </c>
    </row>
    <row r="167" spans="4:5" x14ac:dyDescent="0.25">
      <c r="D167" t="s">
        <v>295</v>
      </c>
    </row>
    <row r="168" spans="4:5" x14ac:dyDescent="0.25">
      <c r="D168" t="s">
        <v>171</v>
      </c>
      <c r="E168" t="s">
        <v>297</v>
      </c>
    </row>
    <row r="169" spans="4:5" x14ac:dyDescent="0.25">
      <c r="D169" t="s">
        <v>168</v>
      </c>
      <c r="E169" t="s">
        <v>296</v>
      </c>
    </row>
    <row r="170" spans="4:5" x14ac:dyDescent="0.25">
      <c r="D170" t="s">
        <v>298</v>
      </c>
      <c r="E170">
        <v>85</v>
      </c>
    </row>
    <row r="171" spans="4:5" x14ac:dyDescent="0.25">
      <c r="D171" t="s">
        <v>299</v>
      </c>
      <c r="E171">
        <v>73</v>
      </c>
    </row>
    <row r="172" spans="4:5" x14ac:dyDescent="0.25">
      <c r="D172" t="s">
        <v>300</v>
      </c>
      <c r="E172">
        <v>10</v>
      </c>
    </row>
    <row r="173" spans="4:5" x14ac:dyDescent="0.25">
      <c r="D173" t="s">
        <v>301</v>
      </c>
      <c r="E173">
        <v>1</v>
      </c>
    </row>
    <row r="174" spans="4:5" x14ac:dyDescent="0.25">
      <c r="D174" t="s">
        <v>302</v>
      </c>
      <c r="E174">
        <v>1</v>
      </c>
    </row>
    <row r="175" spans="4:5" x14ac:dyDescent="0.25">
      <c r="D175" t="s">
        <v>361</v>
      </c>
    </row>
    <row r="180" spans="2:3" x14ac:dyDescent="0.25">
      <c r="B180" t="s">
        <v>140</v>
      </c>
    </row>
    <row r="181" spans="2:3" x14ac:dyDescent="0.25">
      <c r="B181" t="s">
        <v>186</v>
      </c>
    </row>
    <row r="182" spans="2:3" x14ac:dyDescent="0.25">
      <c r="B182" t="s">
        <v>187</v>
      </c>
    </row>
    <row r="183" spans="2:3" x14ac:dyDescent="0.25">
      <c r="B183" t="s">
        <v>143</v>
      </c>
    </row>
    <row r="185" spans="2:3" x14ac:dyDescent="0.25">
      <c r="C185" t="s">
        <v>144</v>
      </c>
    </row>
    <row r="190" spans="2:3" x14ac:dyDescent="0.25">
      <c r="B190" t="s">
        <v>145</v>
      </c>
    </row>
    <row r="191" spans="2:3" x14ac:dyDescent="0.25">
      <c r="B191" t="s">
        <v>188</v>
      </c>
    </row>
    <row r="192" spans="2:3" x14ac:dyDescent="0.25">
      <c r="B192" t="s">
        <v>189</v>
      </c>
    </row>
    <row r="193" spans="2:5" x14ac:dyDescent="0.25">
      <c r="B193" t="s">
        <v>190</v>
      </c>
    </row>
    <row r="194" spans="2:5" x14ac:dyDescent="0.25">
      <c r="B194" t="s">
        <v>146</v>
      </c>
    </row>
    <row r="195" spans="2:5" x14ac:dyDescent="0.25">
      <c r="B195" t="s">
        <v>147</v>
      </c>
    </row>
    <row r="196" spans="2:5" x14ac:dyDescent="0.25">
      <c r="B196" t="s">
        <v>163</v>
      </c>
    </row>
    <row r="197" spans="2:5" x14ac:dyDescent="0.25">
      <c r="B197" t="s">
        <v>320</v>
      </c>
    </row>
    <row r="199" spans="2:5" x14ac:dyDescent="0.25">
      <c r="D199" t="s">
        <v>294</v>
      </c>
    </row>
    <row r="200" spans="2:5" x14ac:dyDescent="0.25">
      <c r="D200" t="s">
        <v>295</v>
      </c>
    </row>
    <row r="201" spans="2:5" x14ac:dyDescent="0.25">
      <c r="D201" t="s">
        <v>171</v>
      </c>
      <c r="E201" t="s">
        <v>311</v>
      </c>
    </row>
    <row r="202" spans="2:5" x14ac:dyDescent="0.25">
      <c r="D202" t="s">
        <v>168</v>
      </c>
      <c r="E202" t="s">
        <v>297</v>
      </c>
    </row>
    <row r="203" spans="2:5" x14ac:dyDescent="0.25">
      <c r="D203" t="s">
        <v>298</v>
      </c>
      <c r="E203">
        <v>85</v>
      </c>
    </row>
    <row r="204" spans="2:5" x14ac:dyDescent="0.25">
      <c r="D204" t="s">
        <v>299</v>
      </c>
      <c r="E204">
        <v>73</v>
      </c>
    </row>
    <row r="205" spans="2:5" x14ac:dyDescent="0.25">
      <c r="D205" t="s">
        <v>300</v>
      </c>
      <c r="E205">
        <v>10</v>
      </c>
    </row>
    <row r="206" spans="2:5" x14ac:dyDescent="0.25">
      <c r="D206" t="s">
        <v>301</v>
      </c>
      <c r="E206">
        <v>0</v>
      </c>
    </row>
    <row r="207" spans="2:5" x14ac:dyDescent="0.25">
      <c r="D207" t="s">
        <v>302</v>
      </c>
      <c r="E207">
        <v>0</v>
      </c>
    </row>
    <row r="208" spans="2:5" x14ac:dyDescent="0.25">
      <c r="D208" t="s">
        <v>337</v>
      </c>
    </row>
    <row r="210" spans="3:5" x14ac:dyDescent="0.25">
      <c r="D210" t="s">
        <v>294</v>
      </c>
    </row>
    <row r="211" spans="3:5" x14ac:dyDescent="0.25">
      <c r="D211" t="s">
        <v>295</v>
      </c>
    </row>
    <row r="212" spans="3:5" x14ac:dyDescent="0.25">
      <c r="D212" t="s">
        <v>171</v>
      </c>
      <c r="E212" t="s">
        <v>304</v>
      </c>
    </row>
    <row r="213" spans="3:5" x14ac:dyDescent="0.25">
      <c r="D213" t="s">
        <v>168</v>
      </c>
      <c r="E213" t="s">
        <v>305</v>
      </c>
    </row>
    <row r="214" spans="3:5" x14ac:dyDescent="0.25">
      <c r="D214" t="s">
        <v>298</v>
      </c>
      <c r="E214">
        <v>97</v>
      </c>
    </row>
    <row r="215" spans="3:5" x14ac:dyDescent="0.25">
      <c r="D215" t="s">
        <v>299</v>
      </c>
      <c r="E215">
        <v>89</v>
      </c>
    </row>
    <row r="216" spans="3:5" x14ac:dyDescent="0.25">
      <c r="D216" t="s">
        <v>300</v>
      </c>
      <c r="E216">
        <v>4</v>
      </c>
    </row>
    <row r="217" spans="3:5" x14ac:dyDescent="0.25">
      <c r="D217" t="s">
        <v>301</v>
      </c>
      <c r="E217">
        <v>1</v>
      </c>
    </row>
    <row r="218" spans="3:5" x14ac:dyDescent="0.25">
      <c r="D218" t="s">
        <v>302</v>
      </c>
      <c r="E218">
        <v>0</v>
      </c>
    </row>
    <row r="219" spans="3:5" x14ac:dyDescent="0.25">
      <c r="D219" t="s">
        <v>338</v>
      </c>
    </row>
    <row r="221" spans="3:5" x14ac:dyDescent="0.25">
      <c r="C221" t="s">
        <v>144</v>
      </c>
    </row>
    <row r="223" spans="3:5" x14ac:dyDescent="0.25">
      <c r="D223" t="s">
        <v>166</v>
      </c>
    </row>
    <row r="224" spans="3:5" x14ac:dyDescent="0.25">
      <c r="D224" t="s">
        <v>167</v>
      </c>
    </row>
    <row r="225" spans="4:9" x14ac:dyDescent="0.25">
      <c r="D225" t="s">
        <v>168</v>
      </c>
      <c r="E225" t="s">
        <v>169</v>
      </c>
      <c r="F225" t="s">
        <v>169</v>
      </c>
      <c r="G225" t="s">
        <v>169</v>
      </c>
      <c r="H225" t="s">
        <v>169</v>
      </c>
      <c r="I225" t="s">
        <v>169</v>
      </c>
    </row>
    <row r="226" spans="4:9" x14ac:dyDescent="0.25">
      <c r="D226" t="s">
        <v>170</v>
      </c>
      <c r="E226">
        <v>2</v>
      </c>
      <c r="F226">
        <v>3</v>
      </c>
      <c r="G226">
        <v>4</v>
      </c>
      <c r="H226">
        <v>5</v>
      </c>
      <c r="I226">
        <v>6</v>
      </c>
    </row>
    <row r="227" spans="4:9" x14ac:dyDescent="0.25">
      <c r="D227" t="s">
        <v>171</v>
      </c>
      <c r="E227" t="s">
        <v>312</v>
      </c>
      <c r="F227" t="s">
        <v>312</v>
      </c>
      <c r="G227" t="s">
        <v>312</v>
      </c>
      <c r="H227" t="s">
        <v>312</v>
      </c>
      <c r="I227" t="s">
        <v>312</v>
      </c>
    </row>
    <row r="228" spans="4:9" x14ac:dyDescent="0.25">
      <c r="D228" t="s">
        <v>172</v>
      </c>
      <c r="E228">
        <v>2</v>
      </c>
      <c r="F228">
        <v>3</v>
      </c>
      <c r="G228">
        <v>4</v>
      </c>
      <c r="H228">
        <v>5</v>
      </c>
      <c r="I228">
        <v>6</v>
      </c>
    </row>
    <row r="229" spans="4:9" x14ac:dyDescent="0.25">
      <c r="D229" t="s">
        <v>173</v>
      </c>
      <c r="E229">
        <v>789</v>
      </c>
      <c r="F229">
        <v>588</v>
      </c>
      <c r="G229">
        <v>1034</v>
      </c>
      <c r="H229">
        <v>641</v>
      </c>
      <c r="I229">
        <v>1154</v>
      </c>
    </row>
    <row r="230" spans="4:9" x14ac:dyDescent="0.25">
      <c r="D230" t="s">
        <v>174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4:9" x14ac:dyDescent="0.25">
      <c r="D231" t="s">
        <v>175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4:9" x14ac:dyDescent="0.25">
      <c r="D232" t="s">
        <v>176</v>
      </c>
      <c r="E232" t="s">
        <v>177</v>
      </c>
      <c r="F232" t="s">
        <v>177</v>
      </c>
      <c r="G232" t="s">
        <v>177</v>
      </c>
      <c r="H232" t="s">
        <v>177</v>
      </c>
      <c r="I232" t="s">
        <v>177</v>
      </c>
    </row>
    <row r="233" spans="4:9" x14ac:dyDescent="0.25">
      <c r="D233" t="s">
        <v>339</v>
      </c>
    </row>
    <row r="235" spans="4:9" x14ac:dyDescent="0.25">
      <c r="D235" t="s">
        <v>151</v>
      </c>
    </row>
    <row r="236" spans="4:9" x14ac:dyDescent="0.25">
      <c r="D236" t="s">
        <v>152</v>
      </c>
    </row>
    <row r="237" spans="4:9" x14ac:dyDescent="0.25">
      <c r="D237" t="s">
        <v>153</v>
      </c>
      <c r="E237">
        <v>0</v>
      </c>
    </row>
    <row r="238" spans="4:9" x14ac:dyDescent="0.25">
      <c r="D238" t="s">
        <v>340</v>
      </c>
    </row>
    <row r="240" spans="4:9" x14ac:dyDescent="0.25">
      <c r="D240" t="s">
        <v>151</v>
      </c>
    </row>
    <row r="241" spans="4:5" x14ac:dyDescent="0.25">
      <c r="D241" t="s">
        <v>155</v>
      </c>
    </row>
    <row r="242" spans="4:5" x14ac:dyDescent="0.25">
      <c r="D242" t="s">
        <v>362</v>
      </c>
    </row>
    <row r="244" spans="4:5" x14ac:dyDescent="0.25">
      <c r="D244" t="s">
        <v>157</v>
      </c>
    </row>
    <row r="245" spans="4:5" x14ac:dyDescent="0.25">
      <c r="D245" t="s">
        <v>152</v>
      </c>
    </row>
    <row r="246" spans="4:5" x14ac:dyDescent="0.25">
      <c r="D246" t="s">
        <v>158</v>
      </c>
      <c r="E246">
        <v>175</v>
      </c>
    </row>
    <row r="247" spans="4:5" x14ac:dyDescent="0.25">
      <c r="D247" t="s">
        <v>153</v>
      </c>
      <c r="E247">
        <v>1009.75</v>
      </c>
    </row>
    <row r="248" spans="4:5" x14ac:dyDescent="0.25">
      <c r="D248" t="s">
        <v>363</v>
      </c>
    </row>
    <row r="250" spans="4:5" x14ac:dyDescent="0.25">
      <c r="D250" t="s">
        <v>294</v>
      </c>
    </row>
    <row r="251" spans="4:5" x14ac:dyDescent="0.25">
      <c r="D251" t="s">
        <v>295</v>
      </c>
    </row>
    <row r="252" spans="4:5" x14ac:dyDescent="0.25">
      <c r="D252" t="s">
        <v>171</v>
      </c>
      <c r="E252" t="s">
        <v>305</v>
      </c>
    </row>
    <row r="253" spans="4:5" x14ac:dyDescent="0.25">
      <c r="D253" t="s">
        <v>168</v>
      </c>
      <c r="E253" t="s">
        <v>304</v>
      </c>
    </row>
    <row r="254" spans="4:5" x14ac:dyDescent="0.25">
      <c r="D254" t="s">
        <v>298</v>
      </c>
      <c r="E254">
        <v>97</v>
      </c>
    </row>
    <row r="255" spans="4:5" x14ac:dyDescent="0.25">
      <c r="D255" t="s">
        <v>299</v>
      </c>
      <c r="E255">
        <v>89</v>
      </c>
    </row>
    <row r="256" spans="4:5" x14ac:dyDescent="0.25">
      <c r="D256" t="s">
        <v>300</v>
      </c>
      <c r="E256">
        <v>4</v>
      </c>
    </row>
    <row r="257" spans="4:5" x14ac:dyDescent="0.25">
      <c r="D257" t="s">
        <v>301</v>
      </c>
      <c r="E257">
        <v>0</v>
      </c>
    </row>
    <row r="258" spans="4:5" x14ac:dyDescent="0.25">
      <c r="D258" t="s">
        <v>302</v>
      </c>
      <c r="E258">
        <v>0</v>
      </c>
    </row>
    <row r="259" spans="4:5" x14ac:dyDescent="0.25">
      <c r="D259" t="s">
        <v>364</v>
      </c>
    </row>
    <row r="261" spans="4:5" x14ac:dyDescent="0.25">
      <c r="D261" t="s">
        <v>294</v>
      </c>
    </row>
    <row r="262" spans="4:5" x14ac:dyDescent="0.25">
      <c r="D262" t="s">
        <v>295</v>
      </c>
    </row>
    <row r="263" spans="4:5" x14ac:dyDescent="0.25">
      <c r="D263" t="s">
        <v>171</v>
      </c>
      <c r="E263" t="s">
        <v>297</v>
      </c>
    </row>
    <row r="264" spans="4:5" x14ac:dyDescent="0.25">
      <c r="D264" t="s">
        <v>168</v>
      </c>
      <c r="E264" t="s">
        <v>311</v>
      </c>
    </row>
    <row r="265" spans="4:5" x14ac:dyDescent="0.25">
      <c r="D265" t="s">
        <v>298</v>
      </c>
      <c r="E265">
        <v>85</v>
      </c>
    </row>
    <row r="266" spans="4:5" x14ac:dyDescent="0.25">
      <c r="D266" t="s">
        <v>299</v>
      </c>
      <c r="E266">
        <v>73</v>
      </c>
    </row>
    <row r="267" spans="4:5" x14ac:dyDescent="0.25">
      <c r="D267" t="s">
        <v>300</v>
      </c>
      <c r="E267">
        <v>10</v>
      </c>
    </row>
    <row r="268" spans="4:5" x14ac:dyDescent="0.25">
      <c r="D268" t="s">
        <v>301</v>
      </c>
      <c r="E268">
        <v>1</v>
      </c>
    </row>
    <row r="269" spans="4:5" x14ac:dyDescent="0.25">
      <c r="D269" t="s">
        <v>302</v>
      </c>
      <c r="E269">
        <v>1</v>
      </c>
    </row>
    <row r="270" spans="4:5" x14ac:dyDescent="0.25">
      <c r="D270" t="s">
        <v>365</v>
      </c>
    </row>
    <row r="275" spans="2:3" x14ac:dyDescent="0.25">
      <c r="B275" t="s">
        <v>140</v>
      </c>
    </row>
    <row r="276" spans="2:3" x14ac:dyDescent="0.25">
      <c r="B276" t="s">
        <v>191</v>
      </c>
    </row>
    <row r="277" spans="2:3" x14ac:dyDescent="0.25">
      <c r="B277" t="s">
        <v>192</v>
      </c>
    </row>
    <row r="278" spans="2:3" x14ac:dyDescent="0.25">
      <c r="B278" t="s">
        <v>143</v>
      </c>
    </row>
    <row r="280" spans="2:3" x14ac:dyDescent="0.25">
      <c r="C280" t="s">
        <v>144</v>
      </c>
    </row>
    <row r="285" spans="2:3" x14ac:dyDescent="0.25">
      <c r="B285" t="s">
        <v>145</v>
      </c>
    </row>
    <row r="286" spans="2:3" x14ac:dyDescent="0.25">
      <c r="B286" t="s">
        <v>193</v>
      </c>
    </row>
    <row r="287" spans="2:3" x14ac:dyDescent="0.25">
      <c r="B287" t="s">
        <v>194</v>
      </c>
    </row>
    <row r="288" spans="2:3" x14ac:dyDescent="0.25">
      <c r="B288" t="s">
        <v>195</v>
      </c>
    </row>
    <row r="289" spans="2:2" x14ac:dyDescent="0.25">
      <c r="B289" t="s">
        <v>146</v>
      </c>
    </row>
    <row r="290" spans="2:2" x14ac:dyDescent="0.25">
      <c r="B290" t="s">
        <v>366</v>
      </c>
    </row>
    <row r="291" spans="2:2" x14ac:dyDescent="0.25">
      <c r="B291" t="s">
        <v>163</v>
      </c>
    </row>
    <row r="292" spans="2:2" x14ac:dyDescent="0.25">
      <c r="B292" t="s">
        <v>320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___Dropdown values</vt:lpstr>
      <vt:lpstr>Building Blocks</vt:lpstr>
      <vt:lpstr>Method</vt:lpstr>
      <vt:lpstr>Worklist</vt:lpstr>
      <vt:lpstr>TestLog</vt:lpstr>
      <vt:lpstr>PrepList</vt:lpstr>
      <vt:lpstr>RunLog (3)</vt:lpstr>
      <vt:lpstr>RunLog</vt:lpstr>
      <vt:lpstr>RunLog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2022-01-25T19:44:23Z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