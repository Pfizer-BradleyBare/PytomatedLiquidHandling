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A5261F8D-CD90-497A-B46B-DA6A20CBE9F3}" xr6:coauthVersionLast="46" xr6:coauthVersionMax="46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___Dropdown values" sheetId="4" state="hidden" r:id="rId1"/>
    <sheet name="Method" sheetId="2" r:id="rId2"/>
    <sheet name="Worklist" sheetId="3" r:id="rId3"/>
    <sheet name="TestLog" sheetId="22" r:id="rId4"/>
    <sheet name="PrepList" sheetId="19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3" l="1"/>
  <c r="E2" i="3"/>
  <c r="E16" i="2"/>
  <c r="A3" i="3"/>
  <c r="E15" i="2"/>
  <c r="E13" i="2"/>
  <c r="A2" i="3"/>
</calcChain>
</file>

<file path=xl/sharedStrings.xml><?xml version="1.0" encoding="utf-8"?>
<sst xmlns="http://schemas.openxmlformats.org/spreadsheetml/2006/main" count="567" uniqueCount="220">
  <si>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</si>
  <si>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</si>
  <si>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</si>
  <si>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</si>
  <si>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</si>
  <si>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</si>
  <si>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</si>
  <si>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</si>
  <si>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</si>
  <si>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</si>
  <si>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</si>
  <si>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</si>
  <si>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</si>
  <si>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</si>
  <si>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</si>
  <si>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</si>
  <si>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</si>
  <si>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</si>
  <si>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</si>
  <si>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</si>
  <si>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</si>
  <si>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</si>
  <si>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</si>
  <si>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</si>
  <si>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</si>
  <si>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</si>
  <si>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</si>
  <si>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</si>
  <si>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</si>
  <si>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</si>
  <si>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</si>
  <si>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</si>
  <si>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</si>
  <si>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</si>
  <si>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</si>
  <si>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</si>
  <si>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</si>
  <si>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</si>
  <si>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</si>
  <si>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</si>
  <si>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</si>
  <si>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</si>
  <si>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</si>
  <si>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</si>
  <si>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</si>
  <si>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</si>
  <si>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</si>
  <si>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</si>
  <si>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</si>
  <si>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</si>
  <si>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</si>
  <si>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</si>
  <si>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</si>
  <si>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</si>
  <si>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</si>
  <si>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</si>
  <si>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</si>
  <si>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</si>
  <si>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</si>
  <si>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</si>
  <si>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</si>
  <si>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</si>
  <si>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</si>
  <si>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</si>
  <si>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</si>
  <si>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</si>
  <si>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</si>
  <si>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Temp Program (C) (comma delimited)</t>
  </si>
  <si>
    <t>80,75,70,60,50,45,35,30,22,30</t>
  </si>
  <si>
    <t>Time Program (min) (comma delimited)</t>
  </si>
  <si>
    <t>5,2,2,2,2,5,5,2,2,2</t>
  </si>
  <si>
    <t>Rnase H</t>
  </si>
  <si>
    <t>Dynabeads</t>
  </si>
  <si>
    <t>Wait On User</t>
  </si>
  <si>
    <t>Subject</t>
  </si>
  <si>
    <t>Message</t>
  </si>
  <si>
    <t>Sample #</t>
  </si>
  <si>
    <t>Description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</si>
  <si>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</si>
  <si>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</si>
  <si>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</si>
  <si>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</si>
  <si>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</si>
  <si>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</si>
  <si>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</si>
  <si>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</si>
  <si>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</si>
  <si>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</si>
  <si>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</si>
  <si>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</si>
  <si>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</si>
  <si>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</si>
  <si>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</si>
  <si>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</si>
  <si>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</si>
  <si>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</si>
  <si>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</si>
  <si>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</si>
  <si>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</si>
  <si>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</si>
  <si>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</si>
  <si>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</si>
  <si>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</si>
  <si>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</si>
  <si>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</si>
  <si>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</si>
  <si>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</si>
  <si>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</si>
  <si>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</si>
  <si>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</si>
  <si>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</si>
  <si>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</si>
  <si>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</si>
  <si>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</si>
  <si>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</si>
  <si>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</si>
  <si>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</si>
  <si>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</si>
  <si>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</si>
  <si>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</si>
  <si>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</si>
  <si>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</si>
  <si>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</si>
  <si>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</si>
  <si>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</si>
  <si>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</si>
  <si>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</si>
  <si>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</si>
  <si>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</si>
  <si>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</si>
  <si>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</si>
  <si>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</si>
  <si>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</si>
  <si>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</si>
  <si>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</si>
  <si>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</si>
  <si>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</si>
  <si>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</si>
  <si>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DISABLED: Thermocycle</t>
  </si>
  <si>
    <t>Time to start thermocycling step</t>
  </si>
  <si>
    <t>Please thermocycle the Annealing Plate with the following program. (Temp,Time) 80,5;75,2;</t>
  </si>
  <si>
    <t>Step Title: Notify</t>
  </si>
  <si>
    <t>Excel Location (Row,Col): (37,3)</t>
  </si>
  <si>
    <t>Wait On User: Yes</t>
  </si>
  <si>
    <t>Subject: Time to start thermocycling step</t>
  </si>
  <si>
    <t>Message: Please thermocycle the Annealing Plate with the following program. (Temp,Time) 80,5;75,2;</t>
  </si>
  <si>
    <t>Excel Location (Row,Col): (42,3)</t>
  </si>
  <si>
    <t>Source: Rnase H</t>
  </si>
  <si>
    <t>Liquid Type: Enzyme</t>
  </si>
  <si>
    <t>##7.1##</t>
  </si>
  <si>
    <t>##7.2##</t>
  </si>
  <si>
    <t>##7.3##</t>
  </si>
  <si>
    <t>Step Title: Split Plate</t>
  </si>
  <si>
    <t>Excel Location (Row,Col): (49,3)</t>
  </si>
  <si>
    <t>Plate Choice: Concurrent</t>
  </si>
  <si>
    <t>Plate Name 1: Annealing</t>
  </si>
  <si>
    <t>Step Title: Incubate</t>
  </si>
  <si>
    <t>Excel Location (Row,Col): (58,1)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</si>
  <si>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</si>
  <si>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</si>
  <si>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</si>
  <si>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</si>
  <si>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</si>
  <si>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</si>
  <si>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</si>
  <si>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##9.1##</t>
  </si>
  <si>
    <t>GetLabwareTypes</t>
  </si>
  <si>
    <t>##9.2##</t>
  </si>
  <si>
    <t>GetReservationHeaterSequenceString</t>
  </si>
  <si>
    <t>##9.3##</t>
  </si>
  <si>
    <t>##9.4##</t>
  </si>
  <si>
    <t>Lid</t>
  </si>
  <si>
    <t>##9.5##</t>
  </si>
  <si>
    <t>GetReservationLidSequenceString</t>
  </si>
  <si>
    <t>##9.6##</t>
  </si>
  <si>
    <t>##9.7##</t>
  </si>
  <si>
    <t>##9.8##</t>
  </si>
  <si>
    <t>##9.9##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</si>
  <si>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</si>
  <si>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</si>
  <si>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</si>
  <si>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</si>
  <si>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</si>
  <si>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</si>
  <si>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</si>
  <si>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</si>
  <si>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</si>
  <si>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##9.10##</t>
  </si>
  <si>
    <t>##9.11##</t>
  </si>
  <si>
    <t>StartReservation</t>
  </si>
  <si>
    <t>##9.12##</t>
  </si>
  <si>
    <t>Excel Location (Row,Col): (58,5)</t>
  </si>
  <si>
    <t>Source: Dynabeads</t>
  </si>
  <si>
    <t>Volume (uL): 100.0</t>
  </si>
  <si>
    <t>##10.1##</t>
  </si>
  <si>
    <t>Plate Name 2: Beads</t>
  </si>
  <si>
    <t>Spike</t>
  </si>
  <si>
    <t>Spike Volume</t>
  </si>
  <si>
    <t>Add Spike? (Yes or No)</t>
  </si>
  <si>
    <t>Sample 1</t>
  </si>
  <si>
    <t>Sample 2</t>
  </si>
  <si>
    <t>Waste</t>
  </si>
  <si>
    <t>[DestinationPipettingOffset]</t>
  </si>
  <si>
    <t>GetReservationHeaterTransportType</t>
  </si>
  <si>
    <t>GetReservationLidTransportType</t>
  </si>
  <si>
    <t>60mL Reagent Reservior</t>
  </si>
  <si>
    <t>Reagent</t>
  </si>
  <si>
    <t>Hamilton 1.5mL FlipTube</t>
  </si>
  <si>
    <t>Sample: 200uL Biorad 96 Well PCR Plate</t>
  </si>
  <si>
    <t>A1: 15.554604000000001uL</t>
  </si>
  <si>
    <t>A2: 13.703069333333334uL</t>
  </si>
  <si>
    <t>Minimum Volume: 160.0uL</t>
  </si>
  <si>
    <t>Reagent Lot</t>
  </si>
  <si>
    <t>Reagent Volume</t>
  </si>
  <si>
    <t>Diluent Lot</t>
  </si>
  <si>
    <t>Diluent Volume</t>
  </si>
  <si>
    <t>Minimum Volume: 170.0uL</t>
  </si>
  <si>
    <t>Minimum Volume: 350.0uL</t>
  </si>
  <si>
    <t>Minimum Volume: 2660.74uL</t>
  </si>
  <si>
    <t>Minimum Volume: 2520.0uL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</si>
</sst>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4" borderId="10" xfId="0" applyFill="1" applyBorder="1" applyAlignment="1">
      <alignment vertical="center" wrapText="1"/>
    </xf>
    <xf numFmtId="0" fontId="0" fillId="4" borderId="12" xfId="0" applyFill="1" applyBorder="1" applyAlignment="1">
      <alignment vertical="center" wrapText="1"/>
    </xf>
    <xf numFmtId="0" fontId="0" fillId="0" borderId="0" xfId="0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19" xfId="0" applyBorder="1"/>
    <xf numFmtId="0" fontId="3" fillId="0" borderId="18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0" fillId="0" borderId="17" xfId="0" applyBorder="1"/>
    <xf numFmtId="0" fontId="0" fillId="0" borderId="14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20" xfId="0" applyBorder="1"/>
    <xf numFmtId="0" fontId="0" fillId="0" borderId="15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23" t="s">
        <v>0</v>
      </c>
      <c r="C3" s="23"/>
      <c r="D3" s="23" t="s">
        <v>1</v>
      </c>
      <c r="F3" s="36" t="s">
        <v>2</v>
      </c>
      <c r="G3" s="36"/>
      <c r="H3" s="36"/>
      <c r="I3" s="36"/>
      <c r="J3" s="36"/>
      <c r="K3" s="36"/>
      <c r="L3" s="36"/>
    </row>
    <row r="4" spans="2:12" x14ac:dyDescent="0.25">
      <c r="B4" t="s">
        <v>3</v>
      </c>
      <c r="D4" s="24" t="s">
        <v>4</v>
      </c>
      <c r="F4" s="23" t="s">
        <v>5</v>
      </c>
      <c r="G4" s="23" t="s">
        <v>6</v>
      </c>
      <c r="H4" s="23" t="s">
        <v>7</v>
      </c>
      <c r="I4" s="23" t="s">
        <v>8</v>
      </c>
      <c r="J4" s="23" t="s">
        <v>9</v>
      </c>
      <c r="K4" s="23" t="s">
        <v>10</v>
      </c>
      <c r="L4" s="23" t="s">
        <v>11</v>
      </c>
    </row>
    <row r="5" spans="2:12" x14ac:dyDescent="0.25">
      <c r="B5" t="s">
        <v>12</v>
      </c>
      <c r="D5" s="24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24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24"/>
    </row>
    <row r="9" spans="2:12" x14ac:dyDescent="0.25">
      <c r="B9" s="23" t="s">
        <v>23</v>
      </c>
      <c r="D9" s="23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23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23" t="s">
        <v>38</v>
      </c>
    </row>
    <row r="19" spans="2:4" x14ac:dyDescent="0.25">
      <c r="B19" s="23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23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8"/>
  <sheetViews>
    <sheetView tabSelected="1" topLeftCell="A29" zoomScale="90" zoomScaleNormal="90" workbookViewId="0">
      <selection activeCell="C43" sqref="C43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39" t="s">
        <v>37</v>
      </c>
      <c r="E2" s="40"/>
      <c r="F2" s="19" t="s">
        <v>48</v>
      </c>
    </row>
    <row r="3" spans="4:6" x14ac:dyDescent="0.25">
      <c r="D3" s="20" t="s">
        <v>49</v>
      </c>
      <c r="E3" s="22" t="s">
        <v>50</v>
      </c>
      <c r="F3" s="37" t="s">
        <v>51</v>
      </c>
    </row>
    <row r="4" spans="4:6" ht="15.75" thickBot="1" x14ac:dyDescent="0.3">
      <c r="D4" s="1" t="s">
        <v>52</v>
      </c>
      <c r="E4" s="13" t="s">
        <v>3</v>
      </c>
      <c r="F4" s="38"/>
    </row>
    <row r="6" spans="4:6" s="2" customFormat="1" ht="15.75" thickBot="1" x14ac:dyDescent="0.3">
      <c r="D6" s="56" t="s">
        <v>53</v>
      </c>
      <c r="E6" s="56"/>
    </row>
    <row r="7" spans="4:6" ht="15.75" thickBot="1" x14ac:dyDescent="0.3"/>
    <row r="8" spans="4:6" x14ac:dyDescent="0.25">
      <c r="D8" s="39" t="s">
        <v>37</v>
      </c>
      <c r="E8" s="40"/>
      <c r="F8" s="19" t="s">
        <v>48</v>
      </c>
    </row>
    <row r="9" spans="4:6" x14ac:dyDescent="0.25">
      <c r="D9" s="20" t="s">
        <v>49</v>
      </c>
      <c r="E9" s="22" t="s">
        <v>54</v>
      </c>
      <c r="F9" s="37"/>
    </row>
    <row r="10" spans="4:6" ht="15.75" thickBot="1" x14ac:dyDescent="0.3">
      <c r="D10" s="1" t="s">
        <v>52</v>
      </c>
      <c r="E10" s="21" t="s">
        <v>3</v>
      </c>
      <c r="F10" s="38"/>
    </row>
    <row r="11" spans="4:6" ht="15.75" thickBot="1" x14ac:dyDescent="0.3"/>
    <row r="12" spans="4:6" x14ac:dyDescent="0.25">
      <c r="D12" s="51" t="s">
        <v>6</v>
      </c>
      <c r="E12" s="52"/>
      <c r="F12" s="16" t="s">
        <v>48</v>
      </c>
    </row>
    <row r="13" spans="4:6" x14ac:dyDescent="0.25">
      <c r="D13" s="5" t="s">
        <v>55</v>
      </c>
      <c r="E13" s="11" t="str">
        <f>E3</f>
        <v>Sample</v>
      </c>
      <c r="F13" s="53"/>
    </row>
    <row r="14" spans="4:6" x14ac:dyDescent="0.25">
      <c r="D14" s="5" t="s">
        <v>56</v>
      </c>
      <c r="E14" s="11" t="s">
        <v>57</v>
      </c>
      <c r="F14" s="54"/>
    </row>
    <row r="15" spans="4:6" x14ac:dyDescent="0.25">
      <c r="D15" s="5" t="s">
        <v>58</v>
      </c>
      <c r="E15" s="11" t="str">
        <f>Worklist!C1</f>
        <v>Starting Concentration (mg/mL)</v>
      </c>
      <c r="F15" s="54"/>
    </row>
    <row r="16" spans="4:6" x14ac:dyDescent="0.25">
      <c r="D16" s="5" t="s">
        <v>59</v>
      </c>
      <c r="E16" s="11">
        <f>40*1388651*0.000001/E17</f>
        <v>0.65348282352941178</v>
      </c>
      <c r="F16" s="54"/>
    </row>
    <row r="17" spans="1:6" x14ac:dyDescent="0.25">
      <c r="D17" s="5" t="s">
        <v>60</v>
      </c>
      <c r="E17" s="11">
        <v>85</v>
      </c>
      <c r="F17" s="54"/>
    </row>
    <row r="18" spans="1:6" ht="15.75" thickBot="1" x14ac:dyDescent="0.3">
      <c r="A18" t="s">
        <v>61</v>
      </c>
      <c r="D18" s="6" t="s">
        <v>62</v>
      </c>
      <c r="E18" s="12">
        <v>85</v>
      </c>
      <c r="F18" s="55"/>
    </row>
    <row r="19" spans="1:6" ht="15.75" thickBot="1" x14ac:dyDescent="0.3"/>
    <row r="20" spans="1:6" x14ac:dyDescent="0.25">
      <c r="D20" s="44" t="s">
        <v>5</v>
      </c>
      <c r="E20" s="45"/>
      <c r="F20" s="18" t="s">
        <v>48</v>
      </c>
    </row>
    <row r="21" spans="1:6" x14ac:dyDescent="0.25">
      <c r="D21" s="3" t="s">
        <v>55</v>
      </c>
      <c r="E21" s="9" t="s">
        <v>63</v>
      </c>
      <c r="F21" s="46"/>
    </row>
    <row r="22" spans="1:6" x14ac:dyDescent="0.25">
      <c r="D22" s="3" t="s">
        <v>23</v>
      </c>
      <c r="E22" s="9" t="s">
        <v>32</v>
      </c>
      <c r="F22" s="47"/>
    </row>
    <row r="23" spans="1:6" x14ac:dyDescent="0.25">
      <c r="D23" s="3" t="s">
        <v>39</v>
      </c>
      <c r="E23" s="9" t="s">
        <v>41</v>
      </c>
      <c r="F23" s="47"/>
    </row>
    <row r="24" spans="1:6" x14ac:dyDescent="0.25">
      <c r="D24" s="3" t="s">
        <v>64</v>
      </c>
      <c r="E24" s="9">
        <v>10</v>
      </c>
      <c r="F24" s="47"/>
    </row>
    <row r="25" spans="1:6" ht="15.75" thickBot="1" x14ac:dyDescent="0.3">
      <c r="D25" s="4" t="s">
        <v>65</v>
      </c>
      <c r="E25" s="10" t="s">
        <v>26</v>
      </c>
      <c r="F25" s="48"/>
    </row>
    <row r="26" spans="1:6" ht="15.75" thickBot="1" x14ac:dyDescent="0.3"/>
    <row r="27" spans="1:6" x14ac:dyDescent="0.25">
      <c r="D27" s="44" t="s">
        <v>5</v>
      </c>
      <c r="E27" s="45"/>
      <c r="F27" s="18" t="s">
        <v>48</v>
      </c>
    </row>
    <row r="28" spans="1:6" x14ac:dyDescent="0.25">
      <c r="D28" s="3" t="s">
        <v>55</v>
      </c>
      <c r="E28" s="9" t="s">
        <v>66</v>
      </c>
      <c r="F28" s="46"/>
    </row>
    <row r="29" spans="1:6" x14ac:dyDescent="0.25">
      <c r="D29" s="3" t="s">
        <v>23</v>
      </c>
      <c r="E29" s="9" t="s">
        <v>25</v>
      </c>
      <c r="F29" s="47"/>
    </row>
    <row r="30" spans="1:6" x14ac:dyDescent="0.25">
      <c r="D30" s="3" t="s">
        <v>39</v>
      </c>
      <c r="E30" s="9" t="s">
        <v>41</v>
      </c>
      <c r="F30" s="47"/>
    </row>
    <row r="31" spans="1:6" x14ac:dyDescent="0.25">
      <c r="D31" s="3" t="s">
        <v>64</v>
      </c>
      <c r="E31" s="9">
        <v>5</v>
      </c>
      <c r="F31" s="47"/>
    </row>
    <row r="32" spans="1:6" ht="15.75" thickBot="1" x14ac:dyDescent="0.3">
      <c r="D32" s="4" t="s">
        <v>65</v>
      </c>
      <c r="E32" s="10" t="s">
        <v>26</v>
      </c>
      <c r="F32" s="48"/>
    </row>
    <row r="33" spans="4:6" ht="15.75" thickBot="1" x14ac:dyDescent="0.3"/>
    <row r="34" spans="4:6" x14ac:dyDescent="0.25">
      <c r="D34" s="49" t="s">
        <v>138</v>
      </c>
      <c r="E34" s="50"/>
      <c r="F34" s="17" t="s">
        <v>48</v>
      </c>
    </row>
    <row r="35" spans="4:6" x14ac:dyDescent="0.25">
      <c r="D35" s="7" t="s">
        <v>67</v>
      </c>
      <c r="E35" s="14" t="s">
        <v>68</v>
      </c>
      <c r="F35" s="25"/>
    </row>
    <row r="36" spans="4:6" ht="15.75" thickBot="1" x14ac:dyDescent="0.3">
      <c r="D36" s="8" t="s">
        <v>69</v>
      </c>
      <c r="E36" s="15" t="s">
        <v>70</v>
      </c>
      <c r="F36" s="26"/>
    </row>
    <row r="37" spans="4:6" ht="15.75" thickBot="1" x14ac:dyDescent="0.3"/>
    <row r="38" spans="4:6" x14ac:dyDescent="0.25">
      <c r="D38" s="39" t="s">
        <v>8</v>
      </c>
      <c r="E38" s="40"/>
      <c r="F38" s="31" t="s">
        <v>48</v>
      </c>
    </row>
    <row r="39" spans="4:6" x14ac:dyDescent="0.25">
      <c r="D39" s="29" t="s">
        <v>73</v>
      </c>
      <c r="E39" s="30" t="s">
        <v>26</v>
      </c>
      <c r="F39" s="41"/>
    </row>
    <row r="40" spans="4:6" x14ac:dyDescent="0.25">
      <c r="D40" s="29" t="s">
        <v>74</v>
      </c>
      <c r="E40" s="33" t="s">
        <v>139</v>
      </c>
      <c r="F40" s="42"/>
    </row>
    <row r="41" spans="4:6" ht="30.75" thickBot="1" x14ac:dyDescent="0.3">
      <c r="D41" s="28" t="s">
        <v>75</v>
      </c>
      <c r="E41" s="32" t="s">
        <v>140</v>
      </c>
      <c r="F41" s="43"/>
    </row>
    <row r="42" spans="4:6" ht="15.75" thickBot="1" x14ac:dyDescent="0.3"/>
    <row r="43" spans="4:6" x14ac:dyDescent="0.25">
      <c r="D43" s="44" t="s">
        <v>5</v>
      </c>
      <c r="E43" s="45"/>
      <c r="F43" s="18" t="s">
        <v>48</v>
      </c>
    </row>
    <row r="44" spans="4:6" x14ac:dyDescent="0.25">
      <c r="D44" s="3" t="s">
        <v>55</v>
      </c>
      <c r="E44" s="9" t="s">
        <v>71</v>
      </c>
      <c r="F44" s="46"/>
    </row>
    <row r="45" spans="4:6" x14ac:dyDescent="0.25">
      <c r="D45" s="3" t="s">
        <v>23</v>
      </c>
      <c r="E45" s="9" t="s">
        <v>36</v>
      </c>
      <c r="F45" s="47"/>
    </row>
    <row r="46" spans="4:6" x14ac:dyDescent="0.25">
      <c r="D46" s="3" t="s">
        <v>39</v>
      </c>
      <c r="E46" s="9" t="s">
        <v>41</v>
      </c>
      <c r="F46" s="47"/>
    </row>
    <row r="47" spans="4:6" x14ac:dyDescent="0.25">
      <c r="D47" s="3" t="s">
        <v>64</v>
      </c>
      <c r="E47" s="9">
        <v>10</v>
      </c>
      <c r="F47" s="47"/>
    </row>
    <row r="48" spans="4:6" ht="15.75" thickBot="1" x14ac:dyDescent="0.3">
      <c r="D48" s="4" t="s">
        <v>65</v>
      </c>
      <c r="E48" s="10" t="s">
        <v>26</v>
      </c>
      <c r="F48" s="48"/>
    </row>
  </sheetData>
  <mergeCells count="16">
    <mergeCell ref="D38:E38"/>
    <mergeCell ref="F39:F41"/>
    <mergeCell ref="D43:E43"/>
    <mergeCell ref="F44:F48"/>
    <mergeCell ref="D8:E8"/>
    <mergeCell ref="F9:F10"/>
    <mergeCell ref="D12:E12"/>
    <mergeCell ref="F13:F18"/>
    <mergeCell ref="D2:E2"/>
    <mergeCell ref="F3:F4"/>
    <mergeCell ref="D6:E6"/>
    <mergeCell ref="D20:E20"/>
    <mergeCell ref="F21:F25"/>
    <mergeCell ref="D27:E27"/>
    <mergeCell ref="F28:F32"/>
    <mergeCell ref="D34:E3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>
      <selection activeCell="F1" sqref="F1:F1048576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9.42578125" bestFit="1" customWidth="1"/>
    <col min="4" max="4" width="21.42578125" bestFit="1" customWidth="1"/>
    <col min="5" max="5" width="17.85546875" customWidth="1"/>
  </cols>
  <sheetData>
    <row r="1" spans="1:5" x14ac:dyDescent="0.25">
      <c r="A1" t="s">
        <v>76</v>
      </c>
      <c r="B1" t="s">
        <v>77</v>
      </c>
      <c r="C1" t="s">
        <v>58</v>
      </c>
      <c r="D1" t="s">
        <v>198</v>
      </c>
      <c r="E1" t="s">
        <v>197</v>
      </c>
    </row>
    <row r="2" spans="1:5" x14ac:dyDescent="0.25">
      <c r="A2">
        <f t="shared" ref="A2:A3" si="0">ROW(A1)</f>
        <v>1</v>
      </c>
      <c r="B2" t="s">
        <v>199</v>
      </c>
      <c r="C2">
        <v>10</v>
      </c>
      <c r="D2" t="s">
        <v>26</v>
      </c>
      <c r="E2">
        <f>IF(D2="Yes",10,0)</f>
        <v>10</v>
      </c>
    </row>
    <row r="3" spans="1:5" x14ac:dyDescent="0.25">
      <c r="A3">
        <f t="shared" si="0"/>
        <v>2</v>
      </c>
      <c r="B3" t="s">
        <v>200</v>
      </c>
      <c r="C3">
        <v>15</v>
      </c>
      <c r="D3" t="s">
        <v>28</v>
      </c>
      <c r="E3" s="27">
        <f t="shared" ref="E3" si="1">IF(D3="Yes",10,0)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9DD99-A0FC-4EF9-8AD0-8018B10182AC}">
  <sheetPr codeName="Sheet6"/>
  <dimension ref="B3:F330"/>
  <sheetViews>
    <sheetView workbookViewId="0"/>
  </sheetViews>
  <sheetFormatPr defaultRowHeight="15" x14ac:dyDescent="0.25"/>
  <sheetData>
    <row r="3" spans="4:5" x14ac:dyDescent="0.25">
      <c r="D3" t="s">
        <v>78</v>
      </c>
      <c r="E3" t="s">
        <v>79</v>
      </c>
    </row>
    <row r="4" spans="4:5" x14ac:dyDescent="0.25">
      <c r="D4" t="s">
        <v>80</v>
      </c>
      <c r="E4" t="s">
        <v>81</v>
      </c>
    </row>
    <row r="5" spans="4:5" x14ac:dyDescent="0.25">
      <c r="D5" t="s">
        <v>82</v>
      </c>
      <c r="E5" t="s">
        <v>54</v>
      </c>
    </row>
    <row r="6" spans="4:5" x14ac:dyDescent="0.25">
      <c r="D6" t="s">
        <v>83</v>
      </c>
      <c r="E6">
        <v>37</v>
      </c>
    </row>
    <row r="7" spans="4:5" x14ac:dyDescent="0.25">
      <c r="D7" t="s">
        <v>84</v>
      </c>
      <c r="E7">
        <v>0</v>
      </c>
    </row>
    <row r="9" spans="4:5" x14ac:dyDescent="0.25">
      <c r="D9" t="s">
        <v>78</v>
      </c>
      <c r="E9" t="s">
        <v>79</v>
      </c>
    </row>
    <row r="10" spans="4:5" x14ac:dyDescent="0.25">
      <c r="D10" t="s">
        <v>80</v>
      </c>
      <c r="E10" t="s">
        <v>81</v>
      </c>
    </row>
    <row r="11" spans="4:5" x14ac:dyDescent="0.25">
      <c r="D11" t="s">
        <v>82</v>
      </c>
      <c r="E11" t="s">
        <v>201</v>
      </c>
    </row>
    <row r="12" spans="4:5" x14ac:dyDescent="0.25">
      <c r="D12" t="s">
        <v>83</v>
      </c>
      <c r="E12">
        <v>25</v>
      </c>
    </row>
    <row r="13" spans="4:5" x14ac:dyDescent="0.25">
      <c r="D13" t="s">
        <v>84</v>
      </c>
      <c r="E13">
        <v>650</v>
      </c>
    </row>
    <row r="18" spans="2:3" x14ac:dyDescent="0.25">
      <c r="B18" t="s">
        <v>85</v>
      </c>
    </row>
    <row r="19" spans="2:3" x14ac:dyDescent="0.25">
      <c r="B19" t="s">
        <v>86</v>
      </c>
    </row>
    <row r="20" spans="2:3" x14ac:dyDescent="0.25">
      <c r="B20" t="s">
        <v>87</v>
      </c>
    </row>
    <row r="21" spans="2:3" x14ac:dyDescent="0.25">
      <c r="B21" t="s">
        <v>88</v>
      </c>
    </row>
    <row r="23" spans="2:3" x14ac:dyDescent="0.25">
      <c r="C23" t="s">
        <v>89</v>
      </c>
    </row>
    <row r="28" spans="2:3" x14ac:dyDescent="0.25">
      <c r="B28" t="s">
        <v>90</v>
      </c>
    </row>
    <row r="29" spans="2:3" x14ac:dyDescent="0.25">
      <c r="B29" t="s">
        <v>91</v>
      </c>
    </row>
    <row r="30" spans="2:3" x14ac:dyDescent="0.25">
      <c r="B30" t="s">
        <v>92</v>
      </c>
    </row>
    <row r="31" spans="2:3" x14ac:dyDescent="0.25">
      <c r="B31" t="s">
        <v>93</v>
      </c>
    </row>
    <row r="32" spans="2:3" x14ac:dyDescent="0.25">
      <c r="B32" t="s">
        <v>94</v>
      </c>
    </row>
    <row r="33" spans="2:6" x14ac:dyDescent="0.25">
      <c r="B33" t="s">
        <v>95</v>
      </c>
    </row>
    <row r="34" spans="2:6" x14ac:dyDescent="0.25">
      <c r="B34" t="s">
        <v>96</v>
      </c>
    </row>
    <row r="35" spans="2:6" x14ac:dyDescent="0.25">
      <c r="B35" t="s">
        <v>97</v>
      </c>
    </row>
    <row r="37" spans="2:6" x14ac:dyDescent="0.25">
      <c r="C37" t="s">
        <v>89</v>
      </c>
    </row>
    <row r="39" spans="2:6" x14ac:dyDescent="0.25">
      <c r="D39" t="s">
        <v>78</v>
      </c>
      <c r="E39" t="s">
        <v>98</v>
      </c>
    </row>
    <row r="40" spans="2:6" x14ac:dyDescent="0.25">
      <c r="D40" t="s">
        <v>80</v>
      </c>
      <c r="E40" t="s">
        <v>99</v>
      </c>
    </row>
    <row r="41" spans="2:6" x14ac:dyDescent="0.25">
      <c r="D41" t="s">
        <v>100</v>
      </c>
      <c r="E41">
        <v>79.445396000000002</v>
      </c>
      <c r="F41">
        <v>81.296930666666597</v>
      </c>
    </row>
    <row r="42" spans="2:6" x14ac:dyDescent="0.25">
      <c r="D42" t="s">
        <v>101</v>
      </c>
      <c r="E42" t="s">
        <v>102</v>
      </c>
      <c r="F42" t="s">
        <v>103</v>
      </c>
    </row>
    <row r="43" spans="2:6" x14ac:dyDescent="0.25">
      <c r="D43" t="s">
        <v>104</v>
      </c>
    </row>
    <row r="45" spans="2:6" x14ac:dyDescent="0.25">
      <c r="D45" t="s">
        <v>78</v>
      </c>
      <c r="E45" t="s">
        <v>98</v>
      </c>
    </row>
    <row r="46" spans="2:6" x14ac:dyDescent="0.25">
      <c r="D46" t="s">
        <v>80</v>
      </c>
      <c r="E46" t="s">
        <v>105</v>
      </c>
    </row>
    <row r="47" spans="2:6" x14ac:dyDescent="0.25">
      <c r="D47" t="s">
        <v>100</v>
      </c>
      <c r="E47">
        <v>79.445396000000002</v>
      </c>
      <c r="F47">
        <v>81.296930666666597</v>
      </c>
    </row>
    <row r="48" spans="2:6" x14ac:dyDescent="0.25">
      <c r="D48" t="s">
        <v>106</v>
      </c>
    </row>
    <row r="50" spans="4:6" x14ac:dyDescent="0.25">
      <c r="D50" t="s">
        <v>78</v>
      </c>
      <c r="E50" t="s">
        <v>98</v>
      </c>
    </row>
    <row r="51" spans="4:6" x14ac:dyDescent="0.25">
      <c r="D51" t="s">
        <v>80</v>
      </c>
      <c r="E51" t="s">
        <v>99</v>
      </c>
    </row>
    <row r="52" spans="4:6" x14ac:dyDescent="0.25">
      <c r="D52" t="s">
        <v>100</v>
      </c>
      <c r="E52">
        <v>5.5546040000000003</v>
      </c>
      <c r="F52">
        <v>3.70306933333333</v>
      </c>
    </row>
    <row r="53" spans="4:6" x14ac:dyDescent="0.25">
      <c r="D53" t="s">
        <v>101</v>
      </c>
      <c r="E53" t="s">
        <v>102</v>
      </c>
      <c r="F53" t="s">
        <v>103</v>
      </c>
    </row>
    <row r="54" spans="4:6" x14ac:dyDescent="0.25">
      <c r="D54" t="s">
        <v>117</v>
      </c>
    </row>
    <row r="56" spans="4:6" x14ac:dyDescent="0.25">
      <c r="D56" t="s">
        <v>78</v>
      </c>
      <c r="E56" t="s">
        <v>98</v>
      </c>
    </row>
    <row r="57" spans="4:6" x14ac:dyDescent="0.25">
      <c r="D57" t="s">
        <v>80</v>
      </c>
      <c r="E57" t="s">
        <v>105</v>
      </c>
    </row>
    <row r="58" spans="4:6" x14ac:dyDescent="0.25">
      <c r="D58" t="s">
        <v>100</v>
      </c>
      <c r="E58">
        <v>5.5546040000000003</v>
      </c>
      <c r="F58">
        <v>3.70306933333333</v>
      </c>
    </row>
    <row r="59" spans="4:6" x14ac:dyDescent="0.25">
      <c r="D59" t="s">
        <v>118</v>
      </c>
    </row>
    <row r="61" spans="4:6" x14ac:dyDescent="0.25">
      <c r="D61" t="s">
        <v>78</v>
      </c>
      <c r="E61" t="s">
        <v>98</v>
      </c>
    </row>
    <row r="62" spans="4:6" x14ac:dyDescent="0.25">
      <c r="D62" t="s">
        <v>80</v>
      </c>
      <c r="E62" t="s">
        <v>107</v>
      </c>
    </row>
    <row r="63" spans="4:6" x14ac:dyDescent="0.25">
      <c r="D63" t="s">
        <v>108</v>
      </c>
      <c r="E63" t="s">
        <v>54</v>
      </c>
      <c r="F63" t="s">
        <v>54</v>
      </c>
    </row>
    <row r="64" spans="4:6" x14ac:dyDescent="0.25">
      <c r="D64" t="s">
        <v>109</v>
      </c>
      <c r="E64">
        <v>1</v>
      </c>
      <c r="F64">
        <v>2</v>
      </c>
    </row>
    <row r="65" spans="4:6" x14ac:dyDescent="0.25">
      <c r="D65" t="s">
        <v>110</v>
      </c>
      <c r="E65" t="s">
        <v>57</v>
      </c>
      <c r="F65" t="s">
        <v>57</v>
      </c>
    </row>
    <row r="66" spans="4:6" x14ac:dyDescent="0.25">
      <c r="D66" t="s">
        <v>111</v>
      </c>
      <c r="E66">
        <v>1</v>
      </c>
      <c r="F66">
        <v>2</v>
      </c>
    </row>
    <row r="67" spans="4:6" x14ac:dyDescent="0.25">
      <c r="D67" t="s">
        <v>100</v>
      </c>
      <c r="E67">
        <v>79.445396000000002</v>
      </c>
      <c r="F67">
        <v>81.296930666666597</v>
      </c>
    </row>
    <row r="68" spans="4:6" x14ac:dyDescent="0.25">
      <c r="D68" t="s">
        <v>112</v>
      </c>
      <c r="E68">
        <v>0</v>
      </c>
      <c r="F68">
        <v>0</v>
      </c>
    </row>
    <row r="69" spans="4:6" x14ac:dyDescent="0.25">
      <c r="D69" t="s">
        <v>113</v>
      </c>
      <c r="E69" t="s">
        <v>28</v>
      </c>
      <c r="F69" t="s">
        <v>28</v>
      </c>
    </row>
    <row r="70" spans="4:6" x14ac:dyDescent="0.25">
      <c r="D70" t="s">
        <v>114</v>
      </c>
    </row>
    <row r="71" spans="4:6" x14ac:dyDescent="0.25">
      <c r="D71" t="s">
        <v>115</v>
      </c>
    </row>
    <row r="72" spans="4:6" x14ac:dyDescent="0.25">
      <c r="D72" t="s">
        <v>202</v>
      </c>
      <c r="E72">
        <v>0</v>
      </c>
    </row>
    <row r="73" spans="4:6" x14ac:dyDescent="0.25">
      <c r="D73" t="s">
        <v>116</v>
      </c>
      <c r="E73" t="s">
        <v>186</v>
      </c>
    </row>
    <row r="74" spans="4:6" x14ac:dyDescent="0.25">
      <c r="D74" t="s">
        <v>119</v>
      </c>
    </row>
    <row r="76" spans="4:6" x14ac:dyDescent="0.25">
      <c r="D76" t="s">
        <v>78</v>
      </c>
      <c r="E76" t="s">
        <v>98</v>
      </c>
    </row>
    <row r="77" spans="4:6" x14ac:dyDescent="0.25">
      <c r="D77" t="s">
        <v>80</v>
      </c>
      <c r="E77" t="s">
        <v>107</v>
      </c>
    </row>
    <row r="78" spans="4:6" x14ac:dyDescent="0.25">
      <c r="D78" t="s">
        <v>108</v>
      </c>
      <c r="E78" t="s">
        <v>54</v>
      </c>
      <c r="F78" t="s">
        <v>54</v>
      </c>
    </row>
    <row r="79" spans="4:6" x14ac:dyDescent="0.25">
      <c r="D79" t="s">
        <v>109</v>
      </c>
      <c r="E79">
        <v>1</v>
      </c>
      <c r="F79">
        <v>2</v>
      </c>
    </row>
    <row r="80" spans="4:6" x14ac:dyDescent="0.25">
      <c r="D80" t="s">
        <v>110</v>
      </c>
      <c r="E80" t="s">
        <v>50</v>
      </c>
      <c r="F80" t="s">
        <v>50</v>
      </c>
    </row>
    <row r="81" spans="2:6" x14ac:dyDescent="0.25">
      <c r="D81" t="s">
        <v>111</v>
      </c>
      <c r="E81">
        <v>1</v>
      </c>
      <c r="F81">
        <v>2</v>
      </c>
    </row>
    <row r="82" spans="2:6" x14ac:dyDescent="0.25">
      <c r="D82" t="s">
        <v>100</v>
      </c>
      <c r="E82">
        <v>5.5546040000000003</v>
      </c>
      <c r="F82">
        <v>3.70306933333333</v>
      </c>
    </row>
    <row r="83" spans="2:6" x14ac:dyDescent="0.25">
      <c r="D83" t="s">
        <v>112</v>
      </c>
      <c r="E83">
        <v>79.445396000000002</v>
      </c>
      <c r="F83">
        <v>81.296930666666597</v>
      </c>
    </row>
    <row r="84" spans="2:6" x14ac:dyDescent="0.25">
      <c r="D84" t="s">
        <v>113</v>
      </c>
      <c r="E84" t="s">
        <v>26</v>
      </c>
      <c r="F84" t="s">
        <v>26</v>
      </c>
    </row>
    <row r="85" spans="2:6" x14ac:dyDescent="0.25">
      <c r="D85" t="s">
        <v>114</v>
      </c>
    </row>
    <row r="86" spans="2:6" x14ac:dyDescent="0.25">
      <c r="D86" t="s">
        <v>115</v>
      </c>
    </row>
    <row r="87" spans="2:6" x14ac:dyDescent="0.25">
      <c r="D87" t="s">
        <v>202</v>
      </c>
      <c r="E87">
        <v>0</v>
      </c>
    </row>
    <row r="88" spans="2:6" x14ac:dyDescent="0.25">
      <c r="D88" t="s">
        <v>116</v>
      </c>
      <c r="E88" t="s">
        <v>186</v>
      </c>
    </row>
    <row r="89" spans="2:6" x14ac:dyDescent="0.25">
      <c r="D89" t="s">
        <v>120</v>
      </c>
    </row>
    <row r="94" spans="2:6" x14ac:dyDescent="0.25">
      <c r="B94" t="s">
        <v>121</v>
      </c>
    </row>
    <row r="95" spans="2:6" x14ac:dyDescent="0.25">
      <c r="B95" t="s">
        <v>122</v>
      </c>
    </row>
    <row r="96" spans="2:6" x14ac:dyDescent="0.25">
      <c r="B96" t="s">
        <v>123</v>
      </c>
    </row>
    <row r="97" spans="2:6" x14ac:dyDescent="0.25">
      <c r="B97" t="s">
        <v>124</v>
      </c>
    </row>
    <row r="98" spans="2:6" x14ac:dyDescent="0.25">
      <c r="B98" t="s">
        <v>125</v>
      </c>
    </row>
    <row r="99" spans="2:6" x14ac:dyDescent="0.25">
      <c r="B99" t="s">
        <v>126</v>
      </c>
    </row>
    <row r="100" spans="2:6" x14ac:dyDescent="0.25">
      <c r="B100" t="s">
        <v>127</v>
      </c>
    </row>
    <row r="102" spans="2:6" x14ac:dyDescent="0.25">
      <c r="C102" t="s">
        <v>89</v>
      </c>
    </row>
    <row r="104" spans="2:6" x14ac:dyDescent="0.25">
      <c r="D104" t="s">
        <v>78</v>
      </c>
      <c r="E104" t="s">
        <v>98</v>
      </c>
    </row>
    <row r="105" spans="2:6" x14ac:dyDescent="0.25">
      <c r="D105" t="s">
        <v>80</v>
      </c>
      <c r="E105" t="s">
        <v>99</v>
      </c>
    </row>
    <row r="106" spans="2:6" x14ac:dyDescent="0.25">
      <c r="D106" t="s">
        <v>100</v>
      </c>
      <c r="E106">
        <v>10</v>
      </c>
      <c r="F106">
        <v>10</v>
      </c>
    </row>
    <row r="107" spans="2:6" x14ac:dyDescent="0.25">
      <c r="D107" t="s">
        <v>101</v>
      </c>
      <c r="E107" t="s">
        <v>102</v>
      </c>
      <c r="F107" t="s">
        <v>103</v>
      </c>
    </row>
    <row r="108" spans="2:6" x14ac:dyDescent="0.25">
      <c r="D108" t="s">
        <v>128</v>
      </c>
    </row>
    <row r="110" spans="2:6" x14ac:dyDescent="0.25">
      <c r="D110" t="s">
        <v>78</v>
      </c>
      <c r="E110" t="s">
        <v>98</v>
      </c>
    </row>
    <row r="111" spans="2:6" x14ac:dyDescent="0.25">
      <c r="D111" t="s">
        <v>80</v>
      </c>
      <c r="E111" t="s">
        <v>105</v>
      </c>
    </row>
    <row r="112" spans="2:6" x14ac:dyDescent="0.25">
      <c r="D112" t="s">
        <v>100</v>
      </c>
      <c r="E112">
        <v>10</v>
      </c>
      <c r="F112">
        <v>10</v>
      </c>
    </row>
    <row r="113" spans="4:6" x14ac:dyDescent="0.25">
      <c r="D113" t="s">
        <v>129</v>
      </c>
    </row>
    <row r="115" spans="4:6" x14ac:dyDescent="0.25">
      <c r="D115" t="s">
        <v>78</v>
      </c>
      <c r="E115" t="s">
        <v>98</v>
      </c>
    </row>
    <row r="116" spans="4:6" x14ac:dyDescent="0.25">
      <c r="D116" t="s">
        <v>80</v>
      </c>
      <c r="E116" t="s">
        <v>107</v>
      </c>
    </row>
    <row r="117" spans="4:6" x14ac:dyDescent="0.25">
      <c r="D117" t="s">
        <v>108</v>
      </c>
      <c r="E117" t="s">
        <v>54</v>
      </c>
      <c r="F117" t="s">
        <v>54</v>
      </c>
    </row>
    <row r="118" spans="4:6" x14ac:dyDescent="0.25">
      <c r="D118" t="s">
        <v>109</v>
      </c>
      <c r="E118">
        <v>1</v>
      </c>
      <c r="F118">
        <v>2</v>
      </c>
    </row>
    <row r="119" spans="4:6" x14ac:dyDescent="0.25">
      <c r="D119" t="s">
        <v>110</v>
      </c>
      <c r="E119" t="s">
        <v>63</v>
      </c>
      <c r="F119" t="s">
        <v>63</v>
      </c>
    </row>
    <row r="120" spans="4:6" x14ac:dyDescent="0.25">
      <c r="D120" t="s">
        <v>111</v>
      </c>
      <c r="E120">
        <v>1</v>
      </c>
      <c r="F120">
        <v>2</v>
      </c>
    </row>
    <row r="121" spans="4:6" x14ac:dyDescent="0.25">
      <c r="D121" t="s">
        <v>100</v>
      </c>
      <c r="E121">
        <v>10</v>
      </c>
      <c r="F121">
        <v>10</v>
      </c>
    </row>
    <row r="122" spans="4:6" x14ac:dyDescent="0.25">
      <c r="D122" t="s">
        <v>112</v>
      </c>
      <c r="E122">
        <v>85</v>
      </c>
      <c r="F122">
        <v>85</v>
      </c>
    </row>
    <row r="123" spans="4:6" x14ac:dyDescent="0.25">
      <c r="D123" t="s">
        <v>113</v>
      </c>
      <c r="E123" t="s">
        <v>26</v>
      </c>
      <c r="F123" t="s">
        <v>26</v>
      </c>
    </row>
    <row r="124" spans="4:6" x14ac:dyDescent="0.25">
      <c r="D124" t="s">
        <v>114</v>
      </c>
    </row>
    <row r="125" spans="4:6" x14ac:dyDescent="0.25">
      <c r="D125" t="s">
        <v>115</v>
      </c>
    </row>
    <row r="126" spans="4:6" x14ac:dyDescent="0.25">
      <c r="D126" t="s">
        <v>202</v>
      </c>
      <c r="E126">
        <v>0</v>
      </c>
    </row>
    <row r="127" spans="4:6" x14ac:dyDescent="0.25">
      <c r="D127" t="s">
        <v>116</v>
      </c>
      <c r="E127" t="s">
        <v>186</v>
      </c>
    </row>
    <row r="128" spans="4:6" x14ac:dyDescent="0.25">
      <c r="D128" t="s">
        <v>130</v>
      </c>
    </row>
    <row r="133" spans="2:5" x14ac:dyDescent="0.25">
      <c r="B133" t="s">
        <v>121</v>
      </c>
    </row>
    <row r="134" spans="2:5" x14ac:dyDescent="0.25">
      <c r="B134" t="s">
        <v>131</v>
      </c>
    </row>
    <row r="135" spans="2:5" x14ac:dyDescent="0.25">
      <c r="B135" t="s">
        <v>132</v>
      </c>
    </row>
    <row r="136" spans="2:5" x14ac:dyDescent="0.25">
      <c r="B136" t="s">
        <v>133</v>
      </c>
    </row>
    <row r="137" spans="2:5" x14ac:dyDescent="0.25">
      <c r="B137" t="s">
        <v>125</v>
      </c>
    </row>
    <row r="138" spans="2:5" x14ac:dyDescent="0.25">
      <c r="B138" t="s">
        <v>134</v>
      </c>
    </row>
    <row r="139" spans="2:5" x14ac:dyDescent="0.25">
      <c r="B139" t="s">
        <v>127</v>
      </c>
    </row>
    <row r="141" spans="2:5" x14ac:dyDescent="0.25">
      <c r="C141" t="s">
        <v>89</v>
      </c>
    </row>
    <row r="143" spans="2:5" x14ac:dyDescent="0.25">
      <c r="D143" t="s">
        <v>78</v>
      </c>
      <c r="E143" t="s">
        <v>98</v>
      </c>
    </row>
    <row r="144" spans="2:5" x14ac:dyDescent="0.25">
      <c r="D144" t="s">
        <v>80</v>
      </c>
      <c r="E144" t="s">
        <v>99</v>
      </c>
    </row>
    <row r="145" spans="4:6" x14ac:dyDescent="0.25">
      <c r="D145" t="s">
        <v>100</v>
      </c>
      <c r="E145">
        <v>5</v>
      </c>
      <c r="F145">
        <v>5</v>
      </c>
    </row>
    <row r="146" spans="4:6" x14ac:dyDescent="0.25">
      <c r="D146" t="s">
        <v>101</v>
      </c>
      <c r="E146" t="s">
        <v>102</v>
      </c>
      <c r="F146" t="s">
        <v>103</v>
      </c>
    </row>
    <row r="147" spans="4:6" x14ac:dyDescent="0.25">
      <c r="D147" t="s">
        <v>135</v>
      </c>
    </row>
    <row r="149" spans="4:6" x14ac:dyDescent="0.25">
      <c r="D149" t="s">
        <v>78</v>
      </c>
      <c r="E149" t="s">
        <v>98</v>
      </c>
    </row>
    <row r="150" spans="4:6" x14ac:dyDescent="0.25">
      <c r="D150" t="s">
        <v>80</v>
      </c>
      <c r="E150" t="s">
        <v>105</v>
      </c>
    </row>
    <row r="151" spans="4:6" x14ac:dyDescent="0.25">
      <c r="D151" t="s">
        <v>100</v>
      </c>
      <c r="E151">
        <v>5</v>
      </c>
      <c r="F151">
        <v>5</v>
      </c>
    </row>
    <row r="152" spans="4:6" x14ac:dyDescent="0.25">
      <c r="D152" t="s">
        <v>136</v>
      </c>
    </row>
    <row r="154" spans="4:6" x14ac:dyDescent="0.25">
      <c r="D154" t="s">
        <v>78</v>
      </c>
      <c r="E154" t="s">
        <v>98</v>
      </c>
    </row>
    <row r="155" spans="4:6" x14ac:dyDescent="0.25">
      <c r="D155" t="s">
        <v>80</v>
      </c>
      <c r="E155" t="s">
        <v>107</v>
      </c>
    </row>
    <row r="156" spans="4:6" x14ac:dyDescent="0.25">
      <c r="D156" t="s">
        <v>108</v>
      </c>
      <c r="E156" t="s">
        <v>54</v>
      </c>
      <c r="F156" t="s">
        <v>54</v>
      </c>
    </row>
    <row r="157" spans="4:6" x14ac:dyDescent="0.25">
      <c r="D157" t="s">
        <v>109</v>
      </c>
      <c r="E157">
        <v>1</v>
      </c>
      <c r="F157">
        <v>2</v>
      </c>
    </row>
    <row r="158" spans="4:6" x14ac:dyDescent="0.25">
      <c r="D158" t="s">
        <v>110</v>
      </c>
      <c r="E158" t="s">
        <v>66</v>
      </c>
      <c r="F158" t="s">
        <v>66</v>
      </c>
    </row>
    <row r="159" spans="4:6" x14ac:dyDescent="0.25">
      <c r="D159" t="s">
        <v>111</v>
      </c>
      <c r="E159">
        <v>1</v>
      </c>
      <c r="F159">
        <v>2</v>
      </c>
    </row>
    <row r="160" spans="4:6" x14ac:dyDescent="0.25">
      <c r="D160" t="s">
        <v>100</v>
      </c>
      <c r="E160">
        <v>5</v>
      </c>
      <c r="F160">
        <v>5</v>
      </c>
    </row>
    <row r="161" spans="2:6" x14ac:dyDescent="0.25">
      <c r="D161" t="s">
        <v>112</v>
      </c>
      <c r="E161">
        <v>95</v>
      </c>
      <c r="F161">
        <v>95</v>
      </c>
    </row>
    <row r="162" spans="2:6" x14ac:dyDescent="0.25">
      <c r="D162" t="s">
        <v>113</v>
      </c>
      <c r="E162" t="s">
        <v>26</v>
      </c>
      <c r="F162" t="s">
        <v>26</v>
      </c>
    </row>
    <row r="163" spans="2:6" x14ac:dyDescent="0.25">
      <c r="D163" t="s">
        <v>114</v>
      </c>
    </row>
    <row r="164" spans="2:6" x14ac:dyDescent="0.25">
      <c r="D164" t="s">
        <v>115</v>
      </c>
    </row>
    <row r="165" spans="2:6" x14ac:dyDescent="0.25">
      <c r="D165" t="s">
        <v>202</v>
      </c>
      <c r="E165">
        <v>0</v>
      </c>
    </row>
    <row r="166" spans="2:6" x14ac:dyDescent="0.25">
      <c r="D166" t="s">
        <v>116</v>
      </c>
      <c r="E166" t="s">
        <v>186</v>
      </c>
    </row>
    <row r="167" spans="2:6" x14ac:dyDescent="0.25">
      <c r="D167" t="s">
        <v>137</v>
      </c>
    </row>
    <row r="172" spans="2:6" x14ac:dyDescent="0.25">
      <c r="B172" t="s">
        <v>141</v>
      </c>
    </row>
    <row r="173" spans="2:6" x14ac:dyDescent="0.25">
      <c r="B173" t="s">
        <v>142</v>
      </c>
    </row>
    <row r="174" spans="2:6" x14ac:dyDescent="0.25">
      <c r="B174" t="s">
        <v>143</v>
      </c>
    </row>
    <row r="175" spans="2:6" x14ac:dyDescent="0.25">
      <c r="B175" t="s">
        <v>144</v>
      </c>
    </row>
    <row r="176" spans="2:6" x14ac:dyDescent="0.25">
      <c r="B176" t="s">
        <v>145</v>
      </c>
    </row>
    <row r="178" spans="2:3" x14ac:dyDescent="0.25">
      <c r="C178" t="s">
        <v>89</v>
      </c>
    </row>
    <row r="183" spans="2:3" x14ac:dyDescent="0.25">
      <c r="B183" t="s">
        <v>121</v>
      </c>
    </row>
    <row r="184" spans="2:3" x14ac:dyDescent="0.25">
      <c r="B184" t="s">
        <v>146</v>
      </c>
    </row>
    <row r="185" spans="2:3" x14ac:dyDescent="0.25">
      <c r="B185" t="s">
        <v>147</v>
      </c>
    </row>
    <row r="186" spans="2:3" x14ac:dyDescent="0.25">
      <c r="B186" t="s">
        <v>148</v>
      </c>
    </row>
    <row r="187" spans="2:3" x14ac:dyDescent="0.25">
      <c r="B187" t="s">
        <v>125</v>
      </c>
    </row>
    <row r="188" spans="2:3" x14ac:dyDescent="0.25">
      <c r="B188" t="s">
        <v>126</v>
      </c>
    </row>
    <row r="189" spans="2:3" x14ac:dyDescent="0.25">
      <c r="B189" t="s">
        <v>127</v>
      </c>
    </row>
    <row r="191" spans="2:3" x14ac:dyDescent="0.25">
      <c r="C191" t="s">
        <v>89</v>
      </c>
    </row>
    <row r="193" spans="4:6" x14ac:dyDescent="0.25">
      <c r="D193" t="s">
        <v>78</v>
      </c>
      <c r="E193" t="s">
        <v>98</v>
      </c>
    </row>
    <row r="194" spans="4:6" x14ac:dyDescent="0.25">
      <c r="D194" t="s">
        <v>80</v>
      </c>
      <c r="E194" t="s">
        <v>99</v>
      </c>
    </row>
    <row r="195" spans="4:6" x14ac:dyDescent="0.25">
      <c r="D195" t="s">
        <v>100</v>
      </c>
      <c r="E195">
        <v>10</v>
      </c>
      <c r="F195">
        <v>10</v>
      </c>
    </row>
    <row r="196" spans="4:6" x14ac:dyDescent="0.25">
      <c r="D196" t="s">
        <v>101</v>
      </c>
      <c r="E196" t="s">
        <v>102</v>
      </c>
      <c r="F196" t="s">
        <v>103</v>
      </c>
    </row>
    <row r="197" spans="4:6" x14ac:dyDescent="0.25">
      <c r="D197" t="s">
        <v>149</v>
      </c>
    </row>
    <row r="199" spans="4:6" x14ac:dyDescent="0.25">
      <c r="D199" t="s">
        <v>78</v>
      </c>
      <c r="E199" t="s">
        <v>98</v>
      </c>
    </row>
    <row r="200" spans="4:6" x14ac:dyDescent="0.25">
      <c r="D200" t="s">
        <v>80</v>
      </c>
      <c r="E200" t="s">
        <v>105</v>
      </c>
    </row>
    <row r="201" spans="4:6" x14ac:dyDescent="0.25">
      <c r="D201" t="s">
        <v>100</v>
      </c>
      <c r="E201">
        <v>10</v>
      </c>
      <c r="F201">
        <v>10</v>
      </c>
    </row>
    <row r="202" spans="4:6" x14ac:dyDescent="0.25">
      <c r="D202" t="s">
        <v>150</v>
      </c>
    </row>
    <row r="204" spans="4:6" x14ac:dyDescent="0.25">
      <c r="D204" t="s">
        <v>78</v>
      </c>
      <c r="E204" t="s">
        <v>98</v>
      </c>
    </row>
    <row r="205" spans="4:6" x14ac:dyDescent="0.25">
      <c r="D205" t="s">
        <v>80</v>
      </c>
      <c r="E205" t="s">
        <v>107</v>
      </c>
    </row>
    <row r="206" spans="4:6" x14ac:dyDescent="0.25">
      <c r="D206" t="s">
        <v>108</v>
      </c>
      <c r="E206" t="s">
        <v>54</v>
      </c>
      <c r="F206" t="s">
        <v>54</v>
      </c>
    </row>
    <row r="207" spans="4:6" x14ac:dyDescent="0.25">
      <c r="D207" t="s">
        <v>109</v>
      </c>
      <c r="E207">
        <v>1</v>
      </c>
      <c r="F207">
        <v>2</v>
      </c>
    </row>
    <row r="208" spans="4:6" x14ac:dyDescent="0.25">
      <c r="D208" t="s">
        <v>110</v>
      </c>
      <c r="E208" t="s">
        <v>71</v>
      </c>
      <c r="F208" t="s">
        <v>71</v>
      </c>
    </row>
    <row r="209" spans="2:6" x14ac:dyDescent="0.25">
      <c r="D209" t="s">
        <v>111</v>
      </c>
      <c r="E209">
        <v>1</v>
      </c>
      <c r="F209">
        <v>2</v>
      </c>
    </row>
    <row r="210" spans="2:6" x14ac:dyDescent="0.25">
      <c r="D210" t="s">
        <v>100</v>
      </c>
      <c r="E210">
        <v>10</v>
      </c>
      <c r="F210">
        <v>10</v>
      </c>
    </row>
    <row r="211" spans="2:6" x14ac:dyDescent="0.25">
      <c r="D211" t="s">
        <v>112</v>
      </c>
      <c r="E211">
        <v>100</v>
      </c>
      <c r="F211">
        <v>100</v>
      </c>
    </row>
    <row r="212" spans="2:6" x14ac:dyDescent="0.25">
      <c r="D212" t="s">
        <v>113</v>
      </c>
      <c r="E212" t="s">
        <v>26</v>
      </c>
      <c r="F212" t="s">
        <v>26</v>
      </c>
    </row>
    <row r="213" spans="2:6" x14ac:dyDescent="0.25">
      <c r="D213" t="s">
        <v>114</v>
      </c>
    </row>
    <row r="214" spans="2:6" x14ac:dyDescent="0.25">
      <c r="D214" t="s">
        <v>115</v>
      </c>
    </row>
    <row r="215" spans="2:6" x14ac:dyDescent="0.25">
      <c r="D215" t="s">
        <v>202</v>
      </c>
      <c r="E215">
        <v>0</v>
      </c>
    </row>
    <row r="216" spans="2:6" x14ac:dyDescent="0.25">
      <c r="D216" t="s">
        <v>116</v>
      </c>
      <c r="E216" t="s">
        <v>186</v>
      </c>
    </row>
    <row r="217" spans="2:6" x14ac:dyDescent="0.25">
      <c r="D217" t="s">
        <v>151</v>
      </c>
    </row>
    <row r="222" spans="2:6" x14ac:dyDescent="0.25">
      <c r="B222" t="s">
        <v>152</v>
      </c>
    </row>
    <row r="223" spans="2:6" x14ac:dyDescent="0.25">
      <c r="B223" t="s">
        <v>153</v>
      </c>
    </row>
    <row r="224" spans="2:6" x14ac:dyDescent="0.25">
      <c r="B224" t="s">
        <v>154</v>
      </c>
    </row>
    <row r="225" spans="2:3" x14ac:dyDescent="0.25">
      <c r="B225" t="s">
        <v>155</v>
      </c>
    </row>
    <row r="226" spans="2:3" x14ac:dyDescent="0.25">
      <c r="B226" t="s">
        <v>195</v>
      </c>
    </row>
    <row r="228" spans="2:3" x14ac:dyDescent="0.25">
      <c r="C228" t="s">
        <v>89</v>
      </c>
    </row>
    <row r="233" spans="2:3" x14ac:dyDescent="0.25">
      <c r="B233" t="s">
        <v>156</v>
      </c>
    </row>
    <row r="234" spans="2:3" x14ac:dyDescent="0.25">
      <c r="B234" t="s">
        <v>157</v>
      </c>
    </row>
    <row r="235" spans="2:3" x14ac:dyDescent="0.25">
      <c r="B235" t="s">
        <v>158</v>
      </c>
    </row>
    <row r="236" spans="2:3" x14ac:dyDescent="0.25">
      <c r="B236" t="s">
        <v>159</v>
      </c>
    </row>
    <row r="237" spans="2:3" x14ac:dyDescent="0.25">
      <c r="B237" t="s">
        <v>160</v>
      </c>
    </row>
    <row r="239" spans="2:3" x14ac:dyDescent="0.25">
      <c r="C239" t="s">
        <v>89</v>
      </c>
    </row>
    <row r="241" spans="4:5" x14ac:dyDescent="0.25">
      <c r="D241" t="s">
        <v>78</v>
      </c>
      <c r="E241" t="s">
        <v>161</v>
      </c>
    </row>
    <row r="242" spans="4:5" x14ac:dyDescent="0.25">
      <c r="D242" t="s">
        <v>80</v>
      </c>
      <c r="E242" t="s">
        <v>162</v>
      </c>
    </row>
    <row r="243" spans="4:5" x14ac:dyDescent="0.25">
      <c r="D243" t="s">
        <v>163</v>
      </c>
      <c r="E243" t="s">
        <v>164</v>
      </c>
    </row>
    <row r="244" spans="4:5" x14ac:dyDescent="0.25">
      <c r="D244" t="s">
        <v>165</v>
      </c>
    </row>
    <row r="246" spans="4:5" x14ac:dyDescent="0.25">
      <c r="D246" t="s">
        <v>78</v>
      </c>
      <c r="E246" t="s">
        <v>161</v>
      </c>
    </row>
    <row r="247" spans="4:5" x14ac:dyDescent="0.25">
      <c r="D247" t="s">
        <v>80</v>
      </c>
      <c r="E247" t="s">
        <v>166</v>
      </c>
    </row>
    <row r="248" spans="4:5" x14ac:dyDescent="0.25">
      <c r="D248" t="s">
        <v>163</v>
      </c>
      <c r="E248" t="s">
        <v>164</v>
      </c>
    </row>
    <row r="249" spans="4:5" x14ac:dyDescent="0.25">
      <c r="D249" t="s">
        <v>167</v>
      </c>
    </row>
    <row r="251" spans="4:5" x14ac:dyDescent="0.25">
      <c r="D251" t="s">
        <v>78</v>
      </c>
      <c r="E251" t="s">
        <v>79</v>
      </c>
    </row>
    <row r="252" spans="4:5" x14ac:dyDescent="0.25">
      <c r="D252" t="s">
        <v>80</v>
      </c>
      <c r="E252" t="s">
        <v>168</v>
      </c>
    </row>
    <row r="253" spans="4:5" x14ac:dyDescent="0.25">
      <c r="D253" t="s">
        <v>82</v>
      </c>
      <c r="E253" t="s">
        <v>164</v>
      </c>
    </row>
    <row r="254" spans="4:5" x14ac:dyDescent="0.25">
      <c r="D254" t="s">
        <v>169</v>
      </c>
    </row>
    <row r="256" spans="4:5" x14ac:dyDescent="0.25">
      <c r="D256" t="s">
        <v>78</v>
      </c>
      <c r="E256" t="s">
        <v>79</v>
      </c>
    </row>
    <row r="257" spans="4:5" x14ac:dyDescent="0.25">
      <c r="D257" t="s">
        <v>80</v>
      </c>
      <c r="E257" t="s">
        <v>203</v>
      </c>
    </row>
    <row r="258" spans="4:5" x14ac:dyDescent="0.25">
      <c r="D258" t="s">
        <v>82</v>
      </c>
      <c r="E258" t="s">
        <v>164</v>
      </c>
    </row>
    <row r="259" spans="4:5" x14ac:dyDescent="0.25">
      <c r="D259" t="s">
        <v>170</v>
      </c>
    </row>
    <row r="261" spans="4:5" x14ac:dyDescent="0.25">
      <c r="D261" t="s">
        <v>78</v>
      </c>
      <c r="E261" t="s">
        <v>171</v>
      </c>
    </row>
    <row r="262" spans="4:5" x14ac:dyDescent="0.25">
      <c r="D262" t="s">
        <v>80</v>
      </c>
      <c r="E262" t="s">
        <v>81</v>
      </c>
    </row>
    <row r="263" spans="4:5" x14ac:dyDescent="0.25">
      <c r="D263" t="s">
        <v>82</v>
      </c>
      <c r="E263" t="s">
        <v>164</v>
      </c>
    </row>
    <row r="264" spans="4:5" x14ac:dyDescent="0.25">
      <c r="D264" t="s">
        <v>172</v>
      </c>
    </row>
    <row r="266" spans="4:5" x14ac:dyDescent="0.25">
      <c r="D266" t="s">
        <v>78</v>
      </c>
      <c r="E266" t="s">
        <v>171</v>
      </c>
    </row>
    <row r="267" spans="4:5" x14ac:dyDescent="0.25">
      <c r="D267" t="s">
        <v>80</v>
      </c>
      <c r="E267" t="s">
        <v>173</v>
      </c>
    </row>
    <row r="268" spans="4:5" x14ac:dyDescent="0.25">
      <c r="D268" t="s">
        <v>82</v>
      </c>
      <c r="E268" t="s">
        <v>164</v>
      </c>
    </row>
    <row r="269" spans="4:5" x14ac:dyDescent="0.25">
      <c r="D269" t="s">
        <v>174</v>
      </c>
    </row>
    <row r="271" spans="4:5" x14ac:dyDescent="0.25">
      <c r="D271" t="s">
        <v>78</v>
      </c>
      <c r="E271" t="s">
        <v>171</v>
      </c>
    </row>
    <row r="272" spans="4:5" x14ac:dyDescent="0.25">
      <c r="D272" t="s">
        <v>80</v>
      </c>
      <c r="E272" t="s">
        <v>204</v>
      </c>
    </row>
    <row r="273" spans="4:5" x14ac:dyDescent="0.25">
      <c r="D273" t="s">
        <v>82</v>
      </c>
      <c r="E273" t="s">
        <v>164</v>
      </c>
    </row>
    <row r="274" spans="4:5" x14ac:dyDescent="0.25">
      <c r="D274" t="s">
        <v>175</v>
      </c>
    </row>
    <row r="276" spans="4:5" x14ac:dyDescent="0.25">
      <c r="D276" t="s">
        <v>78</v>
      </c>
      <c r="E276" t="s">
        <v>79</v>
      </c>
    </row>
    <row r="277" spans="4:5" x14ac:dyDescent="0.25">
      <c r="D277" t="s">
        <v>80</v>
      </c>
      <c r="E277" t="s">
        <v>173</v>
      </c>
    </row>
    <row r="278" spans="4:5" x14ac:dyDescent="0.25">
      <c r="D278" t="s">
        <v>82</v>
      </c>
      <c r="E278" t="s">
        <v>164</v>
      </c>
    </row>
    <row r="279" spans="4:5" x14ac:dyDescent="0.25">
      <c r="D279" t="s">
        <v>176</v>
      </c>
    </row>
    <row r="281" spans="4:5" x14ac:dyDescent="0.25">
      <c r="D281" t="s">
        <v>78</v>
      </c>
      <c r="E281" t="s">
        <v>79</v>
      </c>
    </row>
    <row r="282" spans="4:5" x14ac:dyDescent="0.25">
      <c r="D282" t="s">
        <v>80</v>
      </c>
      <c r="E282" t="s">
        <v>204</v>
      </c>
    </row>
    <row r="283" spans="4:5" x14ac:dyDescent="0.25">
      <c r="D283" t="s">
        <v>82</v>
      </c>
      <c r="E283" t="s">
        <v>164</v>
      </c>
    </row>
    <row r="284" spans="4:5" x14ac:dyDescent="0.25">
      <c r="D284" t="s">
        <v>177</v>
      </c>
    </row>
    <row r="286" spans="4:5" x14ac:dyDescent="0.25">
      <c r="D286" t="s">
        <v>78</v>
      </c>
      <c r="E286" t="s">
        <v>178</v>
      </c>
    </row>
    <row r="287" spans="4:5" x14ac:dyDescent="0.25">
      <c r="D287" t="s">
        <v>80</v>
      </c>
      <c r="E287" t="s">
        <v>179</v>
      </c>
    </row>
    <row r="288" spans="4:5" x14ac:dyDescent="0.25">
      <c r="D288" t="s">
        <v>180</v>
      </c>
    </row>
    <row r="289" spans="4:5" x14ac:dyDescent="0.25">
      <c r="D289" t="s">
        <v>181</v>
      </c>
    </row>
    <row r="290" spans="4:5" x14ac:dyDescent="0.25">
      <c r="D290" t="s">
        <v>182</v>
      </c>
    </row>
    <row r="291" spans="4:5" x14ac:dyDescent="0.25">
      <c r="D291" t="s">
        <v>183</v>
      </c>
    </row>
    <row r="292" spans="4:5" x14ac:dyDescent="0.25">
      <c r="D292" t="s">
        <v>184</v>
      </c>
      <c r="E292" t="b">
        <v>0</v>
      </c>
    </row>
    <row r="293" spans="4:5" x14ac:dyDescent="0.25">
      <c r="D293" t="s">
        <v>185</v>
      </c>
      <c r="E293" t="s">
        <v>186</v>
      </c>
    </row>
    <row r="294" spans="4:5" x14ac:dyDescent="0.25">
      <c r="D294" t="s">
        <v>187</v>
      </c>
    </row>
    <row r="296" spans="4:5" x14ac:dyDescent="0.25">
      <c r="D296" t="s">
        <v>78</v>
      </c>
      <c r="E296" t="s">
        <v>178</v>
      </c>
    </row>
    <row r="297" spans="4:5" x14ac:dyDescent="0.25">
      <c r="D297" t="s">
        <v>80</v>
      </c>
      <c r="E297" t="s">
        <v>179</v>
      </c>
    </row>
    <row r="298" spans="4:5" x14ac:dyDescent="0.25">
      <c r="D298" t="s">
        <v>180</v>
      </c>
    </row>
    <row r="299" spans="4:5" x14ac:dyDescent="0.25">
      <c r="D299" t="s">
        <v>181</v>
      </c>
    </row>
    <row r="300" spans="4:5" x14ac:dyDescent="0.25">
      <c r="D300" t="s">
        <v>182</v>
      </c>
    </row>
    <row r="301" spans="4:5" x14ac:dyDescent="0.25">
      <c r="D301" t="s">
        <v>183</v>
      </c>
    </row>
    <row r="302" spans="4:5" x14ac:dyDescent="0.25">
      <c r="D302" t="s">
        <v>184</v>
      </c>
      <c r="E302" t="b">
        <v>1</v>
      </c>
    </row>
    <row r="303" spans="4:5" x14ac:dyDescent="0.25">
      <c r="D303" t="s">
        <v>185</v>
      </c>
      <c r="E303" t="s">
        <v>186</v>
      </c>
    </row>
    <row r="304" spans="4:5" x14ac:dyDescent="0.25">
      <c r="D304" t="s">
        <v>188</v>
      </c>
    </row>
    <row r="306" spans="2:5" x14ac:dyDescent="0.25">
      <c r="D306" t="s">
        <v>78</v>
      </c>
      <c r="E306" t="s">
        <v>79</v>
      </c>
    </row>
    <row r="307" spans="2:5" x14ac:dyDescent="0.25">
      <c r="D307" t="s">
        <v>80</v>
      </c>
      <c r="E307" t="s">
        <v>189</v>
      </c>
    </row>
    <row r="308" spans="2:5" x14ac:dyDescent="0.25">
      <c r="D308" t="s">
        <v>82</v>
      </c>
      <c r="E308" t="s">
        <v>54</v>
      </c>
    </row>
    <row r="309" spans="2:5" x14ac:dyDescent="0.25">
      <c r="D309" t="s">
        <v>83</v>
      </c>
      <c r="E309">
        <v>37</v>
      </c>
    </row>
    <row r="310" spans="2:5" x14ac:dyDescent="0.25">
      <c r="D310" t="s">
        <v>84</v>
      </c>
      <c r="E310">
        <v>0</v>
      </c>
    </row>
    <row r="311" spans="2:5" x14ac:dyDescent="0.25">
      <c r="D311" t="s">
        <v>190</v>
      </c>
    </row>
    <row r="316" spans="2:5" x14ac:dyDescent="0.25">
      <c r="B316" t="s">
        <v>121</v>
      </c>
    </row>
    <row r="317" spans="2:5" x14ac:dyDescent="0.25">
      <c r="B317" t="s">
        <v>191</v>
      </c>
    </row>
    <row r="318" spans="2:5" x14ac:dyDescent="0.25">
      <c r="B318" t="s">
        <v>192</v>
      </c>
    </row>
    <row r="319" spans="2:5" x14ac:dyDescent="0.25">
      <c r="B319" t="s">
        <v>133</v>
      </c>
    </row>
    <row r="320" spans="2:5" x14ac:dyDescent="0.25">
      <c r="B320" t="s">
        <v>125</v>
      </c>
    </row>
    <row r="321" spans="2:6" x14ac:dyDescent="0.25">
      <c r="B321" t="s">
        <v>193</v>
      </c>
    </row>
    <row r="322" spans="2:6" x14ac:dyDescent="0.25">
      <c r="B322" t="s">
        <v>127</v>
      </c>
    </row>
    <row r="324" spans="2:6" x14ac:dyDescent="0.25">
      <c r="C324" t="s">
        <v>89</v>
      </c>
    </row>
    <row r="326" spans="2:6" x14ac:dyDescent="0.25">
      <c r="D326" t="s">
        <v>78</v>
      </c>
      <c r="E326" t="s">
        <v>98</v>
      </c>
    </row>
    <row r="327" spans="2:6" x14ac:dyDescent="0.25">
      <c r="D327" t="s">
        <v>80</v>
      </c>
      <c r="E327" t="s">
        <v>99</v>
      </c>
    </row>
    <row r="328" spans="2:6" x14ac:dyDescent="0.25">
      <c r="D328" t="s">
        <v>100</v>
      </c>
      <c r="E328">
        <v>100</v>
      </c>
      <c r="F328">
        <v>100</v>
      </c>
    </row>
    <row r="329" spans="2:6" x14ac:dyDescent="0.25">
      <c r="D329" t="s">
        <v>101</v>
      </c>
      <c r="E329" t="s">
        <v>102</v>
      </c>
      <c r="F329" t="s">
        <v>103</v>
      </c>
    </row>
    <row r="330" spans="2:6" x14ac:dyDescent="0.25">
      <c r="D330" t="s">
        <v>194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3AEE8-4B7B-40A4-8469-5BA24229CC18}">
  <sheetPr codeName="Sheet5"/>
  <dimension ref="B1:M47"/>
  <sheetViews>
    <sheetView topLeftCell="A7" workbookViewId="0">
      <selection activeCell="B28" sqref="B28:F28"/>
    </sheetView>
  </sheetViews>
  <sheetFormatPr defaultRowHeight="15" x14ac:dyDescent="0.25"/>
  <cols>
    <col min="2" max="2" width="24.28515625" bestFit="1" customWidth="1"/>
  </cols>
  <sheetData>
    <row r="1" spans="2:13" ht="15.75" thickBot="1" x14ac:dyDescent="0.3"/>
    <row r="2" spans="2:13" ht="27" thickBot="1" x14ac:dyDescent="0.45">
      <c r="B2" s="58" t="s">
        <v>208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60"/>
    </row>
    <row r="3" spans="2:13" x14ac:dyDescent="0.25">
      <c r="B3" s="61" t="s">
        <v>209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3"/>
    </row>
    <row r="4" spans="2:13" x14ac:dyDescent="0.25">
      <c r="B4" s="64" t="s">
        <v>210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6"/>
    </row>
    <row r="5" spans="2:13" x14ac:dyDescent="0.25">
      <c r="B5" s="64"/>
      <c r="C5" s="65"/>
      <c r="D5" s="65"/>
      <c r="E5" s="65"/>
      <c r="F5" s="65"/>
      <c r="G5" s="65"/>
      <c r="H5" s="65"/>
      <c r="I5" s="65"/>
      <c r="J5" s="65"/>
      <c r="K5" s="65"/>
      <c r="L5" s="65"/>
      <c r="M5" s="66"/>
    </row>
    <row r="6" spans="2:13" x14ac:dyDescent="0.25">
      <c r="B6" s="64"/>
      <c r="C6" s="65"/>
      <c r="D6" s="65"/>
      <c r="E6" s="65"/>
      <c r="F6" s="65"/>
      <c r="G6" s="65"/>
      <c r="H6" s="65"/>
      <c r="I6" s="65"/>
      <c r="J6" s="65"/>
      <c r="K6" s="65"/>
      <c r="L6" s="65"/>
      <c r="M6" s="66"/>
    </row>
    <row r="7" spans="2:13" x14ac:dyDescent="0.25">
      <c r="B7" s="64"/>
      <c r="C7" s="65"/>
      <c r="D7" s="65"/>
      <c r="E7" s="65"/>
      <c r="F7" s="65"/>
      <c r="G7" s="65"/>
      <c r="H7" s="65"/>
      <c r="I7" s="65"/>
      <c r="J7" s="65"/>
      <c r="K7" s="65"/>
      <c r="L7" s="65"/>
      <c r="M7" s="66"/>
    </row>
    <row r="8" spans="2:13" x14ac:dyDescent="0.25">
      <c r="B8" s="64"/>
      <c r="C8" s="65"/>
      <c r="D8" s="65"/>
      <c r="E8" s="65"/>
      <c r="F8" s="65"/>
      <c r="G8" s="65"/>
      <c r="H8" s="65"/>
      <c r="I8" s="65"/>
      <c r="J8" s="65"/>
      <c r="K8" s="65"/>
      <c r="L8" s="65"/>
      <c r="M8" s="66"/>
    </row>
    <row r="9" spans="2:13" x14ac:dyDescent="0.25">
      <c r="B9" s="64"/>
      <c r="C9" s="65"/>
      <c r="D9" s="65"/>
      <c r="E9" s="65"/>
      <c r="F9" s="65"/>
      <c r="G9" s="65"/>
      <c r="H9" s="65"/>
      <c r="I9" s="65"/>
      <c r="J9" s="65"/>
      <c r="K9" s="65"/>
      <c r="L9" s="65"/>
      <c r="M9" s="66"/>
    </row>
    <row r="10" spans="2:13" ht="15.75" thickBot="1" x14ac:dyDescent="0.3">
      <c r="B10" s="34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35"/>
    </row>
    <row r="14" spans="2:13" ht="15.75" thickBot="1" x14ac:dyDescent="0.3"/>
    <row r="15" spans="2:13" ht="19.5" thickBot="1" x14ac:dyDescent="0.35">
      <c r="B15" s="68" t="s">
        <v>66</v>
      </c>
      <c r="C15" s="69"/>
      <c r="D15" s="69"/>
      <c r="E15" s="69"/>
      <c r="F15" s="70"/>
      <c r="I15" s="68" t="s">
        <v>71</v>
      </c>
      <c r="J15" s="69"/>
      <c r="K15" s="69"/>
      <c r="L15" s="69"/>
      <c r="M15" s="70"/>
    </row>
    <row r="16" spans="2:13" ht="16.5" thickBot="1" x14ac:dyDescent="0.3">
      <c r="B16" s="71" t="s">
        <v>207</v>
      </c>
      <c r="C16" s="72"/>
      <c r="D16" s="72"/>
      <c r="E16" s="72"/>
      <c r="F16" s="73"/>
      <c r="I16" s="71" t="s">
        <v>207</v>
      </c>
      <c r="J16" s="72"/>
      <c r="K16" s="72"/>
      <c r="L16" s="72"/>
      <c r="M16" s="73"/>
    </row>
    <row r="17" spans="2:13" ht="16.5" thickBot="1" x14ac:dyDescent="0.3">
      <c r="B17" s="71" t="s">
        <v>211</v>
      </c>
      <c r="C17" s="72"/>
      <c r="D17" s="72"/>
      <c r="E17" s="72"/>
      <c r="F17" s="73"/>
      <c r="I17" s="71" t="s">
        <v>216</v>
      </c>
      <c r="J17" s="72"/>
      <c r="K17" s="72"/>
      <c r="L17" s="72"/>
      <c r="M17" s="73"/>
    </row>
    <row r="18" spans="2:13" x14ac:dyDescent="0.25">
      <c r="B18" s="57" t="s">
        <v>206</v>
      </c>
      <c r="C18" s="74"/>
      <c r="D18" s="74"/>
      <c r="E18" s="74"/>
      <c r="F18" s="79"/>
      <c r="I18" s="57" t="s">
        <v>206</v>
      </c>
      <c r="J18" s="74"/>
      <c r="K18" s="74"/>
      <c r="L18" s="74"/>
      <c r="M18" s="79"/>
    </row>
    <row r="19" spans="2:13" x14ac:dyDescent="0.25">
      <c r="B19" s="75" t="s">
        <v>212</v>
      </c>
      <c r="C19" s="76"/>
      <c r="D19" s="76"/>
      <c r="E19" s="76"/>
      <c r="F19" s="80"/>
      <c r="I19" s="75" t="s">
        <v>212</v>
      </c>
      <c r="J19" s="76"/>
      <c r="K19" s="76"/>
      <c r="L19" s="76"/>
      <c r="M19" s="80"/>
    </row>
    <row r="20" spans="2:13" x14ac:dyDescent="0.25">
      <c r="B20" s="75" t="s">
        <v>213</v>
      </c>
      <c r="C20" s="76"/>
      <c r="D20" s="76"/>
      <c r="E20" s="76"/>
      <c r="F20" s="80"/>
      <c r="I20" s="75" t="s">
        <v>213</v>
      </c>
      <c r="J20" s="76"/>
      <c r="K20" s="76"/>
      <c r="L20" s="76"/>
      <c r="M20" s="80"/>
    </row>
    <row r="21" spans="2:13" x14ac:dyDescent="0.25">
      <c r="B21" s="75" t="s">
        <v>56</v>
      </c>
      <c r="C21" s="76"/>
      <c r="D21" s="76"/>
      <c r="E21" s="76"/>
      <c r="F21" s="80"/>
      <c r="I21" s="75" t="s">
        <v>56</v>
      </c>
      <c r="J21" s="76"/>
      <c r="K21" s="76"/>
      <c r="L21" s="76"/>
      <c r="M21" s="80"/>
    </row>
    <row r="22" spans="2:13" x14ac:dyDescent="0.25">
      <c r="B22" s="75" t="s">
        <v>214</v>
      </c>
      <c r="C22" s="76"/>
      <c r="D22" s="76"/>
      <c r="E22" s="76"/>
      <c r="F22" s="80"/>
      <c r="I22" s="75" t="s">
        <v>214</v>
      </c>
      <c r="J22" s="76"/>
      <c r="K22" s="76"/>
      <c r="L22" s="76"/>
      <c r="M22" s="80"/>
    </row>
    <row r="23" spans="2:13" ht="15.75" thickBot="1" x14ac:dyDescent="0.3">
      <c r="B23" s="77" t="s">
        <v>215</v>
      </c>
      <c r="C23" s="78"/>
      <c r="D23" s="78"/>
      <c r="E23" s="78"/>
      <c r="F23" s="81"/>
      <c r="I23" s="77" t="s">
        <v>215</v>
      </c>
      <c r="J23" s="78"/>
      <c r="K23" s="78"/>
      <c r="L23" s="78"/>
      <c r="M23" s="81"/>
    </row>
    <row r="26" spans="2:13" ht="15.75" thickBot="1" x14ac:dyDescent="0.3"/>
    <row r="27" spans="2:13" ht="19.5" thickBot="1" x14ac:dyDescent="0.35">
      <c r="B27" s="68" t="s">
        <v>72</v>
      </c>
      <c r="C27" s="69"/>
      <c r="D27" s="69"/>
      <c r="E27" s="69"/>
      <c r="F27" s="70"/>
      <c r="I27" s="68" t="s">
        <v>196</v>
      </c>
      <c r="J27" s="69"/>
      <c r="K27" s="69"/>
      <c r="L27" s="69"/>
      <c r="M27" s="70"/>
    </row>
    <row r="28" spans="2:13" ht="16.5" thickBot="1" x14ac:dyDescent="0.3">
      <c r="B28" s="71" t="s">
        <v>207</v>
      </c>
      <c r="C28" s="72"/>
      <c r="D28" s="72"/>
      <c r="E28" s="72"/>
      <c r="F28" s="73"/>
      <c r="I28" s="71" t="s">
        <v>207</v>
      </c>
      <c r="J28" s="72"/>
      <c r="K28" s="72"/>
      <c r="L28" s="72"/>
      <c r="M28" s="73"/>
    </row>
    <row r="29" spans="2:13" ht="16.5" thickBot="1" x14ac:dyDescent="0.3">
      <c r="B29" s="71" t="s">
        <v>217</v>
      </c>
      <c r="C29" s="72"/>
      <c r="D29" s="72"/>
      <c r="E29" s="72"/>
      <c r="F29" s="73"/>
      <c r="I29" s="71" t="s">
        <v>211</v>
      </c>
      <c r="J29" s="72"/>
      <c r="K29" s="72"/>
      <c r="L29" s="72"/>
      <c r="M29" s="73"/>
    </row>
    <row r="30" spans="2:13" x14ac:dyDescent="0.25">
      <c r="B30" s="57" t="s">
        <v>206</v>
      </c>
      <c r="C30" s="74"/>
      <c r="D30" s="74"/>
      <c r="E30" s="74"/>
      <c r="F30" s="79"/>
      <c r="I30" s="57" t="s">
        <v>206</v>
      </c>
      <c r="J30" s="74"/>
      <c r="K30" s="74"/>
      <c r="L30" s="74"/>
      <c r="M30" s="79"/>
    </row>
    <row r="31" spans="2:13" x14ac:dyDescent="0.25">
      <c r="B31" s="75" t="s">
        <v>212</v>
      </c>
      <c r="C31" s="76"/>
      <c r="D31" s="76"/>
      <c r="E31" s="76"/>
      <c r="F31" s="80"/>
      <c r="I31" s="75" t="s">
        <v>212</v>
      </c>
      <c r="J31" s="76"/>
      <c r="K31" s="76"/>
      <c r="L31" s="76"/>
      <c r="M31" s="80"/>
    </row>
    <row r="32" spans="2:13" x14ac:dyDescent="0.25">
      <c r="B32" s="75" t="s">
        <v>213</v>
      </c>
      <c r="C32" s="76"/>
      <c r="D32" s="76"/>
      <c r="E32" s="76"/>
      <c r="F32" s="80"/>
      <c r="I32" s="75" t="s">
        <v>213</v>
      </c>
      <c r="J32" s="76"/>
      <c r="K32" s="76"/>
      <c r="L32" s="76"/>
      <c r="M32" s="80"/>
    </row>
    <row r="33" spans="2:13" x14ac:dyDescent="0.25">
      <c r="B33" s="75" t="s">
        <v>56</v>
      </c>
      <c r="C33" s="76"/>
      <c r="D33" s="76"/>
      <c r="E33" s="76"/>
      <c r="F33" s="80"/>
      <c r="I33" s="75" t="s">
        <v>56</v>
      </c>
      <c r="J33" s="76"/>
      <c r="K33" s="76"/>
      <c r="L33" s="76"/>
      <c r="M33" s="80"/>
    </row>
    <row r="34" spans="2:13" x14ac:dyDescent="0.25">
      <c r="B34" s="75" t="s">
        <v>214</v>
      </c>
      <c r="C34" s="76"/>
      <c r="D34" s="76"/>
      <c r="E34" s="76"/>
      <c r="F34" s="80"/>
      <c r="I34" s="75" t="s">
        <v>214</v>
      </c>
      <c r="J34" s="76"/>
      <c r="K34" s="76"/>
      <c r="L34" s="76"/>
      <c r="M34" s="80"/>
    </row>
    <row r="35" spans="2:13" ht="15.75" thickBot="1" x14ac:dyDescent="0.3">
      <c r="B35" s="77" t="s">
        <v>215</v>
      </c>
      <c r="C35" s="78"/>
      <c r="D35" s="78"/>
      <c r="E35" s="78"/>
      <c r="F35" s="81"/>
      <c r="I35" s="77" t="s">
        <v>215</v>
      </c>
      <c r="J35" s="78"/>
      <c r="K35" s="78"/>
      <c r="L35" s="78"/>
      <c r="M35" s="81"/>
    </row>
    <row r="38" spans="2:13" ht="15.75" thickBot="1" x14ac:dyDescent="0.3"/>
    <row r="39" spans="2:13" ht="19.5" thickBot="1" x14ac:dyDescent="0.35">
      <c r="B39" s="68" t="s">
        <v>57</v>
      </c>
      <c r="C39" s="69"/>
      <c r="D39" s="69"/>
      <c r="E39" s="69"/>
      <c r="F39" s="70"/>
      <c r="I39" s="68" t="s">
        <v>63</v>
      </c>
      <c r="J39" s="69"/>
      <c r="K39" s="69"/>
      <c r="L39" s="69"/>
      <c r="M39" s="70"/>
    </row>
    <row r="40" spans="2:13" ht="16.5" thickBot="1" x14ac:dyDescent="0.3">
      <c r="B40" s="71" t="s">
        <v>205</v>
      </c>
      <c r="C40" s="72"/>
      <c r="D40" s="72"/>
      <c r="E40" s="72"/>
      <c r="F40" s="73"/>
      <c r="I40" s="71" t="s">
        <v>205</v>
      </c>
      <c r="J40" s="72"/>
      <c r="K40" s="72"/>
      <c r="L40" s="72"/>
      <c r="M40" s="73"/>
    </row>
    <row r="41" spans="2:13" ht="16.5" thickBot="1" x14ac:dyDescent="0.3">
      <c r="B41" s="71" t="s">
        <v>218</v>
      </c>
      <c r="C41" s="72"/>
      <c r="D41" s="72"/>
      <c r="E41" s="72"/>
      <c r="F41" s="73"/>
      <c r="I41" s="71" t="s">
        <v>219</v>
      </c>
      <c r="J41" s="72"/>
      <c r="K41" s="72"/>
      <c r="L41" s="72"/>
      <c r="M41" s="73"/>
    </row>
    <row r="42" spans="2:13" x14ac:dyDescent="0.25">
      <c r="B42" s="57" t="s">
        <v>206</v>
      </c>
      <c r="C42" s="74"/>
      <c r="D42" s="74"/>
      <c r="E42" s="74"/>
      <c r="F42" s="79"/>
      <c r="I42" s="57" t="s">
        <v>206</v>
      </c>
      <c r="J42" s="74"/>
      <c r="K42" s="74"/>
      <c r="L42" s="74"/>
      <c r="M42" s="79"/>
    </row>
    <row r="43" spans="2:13" x14ac:dyDescent="0.25">
      <c r="B43" s="75" t="s">
        <v>212</v>
      </c>
      <c r="C43" s="76"/>
      <c r="D43" s="76"/>
      <c r="E43" s="76"/>
      <c r="F43" s="80"/>
      <c r="I43" s="75" t="s">
        <v>212</v>
      </c>
      <c r="J43" s="76"/>
      <c r="K43" s="76"/>
      <c r="L43" s="76"/>
      <c r="M43" s="80"/>
    </row>
    <row r="44" spans="2:13" x14ac:dyDescent="0.25">
      <c r="B44" s="75" t="s">
        <v>213</v>
      </c>
      <c r="C44" s="76"/>
      <c r="D44" s="76"/>
      <c r="E44" s="76"/>
      <c r="F44" s="80"/>
      <c r="I44" s="75" t="s">
        <v>213</v>
      </c>
      <c r="J44" s="76"/>
      <c r="K44" s="76"/>
      <c r="L44" s="76"/>
      <c r="M44" s="80"/>
    </row>
    <row r="45" spans="2:13" x14ac:dyDescent="0.25">
      <c r="B45" s="75" t="s">
        <v>56</v>
      </c>
      <c r="C45" s="76"/>
      <c r="D45" s="76"/>
      <c r="E45" s="76"/>
      <c r="F45" s="80"/>
      <c r="I45" s="75" t="s">
        <v>56</v>
      </c>
      <c r="J45" s="76"/>
      <c r="K45" s="76"/>
      <c r="L45" s="76"/>
      <c r="M45" s="80"/>
    </row>
    <row r="46" spans="2:13" x14ac:dyDescent="0.25">
      <c r="B46" s="75" t="s">
        <v>214</v>
      </c>
      <c r="C46" s="76"/>
      <c r="D46" s="76"/>
      <c r="E46" s="76"/>
      <c r="F46" s="80"/>
      <c r="I46" s="75" t="s">
        <v>214</v>
      </c>
      <c r="J46" s="76"/>
      <c r="K46" s="76"/>
      <c r="L46" s="76"/>
      <c r="M46" s="80"/>
    </row>
    <row r="47" spans="2:13" ht="15.75" thickBot="1" x14ac:dyDescent="0.3">
      <c r="B47" s="77" t="s">
        <v>215</v>
      </c>
      <c r="C47" s="78"/>
      <c r="D47" s="78"/>
      <c r="E47" s="78"/>
      <c r="F47" s="81"/>
      <c r="I47" s="77" t="s">
        <v>215</v>
      </c>
      <c r="J47" s="78"/>
      <c r="K47" s="78"/>
      <c r="L47" s="78"/>
      <c r="M47" s="81"/>
    </row>
  </sheetData>
  <mergeCells count="91">
    <mergeCell ref="K47:M47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Method</vt:lpstr>
      <vt:lpstr>Worklist</vt:lpstr>
      <vt:lpstr>TestLog</vt:lpstr>
      <vt:lpstr>PrepList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2022-02-07T16:05:22Z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