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D696AFF3-1DE9-4F70-B8C0-1BAFAC8DC080}" xr6:coauthVersionLast="46" xr6:coauthVersionMax="46" xr10:uidLastSave="{00000000-0000-0000-0000-000000000000}"/>
  <bookViews>
    <workbookView xWindow="14430" yWindow="75" windowWidth="13320" windowHeight="15600" firstSheet="2" activeTab="2" xr2:uid="{00000000-000D-0000-FFFF-FFFF00000000}"/>
  </bookViews>
  <sheets>
    <sheet name="___Dropdown values" sheetId="4" state="hidden" r:id="rId1"/>
    <sheet name="Building Blocks" sheetId="1" r:id="rId2"/>
    <sheet name="Method" sheetId="2" r:id="rId3"/>
    <sheet name="Worklist" sheetId="3" r:id="rId4"/>
    <sheet name="RunLog" sheetId="83" r:id="rId5"/>
    <sheet name="TestLog" sheetId="82" r:id="rId6"/>
    <sheet name="PrepList" sheetId="3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3" l="1"/>
  <c r="B6" i="3" s="1"/>
  <c r="A5" i="3"/>
  <c r="D5" i="3" s="1"/>
  <c r="A4" i="3"/>
  <c r="D4" i="3" s="1"/>
  <c r="A3" i="3"/>
  <c r="D3" i="3" s="1"/>
  <c r="B3" i="3" l="1"/>
  <c r="D6" i="3"/>
  <c r="B5" i="3"/>
  <c r="B4" i="3"/>
  <c r="E18" i="2"/>
  <c r="E77" i="2" l="1"/>
  <c r="E76" i="2"/>
  <c r="E75" i="2"/>
  <c r="E27" i="2"/>
  <c r="E25" i="2"/>
  <c r="E14" i="2" l="1"/>
  <c r="E13" i="2"/>
  <c r="E61" i="2" l="1"/>
  <c r="A2" i="3" l="1"/>
  <c r="D2" i="3" l="1"/>
  <c r="B2" i="3"/>
</calcChain>
</file>

<file path=xl/sharedStrings.xml><?xml version="1.0" encoding="utf-8"?>
<sst xmlns="http://schemas.openxmlformats.org/spreadsheetml/2006/main" count="1502" uniqueCount="392">
  <si>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</si>
  <si>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</si>
  <si>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</si>
  <si>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</si>
  <si>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</si>
  <si>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</si>
  <si>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</si>
  <si>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</si>
  <si>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</si>
  <si>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</si>
  <si>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</si>
  <si>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</si>
  <si>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</si>
  <si>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</si>
  <si>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</si>
  <si>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</si>
  <si>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</si>
  <si>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</si>
  <si>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</si>
  <si>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</si>
  <si>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</si>
  <si>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</si>
  <si>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</si>
  <si>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</si>
  <si>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</si>
  <si>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</si>
  <si>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</si>
  <si>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</si>
  <si>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</si>
  <si>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</si>
  <si>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</si>
  <si>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</si>
  <si>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</si>
  <si>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</si>
  <si>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</si>
  <si>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</si>
  <si>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</si>
  <si>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</si>
  <si>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</si>
  <si>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</si>
  <si>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</si>
  <si>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</si>
  <si>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</si>
  <si>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</si>
  <si>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</si>
  <si>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</si>
  <si>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</si>
  <si>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</si>
  <si>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</si>
  <si>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</si>
  <si>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</si>
  <si>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</si>
  <si>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</si>
  <si>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</si>
  <si>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</si>
  <si>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</si>
  <si>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</si>
  <si>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</si>
  <si>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</si>
  <si>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</si>
  <si>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</si>
  <si>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</si>
  <si>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</si>
  <si>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</si>
  <si>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</si>
  <si>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</si>
  <si>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</si>
  <si>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</si>
  <si>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</si>
  <si>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</si>
  <si>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</si>
  <si>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</si>
  <si>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</si>
  <si>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</si>
  <si>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</si>
  <si>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</si>
  <si>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</si>
  <si>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</si>
  <si>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</si>
  <si>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</si>
  <si>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</si>
  <si>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</si>
  <si>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</si>
  <si>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</si>
  <si>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</si>
  <si>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</si>
  <si>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</si>
  <si>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</si>
  <si>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</si>
  <si>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</si>
  <si>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</si>
  <si>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</si>
  <si>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</si>
  <si>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</si>
  <si>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</si>
  <si>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</si>
  <si>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</si>
  <si>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</si>
  <si>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</si>
  <si>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Max Source Volume (uL)</t>
  </si>
  <si>
    <t>Boco RM</t>
  </si>
  <si>
    <t>TSLP RM</t>
  </si>
  <si>
    <t>TSLP Month_09</t>
  </si>
  <si>
    <t>IL13/IL33 Trispecific RM</t>
  </si>
  <si>
    <t>IL13/IL33 Trispecific Month_09</t>
  </si>
  <si>
    <t>[Module]</t>
  </si>
  <si>
    <t>Heater</t>
  </si>
  <si>
    <t>[Command]</t>
  </si>
  <si>
    <t>Step Title: Plate</t>
  </si>
  <si>
    <t>Excel Location (Row,Col): (7,3)</t>
  </si>
  <si>
    <t>Name: Denaturation</t>
  </si>
  <si>
    <t>Type: 96 Well PCR Plate</t>
  </si>
  <si>
    <t>Test</t>
  </si>
  <si>
    <t>Step Title: Aliquot</t>
  </si>
  <si>
    <t>Excel Location (Row,Col): (11,3)</t>
  </si>
  <si>
    <t>Source: Sample</t>
  </si>
  <si>
    <t xml:space="preserve">Aspirate Location: Sample Location (Worklist Column) </t>
  </si>
  <si>
    <t>Start Position: Sample Start Position</t>
  </si>
  <si>
    <t>Step Title: Liquid Transfer</t>
  </si>
  <si>
    <t>Excel Location (Row,Col): (16,3)</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</si>
  <si>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</si>
  <si>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</si>
  <si>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</si>
  <si>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</si>
  <si>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</si>
  <si>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</si>
  <si>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</si>
  <si>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(23,3)</t>
  </si>
  <si>
    <t>Diluent: 7M GnHCl, 100mM Tris pH 8.3, 5mM L-Met</t>
  </si>
  <si>
    <t xml:space="preserve">Starting Concentration (mg/mL): Concentration (Worklist Column) </t>
  </si>
  <si>
    <t>Target Concentration (mg/mL): 1.0</t>
  </si>
  <si>
    <t>Target Volume (uL): 120.0</t>
  </si>
  <si>
    <t>Max Source Volume (uL): 120.0</t>
  </si>
  <si>
    <t>Pipette</t>
  </si>
  <si>
    <t>[Destination]</t>
  </si>
  <si>
    <t>[DestinationPosition]</t>
  </si>
  <si>
    <t>[Source]</t>
  </si>
  <si>
    <t>[SourcePosition]</t>
  </si>
  <si>
    <t>[TransferVolume]</t>
  </si>
  <si>
    <t>[CurrentDestinationVolume]</t>
  </si>
  <si>
    <t>[Mix]</t>
  </si>
  <si>
    <t>[TipSequence]</t>
  </si>
  <si>
    <t>[LiquidClass]</t>
  </si>
  <si>
    <t>##5.1##</t>
  </si>
  <si>
    <t>##5.2##</t>
  </si>
  <si>
    <t>Excel Location (Row,Col): (31,3)</t>
  </si>
  <si>
    <t>Source: 500mM DTT in 7M GnHCl, 100mM Tris pH 8.3, 5mM L-Met</t>
  </si>
  <si>
    <t>Liquid Type: Reductant</t>
  </si>
  <si>
    <t>Volume (uL): 2.4</t>
  </si>
  <si>
    <t>##6.1##</t>
  </si>
  <si>
    <t>Step Title: Incubate</t>
  </si>
  <si>
    <t>Excel Location (Row,Col): (38,3)</t>
  </si>
  <si>
    <t>Temp (C): 30.0</t>
  </si>
  <si>
    <t>Time (min): 30.0</t>
  </si>
  <si>
    <t>Shake (rpm): 0.0</t>
  </si>
  <si>
    <t>Timer</t>
  </si>
  <si>
    <t>Start</t>
  </si>
  <si>
    <t>##7.1##</t>
  </si>
  <si>
    <t>Wai</t>
  </si>
  <si>
    <t>##7.2##</t>
  </si>
  <si>
    <t>Excel Location (Row,Col): (43,3)</t>
  </si>
  <si>
    <t>Source: 500mM IAA in 7M GnHCl, 100mM Tris pH 8.3, 5mM L-Met</t>
  </si>
  <si>
    <t>Liquid Type: Alkylant</t>
  </si>
  <si>
    <t>Volume (uL): 6.0</t>
  </si>
  <si>
    <t>##8.1##</t>
  </si>
  <si>
    <t>Excel Location (Row,Col): (50,3)</t>
  </si>
  <si>
    <t>Temp (C): 25.0</t>
  </si>
  <si>
    <t>Performing Desalting Equilibration</t>
  </si>
  <si>
    <t>##9.1##</t>
  </si>
  <si>
    <t>##9.2##</t>
  </si>
  <si>
    <t>##9.3##</t>
  </si>
  <si>
    <t>Excel Location (Row,Col): (55,3)</t>
  </si>
  <si>
    <t>Name: Desalting</t>
  </si>
  <si>
    <t>Step Title: Desalt</t>
  </si>
  <si>
    <t>Excel Location (Row,Col): (59,3)</t>
  </si>
  <si>
    <t>Source: Denaturation</t>
  </si>
  <si>
    <t>Equilibration Buffer: 50mM Tris pH 7.9, 5mM L-Met</t>
  </si>
  <si>
    <t>Type: SizeX:100</t>
  </si>
  <si>
    <t>Equilibration already performed. Skipping Equilibration</t>
  </si>
  <si>
    <t>Excel Location (Row,Col): (64,3)</t>
  </si>
  <si>
    <t>Name: Digestion</t>
  </si>
  <si>
    <t>Step Title: Notify</t>
  </si>
  <si>
    <t>Excel Location (Row,Col): (68,3)</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</si>
  <si>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</si>
  <si>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</si>
  <si>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</si>
  <si>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PreRun</t>
  </si>
  <si>
    <t>Excel Location (Row,Col): (73,3)</t>
  </si>
  <si>
    <t>Source: Desalting</t>
  </si>
  <si>
    <t>Diluent: 50mM Tris pH 7.9, 5mM L-Met</t>
  </si>
  <si>
    <t xml:space="preserve">Starting Concentration (mg/mL): Desalting Concentration (Worklist Column) </t>
  </si>
  <si>
    <t>Target Concentration (mg/mL): 0.5</t>
  </si>
  <si>
    <t>Target Volume (uL): 100.0</t>
  </si>
  <si>
    <t>Max Source Volume (uL): 70.0</t>
  </si>
  <si>
    <t>##14.1##</t>
  </si>
  <si>
    <t>Excel Location (Row,Col): (81,3)</t>
  </si>
  <si>
    <t>Source: 1mg/mL Trypsin in 50mM Acetic Acid</t>
  </si>
  <si>
    <t>Liquid Type: Enzyme</t>
  </si>
  <si>
    <t>Storage Condition: Cold</t>
  </si>
  <si>
    <t>Volume (uL): 5.0</t>
  </si>
  <si>
    <t>##15.1##</t>
  </si>
  <si>
    <t>Excel Location (Row,Col): (88,3)</t>
  </si>
  <si>
    <t>Temp (C): 37.0</t>
  </si>
  <si>
    <t>Time (min): 60.0</t>
  </si>
  <si>
    <t>##16.1##</t>
  </si>
  <si>
    <t>##16.2##</t>
  </si>
  <si>
    <t>Excel Location (Row,Col): (93,3)</t>
  </si>
  <si>
    <t>Source: 10% TFA</t>
  </si>
  <si>
    <t>Liquid Type: Quench</t>
  </si>
  <si>
    <t>Volume (uL): 2.0</t>
  </si>
  <si>
    <t>##17.1##</t>
  </si>
  <si>
    <t>Excel Location (Row,Col): (100,3)</t>
  </si>
  <si>
    <t>Subject: Hamilton Run Finished</t>
  </si>
  <si>
    <t>Message: Hamilton Run is Finished. Please remove your samples from the Digestion plate.</t>
  </si>
  <si>
    <t>Step Title: Finish</t>
  </si>
  <si>
    <t>Excel Location (Row,Col): (105,3)</t>
  </si>
  <si>
    <t>Digestion plate deactivated</t>
  </si>
  <si>
    <t>TransferLiquid</t>
  </si>
  <si>
    <t>GetLiquidClassStrings</t>
  </si>
  <si>
    <t>[LiquidCategory]</t>
  </si>
  <si>
    <t>Water</t>
  </si>
  <si>
    <t>Wate</t>
  </si>
  <si>
    <t>GetTipSequenceStrings</t>
  </si>
  <si>
    <t>[KeepTips]</t>
  </si>
  <si>
    <t>True or Fals</t>
  </si>
  <si>
    <t>##5.3##</t>
  </si>
  <si>
    <t>##5.4##</t>
  </si>
  <si>
    <t>##5.5##</t>
  </si>
  <si>
    <t>##5.6##</t>
  </si>
  <si>
    <t>##6.2##</t>
  </si>
  <si>
    <t>##6.3##</t>
  </si>
  <si>
    <t>AcquireReservation</t>
  </si>
  <si>
    <t>[PlateName]</t>
  </si>
  <si>
    <t>[Temperature]</t>
  </si>
  <si>
    <t>[RPM]</t>
  </si>
  <si>
    <t>Labware</t>
  </si>
  <si>
    <t>GetSequenceStrings</t>
  </si>
  <si>
    <t>[PlateNames]</t>
  </si>
  <si>
    <t>Denaturatio</t>
  </si>
  <si>
    <t>GetLabwareTypes</t>
  </si>
  <si>
    <t>GetReservationHeaterSequenceString</t>
  </si>
  <si>
    <t>##7.3##</t>
  </si>
  <si>
    <t>GetReservationHeaterTansportType</t>
  </si>
  <si>
    <t>##7.4##</t>
  </si>
  <si>
    <t>Lid</t>
  </si>
  <si>
    <t>##7.5##</t>
  </si>
  <si>
    <t>GetReservationLidSequenceString</t>
  </si>
  <si>
    <t>##7.6##</t>
  </si>
  <si>
    <t>GetReservationLidTansportType</t>
  </si>
  <si>
    <t>##7.7##</t>
  </si>
  <si>
    <t>##7.8##</t>
  </si>
  <si>
    <t>##7.9##</t>
  </si>
  <si>
    <t>Transport</t>
  </si>
  <si>
    <t>MoveLabware</t>
  </si>
  <si>
    <t>[SourceLabwareType]</t>
  </si>
  <si>
    <t>[SourceSequenceString]</t>
  </si>
  <si>
    <t>[DestinationLabwareType]</t>
  </si>
  <si>
    <t>[DestinationSequenceString]</t>
  </si>
  <si>
    <t>[Park]</t>
  </si>
  <si>
    <t>[CheckExists]</t>
  </si>
  <si>
    <t>Fals</t>
  </si>
  <si>
    <t>##7.10##</t>
  </si>
  <si>
    <t>##7.11##</t>
  </si>
  <si>
    <t>StartReservation</t>
  </si>
  <si>
    <t>##7.12##</t>
  </si>
  <si>
    <t>[WaitTime]</t>
  </si>
  <si>
    <t>##7.13##</t>
  </si>
  <si>
    <t>##7.14##</t>
  </si>
  <si>
    <t>EndReservation</t>
  </si>
  <si>
    <t>##7.15##</t>
  </si>
  <si>
    <t>##7.16##</t>
  </si>
  <si>
    <t>##7.17##</t>
  </si>
  <si>
    <t>##7.18##</t>
  </si>
  <si>
    <t>##7.19##</t>
  </si>
  <si>
    <t>##7.20##</t>
  </si>
  <si>
    <t>##7.21##</t>
  </si>
  <si>
    <t>##7.22##</t>
  </si>
  <si>
    <t>##7.23##</t>
  </si>
  <si>
    <t>Afte</t>
  </si>
  <si>
    <t>##7.24##</t>
  </si>
  <si>
    <t>##7.25##</t>
  </si>
  <si>
    <t>ReleaseReservation</t>
  </si>
  <si>
    <t>##7.26##</t>
  </si>
  <si>
    <t>##7.27##</t>
  </si>
  <si>
    <t>##8.2##</t>
  </si>
  <si>
    <t>##8.3##</t>
  </si>
  <si>
    <t>##9.4##</t>
  </si>
  <si>
    <t>##9.5##</t>
  </si>
  <si>
    <t>##9.6##</t>
  </si>
  <si>
    <t>##9.7##</t>
  </si>
  <si>
    <t>##9.8##</t>
  </si>
  <si>
    <t>##9.9##</t>
  </si>
  <si>
    <t>##9.10##</t>
  </si>
  <si>
    <t>##9.11##</t>
  </si>
  <si>
    <t>##9.12##</t>
  </si>
  <si>
    <t>##9.14##</t>
  </si>
  <si>
    <t>##9.15##</t>
  </si>
  <si>
    <t>##9.16##</t>
  </si>
  <si>
    <t>##9.17##</t>
  </si>
  <si>
    <t>##9.18##</t>
  </si>
  <si>
    <t>##9.19##</t>
  </si>
  <si>
    <t>##9.20##</t>
  </si>
  <si>
    <t>##9.21##</t>
  </si>
  <si>
    <t>##9.22##</t>
  </si>
  <si>
    <t>##9.23##</t>
  </si>
  <si>
    <t>##9.24##</t>
  </si>
  <si>
    <t>##9.25##</t>
  </si>
  <si>
    <t>##9.26##</t>
  </si>
  <si>
    <t>##9.27##</t>
  </si>
  <si>
    <t>##9.28##</t>
  </si>
  <si>
    <t>##14.2##</t>
  </si>
  <si>
    <t>##14.3##</t>
  </si>
  <si>
    <t>##15.2##</t>
  </si>
  <si>
    <t>##15.3##</t>
  </si>
  <si>
    <t>Digestio</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</si>
  <si>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</si>
  <si>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</si>
  <si>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</si>
  <si>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</si>
  <si>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</si>
  <si>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</si>
  <si>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</si>
  <si>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</si>
  <si>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</si>
  <si>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</si>
  <si>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</si>
  <si>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</si>
  <si>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</si>
  <si>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</si>
  <si>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</si>
  <si>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</si>
  <si>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</si>
  <si>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</si>
  <si>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</si>
  <si>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</si>
  <si>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</si>
  <si>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</si>
  <si>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</si>
  <si>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</si>
  <si>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##16.27##</t>
  </si>
  <si>
    <t>##17.2##</t>
  </si>
  <si>
    <t>##17.3##</t>
  </si>
  <si>
    <t>Samples</t>
  </si>
  <si>
    <t>[SampleNumber]</t>
  </si>
  <si>
    <t>[Name]</t>
  </si>
  <si>
    <t>Desalting Waste</t>
  </si>
  <si>
    <t>[LabwareSequence]</t>
  </si>
  <si>
    <t>C1</t>
  </si>
  <si>
    <t>Carrier14_Pos3_96WellPCRPlate200uL_1mLChannel</t>
  </si>
  <si>
    <t>Carrier14_Pos4_96WellPCRPlate200uL_1mLChannel</t>
  </si>
  <si>
    <t>Carrier38_Pos1_96WellPCRPlate2000uL_1mLChannel</t>
  </si>
  <si>
    <t>T4</t>
  </si>
  <si>
    <t>Carrier38_Pos3_96WellPCRPlate200uL_1mLChannel</t>
  </si>
  <si>
    <t>Carrier38_Pos5_96WellPCRPlate1200uL_1mLChannel</t>
  </si>
  <si>
    <t>E1</t>
  </si>
  <si>
    <t>F1</t>
  </si>
  <si>
    <t>F4</t>
  </si>
  <si>
    <t>F7</t>
  </si>
  <si>
    <t>[LidSequence]</t>
  </si>
  <si>
    <t>Carrier14_Pos3_Lid_200uL</t>
  </si>
  <si>
    <t>Carrier14_Pos4_Lid_200uL</t>
  </si>
  <si>
    <t>[LoadingLocation]</t>
  </si>
  <si>
    <t>Carrier14_Pos3</t>
  </si>
  <si>
    <t>Carrier14_Pos4</t>
  </si>
  <si>
    <t>Carrier38_Pos1</t>
  </si>
  <si>
    <t>Carrier38_Pos2</t>
  </si>
  <si>
    <t>Carrier38_Pos3</t>
  </si>
  <si>
    <t>Carrier38_Pos5</t>
  </si>
  <si>
    <t>[Volume]</t>
  </si>
  <si>
    <t>[LabwareType]</t>
  </si>
  <si>
    <t>15mL Centrifuge Tube</t>
  </si>
  <si>
    <t>200mL Reagent Trough</t>
  </si>
  <si>
    <t>FlipTube</t>
  </si>
  <si>
    <t>[LabwareCategory]</t>
  </si>
  <si>
    <t>Reagent</t>
  </si>
  <si>
    <t>[LabwareName]</t>
  </si>
  <si>
    <t>200uL Biorad 96 Well PCR Plate</t>
  </si>
  <si>
    <t>2000uL Corning 96 Well PCR Plate</t>
  </si>
  <si>
    <t>1200uL DeepWell 96 Well PCR Plate</t>
  </si>
  <si>
    <t>Hamilton 1.5mL FlipTube</t>
  </si>
  <si>
    <t>Hamilton 1.5mL FlipTub</t>
  </si>
  <si>
    <t>Heate</t>
  </si>
  <si>
    <t>Notif</t>
  </si>
  <si>
    <t>Time</t>
  </si>
  <si>
    <t>Transpor</t>
  </si>
  <si>
    <t>StatusUpdat</t>
  </si>
  <si>
    <t>Li</t>
  </si>
  <si>
    <t>EN</t>
  </si>
  <si>
    <t>Log</t>
  </si>
  <si>
    <t>[Title]</t>
  </si>
  <si>
    <t>[Coordinates]</t>
  </si>
  <si>
    <t>Excel Location (Row,Col): (23,3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</si>
</sst>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3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diagonal/>
    </border>
    <border>
      <left style="medium">
        <color indexed="64"/>
      </left>
      <right/>
      <top/>
      <bottom/>
      <diagonal/>
    </border>
  </borders>
  <cellStyleXfs count="1">
    <xf numFmtId="0" fontId="0" fillId="0" borderId="0"/>
  </cellStyleXfs>
  <cellXfs count="127">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27" xfId="0" applyFont="1" applyFill="1" applyBorder="1" applyAlignment="1">
      <alignment horizontal="center"/>
    </xf>
    <xf numFmtId="0" fontId="1" fillId="4" borderId="9"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1" fillId="0" borderId="8"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0" fillId="4" borderId="18" xfId="0" applyFill="1" applyBorder="1" applyAlignment="1">
      <alignment horizontal="center" vertical="center" wrapText="1"/>
    </xf>
    <xf numFmtId="0" fontId="0" fillId="4" borderId="28"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3" xfId="0" applyBorder="1"/>
    <xf numFmtId="0" fontId="0" fillId="0" borderId="22" xfId="0" applyBorder="1"/>
    <xf numFmtId="0" fontId="0" fillId="0" borderId="29" xfId="0" applyBorder="1"/>
    <xf numFmtId="0" fontId="0" fillId="0" borderId="13" xfId="0" applyBorder="1"/>
    <xf numFmtId="0" fontId="0" fillId="0" borderId="24" xfId="0" applyBorder="1"/>
    <xf numFmtId="0" fontId="0" fillId="0" borderId="28" xfId="0" applyBorder="1"/>
    <xf numFmtId="0" fontId="0" fillId="0" borderId="7" xfId="0" applyBorder="1"/>
  </cellXfs>
  <cellStyles count="1">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0" t="s">
        <v>30</v>
      </c>
      <c r="C3" s="40"/>
      <c r="D3" s="40" t="s">
        <v>53</v>
      </c>
      <c r="F3" s="60" t="s">
        <v>25</v>
      </c>
      <c r="G3" s="60"/>
      <c r="H3" s="60"/>
      <c r="I3" s="60"/>
      <c r="J3" s="60"/>
      <c r="K3" s="60"/>
      <c r="L3" s="60"/>
    </row>
    <row r="4" spans="2:12" x14ac:dyDescent="0.25">
      <c r="B4" t="s">
        <v>33</v>
      </c>
      <c r="D4" s="43" t="s">
        <v>68</v>
      </c>
      <c r="F4" s="40" t="s">
        <v>0</v>
      </c>
      <c r="G4" s="40" t="s">
        <v>16</v>
      </c>
      <c r="H4" s="40" t="s">
        <v>5</v>
      </c>
      <c r="I4" s="40" t="s">
        <v>20</v>
      </c>
      <c r="J4" s="40" t="s">
        <v>46</v>
      </c>
      <c r="K4" s="40" t="s">
        <v>38</v>
      </c>
      <c r="L4" s="40" t="s">
        <v>55</v>
      </c>
    </row>
    <row r="5" spans="2:12" x14ac:dyDescent="0.25">
      <c r="B5" t="s">
        <v>56</v>
      </c>
      <c r="D5" s="43" t="s">
        <v>69</v>
      </c>
      <c r="F5" t="s">
        <v>0</v>
      </c>
      <c r="G5" t="s">
        <v>16</v>
      </c>
      <c r="H5" t="s">
        <v>5</v>
      </c>
      <c r="I5" t="s">
        <v>20</v>
      </c>
      <c r="J5" t="s">
        <v>46</v>
      </c>
      <c r="K5" t="s">
        <v>38</v>
      </c>
      <c r="L5" t="s">
        <v>55</v>
      </c>
    </row>
    <row r="6" spans="2:12" x14ac:dyDescent="0.25">
      <c r="B6" t="s">
        <v>31</v>
      </c>
      <c r="D6" s="43"/>
      <c r="F6" t="s">
        <v>26</v>
      </c>
      <c r="G6" t="s">
        <v>27</v>
      </c>
      <c r="H6" t="s">
        <v>28</v>
      </c>
      <c r="I6" t="s">
        <v>29</v>
      </c>
      <c r="J6" t="s">
        <v>47</v>
      </c>
      <c r="K6" t="s">
        <v>39</v>
      </c>
      <c r="L6" t="s">
        <v>57</v>
      </c>
    </row>
    <row r="7" spans="2:12" x14ac:dyDescent="0.25">
      <c r="B7" t="s">
        <v>58</v>
      </c>
      <c r="D7" s="43"/>
    </row>
    <row r="9" spans="2:12" x14ac:dyDescent="0.25">
      <c r="B9" s="40" t="s">
        <v>54</v>
      </c>
      <c r="D9" s="34" t="s">
        <v>50</v>
      </c>
    </row>
    <row r="10" spans="2:12" x14ac:dyDescent="0.25">
      <c r="B10" t="s">
        <v>61</v>
      </c>
      <c r="D10" s="24" t="s">
        <v>41</v>
      </c>
    </row>
    <row r="11" spans="2:12" x14ac:dyDescent="0.25">
      <c r="B11" t="s">
        <v>62</v>
      </c>
      <c r="D11" s="24" t="s">
        <v>42</v>
      </c>
    </row>
    <row r="12" spans="2:12" x14ac:dyDescent="0.25">
      <c r="B12" t="s">
        <v>63</v>
      </c>
    </row>
    <row r="13" spans="2:12" x14ac:dyDescent="0.25">
      <c r="B13" t="s">
        <v>64</v>
      </c>
      <c r="D13" s="40" t="s">
        <v>85</v>
      </c>
    </row>
    <row r="14" spans="2:12" x14ac:dyDescent="0.25">
      <c r="B14" t="s">
        <v>65</v>
      </c>
      <c r="D14" t="s">
        <v>86</v>
      </c>
    </row>
    <row r="15" spans="2:12" x14ac:dyDescent="0.25">
      <c r="B15" t="s">
        <v>66</v>
      </c>
      <c r="D15" t="s">
        <v>87</v>
      </c>
    </row>
    <row r="16" spans="2:12" x14ac:dyDescent="0.25">
      <c r="B16" t="s">
        <v>14</v>
      </c>
    </row>
    <row r="17" spans="2:2" x14ac:dyDescent="0.25">
      <c r="B17" t="s">
        <v>2</v>
      </c>
    </row>
    <row r="19" spans="2:2" x14ac:dyDescent="0.25">
      <c r="B19" s="40" t="s">
        <v>52</v>
      </c>
    </row>
    <row r="20" spans="2:2" x14ac:dyDescent="0.25">
      <c r="B20" t="s">
        <v>59</v>
      </c>
    </row>
    <row r="21" spans="2:2" x14ac:dyDescent="0.25">
      <c r="B21" t="s">
        <v>60</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8"/>
  <sheetViews>
    <sheetView zoomScale="80" zoomScaleNormal="80" workbookViewId="0">
      <selection activeCell="G12" sqref="G12:I18"/>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0" t="s">
        <v>89</v>
      </c>
      <c r="D2" s="91"/>
      <c r="E2" s="92"/>
      <c r="G2" s="96" t="s">
        <v>90</v>
      </c>
      <c r="H2" s="97"/>
      <c r="I2" s="98"/>
      <c r="K2" s="96" t="s">
        <v>91</v>
      </c>
      <c r="L2" s="97"/>
      <c r="M2" s="98"/>
    </row>
    <row r="3" spans="3:13" ht="15.75" thickBot="1" x14ac:dyDescent="0.3">
      <c r="C3" s="93"/>
      <c r="D3" s="94"/>
      <c r="E3" s="95"/>
      <c r="G3" s="99"/>
      <c r="H3" s="100"/>
      <c r="I3" s="101"/>
      <c r="K3" s="99"/>
      <c r="L3" s="100"/>
      <c r="M3" s="101"/>
    </row>
    <row r="4" spans="3:13" ht="15.75" thickBot="1" x14ac:dyDescent="0.3"/>
    <row r="5" spans="3:13" x14ac:dyDescent="0.25">
      <c r="C5" s="70" t="s">
        <v>2</v>
      </c>
      <c r="D5" s="71"/>
      <c r="E5" s="44" t="s">
        <v>15</v>
      </c>
      <c r="G5" s="109" t="s">
        <v>0</v>
      </c>
      <c r="H5" s="110"/>
      <c r="I5" s="28" t="s">
        <v>15</v>
      </c>
      <c r="K5" s="88" t="s">
        <v>83</v>
      </c>
      <c r="L5" s="89"/>
      <c r="M5" s="52" t="s">
        <v>15</v>
      </c>
    </row>
    <row r="6" spans="3:13" x14ac:dyDescent="0.25">
      <c r="C6" s="30" t="s">
        <v>1</v>
      </c>
      <c r="D6" s="33"/>
      <c r="E6" s="86"/>
      <c r="G6" s="3" t="s">
        <v>37</v>
      </c>
      <c r="H6" s="13"/>
      <c r="I6" s="64"/>
      <c r="K6" s="5" t="s">
        <v>37</v>
      </c>
      <c r="L6" s="20"/>
      <c r="M6" s="67"/>
    </row>
    <row r="7" spans="3:13" ht="15.75" thickBot="1" x14ac:dyDescent="0.3">
      <c r="C7" s="45" t="s">
        <v>24</v>
      </c>
      <c r="D7" s="32"/>
      <c r="E7" s="87"/>
      <c r="G7" s="3" t="s">
        <v>54</v>
      </c>
      <c r="H7" s="13"/>
      <c r="I7" s="65"/>
      <c r="K7" s="5" t="s">
        <v>92</v>
      </c>
      <c r="L7" s="20"/>
      <c r="M7" s="68"/>
    </row>
    <row r="8" spans="3:13" ht="15.75" thickBot="1" x14ac:dyDescent="0.3">
      <c r="G8" s="3" t="s">
        <v>52</v>
      </c>
      <c r="H8" s="13"/>
      <c r="I8" s="65"/>
      <c r="K8" s="6" t="s">
        <v>84</v>
      </c>
      <c r="L8" s="21" t="s">
        <v>86</v>
      </c>
      <c r="M8" s="69"/>
    </row>
    <row r="9" spans="3:13" ht="15.75" thickBot="1" x14ac:dyDescent="0.3">
      <c r="C9" s="104" t="s">
        <v>4</v>
      </c>
      <c r="D9" s="105"/>
      <c r="E9" s="25" t="s">
        <v>15</v>
      </c>
      <c r="G9" s="3" t="s">
        <v>11</v>
      </c>
      <c r="H9" s="13"/>
      <c r="I9" s="65"/>
    </row>
    <row r="10" spans="3:13" ht="15.75" thickBot="1" x14ac:dyDescent="0.3">
      <c r="C10" s="9" t="s">
        <v>23</v>
      </c>
      <c r="D10" s="18"/>
      <c r="E10" s="106"/>
      <c r="G10" s="4" t="s">
        <v>40</v>
      </c>
      <c r="H10" s="14" t="s">
        <v>41</v>
      </c>
      <c r="I10" s="66"/>
      <c r="K10" s="88" t="s">
        <v>88</v>
      </c>
      <c r="L10" s="89"/>
      <c r="M10" s="52" t="s">
        <v>15</v>
      </c>
    </row>
    <row r="11" spans="3:13" ht="15.75" thickBot="1" x14ac:dyDescent="0.3">
      <c r="C11" s="9" t="s">
        <v>34</v>
      </c>
      <c r="D11" s="18"/>
      <c r="E11" s="107"/>
      <c r="K11" s="5" t="s">
        <v>37</v>
      </c>
      <c r="L11" s="20"/>
      <c r="M11" s="67"/>
    </row>
    <row r="12" spans="3:13" ht="15.75" thickBot="1" x14ac:dyDescent="0.3">
      <c r="C12" s="10" t="s">
        <v>35</v>
      </c>
      <c r="D12" s="19"/>
      <c r="E12" s="108"/>
      <c r="G12" s="102" t="s">
        <v>16</v>
      </c>
      <c r="H12" s="103"/>
      <c r="I12" s="53" t="s">
        <v>15</v>
      </c>
      <c r="K12" s="5" t="s">
        <v>93</v>
      </c>
      <c r="L12" s="20"/>
      <c r="M12" s="68"/>
    </row>
    <row r="13" spans="3:13" ht="15.75" thickBot="1" x14ac:dyDescent="0.3">
      <c r="G13" s="7" t="s">
        <v>37</v>
      </c>
      <c r="H13" s="15"/>
      <c r="I13" s="111"/>
      <c r="K13" s="6" t="s">
        <v>84</v>
      </c>
      <c r="L13" s="21" t="s">
        <v>86</v>
      </c>
      <c r="M13" s="69"/>
    </row>
    <row r="14" spans="3:13" x14ac:dyDescent="0.25">
      <c r="C14" s="70" t="s">
        <v>51</v>
      </c>
      <c r="D14" s="71"/>
      <c r="E14" s="41" t="s">
        <v>15</v>
      </c>
      <c r="G14" s="7" t="s">
        <v>3</v>
      </c>
      <c r="H14" s="15"/>
      <c r="I14" s="112"/>
    </row>
    <row r="15" spans="3:13" x14ac:dyDescent="0.25">
      <c r="C15" s="72"/>
      <c r="D15" s="73"/>
      <c r="E15" s="86"/>
      <c r="G15" s="7" t="s">
        <v>6</v>
      </c>
      <c r="H15" s="15"/>
      <c r="I15" s="112"/>
    </row>
    <row r="16" spans="3:13" ht="15.75" thickBot="1" x14ac:dyDescent="0.3">
      <c r="C16" s="74"/>
      <c r="D16" s="75"/>
      <c r="E16" s="87"/>
      <c r="G16" s="7" t="s">
        <v>7</v>
      </c>
      <c r="H16" s="15"/>
      <c r="I16" s="112"/>
    </row>
    <row r="17" spans="7:9" x14ac:dyDescent="0.25">
      <c r="G17" s="7" t="s">
        <v>10</v>
      </c>
      <c r="H17" s="15"/>
      <c r="I17" s="112"/>
    </row>
    <row r="18" spans="7:9" ht="15.75" thickBot="1" x14ac:dyDescent="0.3">
      <c r="G18" s="8" t="s">
        <v>99</v>
      </c>
      <c r="H18" s="16"/>
      <c r="I18" s="113"/>
    </row>
    <row r="19" spans="7:9" ht="15.75" thickBot="1" x14ac:dyDescent="0.3"/>
    <row r="20" spans="7:9" x14ac:dyDescent="0.25">
      <c r="G20" s="76" t="s">
        <v>38</v>
      </c>
      <c r="H20" s="77"/>
      <c r="I20" s="27" t="s">
        <v>15</v>
      </c>
    </row>
    <row r="21" spans="7:9" x14ac:dyDescent="0.25">
      <c r="G21" s="11" t="s">
        <v>12</v>
      </c>
      <c r="H21" s="22"/>
      <c r="I21" s="80"/>
    </row>
    <row r="22" spans="7:9" x14ac:dyDescent="0.25">
      <c r="G22" s="11" t="s">
        <v>9</v>
      </c>
      <c r="H22" s="22"/>
      <c r="I22" s="81"/>
    </row>
    <row r="23" spans="7:9" ht="15.75" thickBot="1" x14ac:dyDescent="0.3">
      <c r="G23" s="12" t="s">
        <v>19</v>
      </c>
      <c r="H23" s="23"/>
      <c r="I23" s="82"/>
    </row>
    <row r="24" spans="7:9" ht="15.75" thickBot="1" x14ac:dyDescent="0.3"/>
    <row r="25" spans="7:9" x14ac:dyDescent="0.25">
      <c r="G25" s="88" t="s">
        <v>5</v>
      </c>
      <c r="H25" s="89"/>
      <c r="I25" s="26" t="s">
        <v>15</v>
      </c>
    </row>
    <row r="26" spans="7:9" x14ac:dyDescent="0.25">
      <c r="G26" s="5" t="s">
        <v>37</v>
      </c>
      <c r="H26" s="20"/>
      <c r="I26" s="67"/>
    </row>
    <row r="27" spans="7:9" x14ac:dyDescent="0.25">
      <c r="G27" s="5" t="s">
        <v>36</v>
      </c>
      <c r="H27" s="20"/>
      <c r="I27" s="68"/>
    </row>
    <row r="28" spans="7:9" ht="15.75" thickBot="1" x14ac:dyDescent="0.3">
      <c r="G28" s="6" t="s">
        <v>24</v>
      </c>
      <c r="H28" s="21"/>
      <c r="I28" s="69"/>
    </row>
    <row r="29" spans="7:9" ht="15.75" thickBot="1" x14ac:dyDescent="0.3"/>
    <row r="30" spans="7:9" x14ac:dyDescent="0.25">
      <c r="G30" s="78" t="s">
        <v>43</v>
      </c>
      <c r="H30" s="79"/>
      <c r="I30" s="35" t="s">
        <v>15</v>
      </c>
    </row>
    <row r="31" spans="7:9" x14ac:dyDescent="0.25">
      <c r="G31" s="46" t="s">
        <v>72</v>
      </c>
      <c r="H31" s="47"/>
      <c r="I31" s="83"/>
    </row>
    <row r="32" spans="7:9" x14ac:dyDescent="0.25">
      <c r="G32" s="36" t="s">
        <v>70</v>
      </c>
      <c r="H32" s="37"/>
      <c r="I32" s="84"/>
    </row>
    <row r="33" spans="7:9" ht="15.75" thickBot="1" x14ac:dyDescent="0.3">
      <c r="G33" s="38" t="s">
        <v>71</v>
      </c>
      <c r="H33" s="39"/>
      <c r="I33" s="85"/>
    </row>
    <row r="34" spans="7:9" ht="15.75" thickBot="1" x14ac:dyDescent="0.3"/>
    <row r="35" spans="7:9" x14ac:dyDescent="0.25">
      <c r="G35" s="70" t="s">
        <v>20</v>
      </c>
      <c r="H35" s="71"/>
      <c r="I35" s="42" t="s">
        <v>15</v>
      </c>
    </row>
    <row r="36" spans="7:9" x14ac:dyDescent="0.25">
      <c r="G36" s="30" t="s">
        <v>49</v>
      </c>
      <c r="H36" s="31"/>
      <c r="I36" s="61"/>
    </row>
    <row r="37" spans="7:9" x14ac:dyDescent="0.25">
      <c r="G37" s="30" t="s">
        <v>21</v>
      </c>
      <c r="H37" s="49"/>
      <c r="I37" s="62"/>
    </row>
    <row r="38" spans="7:9" ht="15.75" thickBot="1" x14ac:dyDescent="0.3">
      <c r="G38" s="1" t="s">
        <v>22</v>
      </c>
      <c r="H38" s="48"/>
      <c r="I38" s="63"/>
    </row>
  </sheetData>
  <mergeCells count="26">
    <mergeCell ref="K5:L5"/>
    <mergeCell ref="M6:M8"/>
    <mergeCell ref="K10:L10"/>
    <mergeCell ref="M11:M13"/>
    <mergeCell ref="C2:E3"/>
    <mergeCell ref="G2:I3"/>
    <mergeCell ref="K2:M3"/>
    <mergeCell ref="C5:D5"/>
    <mergeCell ref="G12:H12"/>
    <mergeCell ref="C9:D9"/>
    <mergeCell ref="E10:E12"/>
    <mergeCell ref="G5:H5"/>
    <mergeCell ref="E6:E7"/>
    <mergeCell ref="I13:I18"/>
    <mergeCell ref="I36:I38"/>
    <mergeCell ref="I6:I10"/>
    <mergeCell ref="I26:I28"/>
    <mergeCell ref="C14:D14"/>
    <mergeCell ref="C15:D16"/>
    <mergeCell ref="G20:H20"/>
    <mergeCell ref="G30:H30"/>
    <mergeCell ref="I21:I23"/>
    <mergeCell ref="G35:H35"/>
    <mergeCell ref="I31:I33"/>
    <mergeCell ref="E15:E16"/>
    <mergeCell ref="G25:H2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G25:H25</xm:sqref>
        </x14:dataValidation>
        <x14:dataValidation type="list" allowBlank="1" showInputMessage="1" showErrorMessage="1" xr:uid="{00000000-0002-0000-0100-000002000000}">
          <x14:formula1>
            <xm:f>'___Dropdown values'!$I$5:$I$6</xm:f>
          </x14:formula1>
          <xm:sqref>G35:H35</xm:sqref>
        </x14:dataValidation>
        <x14:dataValidation type="list" allowBlank="1" showInputMessage="1" showErrorMessage="1" xr:uid="{00000000-0002-0000-0100-000003000000}">
          <x14:formula1>
            <xm:f>'___Dropdown values'!$K$5:$K$6</xm:f>
          </x14:formula1>
          <xm:sqref>G20:H20</xm:sqref>
        </x14:dataValidation>
        <x14:dataValidation type="list" allowBlank="1" showInputMessage="1" showErrorMessage="1" xr:uid="{00000000-0002-0000-0100-000004000000}">
          <x14:formula1>
            <xm:f>'___Dropdown values'!$D$10:$D$11</xm:f>
          </x14:formula1>
          <xm:sqref>H10 H36</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values'!$B$10:$B$17</xm:f>
          </x14:formula1>
          <xm:sqref>H7</xm:sqref>
        </x14:dataValidation>
        <x14:dataValidation type="list" allowBlank="1" showInputMessage="1" showErrorMessage="1" xr:uid="{00000000-0002-0000-0100-000007000000}">
          <x14:formula1>
            <xm:f>'___Dropdown values'!$D$4:$D$5</xm:f>
          </x14:formula1>
          <xm:sqref>H28</xm:sqref>
        </x14:dataValidation>
        <x14:dataValidation type="list" allowBlank="1" showInputMessage="1" showErrorMessage="1" xr:uid="{00000000-0002-0000-0100-000008000000}">
          <x14:formula1>
            <xm:f>'___Dropdown values'!$B$4:$B$7</xm:f>
          </x14:formula1>
          <xm:sqref>D7</xm:sqref>
        </x14:dataValidation>
        <x14:dataValidation type="list" allowBlank="1" showInputMessage="1" showErrorMessage="1" xr:uid="{00000000-0002-0000-0100-000009000000}">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1"/>
  <sheetViews>
    <sheetView tabSelected="1" topLeftCell="D7" zoomScale="90" zoomScaleNormal="90" workbookViewId="0">
      <selection activeCell="E40" sqref="E40"/>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0" t="s">
        <v>2</v>
      </c>
      <c r="E2" s="71"/>
      <c r="F2" s="29" t="s">
        <v>15</v>
      </c>
    </row>
    <row r="3" spans="4:15" x14ac:dyDescent="0.25">
      <c r="D3" s="30" t="s">
        <v>1</v>
      </c>
      <c r="E3" s="33" t="s">
        <v>13</v>
      </c>
      <c r="F3" s="86" t="s">
        <v>45</v>
      </c>
    </row>
    <row r="4" spans="4:15" ht="15.75" thickBot="1" x14ac:dyDescent="0.3">
      <c r="D4" s="1" t="s">
        <v>24</v>
      </c>
      <c r="E4" s="17" t="s">
        <v>33</v>
      </c>
      <c r="F4" s="87"/>
    </row>
    <row r="6" spans="4:15" s="2" customFormat="1" ht="15.75" thickBot="1" x14ac:dyDescent="0.3">
      <c r="D6" s="114" t="s">
        <v>8</v>
      </c>
      <c r="E6" s="114"/>
    </row>
    <row r="7" spans="4:15" ht="15.75" thickBot="1" x14ac:dyDescent="0.3">
      <c r="I7" s="24"/>
      <c r="J7" s="24"/>
      <c r="N7"/>
      <c r="O7"/>
    </row>
    <row r="8" spans="4:15" x14ac:dyDescent="0.25">
      <c r="D8" s="70" t="s">
        <v>2</v>
      </c>
      <c r="E8" s="71"/>
      <c r="F8" s="50" t="s">
        <v>15</v>
      </c>
      <c r="I8" s="24"/>
      <c r="J8" s="24"/>
      <c r="N8"/>
      <c r="O8"/>
    </row>
    <row r="9" spans="4:15" x14ac:dyDescent="0.25">
      <c r="D9" s="30" t="s">
        <v>1</v>
      </c>
      <c r="E9" s="33" t="s">
        <v>44</v>
      </c>
      <c r="F9" s="86"/>
      <c r="I9" s="24"/>
      <c r="J9" s="24"/>
      <c r="N9"/>
      <c r="O9"/>
    </row>
    <row r="10" spans="4:15" ht="15.75" thickBot="1" x14ac:dyDescent="0.3">
      <c r="D10" s="45" t="s">
        <v>24</v>
      </c>
      <c r="E10" s="17" t="s">
        <v>33</v>
      </c>
      <c r="F10" s="87"/>
      <c r="I10" s="24"/>
      <c r="J10" s="24"/>
      <c r="N10"/>
      <c r="O10"/>
    </row>
    <row r="11" spans="4:15" ht="15.75" thickBot="1" x14ac:dyDescent="0.3">
      <c r="D11" s="57"/>
      <c r="E11" s="55"/>
      <c r="F11" s="58"/>
      <c r="I11" s="56"/>
      <c r="J11" s="56"/>
      <c r="N11"/>
      <c r="O11"/>
    </row>
    <row r="12" spans="4:15" x14ac:dyDescent="0.25">
      <c r="D12" s="88" t="s">
        <v>83</v>
      </c>
      <c r="E12" s="89"/>
      <c r="F12" s="52" t="s">
        <v>15</v>
      </c>
      <c r="I12" s="56"/>
      <c r="J12" s="56"/>
      <c r="N12"/>
      <c r="O12"/>
    </row>
    <row r="13" spans="4:15" x14ac:dyDescent="0.25">
      <c r="D13" s="5" t="s">
        <v>37</v>
      </c>
      <c r="E13" s="20" t="str">
        <f>E3</f>
        <v>Sample</v>
      </c>
      <c r="F13" s="67"/>
      <c r="I13" s="56"/>
      <c r="J13" s="56"/>
      <c r="N13"/>
      <c r="O13"/>
    </row>
    <row r="14" spans="4:15" x14ac:dyDescent="0.25">
      <c r="D14" s="5" t="s">
        <v>92</v>
      </c>
      <c r="E14" s="20" t="str">
        <f>Worklist!D1</f>
        <v>Sample Location</v>
      </c>
      <c r="F14" s="68"/>
      <c r="I14" s="56"/>
      <c r="J14" s="56"/>
      <c r="N14"/>
      <c r="O14"/>
    </row>
    <row r="15" spans="4:15" ht="15.75" thickBot="1" x14ac:dyDescent="0.3">
      <c r="D15" s="6" t="s">
        <v>84</v>
      </c>
      <c r="E15" s="21" t="s">
        <v>86</v>
      </c>
      <c r="F15" s="69"/>
      <c r="I15" s="56"/>
      <c r="J15" s="56"/>
      <c r="N15"/>
      <c r="O15"/>
    </row>
    <row r="16" spans="4:15" ht="15.75" thickBot="1" x14ac:dyDescent="0.3">
      <c r="D16" s="24"/>
      <c r="E16" s="24"/>
      <c r="N16"/>
      <c r="O16"/>
    </row>
    <row r="17" spans="1:15" x14ac:dyDescent="0.25">
      <c r="D17" s="109" t="s">
        <v>0</v>
      </c>
      <c r="E17" s="110"/>
      <c r="F17" s="51" t="s">
        <v>15</v>
      </c>
      <c r="N17"/>
      <c r="O17"/>
    </row>
    <row r="18" spans="1:15" x14ac:dyDescent="0.25">
      <c r="A18" t="s">
        <v>81</v>
      </c>
      <c r="D18" s="3" t="s">
        <v>37</v>
      </c>
      <c r="E18" s="13" t="str">
        <f>E26</f>
        <v>7M GnHCl, 100mM Tris pH 8.3, 5mM L-Met</v>
      </c>
      <c r="F18" s="64" t="s">
        <v>82</v>
      </c>
      <c r="N18"/>
      <c r="O18"/>
    </row>
    <row r="19" spans="1:15" x14ac:dyDescent="0.25">
      <c r="D19" s="3" t="s">
        <v>54</v>
      </c>
      <c r="E19" s="13" t="s">
        <v>66</v>
      </c>
      <c r="F19" s="65"/>
      <c r="N19"/>
      <c r="O19"/>
    </row>
    <row r="20" spans="1:15" x14ac:dyDescent="0.25">
      <c r="D20" s="3" t="s">
        <v>52</v>
      </c>
      <c r="E20" s="13" t="s">
        <v>59</v>
      </c>
      <c r="F20" s="65"/>
      <c r="G20" s="24"/>
      <c r="N20"/>
      <c r="O20"/>
    </row>
    <row r="21" spans="1:15" x14ac:dyDescent="0.25">
      <c r="D21" s="3" t="s">
        <v>11</v>
      </c>
      <c r="E21" s="13">
        <v>0</v>
      </c>
      <c r="F21" s="65"/>
      <c r="G21" s="24"/>
      <c r="N21"/>
      <c r="O21"/>
    </row>
    <row r="22" spans="1:15" ht="15.75" thickBot="1" x14ac:dyDescent="0.3">
      <c r="D22" s="4" t="s">
        <v>40</v>
      </c>
      <c r="E22" s="14" t="s">
        <v>41</v>
      </c>
      <c r="F22" s="66"/>
      <c r="G22" s="24"/>
      <c r="N22"/>
      <c r="O22"/>
    </row>
    <row r="23" spans="1:15" ht="15.75" thickBot="1" x14ac:dyDescent="0.3">
      <c r="D23" s="24"/>
      <c r="E23" s="24"/>
      <c r="G23" s="24"/>
      <c r="N23"/>
      <c r="O23"/>
    </row>
    <row r="24" spans="1:15" x14ac:dyDescent="0.25">
      <c r="D24" s="115" t="s">
        <v>16</v>
      </c>
      <c r="E24" s="116"/>
      <c r="F24" s="53" t="s">
        <v>15</v>
      </c>
      <c r="N24"/>
      <c r="O24"/>
    </row>
    <row r="25" spans="1:15" x14ac:dyDescent="0.25">
      <c r="D25" s="7" t="s">
        <v>37</v>
      </c>
      <c r="E25" s="15" t="str">
        <f>E3</f>
        <v>Sample</v>
      </c>
      <c r="F25" s="117"/>
      <c r="N25"/>
      <c r="O25"/>
    </row>
    <row r="26" spans="1:15" x14ac:dyDescent="0.25">
      <c r="D26" s="7" t="s">
        <v>3</v>
      </c>
      <c r="E26" s="15" t="s">
        <v>75</v>
      </c>
      <c r="F26" s="118"/>
      <c r="N26"/>
      <c r="O26"/>
    </row>
    <row r="27" spans="1:15" x14ac:dyDescent="0.25">
      <c r="D27" s="7" t="s">
        <v>6</v>
      </c>
      <c r="E27" s="15" t="str">
        <f>Worklist!E1</f>
        <v>Concentration</v>
      </c>
      <c r="F27" s="118"/>
      <c r="N27"/>
      <c r="O27"/>
    </row>
    <row r="28" spans="1:15" x14ac:dyDescent="0.25">
      <c r="D28" s="7" t="s">
        <v>7</v>
      </c>
      <c r="E28" s="15">
        <v>1</v>
      </c>
      <c r="F28" s="118"/>
      <c r="N28"/>
      <c r="O28"/>
    </row>
    <row r="29" spans="1:15" x14ac:dyDescent="0.25">
      <c r="D29" s="7" t="s">
        <v>10</v>
      </c>
      <c r="E29" s="15">
        <v>120</v>
      </c>
      <c r="F29" s="118"/>
      <c r="N29"/>
      <c r="O29"/>
    </row>
    <row r="30" spans="1:15" ht="15.75" thickBot="1" x14ac:dyDescent="0.3">
      <c r="D30" s="8" t="s">
        <v>99</v>
      </c>
      <c r="E30" s="16">
        <v>120</v>
      </c>
      <c r="F30" s="119"/>
      <c r="J30" s="24"/>
      <c r="N30"/>
      <c r="O30"/>
    </row>
    <row r="31" spans="1:15" ht="15.75" thickBot="1" x14ac:dyDescent="0.3">
      <c r="F31" s="59"/>
      <c r="I31" s="59"/>
      <c r="J31" s="59"/>
      <c r="N31"/>
      <c r="O31"/>
    </row>
    <row r="32" spans="1:15" x14ac:dyDescent="0.25">
      <c r="D32" s="109" t="s">
        <v>0</v>
      </c>
      <c r="E32" s="110"/>
      <c r="F32" s="51" t="s">
        <v>15</v>
      </c>
      <c r="I32" s="24"/>
      <c r="J32" s="24"/>
      <c r="N32"/>
      <c r="O32"/>
    </row>
    <row r="33" spans="4:15" x14ac:dyDescent="0.25">
      <c r="D33" s="3" t="s">
        <v>37</v>
      </c>
      <c r="E33" s="13" t="s">
        <v>76</v>
      </c>
      <c r="F33" s="64"/>
      <c r="I33" s="24"/>
      <c r="J33" s="24"/>
      <c r="N33"/>
      <c r="O33"/>
    </row>
    <row r="34" spans="4:15" x14ac:dyDescent="0.25">
      <c r="D34" s="3" t="s">
        <v>54</v>
      </c>
      <c r="E34" s="13" t="s">
        <v>62</v>
      </c>
      <c r="F34" s="65"/>
      <c r="I34" s="24"/>
      <c r="J34" s="24"/>
      <c r="N34"/>
      <c r="O34"/>
    </row>
    <row r="35" spans="4:15" x14ac:dyDescent="0.25">
      <c r="D35" s="3" t="s">
        <v>52</v>
      </c>
      <c r="E35" s="13" t="s">
        <v>59</v>
      </c>
      <c r="F35" s="65"/>
      <c r="I35" s="24"/>
      <c r="J35" s="24"/>
      <c r="N35"/>
      <c r="O35"/>
    </row>
    <row r="36" spans="4:15" x14ac:dyDescent="0.25">
      <c r="D36" s="3" t="s">
        <v>11</v>
      </c>
      <c r="E36" s="13">
        <v>2.4</v>
      </c>
      <c r="F36" s="65"/>
      <c r="I36" s="24"/>
      <c r="J36" s="24"/>
      <c r="N36"/>
      <c r="O36"/>
    </row>
    <row r="37" spans="4:15" ht="15.75" thickBot="1" x14ac:dyDescent="0.3">
      <c r="D37" s="4" t="s">
        <v>40</v>
      </c>
      <c r="E37" s="14" t="s">
        <v>41</v>
      </c>
      <c r="F37" s="66"/>
      <c r="I37" s="24"/>
      <c r="J37" s="24"/>
      <c r="N37"/>
      <c r="O37"/>
    </row>
    <row r="38" spans="4:15" ht="15.75" thickBot="1" x14ac:dyDescent="0.3">
      <c r="I38" s="24"/>
      <c r="J38" s="24"/>
      <c r="N38"/>
      <c r="O38"/>
    </row>
    <row r="39" spans="4:15" x14ac:dyDescent="0.25">
      <c r="D39" s="76" t="s">
        <v>38</v>
      </c>
      <c r="E39" s="77"/>
      <c r="F39" s="54" t="s">
        <v>15</v>
      </c>
      <c r="I39" s="24"/>
      <c r="J39" s="24"/>
      <c r="N39"/>
      <c r="O39"/>
    </row>
    <row r="40" spans="4:15" x14ac:dyDescent="0.25">
      <c r="D40" s="11" t="s">
        <v>12</v>
      </c>
      <c r="E40" s="22">
        <v>30</v>
      </c>
      <c r="F40" s="80"/>
      <c r="I40" s="24"/>
      <c r="J40" s="24"/>
      <c r="N40"/>
      <c r="O40"/>
    </row>
    <row r="41" spans="4:15" x14ac:dyDescent="0.25">
      <c r="D41" s="11" t="s">
        <v>9</v>
      </c>
      <c r="E41" s="22">
        <v>30</v>
      </c>
      <c r="F41" s="81"/>
      <c r="I41" s="24"/>
      <c r="J41" s="24"/>
      <c r="N41"/>
      <c r="O41"/>
    </row>
    <row r="42" spans="4:15" ht="15.75" thickBot="1" x14ac:dyDescent="0.3">
      <c r="D42" s="12" t="s">
        <v>19</v>
      </c>
      <c r="E42" s="23">
        <v>0</v>
      </c>
      <c r="F42" s="82"/>
      <c r="I42" s="24"/>
      <c r="J42" s="24"/>
      <c r="N42"/>
      <c r="O42"/>
    </row>
    <row r="43" spans="4:15" ht="15.75" thickBot="1" x14ac:dyDescent="0.3">
      <c r="I43" s="24"/>
      <c r="J43" s="24"/>
      <c r="N43"/>
      <c r="O43"/>
    </row>
    <row r="44" spans="4:15" x14ac:dyDescent="0.25">
      <c r="D44" s="109" t="s">
        <v>0</v>
      </c>
      <c r="E44" s="110"/>
      <c r="F44" s="51" t="s">
        <v>15</v>
      </c>
      <c r="I44" s="24"/>
      <c r="J44" s="24"/>
      <c r="N44"/>
      <c r="O44"/>
    </row>
    <row r="45" spans="4:15" x14ac:dyDescent="0.25">
      <c r="D45" s="3" t="s">
        <v>37</v>
      </c>
      <c r="E45" s="13" t="s">
        <v>77</v>
      </c>
      <c r="F45" s="64"/>
      <c r="I45" s="24"/>
      <c r="J45" s="24"/>
      <c r="N45"/>
      <c r="O45"/>
    </row>
    <row r="46" spans="4:15" x14ac:dyDescent="0.25">
      <c r="D46" s="3" t="s">
        <v>54</v>
      </c>
      <c r="E46" s="13" t="s">
        <v>63</v>
      </c>
      <c r="F46" s="65"/>
      <c r="I46" s="24"/>
      <c r="J46" s="24"/>
      <c r="N46"/>
      <c r="O46"/>
    </row>
    <row r="47" spans="4:15" x14ac:dyDescent="0.25">
      <c r="D47" s="3" t="s">
        <v>52</v>
      </c>
      <c r="E47" s="13" t="s">
        <v>59</v>
      </c>
      <c r="F47" s="65"/>
      <c r="I47" s="24"/>
      <c r="J47" s="24"/>
      <c r="N47"/>
      <c r="O47"/>
    </row>
    <row r="48" spans="4:15" x14ac:dyDescent="0.25">
      <c r="D48" s="3" t="s">
        <v>11</v>
      </c>
      <c r="E48" s="13">
        <v>6</v>
      </c>
      <c r="F48" s="65"/>
      <c r="I48" s="24"/>
      <c r="J48" s="24"/>
      <c r="N48"/>
      <c r="O48"/>
    </row>
    <row r="49" spans="4:15" ht="15.75" thickBot="1" x14ac:dyDescent="0.3">
      <c r="D49" s="4" t="s">
        <v>40</v>
      </c>
      <c r="E49" s="14" t="s">
        <v>41</v>
      </c>
      <c r="F49" s="66"/>
      <c r="I49" s="24"/>
      <c r="J49" s="24"/>
      <c r="N49"/>
      <c r="O49"/>
    </row>
    <row r="50" spans="4:15" ht="15.75" thickBot="1" x14ac:dyDescent="0.3">
      <c r="I50" s="24"/>
      <c r="J50" s="24"/>
      <c r="N50"/>
      <c r="O50"/>
    </row>
    <row r="51" spans="4:15" x14ac:dyDescent="0.25">
      <c r="D51" s="76" t="s">
        <v>38</v>
      </c>
      <c r="E51" s="77"/>
      <c r="F51" s="54" t="s">
        <v>15</v>
      </c>
      <c r="I51" s="24"/>
      <c r="J51" s="24"/>
      <c r="N51"/>
      <c r="O51"/>
    </row>
    <row r="52" spans="4:15" x14ac:dyDescent="0.25">
      <c r="D52" s="11" t="s">
        <v>12</v>
      </c>
      <c r="E52" s="22">
        <v>25</v>
      </c>
      <c r="F52" s="80"/>
      <c r="I52" s="24"/>
      <c r="J52" s="24"/>
      <c r="N52"/>
      <c r="O52"/>
    </row>
    <row r="53" spans="4:15" x14ac:dyDescent="0.25">
      <c r="D53" s="11" t="s">
        <v>9</v>
      </c>
      <c r="E53" s="22">
        <v>30</v>
      </c>
      <c r="F53" s="81"/>
      <c r="I53" s="24"/>
      <c r="J53" s="24"/>
      <c r="N53"/>
      <c r="O53"/>
    </row>
    <row r="54" spans="4:15" ht="15.75" thickBot="1" x14ac:dyDescent="0.3">
      <c r="D54" s="12" t="s">
        <v>19</v>
      </c>
      <c r="E54" s="23">
        <v>0</v>
      </c>
      <c r="F54" s="82"/>
      <c r="I54" s="24"/>
      <c r="J54" s="24"/>
      <c r="N54"/>
      <c r="O54"/>
    </row>
    <row r="55" spans="4:15" ht="15.75" thickBot="1" x14ac:dyDescent="0.3">
      <c r="I55" s="24"/>
      <c r="J55" s="24"/>
      <c r="N55"/>
      <c r="O55"/>
    </row>
    <row r="56" spans="4:15" x14ac:dyDescent="0.25">
      <c r="D56" s="70" t="s">
        <v>2</v>
      </c>
      <c r="E56" s="71"/>
      <c r="F56" s="50" t="s">
        <v>15</v>
      </c>
      <c r="I56" s="24"/>
      <c r="J56" s="24"/>
      <c r="N56"/>
      <c r="O56"/>
    </row>
    <row r="57" spans="4:15" x14ac:dyDescent="0.25">
      <c r="D57" s="30" t="s">
        <v>1</v>
      </c>
      <c r="E57" s="33" t="s">
        <v>67</v>
      </c>
      <c r="F57" s="86"/>
      <c r="I57" s="24"/>
      <c r="J57" s="24"/>
      <c r="N57"/>
      <c r="O57"/>
    </row>
    <row r="58" spans="4:15" ht="15.75" thickBot="1" x14ac:dyDescent="0.3">
      <c r="D58" s="45" t="s">
        <v>24</v>
      </c>
      <c r="E58" s="32" t="s">
        <v>33</v>
      </c>
      <c r="F58" s="87"/>
      <c r="I58" s="24"/>
      <c r="J58" s="24"/>
      <c r="N58"/>
      <c r="O58"/>
    </row>
    <row r="59" spans="4:15" ht="15.75" thickBot="1" x14ac:dyDescent="0.3">
      <c r="I59" s="24"/>
      <c r="J59" s="24"/>
      <c r="N59"/>
      <c r="O59"/>
    </row>
    <row r="60" spans="4:15" x14ac:dyDescent="0.25">
      <c r="D60" s="88" t="s">
        <v>5</v>
      </c>
      <c r="E60" s="89"/>
      <c r="F60" s="52" t="s">
        <v>15</v>
      </c>
      <c r="I60" s="24"/>
      <c r="J60" s="24"/>
      <c r="N60"/>
      <c r="O60"/>
    </row>
    <row r="61" spans="4:15" x14ac:dyDescent="0.25">
      <c r="D61" s="5" t="s">
        <v>37</v>
      </c>
      <c r="E61" s="20" t="str">
        <f>E9</f>
        <v>Denaturation</v>
      </c>
      <c r="F61" s="67"/>
      <c r="I61" s="24"/>
      <c r="J61" s="24"/>
      <c r="N61"/>
      <c r="O61"/>
    </row>
    <row r="62" spans="4:15" x14ac:dyDescent="0.25">
      <c r="D62" s="5" t="s">
        <v>36</v>
      </c>
      <c r="E62" s="20" t="s">
        <v>78</v>
      </c>
      <c r="F62" s="68"/>
      <c r="I62" s="24"/>
      <c r="J62" s="24"/>
      <c r="N62"/>
      <c r="O62"/>
    </row>
    <row r="63" spans="4:15" ht="15.75" thickBot="1" x14ac:dyDescent="0.3">
      <c r="D63" s="6" t="s">
        <v>24</v>
      </c>
      <c r="E63" s="21" t="s">
        <v>68</v>
      </c>
      <c r="F63" s="69"/>
      <c r="I63" s="24"/>
      <c r="J63" s="24"/>
      <c r="N63"/>
      <c r="O63"/>
    </row>
    <row r="64" spans="4:15" ht="15.75" thickBot="1" x14ac:dyDescent="0.3">
      <c r="I64" s="24"/>
      <c r="J64" s="24"/>
      <c r="N64"/>
      <c r="O64"/>
    </row>
    <row r="65" spans="4:15" x14ac:dyDescent="0.25">
      <c r="D65" s="70" t="s">
        <v>2</v>
      </c>
      <c r="E65" s="71"/>
      <c r="F65" s="50" t="s">
        <v>15</v>
      </c>
      <c r="I65" s="24"/>
      <c r="J65" s="24"/>
      <c r="N65"/>
      <c r="O65"/>
    </row>
    <row r="66" spans="4:15" x14ac:dyDescent="0.25">
      <c r="D66" s="30" t="s">
        <v>1</v>
      </c>
      <c r="E66" s="33" t="s">
        <v>74</v>
      </c>
      <c r="F66" s="86"/>
      <c r="I66" s="24"/>
      <c r="J66" s="24"/>
      <c r="N66"/>
      <c r="O66"/>
    </row>
    <row r="67" spans="4:15" ht="15.75" thickBot="1" x14ac:dyDescent="0.3">
      <c r="D67" s="45" t="s">
        <v>24</v>
      </c>
      <c r="E67" s="32" t="s">
        <v>33</v>
      </c>
      <c r="F67" s="87"/>
      <c r="I67" s="24"/>
      <c r="J67" s="24"/>
      <c r="N67"/>
      <c r="O67"/>
    </row>
    <row r="68" spans="4:15" ht="15.75" thickBot="1" x14ac:dyDescent="0.3">
      <c r="I68" s="24"/>
      <c r="J68" s="24"/>
      <c r="N68"/>
      <c r="O68"/>
    </row>
    <row r="69" spans="4:15" x14ac:dyDescent="0.25">
      <c r="D69" s="70" t="s">
        <v>20</v>
      </c>
      <c r="E69" s="71"/>
      <c r="F69" s="42" t="s">
        <v>15</v>
      </c>
      <c r="I69" s="59"/>
      <c r="J69" s="59"/>
      <c r="N69"/>
      <c r="O69"/>
    </row>
    <row r="70" spans="4:15" x14ac:dyDescent="0.25">
      <c r="D70" s="30" t="s">
        <v>49</v>
      </c>
      <c r="E70" s="31" t="s">
        <v>41</v>
      </c>
      <c r="F70" s="61"/>
      <c r="I70" s="59"/>
      <c r="J70" s="59"/>
      <c r="N70"/>
      <c r="O70"/>
    </row>
    <row r="71" spans="4:15" x14ac:dyDescent="0.25">
      <c r="D71" s="30" t="s">
        <v>21</v>
      </c>
      <c r="E71" s="49" t="s">
        <v>95</v>
      </c>
      <c r="F71" s="62"/>
      <c r="I71" s="59"/>
      <c r="J71" s="59"/>
      <c r="N71"/>
      <c r="O71"/>
    </row>
    <row r="72" spans="4:15" ht="60.75" thickBot="1" x14ac:dyDescent="0.3">
      <c r="D72" s="1" t="s">
        <v>22</v>
      </c>
      <c r="E72" s="48" t="s">
        <v>96</v>
      </c>
      <c r="F72" s="63"/>
      <c r="I72" s="59"/>
      <c r="J72" s="59"/>
      <c r="N72"/>
      <c r="O72"/>
    </row>
    <row r="73" spans="4:15" ht="15.75" thickBot="1" x14ac:dyDescent="0.3">
      <c r="I73" s="59"/>
      <c r="J73" s="59"/>
      <c r="N73"/>
      <c r="O73"/>
    </row>
    <row r="74" spans="4:15" x14ac:dyDescent="0.25">
      <c r="D74" s="115" t="s">
        <v>16</v>
      </c>
      <c r="E74" s="116"/>
      <c r="F74" s="53" t="s">
        <v>15</v>
      </c>
      <c r="G74" s="24"/>
      <c r="N74"/>
      <c r="O74"/>
    </row>
    <row r="75" spans="4:15" x14ac:dyDescent="0.25">
      <c r="D75" s="7" t="s">
        <v>37</v>
      </c>
      <c r="E75" s="15" t="str">
        <f>E57</f>
        <v>Desalting</v>
      </c>
      <c r="F75" s="117"/>
      <c r="G75" s="24"/>
      <c r="N75"/>
      <c r="O75"/>
    </row>
    <row r="76" spans="4:15" x14ac:dyDescent="0.25">
      <c r="D76" s="7" t="s">
        <v>3</v>
      </c>
      <c r="E76" s="15" t="str">
        <f>E62</f>
        <v>50mM Tris pH 7.9, 5mM L-Met</v>
      </c>
      <c r="F76" s="118"/>
      <c r="G76" s="24"/>
      <c r="N76"/>
      <c r="O76"/>
    </row>
    <row r="77" spans="4:15" x14ac:dyDescent="0.25">
      <c r="D77" s="7" t="s">
        <v>6</v>
      </c>
      <c r="E77" s="15" t="str">
        <f>Worklist!F1</f>
        <v>Desalting Concentration</v>
      </c>
      <c r="F77" s="118"/>
      <c r="G77" s="24"/>
      <c r="N77"/>
      <c r="O77"/>
    </row>
    <row r="78" spans="4:15" x14ac:dyDescent="0.25">
      <c r="D78" s="7" t="s">
        <v>7</v>
      </c>
      <c r="E78" s="15">
        <v>0.5</v>
      </c>
      <c r="F78" s="118"/>
      <c r="G78" s="24"/>
      <c r="N78"/>
      <c r="O78"/>
    </row>
    <row r="79" spans="4:15" x14ac:dyDescent="0.25">
      <c r="D79" s="7" t="s">
        <v>10</v>
      </c>
      <c r="E79" s="15">
        <v>100</v>
      </c>
      <c r="F79" s="118"/>
      <c r="G79" s="24"/>
      <c r="N79"/>
      <c r="O79"/>
    </row>
    <row r="80" spans="4:15" ht="15.75" thickBot="1" x14ac:dyDescent="0.3">
      <c r="D80" s="8" t="s">
        <v>99</v>
      </c>
      <c r="E80" s="16">
        <v>70</v>
      </c>
      <c r="F80" s="119"/>
      <c r="G80" s="24"/>
      <c r="N80"/>
      <c r="O80"/>
    </row>
    <row r="81" spans="4:15" ht="15.75" thickBot="1" x14ac:dyDescent="0.3">
      <c r="I81" s="59"/>
      <c r="J81" s="59"/>
      <c r="N81"/>
      <c r="O81"/>
    </row>
    <row r="82" spans="4:15" x14ac:dyDescent="0.25">
      <c r="D82" s="109" t="s">
        <v>0</v>
      </c>
      <c r="E82" s="110"/>
      <c r="F82" s="51" t="s">
        <v>15</v>
      </c>
      <c r="I82" s="24"/>
      <c r="J82" s="24"/>
      <c r="N82"/>
      <c r="O82"/>
    </row>
    <row r="83" spans="4:15" x14ac:dyDescent="0.25">
      <c r="D83" s="3" t="s">
        <v>37</v>
      </c>
      <c r="E83" s="13" t="s">
        <v>80</v>
      </c>
      <c r="F83" s="64"/>
      <c r="I83" s="24"/>
      <c r="J83" s="24"/>
      <c r="N83"/>
      <c r="O83"/>
    </row>
    <row r="84" spans="4:15" x14ac:dyDescent="0.25">
      <c r="D84" s="3" t="s">
        <v>54</v>
      </c>
      <c r="E84" s="13" t="s">
        <v>14</v>
      </c>
      <c r="F84" s="65"/>
      <c r="I84" s="24"/>
      <c r="J84" s="24"/>
      <c r="N84"/>
      <c r="O84"/>
    </row>
    <row r="85" spans="4:15" x14ac:dyDescent="0.25">
      <c r="D85" s="3" t="s">
        <v>52</v>
      </c>
      <c r="E85" s="13" t="s">
        <v>60</v>
      </c>
      <c r="F85" s="65"/>
      <c r="I85" s="24"/>
      <c r="J85" s="24"/>
      <c r="N85"/>
      <c r="O85"/>
    </row>
    <row r="86" spans="4:15" x14ac:dyDescent="0.25">
      <c r="D86" s="3" t="s">
        <v>11</v>
      </c>
      <c r="E86" s="13">
        <v>5</v>
      </c>
      <c r="F86" s="65"/>
      <c r="I86" s="24"/>
      <c r="J86" s="24"/>
      <c r="N86"/>
      <c r="O86"/>
    </row>
    <row r="87" spans="4:15" ht="15.75" thickBot="1" x14ac:dyDescent="0.3">
      <c r="D87" s="4" t="s">
        <v>40</v>
      </c>
      <c r="E87" s="14" t="s">
        <v>41</v>
      </c>
      <c r="F87" s="66"/>
      <c r="I87" s="24"/>
      <c r="J87" s="24"/>
      <c r="N87"/>
      <c r="O87"/>
    </row>
    <row r="88" spans="4:15" ht="15.75" thickBot="1" x14ac:dyDescent="0.3">
      <c r="I88" s="24"/>
      <c r="J88" s="24"/>
      <c r="N88"/>
      <c r="O88"/>
    </row>
    <row r="89" spans="4:15" x14ac:dyDescent="0.25">
      <c r="D89" s="76" t="s">
        <v>38</v>
      </c>
      <c r="E89" s="77"/>
      <c r="F89" s="54" t="s">
        <v>15</v>
      </c>
      <c r="I89" s="24"/>
      <c r="J89" s="24"/>
      <c r="N89"/>
      <c r="O89"/>
    </row>
    <row r="90" spans="4:15" x14ac:dyDescent="0.25">
      <c r="D90" s="11" t="s">
        <v>12</v>
      </c>
      <c r="E90" s="22">
        <v>37</v>
      </c>
      <c r="F90" s="80"/>
      <c r="I90" s="24"/>
      <c r="J90" s="24"/>
      <c r="N90"/>
      <c r="O90"/>
    </row>
    <row r="91" spans="4:15" x14ac:dyDescent="0.25">
      <c r="D91" s="11" t="s">
        <v>9</v>
      </c>
      <c r="E91" s="22">
        <v>60</v>
      </c>
      <c r="F91" s="81"/>
      <c r="I91" s="24"/>
      <c r="J91" s="24"/>
      <c r="N91"/>
      <c r="O91"/>
    </row>
    <row r="92" spans="4:15" ht="15.75" thickBot="1" x14ac:dyDescent="0.3">
      <c r="D92" s="12" t="s">
        <v>19</v>
      </c>
      <c r="E92" s="23">
        <v>0</v>
      </c>
      <c r="F92" s="82"/>
      <c r="I92" s="24"/>
      <c r="J92" s="24"/>
      <c r="N92"/>
      <c r="O92"/>
    </row>
    <row r="93" spans="4:15" ht="15.75" thickBot="1" x14ac:dyDescent="0.3">
      <c r="I93" s="24"/>
      <c r="J93" s="24"/>
      <c r="N93"/>
      <c r="O93"/>
    </row>
    <row r="94" spans="4:15" x14ac:dyDescent="0.25">
      <c r="D94" s="109" t="s">
        <v>0</v>
      </c>
      <c r="E94" s="110"/>
      <c r="F94" s="51" t="s">
        <v>15</v>
      </c>
      <c r="I94" s="24"/>
      <c r="J94" s="24"/>
      <c r="N94"/>
      <c r="O94"/>
    </row>
    <row r="95" spans="4:15" x14ac:dyDescent="0.25">
      <c r="D95" s="3" t="s">
        <v>37</v>
      </c>
      <c r="E95" s="13" t="s">
        <v>73</v>
      </c>
      <c r="F95" s="64"/>
      <c r="I95" s="24"/>
      <c r="J95" s="24"/>
      <c r="N95"/>
      <c r="O95"/>
    </row>
    <row r="96" spans="4:15" x14ac:dyDescent="0.25">
      <c r="D96" s="3" t="s">
        <v>54</v>
      </c>
      <c r="E96" s="13" t="s">
        <v>64</v>
      </c>
      <c r="F96" s="65"/>
      <c r="I96" s="24"/>
      <c r="J96" s="24"/>
      <c r="N96"/>
      <c r="O96"/>
    </row>
    <row r="97" spans="4:15" x14ac:dyDescent="0.25">
      <c r="D97" s="3" t="s">
        <v>52</v>
      </c>
      <c r="E97" s="13" t="s">
        <v>59</v>
      </c>
      <c r="F97" s="65"/>
      <c r="I97" s="24"/>
      <c r="J97" s="24"/>
      <c r="N97"/>
      <c r="O97"/>
    </row>
    <row r="98" spans="4:15" x14ac:dyDescent="0.25">
      <c r="D98" s="3" t="s">
        <v>11</v>
      </c>
      <c r="E98" s="13">
        <v>2</v>
      </c>
      <c r="F98" s="65"/>
      <c r="I98" s="24"/>
      <c r="J98" s="24"/>
      <c r="N98"/>
      <c r="O98"/>
    </row>
    <row r="99" spans="4:15" ht="15.75" thickBot="1" x14ac:dyDescent="0.3">
      <c r="D99" s="4" t="s">
        <v>40</v>
      </c>
      <c r="E99" s="14" t="s">
        <v>41</v>
      </c>
      <c r="F99" s="66"/>
      <c r="I99" s="24"/>
      <c r="J99" s="24"/>
      <c r="N99"/>
      <c r="O99"/>
    </row>
    <row r="100" spans="4:15" ht="15.75" thickBot="1" x14ac:dyDescent="0.3">
      <c r="I100" s="24"/>
      <c r="J100" s="24"/>
      <c r="N100"/>
      <c r="O100"/>
    </row>
    <row r="101" spans="4:15" x14ac:dyDescent="0.25">
      <c r="D101" s="70" t="s">
        <v>20</v>
      </c>
      <c r="E101" s="71"/>
      <c r="F101" s="42" t="s">
        <v>15</v>
      </c>
      <c r="I101" s="59"/>
      <c r="J101" s="59"/>
      <c r="N101"/>
      <c r="O101"/>
    </row>
    <row r="102" spans="4:15" x14ac:dyDescent="0.25">
      <c r="D102" s="30" t="s">
        <v>49</v>
      </c>
      <c r="E102" s="31" t="s">
        <v>41</v>
      </c>
      <c r="F102" s="61"/>
      <c r="I102" s="59"/>
      <c r="J102" s="59"/>
      <c r="N102"/>
      <c r="O102"/>
    </row>
    <row r="103" spans="4:15" x14ac:dyDescent="0.25">
      <c r="D103" s="30" t="s">
        <v>21</v>
      </c>
      <c r="E103" s="49" t="s">
        <v>97</v>
      </c>
      <c r="F103" s="62"/>
      <c r="I103" s="59"/>
      <c r="J103" s="59"/>
      <c r="N103"/>
      <c r="O103"/>
    </row>
    <row r="104" spans="4:15" ht="30.75" thickBot="1" x14ac:dyDescent="0.3">
      <c r="D104" s="1" t="s">
        <v>22</v>
      </c>
      <c r="E104" s="48" t="s">
        <v>98</v>
      </c>
      <c r="F104" s="63"/>
      <c r="I104" s="59"/>
      <c r="J104" s="59"/>
      <c r="N104"/>
      <c r="O104"/>
    </row>
    <row r="105" spans="4:15" ht="15.75" thickBot="1" x14ac:dyDescent="0.3">
      <c r="I105" s="59"/>
      <c r="J105" s="59"/>
      <c r="N105"/>
      <c r="O105"/>
    </row>
    <row r="106" spans="4:15" x14ac:dyDescent="0.25">
      <c r="D106" s="70" t="s">
        <v>51</v>
      </c>
      <c r="E106" s="71"/>
      <c r="F106" s="50" t="s">
        <v>15</v>
      </c>
      <c r="I106" s="24"/>
      <c r="J106" s="24"/>
      <c r="N106"/>
      <c r="O106"/>
    </row>
    <row r="107" spans="4:15" x14ac:dyDescent="0.25">
      <c r="D107" s="72"/>
      <c r="E107" s="73"/>
      <c r="F107" s="86"/>
      <c r="I107" s="24"/>
      <c r="J107" s="24"/>
      <c r="N107"/>
      <c r="O107"/>
    </row>
    <row r="108" spans="4:15" ht="15.75" thickBot="1" x14ac:dyDescent="0.3">
      <c r="D108" s="74"/>
      <c r="E108" s="75"/>
      <c r="F108" s="87"/>
      <c r="I108" s="24"/>
      <c r="J108" s="24"/>
      <c r="N108"/>
      <c r="O108"/>
    </row>
    <row r="109" spans="4:15" x14ac:dyDescent="0.25">
      <c r="I109" s="24"/>
      <c r="J109" s="24"/>
      <c r="N109"/>
      <c r="O109"/>
    </row>
    <row r="110" spans="4:15" x14ac:dyDescent="0.25">
      <c r="I110" s="24"/>
      <c r="J110" s="24"/>
      <c r="N110"/>
      <c r="O110"/>
    </row>
    <row r="111" spans="4:15" x14ac:dyDescent="0.25">
      <c r="I111" s="24"/>
      <c r="J111" s="24"/>
      <c r="N111"/>
      <c r="O111"/>
    </row>
  </sheetData>
  <mergeCells count="40">
    <mergeCell ref="D56:E56"/>
    <mergeCell ref="D39:E39"/>
    <mergeCell ref="F33:F37"/>
    <mergeCell ref="D74:E74"/>
    <mergeCell ref="F75:F80"/>
    <mergeCell ref="D69:E69"/>
    <mergeCell ref="F70:F72"/>
    <mergeCell ref="F61:F63"/>
    <mergeCell ref="D65:E65"/>
    <mergeCell ref="F66:F67"/>
    <mergeCell ref="D51:E51"/>
    <mergeCell ref="F52:F54"/>
    <mergeCell ref="F45:F49"/>
    <mergeCell ref="F57:F58"/>
    <mergeCell ref="D60:E60"/>
    <mergeCell ref="D32:E32"/>
    <mergeCell ref="F40:F42"/>
    <mergeCell ref="D44:E44"/>
    <mergeCell ref="D12:E12"/>
    <mergeCell ref="F13:F15"/>
    <mergeCell ref="D17:E17"/>
    <mergeCell ref="F18:F22"/>
    <mergeCell ref="D24:E24"/>
    <mergeCell ref="F25:F30"/>
    <mergeCell ref="D2:E2"/>
    <mergeCell ref="F3:F4"/>
    <mergeCell ref="F9:F10"/>
    <mergeCell ref="D8:E8"/>
    <mergeCell ref="D6:E6"/>
    <mergeCell ref="D82:E82"/>
    <mergeCell ref="F83:F87"/>
    <mergeCell ref="D89:E89"/>
    <mergeCell ref="D107:E108"/>
    <mergeCell ref="F107:F108"/>
    <mergeCell ref="D94:E94"/>
    <mergeCell ref="F95:F99"/>
    <mergeCell ref="D106:E106"/>
    <mergeCell ref="D101:E101"/>
    <mergeCell ref="F102:F104"/>
    <mergeCell ref="F90:F9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values'!$B$10:$B$17</xm:f>
          </x14:formula1>
          <xm:sqref>E34 E46 E84 E96 E19</xm:sqref>
        </x14:dataValidation>
        <x14:dataValidation type="list" allowBlank="1" showInputMessage="1" showErrorMessage="1" xr:uid="{00000000-0002-0000-0200-000002000000}">
          <x14:formula1>
            <xm:f>'___Dropdown values'!$F$5:$F$6</xm:f>
          </x14:formula1>
          <xm:sqref>D32:E32 D44:E44 D82:E82 D94:E94 D17:E17</xm:sqref>
        </x14:dataValidation>
        <x14:dataValidation type="list" allowBlank="1" showInputMessage="1" showErrorMessage="1" xr:uid="{00000000-0002-0000-0200-000003000000}">
          <x14:formula1>
            <xm:f>'___Dropdown values'!$D$10:$D$11</xm:f>
          </x14:formula1>
          <xm:sqref>E37 E49 E87 E99 E22 E70 E102</xm:sqref>
        </x14:dataValidation>
        <x14:dataValidation type="list" allowBlank="1" showInputMessage="1" showErrorMessage="1" xr:uid="{00000000-0002-0000-0200-000004000000}">
          <x14:formula1>
            <xm:f>'___Dropdown values'!$B$20:$B$21</xm:f>
          </x14:formula1>
          <xm:sqref>E35 E47 E85 E97 E20</xm:sqref>
        </x14:dataValidation>
        <x14:dataValidation type="list" allowBlank="1" showInputMessage="1" showErrorMessage="1" xr:uid="{00000000-0002-0000-0200-000005000000}">
          <x14:formula1>
            <xm:f>'___Dropdown values'!$K$5:$K$6</xm:f>
          </x14:formula1>
          <xm:sqref>D39:E39 D51:E51 D89:E89</xm:sqref>
        </x14:dataValidation>
        <x14:dataValidation type="list" allowBlank="1" showInputMessage="1" showErrorMessage="1" xr:uid="{00000000-0002-0000-0200-000006000000}">
          <x14:formula1>
            <xm:f>'___Dropdown values'!$D$4:$D$5</xm:f>
          </x14:formula1>
          <xm:sqref>E63</xm:sqref>
        </x14:dataValidation>
        <x14:dataValidation type="list" allowBlank="1" showInputMessage="1" showErrorMessage="1" xr:uid="{00000000-0002-0000-0200-000007000000}">
          <x14:formula1>
            <xm:f>'___Dropdown values'!$H$5:$H$6</xm:f>
          </x14:formula1>
          <xm:sqref>D60:E60</xm:sqref>
        </x14:dataValidation>
        <x14:dataValidation type="list" allowBlank="1" showInputMessage="1" showErrorMessage="1" xr:uid="{00000000-0002-0000-0200-000008000000}">
          <x14:formula1>
            <xm:f>'___Dropdown values'!$B$4:$B$7</xm:f>
          </x14:formula1>
          <xm:sqref>E58 E67</xm:sqref>
        </x14:dataValidation>
        <x14:dataValidation type="list" allowBlank="1" showInputMessage="1" showErrorMessage="1" xr:uid="{00000000-0002-0000-0200-000009000000}">
          <x14:formula1>
            <xm:f>'___Dropdown values'!$D$14:$D$15</xm:f>
          </x14:formula1>
          <xm:sqref>E15</xm:sqref>
        </x14:dataValidation>
        <x14:dataValidation type="list" allowBlank="1" showInputMessage="1" showErrorMessage="1" xr:uid="{00000000-0002-0000-0200-00000A000000}">
          <x14:formula1>
            <xm:f>'___Dropdown values'!$I$5:$I$6</xm:f>
          </x14:formula1>
          <xm:sqref>D69:E69 D101:E101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6"/>
  <sheetViews>
    <sheetView workbookViewId="0">
      <selection activeCell="C13" sqref="C13"/>
    </sheetView>
  </sheetViews>
  <sheetFormatPr defaultRowHeight="15" x14ac:dyDescent="0.25"/>
  <cols>
    <col min="1" max="1" width="9" bestFit="1" customWidth="1"/>
    <col min="2" max="2" width="17.5703125" customWidth="1"/>
    <col min="3" max="3" width="28.140625"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32</v>
      </c>
      <c r="B1" t="s">
        <v>48</v>
      </c>
      <c r="C1" t="s">
        <v>17</v>
      </c>
      <c r="D1" t="s">
        <v>94</v>
      </c>
      <c r="E1" t="s">
        <v>18</v>
      </c>
      <c r="F1" t="s">
        <v>79</v>
      </c>
    </row>
    <row r="2" spans="1:6" x14ac:dyDescent="0.25">
      <c r="A2">
        <f t="shared" ref="A2:A6" si="0">ROW(A1)</f>
        <v>1</v>
      </c>
      <c r="B2">
        <f t="shared" ref="B2" si="1">A2</f>
        <v>1</v>
      </c>
      <c r="C2" t="s">
        <v>100</v>
      </c>
      <c r="D2">
        <f t="shared" ref="D2" si="2">A2</f>
        <v>1</v>
      </c>
      <c r="E2">
        <v>10</v>
      </c>
      <c r="F2">
        <v>0</v>
      </c>
    </row>
    <row r="3" spans="1:6" x14ac:dyDescent="0.25">
      <c r="A3">
        <f t="shared" si="0"/>
        <v>2</v>
      </c>
      <c r="B3">
        <f t="shared" ref="B3:B6" si="3">A3</f>
        <v>2</v>
      </c>
      <c r="C3" t="s">
        <v>101</v>
      </c>
      <c r="D3">
        <f t="shared" ref="D3:D6" si="4">A3</f>
        <v>2</v>
      </c>
      <c r="E3">
        <v>10</v>
      </c>
      <c r="F3">
        <v>0</v>
      </c>
    </row>
    <row r="4" spans="1:6" x14ac:dyDescent="0.25">
      <c r="A4">
        <f t="shared" si="0"/>
        <v>3</v>
      </c>
      <c r="B4">
        <f t="shared" si="3"/>
        <v>3</v>
      </c>
      <c r="C4" t="s">
        <v>102</v>
      </c>
      <c r="D4">
        <f t="shared" si="4"/>
        <v>3</v>
      </c>
      <c r="E4">
        <v>10</v>
      </c>
      <c r="F4">
        <v>0</v>
      </c>
    </row>
    <row r="5" spans="1:6" x14ac:dyDescent="0.25">
      <c r="A5">
        <f t="shared" si="0"/>
        <v>4</v>
      </c>
      <c r="B5">
        <f t="shared" si="3"/>
        <v>4</v>
      </c>
      <c r="C5" t="s">
        <v>103</v>
      </c>
      <c r="D5">
        <f t="shared" si="4"/>
        <v>4</v>
      </c>
      <c r="E5">
        <v>10</v>
      </c>
      <c r="F5">
        <v>0</v>
      </c>
    </row>
    <row r="6" spans="1:6" x14ac:dyDescent="0.25">
      <c r="A6">
        <f t="shared" si="0"/>
        <v>5</v>
      </c>
      <c r="B6">
        <f t="shared" si="3"/>
        <v>5</v>
      </c>
      <c r="C6" t="s">
        <v>104</v>
      </c>
      <c r="D6">
        <f t="shared" si="4"/>
        <v>5</v>
      </c>
      <c r="E6">
        <v>10</v>
      </c>
      <c r="F6">
        <v>0</v>
      </c>
    </row>
  </sheetData>
  <conditionalFormatting sqref="E2:E6">
    <cfRule type="expression" dxfId="1" priority="17">
      <formula>$E$2&gt;40</formula>
    </cfRule>
    <cfRule type="expression" dxfId="0" priority="18">
      <formula>$E2&lt;3.5</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E873C-DB0B-4611-A510-4A8A5619A3CD}">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38B8F-B685-44EF-94AC-D90EDB21CB1F}">
  <dimension ref="B3:AM924"/>
  <sheetViews>
    <sheetView workbookViewId="0"/>
  </sheetViews>
  <sheetFormatPr defaultRowHeight="15" x14ac:dyDescent="0.25"/>
  <sheetData>
    <row r="3" spans="2:5" x14ac:dyDescent="0.25">
      <c r="D3" t="s">
        <v>105</v>
      </c>
      <c r="E3" t="s">
        <v>106</v>
      </c>
    </row>
    <row r="4" spans="2:5" x14ac:dyDescent="0.25">
      <c r="D4" t="s">
        <v>107</v>
      </c>
      <c r="E4" t="s">
        <v>231</v>
      </c>
    </row>
    <row r="5" spans="2:5" x14ac:dyDescent="0.25">
      <c r="D5" t="s">
        <v>232</v>
      </c>
      <c r="E5" t="s">
        <v>44</v>
      </c>
    </row>
    <row r="6" spans="2:5" x14ac:dyDescent="0.25">
      <c r="D6" t="s">
        <v>233</v>
      </c>
      <c r="E6">
        <v>30</v>
      </c>
    </row>
    <row r="7" spans="2:5" x14ac:dyDescent="0.25">
      <c r="D7" t="s">
        <v>234</v>
      </c>
      <c r="E7">
        <v>0</v>
      </c>
    </row>
    <row r="12" spans="2:5" x14ac:dyDescent="0.25">
      <c r="B12" t="s">
        <v>108</v>
      </c>
    </row>
    <row r="13" spans="2:5" x14ac:dyDescent="0.25">
      <c r="B13" t="s">
        <v>109</v>
      </c>
    </row>
    <row r="14" spans="2:5" x14ac:dyDescent="0.25">
      <c r="B14" t="s">
        <v>110</v>
      </c>
    </row>
    <row r="15" spans="2:5" x14ac:dyDescent="0.25">
      <c r="B15" t="s">
        <v>111</v>
      </c>
    </row>
    <row r="17" spans="2:3" x14ac:dyDescent="0.25">
      <c r="C17" t="s">
        <v>112</v>
      </c>
    </row>
    <row r="22" spans="2:3" x14ac:dyDescent="0.25">
      <c r="B22" t="s">
        <v>113</v>
      </c>
    </row>
    <row r="23" spans="2:3" x14ac:dyDescent="0.25">
      <c r="B23" t="s">
        <v>114</v>
      </c>
    </row>
    <row r="24" spans="2:3" x14ac:dyDescent="0.25">
      <c r="B24" t="s">
        <v>115</v>
      </c>
    </row>
    <row r="25" spans="2:3" x14ac:dyDescent="0.25">
      <c r="B25" t="s">
        <v>116</v>
      </c>
    </row>
    <row r="26" spans="2:3" x14ac:dyDescent="0.25">
      <c r="B26" t="s">
        <v>117</v>
      </c>
    </row>
    <row r="31" spans="2:3" x14ac:dyDescent="0.25">
      <c r="B31" t="s">
        <v>118</v>
      </c>
    </row>
    <row r="32" spans="2:3" x14ac:dyDescent="0.25">
      <c r="B32" t="s">
        <v>119</v>
      </c>
    </row>
    <row r="33" spans="2:3" x14ac:dyDescent="0.25">
      <c r="B33" t="s">
        <v>120</v>
      </c>
    </row>
    <row r="34" spans="2:3" x14ac:dyDescent="0.25">
      <c r="B34" t="s">
        <v>121</v>
      </c>
    </row>
    <row r="35" spans="2:3" x14ac:dyDescent="0.25">
      <c r="B35" t="s">
        <v>122</v>
      </c>
    </row>
    <row r="36" spans="2:3" x14ac:dyDescent="0.25">
      <c r="B36" t="s">
        <v>123</v>
      </c>
    </row>
    <row r="37" spans="2:3" x14ac:dyDescent="0.25">
      <c r="B37" t="s">
        <v>124</v>
      </c>
    </row>
    <row r="39" spans="2:3" x14ac:dyDescent="0.25">
      <c r="C39" t="s">
        <v>125</v>
      </c>
    </row>
    <row r="44" spans="2:3" x14ac:dyDescent="0.25">
      <c r="B44" t="s">
        <v>126</v>
      </c>
    </row>
    <row r="45" spans="2:3" x14ac:dyDescent="0.25">
      <c r="B45" t="s">
        <v>127</v>
      </c>
    </row>
    <row r="46" spans="2:3" x14ac:dyDescent="0.25">
      <c r="B46" t="s">
        <v>115</v>
      </c>
    </row>
    <row r="47" spans="2:3" x14ac:dyDescent="0.25">
      <c r="B47" t="s">
        <v>128</v>
      </c>
    </row>
    <row r="48" spans="2:3" x14ac:dyDescent="0.25">
      <c r="B48" t="s">
        <v>129</v>
      </c>
    </row>
    <row r="49" spans="2:9" x14ac:dyDescent="0.25">
      <c r="B49" t="s">
        <v>130</v>
      </c>
    </row>
    <row r="50" spans="2:9" x14ac:dyDescent="0.25">
      <c r="B50" t="s">
        <v>131</v>
      </c>
    </row>
    <row r="51" spans="2:9" x14ac:dyDescent="0.25">
      <c r="B51" t="s">
        <v>132</v>
      </c>
    </row>
    <row r="53" spans="2:9" x14ac:dyDescent="0.25">
      <c r="C53" t="s">
        <v>112</v>
      </c>
    </row>
    <row r="55" spans="2:9" x14ac:dyDescent="0.25">
      <c r="C55" t="s">
        <v>112</v>
      </c>
    </row>
    <row r="57" spans="2:9" x14ac:dyDescent="0.25">
      <c r="D57" t="s">
        <v>105</v>
      </c>
      <c r="E57" t="s">
        <v>133</v>
      </c>
    </row>
    <row r="58" spans="2:9" x14ac:dyDescent="0.25">
      <c r="D58" t="s">
        <v>107</v>
      </c>
      <c r="E58" t="s">
        <v>218</v>
      </c>
    </row>
    <row r="59" spans="2:9" x14ac:dyDescent="0.25">
      <c r="D59" t="s">
        <v>138</v>
      </c>
      <c r="E59">
        <v>108</v>
      </c>
      <c r="F59">
        <v>108</v>
      </c>
      <c r="G59">
        <v>108</v>
      </c>
      <c r="H59">
        <v>108</v>
      </c>
      <c r="I59">
        <v>108</v>
      </c>
    </row>
    <row r="60" spans="2:9" x14ac:dyDescent="0.25">
      <c r="D60" t="s">
        <v>219</v>
      </c>
      <c r="E60" t="s">
        <v>220</v>
      </c>
      <c r="F60" t="s">
        <v>220</v>
      </c>
      <c r="G60" t="s">
        <v>220</v>
      </c>
      <c r="H60" t="s">
        <v>220</v>
      </c>
      <c r="I60" t="s">
        <v>221</v>
      </c>
    </row>
    <row r="61" spans="2:9" x14ac:dyDescent="0.25">
      <c r="D61" t="s">
        <v>143</v>
      </c>
    </row>
    <row r="63" spans="2:9" x14ac:dyDescent="0.25">
      <c r="D63" t="s">
        <v>105</v>
      </c>
      <c r="E63" t="s">
        <v>133</v>
      </c>
    </row>
    <row r="64" spans="2:9" x14ac:dyDescent="0.25">
      <c r="D64" t="s">
        <v>107</v>
      </c>
      <c r="E64" t="s">
        <v>222</v>
      </c>
    </row>
    <row r="65" spans="4:9" x14ac:dyDescent="0.25">
      <c r="D65" t="s">
        <v>138</v>
      </c>
      <c r="E65">
        <v>108</v>
      </c>
      <c r="F65">
        <v>108</v>
      </c>
      <c r="G65">
        <v>108</v>
      </c>
      <c r="H65">
        <v>108</v>
      </c>
      <c r="I65">
        <v>108</v>
      </c>
    </row>
    <row r="66" spans="4:9" x14ac:dyDescent="0.25">
      <c r="D66" t="s">
        <v>144</v>
      </c>
    </row>
    <row r="68" spans="4:9" x14ac:dyDescent="0.25">
      <c r="D68" t="s">
        <v>105</v>
      </c>
      <c r="E68" t="s">
        <v>133</v>
      </c>
    </row>
    <row r="69" spans="4:9" x14ac:dyDescent="0.25">
      <c r="D69" t="s">
        <v>107</v>
      </c>
      <c r="E69" t="s">
        <v>217</v>
      </c>
    </row>
    <row r="70" spans="4:9" x14ac:dyDescent="0.25">
      <c r="D70" t="s">
        <v>134</v>
      </c>
      <c r="E70" t="s">
        <v>44</v>
      </c>
      <c r="F70" t="s">
        <v>44</v>
      </c>
      <c r="G70" t="s">
        <v>44</v>
      </c>
      <c r="H70" t="s">
        <v>44</v>
      </c>
      <c r="I70" t="s">
        <v>44</v>
      </c>
    </row>
    <row r="71" spans="4:9" x14ac:dyDescent="0.25">
      <c r="D71" t="s">
        <v>135</v>
      </c>
      <c r="E71">
        <v>1</v>
      </c>
      <c r="F71">
        <v>2</v>
      </c>
      <c r="G71">
        <v>3</v>
      </c>
      <c r="H71">
        <v>4</v>
      </c>
      <c r="I71">
        <v>5</v>
      </c>
    </row>
    <row r="72" spans="4:9" x14ac:dyDescent="0.25">
      <c r="D72" t="s">
        <v>136</v>
      </c>
      <c r="E72" t="s">
        <v>75</v>
      </c>
      <c r="F72" t="s">
        <v>75</v>
      </c>
      <c r="G72" t="s">
        <v>75</v>
      </c>
      <c r="H72" t="s">
        <v>75</v>
      </c>
      <c r="I72" t="s">
        <v>75</v>
      </c>
    </row>
    <row r="73" spans="4:9" x14ac:dyDescent="0.25">
      <c r="D73" t="s">
        <v>137</v>
      </c>
      <c r="E73">
        <v>1</v>
      </c>
      <c r="F73">
        <v>2</v>
      </c>
      <c r="G73">
        <v>3</v>
      </c>
      <c r="H73">
        <v>4</v>
      </c>
      <c r="I73">
        <v>5</v>
      </c>
    </row>
    <row r="74" spans="4:9" x14ac:dyDescent="0.25">
      <c r="D74" t="s">
        <v>138</v>
      </c>
      <c r="E74">
        <v>108</v>
      </c>
      <c r="F74">
        <v>108</v>
      </c>
      <c r="G74">
        <v>108</v>
      </c>
      <c r="H74">
        <v>108</v>
      </c>
      <c r="I74">
        <v>108</v>
      </c>
    </row>
    <row r="75" spans="4:9" x14ac:dyDescent="0.25">
      <c r="D75" t="s">
        <v>139</v>
      </c>
      <c r="E75">
        <v>0</v>
      </c>
      <c r="F75">
        <v>0</v>
      </c>
      <c r="G75">
        <v>0</v>
      </c>
      <c r="H75">
        <v>0</v>
      </c>
      <c r="I75">
        <v>0</v>
      </c>
    </row>
    <row r="76" spans="4:9" x14ac:dyDescent="0.25">
      <c r="D76" t="s">
        <v>140</v>
      </c>
      <c r="E76" t="s">
        <v>42</v>
      </c>
      <c r="F76" t="s">
        <v>42</v>
      </c>
      <c r="G76" t="s">
        <v>42</v>
      </c>
      <c r="H76" t="s">
        <v>42</v>
      </c>
      <c r="I76" t="s">
        <v>42</v>
      </c>
    </row>
    <row r="77" spans="4:9" x14ac:dyDescent="0.25">
      <c r="D77" t="s">
        <v>141</v>
      </c>
    </row>
    <row r="78" spans="4:9" x14ac:dyDescent="0.25">
      <c r="D78" t="s">
        <v>142</v>
      </c>
    </row>
    <row r="79" spans="4:9" x14ac:dyDescent="0.25">
      <c r="D79" t="s">
        <v>223</v>
      </c>
      <c r="E79" t="s">
        <v>224</v>
      </c>
    </row>
    <row r="80" spans="4:9" x14ac:dyDescent="0.25">
      <c r="D80" t="s">
        <v>225</v>
      </c>
    </row>
    <row r="82" spans="3:9" x14ac:dyDescent="0.25">
      <c r="C82" t="s">
        <v>112</v>
      </c>
    </row>
    <row r="84" spans="3:9" x14ac:dyDescent="0.25">
      <c r="D84" t="s">
        <v>105</v>
      </c>
      <c r="E84" t="s">
        <v>133</v>
      </c>
    </row>
    <row r="85" spans="3:9" x14ac:dyDescent="0.25">
      <c r="D85" t="s">
        <v>107</v>
      </c>
      <c r="E85" t="s">
        <v>218</v>
      </c>
    </row>
    <row r="86" spans="3:9" x14ac:dyDescent="0.25">
      <c r="D86" t="s">
        <v>138</v>
      </c>
      <c r="E86">
        <v>12</v>
      </c>
      <c r="F86">
        <v>12</v>
      </c>
      <c r="G86">
        <v>12</v>
      </c>
      <c r="H86">
        <v>12</v>
      </c>
      <c r="I86">
        <v>12</v>
      </c>
    </row>
    <row r="87" spans="3:9" x14ac:dyDescent="0.25">
      <c r="D87" t="s">
        <v>219</v>
      </c>
      <c r="E87" t="s">
        <v>220</v>
      </c>
      <c r="F87" t="s">
        <v>220</v>
      </c>
      <c r="G87" t="s">
        <v>220</v>
      </c>
      <c r="H87" t="s">
        <v>220</v>
      </c>
      <c r="I87" t="s">
        <v>221</v>
      </c>
    </row>
    <row r="88" spans="3:9" x14ac:dyDescent="0.25">
      <c r="D88" t="s">
        <v>226</v>
      </c>
    </row>
    <row r="90" spans="3:9" x14ac:dyDescent="0.25">
      <c r="D90" t="s">
        <v>105</v>
      </c>
      <c r="E90" t="s">
        <v>133</v>
      </c>
    </row>
    <row r="91" spans="3:9" x14ac:dyDescent="0.25">
      <c r="D91" t="s">
        <v>107</v>
      </c>
      <c r="E91" t="s">
        <v>222</v>
      </c>
    </row>
    <row r="92" spans="3:9" x14ac:dyDescent="0.25">
      <c r="D92" t="s">
        <v>138</v>
      </c>
      <c r="E92">
        <v>12</v>
      </c>
      <c r="F92">
        <v>12</v>
      </c>
      <c r="G92">
        <v>12</v>
      </c>
      <c r="H92">
        <v>12</v>
      </c>
      <c r="I92">
        <v>12</v>
      </c>
    </row>
    <row r="93" spans="3:9" x14ac:dyDescent="0.25">
      <c r="D93" t="s">
        <v>227</v>
      </c>
    </row>
    <row r="95" spans="3:9" x14ac:dyDescent="0.25">
      <c r="D95" t="s">
        <v>105</v>
      </c>
      <c r="E95" t="s">
        <v>133</v>
      </c>
    </row>
    <row r="96" spans="3:9" x14ac:dyDescent="0.25">
      <c r="D96" t="s">
        <v>107</v>
      </c>
      <c r="E96" t="s">
        <v>217</v>
      </c>
    </row>
    <row r="97" spans="2:9" x14ac:dyDescent="0.25">
      <c r="D97" t="s">
        <v>134</v>
      </c>
      <c r="E97" t="s">
        <v>44</v>
      </c>
      <c r="F97" t="s">
        <v>44</v>
      </c>
      <c r="G97" t="s">
        <v>44</v>
      </c>
      <c r="H97" t="s">
        <v>44</v>
      </c>
      <c r="I97" t="s">
        <v>44</v>
      </c>
    </row>
    <row r="98" spans="2:9" x14ac:dyDescent="0.25">
      <c r="D98" t="s">
        <v>135</v>
      </c>
      <c r="E98">
        <v>1</v>
      </c>
      <c r="F98">
        <v>2</v>
      </c>
      <c r="G98">
        <v>3</v>
      </c>
      <c r="H98">
        <v>4</v>
      </c>
      <c r="I98">
        <v>5</v>
      </c>
    </row>
    <row r="99" spans="2:9" x14ac:dyDescent="0.25">
      <c r="D99" t="s">
        <v>136</v>
      </c>
      <c r="E99" t="s">
        <v>13</v>
      </c>
      <c r="F99" t="s">
        <v>13</v>
      </c>
      <c r="G99" t="s">
        <v>13</v>
      </c>
      <c r="H99" t="s">
        <v>13</v>
      </c>
      <c r="I99" t="s">
        <v>13</v>
      </c>
    </row>
    <row r="100" spans="2:9" x14ac:dyDescent="0.25">
      <c r="D100" t="s">
        <v>137</v>
      </c>
      <c r="E100">
        <v>1</v>
      </c>
      <c r="F100">
        <v>2</v>
      </c>
      <c r="G100">
        <v>3</v>
      </c>
      <c r="H100">
        <v>4</v>
      </c>
      <c r="I100">
        <v>5</v>
      </c>
    </row>
    <row r="101" spans="2:9" x14ac:dyDescent="0.25">
      <c r="D101" t="s">
        <v>138</v>
      </c>
      <c r="E101">
        <v>12</v>
      </c>
      <c r="F101">
        <v>12</v>
      </c>
      <c r="G101">
        <v>12</v>
      </c>
      <c r="H101">
        <v>12</v>
      </c>
      <c r="I101">
        <v>12</v>
      </c>
    </row>
    <row r="102" spans="2:9" x14ac:dyDescent="0.25">
      <c r="D102" t="s">
        <v>139</v>
      </c>
      <c r="E102">
        <v>108</v>
      </c>
      <c r="F102">
        <v>108</v>
      </c>
      <c r="G102">
        <v>108</v>
      </c>
      <c r="H102">
        <v>108</v>
      </c>
      <c r="I102">
        <v>108</v>
      </c>
    </row>
    <row r="103" spans="2:9" x14ac:dyDescent="0.25">
      <c r="D103" t="s">
        <v>140</v>
      </c>
      <c r="E103" t="s">
        <v>41</v>
      </c>
      <c r="F103" t="s">
        <v>41</v>
      </c>
      <c r="G103" t="s">
        <v>41</v>
      </c>
      <c r="H103" t="s">
        <v>41</v>
      </c>
      <c r="I103" t="s">
        <v>41</v>
      </c>
    </row>
    <row r="104" spans="2:9" x14ac:dyDescent="0.25">
      <c r="D104" t="s">
        <v>141</v>
      </c>
    </row>
    <row r="105" spans="2:9" x14ac:dyDescent="0.25">
      <c r="D105" t="s">
        <v>142</v>
      </c>
    </row>
    <row r="106" spans="2:9" x14ac:dyDescent="0.25">
      <c r="D106" t="s">
        <v>223</v>
      </c>
      <c r="E106" t="s">
        <v>224</v>
      </c>
    </row>
    <row r="107" spans="2:9" x14ac:dyDescent="0.25">
      <c r="D107" t="s">
        <v>228</v>
      </c>
    </row>
    <row r="112" spans="2:9" x14ac:dyDescent="0.25">
      <c r="B112" t="s">
        <v>118</v>
      </c>
    </row>
    <row r="113" spans="2:9" x14ac:dyDescent="0.25">
      <c r="B113" t="s">
        <v>145</v>
      </c>
    </row>
    <row r="114" spans="2:9" x14ac:dyDescent="0.25">
      <c r="B114" t="s">
        <v>146</v>
      </c>
    </row>
    <row r="115" spans="2:9" x14ac:dyDescent="0.25">
      <c r="B115" t="s">
        <v>147</v>
      </c>
    </row>
    <row r="116" spans="2:9" x14ac:dyDescent="0.25">
      <c r="B116" t="s">
        <v>122</v>
      </c>
    </row>
    <row r="117" spans="2:9" x14ac:dyDescent="0.25">
      <c r="B117" t="s">
        <v>148</v>
      </c>
    </row>
    <row r="118" spans="2:9" x14ac:dyDescent="0.25">
      <c r="B118" t="s">
        <v>124</v>
      </c>
    </row>
    <row r="120" spans="2:9" x14ac:dyDescent="0.25">
      <c r="C120" t="s">
        <v>112</v>
      </c>
    </row>
    <row r="122" spans="2:9" x14ac:dyDescent="0.25">
      <c r="D122" t="s">
        <v>105</v>
      </c>
      <c r="E122" t="s">
        <v>133</v>
      </c>
    </row>
    <row r="123" spans="2:9" x14ac:dyDescent="0.25">
      <c r="D123" t="s">
        <v>107</v>
      </c>
      <c r="E123" t="s">
        <v>218</v>
      </c>
    </row>
    <row r="124" spans="2:9" x14ac:dyDescent="0.25">
      <c r="D124" t="s">
        <v>138</v>
      </c>
      <c r="E124">
        <v>2.4</v>
      </c>
      <c r="F124">
        <v>2.4</v>
      </c>
      <c r="G124">
        <v>2.4</v>
      </c>
      <c r="H124">
        <v>2.4</v>
      </c>
      <c r="I124">
        <v>2.4</v>
      </c>
    </row>
    <row r="125" spans="2:9" x14ac:dyDescent="0.25">
      <c r="D125" t="s">
        <v>219</v>
      </c>
      <c r="E125" t="s">
        <v>220</v>
      </c>
      <c r="F125" t="s">
        <v>220</v>
      </c>
      <c r="G125" t="s">
        <v>220</v>
      </c>
      <c r="H125" t="s">
        <v>220</v>
      </c>
      <c r="I125" t="s">
        <v>221</v>
      </c>
    </row>
    <row r="126" spans="2:9" x14ac:dyDescent="0.25">
      <c r="D126" t="s">
        <v>149</v>
      </c>
    </row>
    <row r="128" spans="2:9" x14ac:dyDescent="0.25">
      <c r="D128" t="s">
        <v>105</v>
      </c>
      <c r="E128" t="s">
        <v>133</v>
      </c>
    </row>
    <row r="129" spans="4:9" x14ac:dyDescent="0.25">
      <c r="D129" t="s">
        <v>107</v>
      </c>
      <c r="E129" t="s">
        <v>222</v>
      </c>
    </row>
    <row r="130" spans="4:9" x14ac:dyDescent="0.25">
      <c r="D130" t="s">
        <v>138</v>
      </c>
      <c r="E130">
        <v>2.4</v>
      </c>
      <c r="F130">
        <v>2.4</v>
      </c>
      <c r="G130">
        <v>2.4</v>
      </c>
      <c r="H130">
        <v>2.4</v>
      </c>
      <c r="I130">
        <v>2</v>
      </c>
    </row>
    <row r="131" spans="4:9" x14ac:dyDescent="0.25">
      <c r="D131" t="s">
        <v>229</v>
      </c>
    </row>
    <row r="133" spans="4:9" x14ac:dyDescent="0.25">
      <c r="D133" t="s">
        <v>105</v>
      </c>
      <c r="E133" t="s">
        <v>133</v>
      </c>
    </row>
    <row r="134" spans="4:9" x14ac:dyDescent="0.25">
      <c r="D134" t="s">
        <v>107</v>
      </c>
      <c r="E134" t="s">
        <v>217</v>
      </c>
    </row>
    <row r="135" spans="4:9" x14ac:dyDescent="0.25">
      <c r="D135" t="s">
        <v>134</v>
      </c>
      <c r="E135" t="s">
        <v>44</v>
      </c>
      <c r="F135" t="s">
        <v>44</v>
      </c>
      <c r="G135" t="s">
        <v>44</v>
      </c>
      <c r="H135" t="s">
        <v>44</v>
      </c>
      <c r="I135" t="s">
        <v>44</v>
      </c>
    </row>
    <row r="136" spans="4:9" x14ac:dyDescent="0.25">
      <c r="D136" t="s">
        <v>135</v>
      </c>
      <c r="E136">
        <v>1</v>
      </c>
      <c r="F136">
        <v>2</v>
      </c>
      <c r="G136">
        <v>3</v>
      </c>
      <c r="H136">
        <v>4</v>
      </c>
      <c r="I136">
        <v>5</v>
      </c>
    </row>
    <row r="137" spans="4:9" x14ac:dyDescent="0.25">
      <c r="D137" t="s">
        <v>136</v>
      </c>
      <c r="E137" t="s">
        <v>76</v>
      </c>
      <c r="F137" t="s">
        <v>76</v>
      </c>
      <c r="G137" t="s">
        <v>76</v>
      </c>
      <c r="H137" t="s">
        <v>76</v>
      </c>
      <c r="I137" t="s">
        <v>76</v>
      </c>
    </row>
    <row r="138" spans="4:9" x14ac:dyDescent="0.25">
      <c r="D138" t="s">
        <v>137</v>
      </c>
      <c r="E138">
        <v>1</v>
      </c>
      <c r="F138">
        <v>2</v>
      </c>
      <c r="G138">
        <v>3</v>
      </c>
      <c r="H138">
        <v>4</v>
      </c>
      <c r="I138">
        <v>5</v>
      </c>
    </row>
    <row r="139" spans="4:9" x14ac:dyDescent="0.25">
      <c r="D139" t="s">
        <v>138</v>
      </c>
      <c r="E139">
        <v>2.4</v>
      </c>
      <c r="F139">
        <v>2.4</v>
      </c>
      <c r="G139">
        <v>2.4</v>
      </c>
      <c r="H139">
        <v>2.4</v>
      </c>
      <c r="I139">
        <v>2.4</v>
      </c>
    </row>
    <row r="140" spans="4:9" x14ac:dyDescent="0.25">
      <c r="D140" t="s">
        <v>139</v>
      </c>
      <c r="E140">
        <v>120</v>
      </c>
      <c r="F140">
        <v>120</v>
      </c>
      <c r="G140">
        <v>120</v>
      </c>
      <c r="H140">
        <v>120</v>
      </c>
      <c r="I140">
        <v>120</v>
      </c>
    </row>
    <row r="141" spans="4:9" x14ac:dyDescent="0.25">
      <c r="D141" t="s">
        <v>140</v>
      </c>
      <c r="E141" t="s">
        <v>41</v>
      </c>
      <c r="F141" t="s">
        <v>41</v>
      </c>
      <c r="G141" t="s">
        <v>41</v>
      </c>
      <c r="H141" t="s">
        <v>41</v>
      </c>
      <c r="I141" t="s">
        <v>41</v>
      </c>
    </row>
    <row r="142" spans="4:9" x14ac:dyDescent="0.25">
      <c r="D142" t="s">
        <v>141</v>
      </c>
    </row>
    <row r="143" spans="4:9" x14ac:dyDescent="0.25">
      <c r="D143" t="s">
        <v>142</v>
      </c>
    </row>
    <row r="144" spans="4:9" x14ac:dyDescent="0.25">
      <c r="D144" t="s">
        <v>223</v>
      </c>
      <c r="E144" t="s">
        <v>224</v>
      </c>
    </row>
    <row r="145" spans="2:5" x14ac:dyDescent="0.25">
      <c r="D145" t="s">
        <v>230</v>
      </c>
    </row>
    <row r="150" spans="2:5" x14ac:dyDescent="0.25">
      <c r="B150" t="s">
        <v>150</v>
      </c>
    </row>
    <row r="151" spans="2:5" x14ac:dyDescent="0.25">
      <c r="B151" t="s">
        <v>151</v>
      </c>
    </row>
    <row r="152" spans="2:5" x14ac:dyDescent="0.25">
      <c r="B152" t="s">
        <v>152</v>
      </c>
    </row>
    <row r="153" spans="2:5" x14ac:dyDescent="0.25">
      <c r="B153" t="s">
        <v>153</v>
      </c>
    </row>
    <row r="154" spans="2:5" x14ac:dyDescent="0.25">
      <c r="B154" t="s">
        <v>154</v>
      </c>
    </row>
    <row r="156" spans="2:5" x14ac:dyDescent="0.25">
      <c r="C156" t="s">
        <v>112</v>
      </c>
    </row>
    <row r="158" spans="2:5" x14ac:dyDescent="0.25">
      <c r="D158" t="s">
        <v>105</v>
      </c>
      <c r="E158" t="s">
        <v>235</v>
      </c>
    </row>
    <row r="159" spans="2:5" x14ac:dyDescent="0.25">
      <c r="D159" t="s">
        <v>107</v>
      </c>
      <c r="E159" t="s">
        <v>236</v>
      </c>
    </row>
    <row r="160" spans="2:5" x14ac:dyDescent="0.25">
      <c r="D160" t="s">
        <v>237</v>
      </c>
      <c r="E160" t="s">
        <v>238</v>
      </c>
    </row>
    <row r="161" spans="4:5" x14ac:dyDescent="0.25">
      <c r="D161" t="s">
        <v>157</v>
      </c>
    </row>
    <row r="163" spans="4:5" x14ac:dyDescent="0.25">
      <c r="D163" t="s">
        <v>105</v>
      </c>
      <c r="E163" t="s">
        <v>235</v>
      </c>
    </row>
    <row r="164" spans="4:5" x14ac:dyDescent="0.25">
      <c r="D164" t="s">
        <v>107</v>
      </c>
      <c r="E164" t="s">
        <v>239</v>
      </c>
    </row>
    <row r="165" spans="4:5" x14ac:dyDescent="0.25">
      <c r="D165" t="s">
        <v>237</v>
      </c>
      <c r="E165" t="s">
        <v>238</v>
      </c>
    </row>
    <row r="166" spans="4:5" x14ac:dyDescent="0.25">
      <c r="D166" t="s">
        <v>159</v>
      </c>
    </row>
    <row r="168" spans="4:5" x14ac:dyDescent="0.25">
      <c r="D168" t="s">
        <v>105</v>
      </c>
      <c r="E168" t="s">
        <v>106</v>
      </c>
    </row>
    <row r="169" spans="4:5" x14ac:dyDescent="0.25">
      <c r="D169" t="s">
        <v>107</v>
      </c>
      <c r="E169" t="s">
        <v>240</v>
      </c>
    </row>
    <row r="170" spans="4:5" x14ac:dyDescent="0.25">
      <c r="D170" t="s">
        <v>232</v>
      </c>
      <c r="E170" t="s">
        <v>238</v>
      </c>
    </row>
    <row r="171" spans="4:5" x14ac:dyDescent="0.25">
      <c r="D171" t="s">
        <v>241</v>
      </c>
    </row>
    <row r="173" spans="4:5" x14ac:dyDescent="0.25">
      <c r="D173" t="s">
        <v>105</v>
      </c>
      <c r="E173" t="s">
        <v>106</v>
      </c>
    </row>
    <row r="174" spans="4:5" x14ac:dyDescent="0.25">
      <c r="D174" t="s">
        <v>107</v>
      </c>
      <c r="E174" t="s">
        <v>242</v>
      </c>
    </row>
    <row r="175" spans="4:5" x14ac:dyDescent="0.25">
      <c r="D175" t="s">
        <v>232</v>
      </c>
      <c r="E175" t="s">
        <v>238</v>
      </c>
    </row>
    <row r="176" spans="4:5" x14ac:dyDescent="0.25">
      <c r="D176" t="s">
        <v>243</v>
      </c>
    </row>
    <row r="178" spans="4:5" x14ac:dyDescent="0.25">
      <c r="D178" t="s">
        <v>105</v>
      </c>
      <c r="E178" t="s">
        <v>244</v>
      </c>
    </row>
    <row r="179" spans="4:5" x14ac:dyDescent="0.25">
      <c r="D179" t="s">
        <v>107</v>
      </c>
      <c r="E179" t="s">
        <v>231</v>
      </c>
    </row>
    <row r="180" spans="4:5" x14ac:dyDescent="0.25">
      <c r="D180" t="s">
        <v>232</v>
      </c>
      <c r="E180" t="s">
        <v>238</v>
      </c>
    </row>
    <row r="181" spans="4:5" x14ac:dyDescent="0.25">
      <c r="D181" t="s">
        <v>245</v>
      </c>
    </row>
    <row r="183" spans="4:5" x14ac:dyDescent="0.25">
      <c r="D183" t="s">
        <v>105</v>
      </c>
      <c r="E183" t="s">
        <v>106</v>
      </c>
    </row>
    <row r="184" spans="4:5" x14ac:dyDescent="0.25">
      <c r="D184" t="s">
        <v>107</v>
      </c>
      <c r="E184" t="s">
        <v>246</v>
      </c>
    </row>
    <row r="185" spans="4:5" x14ac:dyDescent="0.25">
      <c r="D185" t="s">
        <v>232</v>
      </c>
      <c r="E185" t="s">
        <v>238</v>
      </c>
    </row>
    <row r="186" spans="4:5" x14ac:dyDescent="0.25">
      <c r="D186" t="s">
        <v>247</v>
      </c>
    </row>
    <row r="188" spans="4:5" x14ac:dyDescent="0.25">
      <c r="D188" t="s">
        <v>105</v>
      </c>
      <c r="E188" t="s">
        <v>106</v>
      </c>
    </row>
    <row r="189" spans="4:5" x14ac:dyDescent="0.25">
      <c r="D189" t="s">
        <v>107</v>
      </c>
      <c r="E189" t="s">
        <v>248</v>
      </c>
    </row>
    <row r="190" spans="4:5" x14ac:dyDescent="0.25">
      <c r="D190" t="s">
        <v>232</v>
      </c>
      <c r="E190" t="s">
        <v>238</v>
      </c>
    </row>
    <row r="191" spans="4:5" x14ac:dyDescent="0.25">
      <c r="D191" t="s">
        <v>249</v>
      </c>
    </row>
    <row r="193" spans="4:5" x14ac:dyDescent="0.25">
      <c r="D193" t="s">
        <v>105</v>
      </c>
      <c r="E193" t="s">
        <v>106</v>
      </c>
    </row>
    <row r="194" spans="4:5" x14ac:dyDescent="0.25">
      <c r="D194" t="s">
        <v>107</v>
      </c>
      <c r="E194" t="s">
        <v>246</v>
      </c>
    </row>
    <row r="195" spans="4:5" x14ac:dyDescent="0.25">
      <c r="D195" t="s">
        <v>232</v>
      </c>
      <c r="E195" t="s">
        <v>238</v>
      </c>
    </row>
    <row r="196" spans="4:5" x14ac:dyDescent="0.25">
      <c r="D196" t="s">
        <v>250</v>
      </c>
    </row>
    <row r="198" spans="4:5" x14ac:dyDescent="0.25">
      <c r="D198" t="s">
        <v>105</v>
      </c>
      <c r="E198" t="s">
        <v>106</v>
      </c>
    </row>
    <row r="199" spans="4:5" x14ac:dyDescent="0.25">
      <c r="D199" t="s">
        <v>107</v>
      </c>
      <c r="E199" t="s">
        <v>248</v>
      </c>
    </row>
    <row r="200" spans="4:5" x14ac:dyDescent="0.25">
      <c r="D200" t="s">
        <v>232</v>
      </c>
      <c r="E200" t="s">
        <v>238</v>
      </c>
    </row>
    <row r="201" spans="4:5" x14ac:dyDescent="0.25">
      <c r="D201" t="s">
        <v>251</v>
      </c>
    </row>
    <row r="203" spans="4:5" x14ac:dyDescent="0.25">
      <c r="D203" t="s">
        <v>105</v>
      </c>
      <c r="E203" t="s">
        <v>252</v>
      </c>
    </row>
    <row r="204" spans="4:5" x14ac:dyDescent="0.25">
      <c r="D204" t="s">
        <v>107</v>
      </c>
      <c r="E204" t="s">
        <v>253</v>
      </c>
    </row>
    <row r="205" spans="4:5" x14ac:dyDescent="0.25">
      <c r="D205" t="s">
        <v>254</v>
      </c>
    </row>
    <row r="206" spans="4:5" x14ac:dyDescent="0.25">
      <c r="D206" t="s">
        <v>255</v>
      </c>
    </row>
    <row r="207" spans="4:5" x14ac:dyDescent="0.25">
      <c r="D207" t="s">
        <v>256</v>
      </c>
    </row>
    <row r="208" spans="4:5" x14ac:dyDescent="0.25">
      <c r="D208" t="s">
        <v>257</v>
      </c>
    </row>
    <row r="209" spans="4:5" x14ac:dyDescent="0.25">
      <c r="D209" t="s">
        <v>258</v>
      </c>
      <c r="E209" t="b">
        <v>0</v>
      </c>
    </row>
    <row r="210" spans="4:5" x14ac:dyDescent="0.25">
      <c r="D210" t="s">
        <v>259</v>
      </c>
      <c r="E210" t="s">
        <v>260</v>
      </c>
    </row>
    <row r="211" spans="4:5" x14ac:dyDescent="0.25">
      <c r="D211" t="s">
        <v>261</v>
      </c>
    </row>
    <row r="213" spans="4:5" x14ac:dyDescent="0.25">
      <c r="D213" t="s">
        <v>105</v>
      </c>
      <c r="E213" t="s">
        <v>252</v>
      </c>
    </row>
    <row r="214" spans="4:5" x14ac:dyDescent="0.25">
      <c r="D214" t="s">
        <v>107</v>
      </c>
      <c r="E214" t="s">
        <v>253</v>
      </c>
    </row>
    <row r="215" spans="4:5" x14ac:dyDescent="0.25">
      <c r="D215" t="s">
        <v>254</v>
      </c>
    </row>
    <row r="216" spans="4:5" x14ac:dyDescent="0.25">
      <c r="D216" t="s">
        <v>255</v>
      </c>
    </row>
    <row r="217" spans="4:5" x14ac:dyDescent="0.25">
      <c r="D217" t="s">
        <v>256</v>
      </c>
    </row>
    <row r="218" spans="4:5" x14ac:dyDescent="0.25">
      <c r="D218" t="s">
        <v>257</v>
      </c>
    </row>
    <row r="219" spans="4:5" x14ac:dyDescent="0.25">
      <c r="D219" t="s">
        <v>258</v>
      </c>
      <c r="E219" t="b">
        <v>1</v>
      </c>
    </row>
    <row r="220" spans="4:5" x14ac:dyDescent="0.25">
      <c r="D220" t="s">
        <v>259</v>
      </c>
      <c r="E220" t="s">
        <v>260</v>
      </c>
    </row>
    <row r="221" spans="4:5" x14ac:dyDescent="0.25">
      <c r="D221" t="s">
        <v>262</v>
      </c>
    </row>
    <row r="223" spans="4:5" x14ac:dyDescent="0.25">
      <c r="D223" t="s">
        <v>105</v>
      </c>
      <c r="E223" t="s">
        <v>106</v>
      </c>
    </row>
    <row r="224" spans="4:5" x14ac:dyDescent="0.25">
      <c r="D224" t="s">
        <v>107</v>
      </c>
      <c r="E224" t="s">
        <v>263</v>
      </c>
    </row>
    <row r="225" spans="4:5" x14ac:dyDescent="0.25">
      <c r="D225" t="s">
        <v>232</v>
      </c>
      <c r="E225" t="s">
        <v>44</v>
      </c>
    </row>
    <row r="226" spans="4:5" x14ac:dyDescent="0.25">
      <c r="D226" t="s">
        <v>233</v>
      </c>
      <c r="E226">
        <v>30</v>
      </c>
    </row>
    <row r="227" spans="4:5" x14ac:dyDescent="0.25">
      <c r="D227" t="s">
        <v>234</v>
      </c>
      <c r="E227">
        <v>0</v>
      </c>
    </row>
    <row r="228" spans="4:5" x14ac:dyDescent="0.25">
      <c r="D228" t="s">
        <v>264</v>
      </c>
    </row>
    <row r="230" spans="4:5" x14ac:dyDescent="0.25">
      <c r="D230" t="s">
        <v>105</v>
      </c>
      <c r="E230" t="s">
        <v>155</v>
      </c>
    </row>
    <row r="231" spans="4:5" x14ac:dyDescent="0.25">
      <c r="D231" t="s">
        <v>107</v>
      </c>
      <c r="E231" t="s">
        <v>156</v>
      </c>
    </row>
    <row r="232" spans="4:5" x14ac:dyDescent="0.25">
      <c r="D232" t="s">
        <v>265</v>
      </c>
      <c r="E232">
        <v>1800</v>
      </c>
    </row>
    <row r="233" spans="4:5" x14ac:dyDescent="0.25">
      <c r="D233" t="s">
        <v>266</v>
      </c>
    </row>
    <row r="235" spans="4:5" x14ac:dyDescent="0.25">
      <c r="D235" t="s">
        <v>105</v>
      </c>
      <c r="E235" t="s">
        <v>155</v>
      </c>
    </row>
    <row r="236" spans="4:5" x14ac:dyDescent="0.25">
      <c r="D236" t="s">
        <v>107</v>
      </c>
      <c r="E236" t="s">
        <v>158</v>
      </c>
    </row>
    <row r="237" spans="4:5" x14ac:dyDescent="0.25">
      <c r="D237" t="s">
        <v>267</v>
      </c>
    </row>
    <row r="239" spans="4:5" x14ac:dyDescent="0.25">
      <c r="D239" t="s">
        <v>105</v>
      </c>
      <c r="E239" t="s">
        <v>106</v>
      </c>
    </row>
    <row r="240" spans="4:5" x14ac:dyDescent="0.25">
      <c r="D240" t="s">
        <v>107</v>
      </c>
      <c r="E240" t="s">
        <v>268</v>
      </c>
    </row>
    <row r="241" spans="4:5" x14ac:dyDescent="0.25">
      <c r="D241" t="s">
        <v>232</v>
      </c>
      <c r="E241" t="s">
        <v>238</v>
      </c>
    </row>
    <row r="242" spans="4:5" x14ac:dyDescent="0.25">
      <c r="D242" t="s">
        <v>269</v>
      </c>
    </row>
    <row r="244" spans="4:5" x14ac:dyDescent="0.25">
      <c r="D244" t="s">
        <v>105</v>
      </c>
      <c r="E244" t="s">
        <v>106</v>
      </c>
    </row>
    <row r="245" spans="4:5" x14ac:dyDescent="0.25">
      <c r="D245" t="s">
        <v>107</v>
      </c>
      <c r="E245" t="s">
        <v>246</v>
      </c>
    </row>
    <row r="246" spans="4:5" x14ac:dyDescent="0.25">
      <c r="D246" t="s">
        <v>232</v>
      </c>
      <c r="E246" t="s">
        <v>238</v>
      </c>
    </row>
    <row r="247" spans="4:5" x14ac:dyDescent="0.25">
      <c r="D247" t="s">
        <v>270</v>
      </c>
    </row>
    <row r="249" spans="4:5" x14ac:dyDescent="0.25">
      <c r="D249" t="s">
        <v>105</v>
      </c>
      <c r="E249" t="s">
        <v>106</v>
      </c>
    </row>
    <row r="250" spans="4:5" x14ac:dyDescent="0.25">
      <c r="D250" t="s">
        <v>107</v>
      </c>
      <c r="E250" t="s">
        <v>248</v>
      </c>
    </row>
    <row r="251" spans="4:5" x14ac:dyDescent="0.25">
      <c r="D251" t="s">
        <v>232</v>
      </c>
      <c r="E251" t="s">
        <v>238</v>
      </c>
    </row>
    <row r="252" spans="4:5" x14ac:dyDescent="0.25">
      <c r="D252" t="s">
        <v>271</v>
      </c>
    </row>
    <row r="254" spans="4:5" x14ac:dyDescent="0.25">
      <c r="D254" t="s">
        <v>105</v>
      </c>
      <c r="E254" t="s">
        <v>106</v>
      </c>
    </row>
    <row r="255" spans="4:5" x14ac:dyDescent="0.25">
      <c r="D255" t="s">
        <v>107</v>
      </c>
      <c r="E255" t="s">
        <v>246</v>
      </c>
    </row>
    <row r="256" spans="4:5" x14ac:dyDescent="0.25">
      <c r="D256" t="s">
        <v>232</v>
      </c>
      <c r="E256" t="s">
        <v>238</v>
      </c>
    </row>
    <row r="257" spans="4:5" x14ac:dyDescent="0.25">
      <c r="D257" t="s">
        <v>272</v>
      </c>
    </row>
    <row r="259" spans="4:5" x14ac:dyDescent="0.25">
      <c r="D259" t="s">
        <v>105</v>
      </c>
      <c r="E259" t="s">
        <v>106</v>
      </c>
    </row>
    <row r="260" spans="4:5" x14ac:dyDescent="0.25">
      <c r="D260" t="s">
        <v>107</v>
      </c>
      <c r="E260" t="s">
        <v>248</v>
      </c>
    </row>
    <row r="261" spans="4:5" x14ac:dyDescent="0.25">
      <c r="D261" t="s">
        <v>232</v>
      </c>
      <c r="E261" t="s">
        <v>238</v>
      </c>
    </row>
    <row r="262" spans="4:5" x14ac:dyDescent="0.25">
      <c r="D262" t="s">
        <v>273</v>
      </c>
    </row>
    <row r="264" spans="4:5" x14ac:dyDescent="0.25">
      <c r="D264" t="s">
        <v>105</v>
      </c>
      <c r="E264" t="s">
        <v>235</v>
      </c>
    </row>
    <row r="265" spans="4:5" x14ac:dyDescent="0.25">
      <c r="D265" t="s">
        <v>107</v>
      </c>
      <c r="E265" t="s">
        <v>236</v>
      </c>
    </row>
    <row r="266" spans="4:5" x14ac:dyDescent="0.25">
      <c r="D266" t="s">
        <v>237</v>
      </c>
      <c r="E266" t="s">
        <v>238</v>
      </c>
    </row>
    <row r="267" spans="4:5" x14ac:dyDescent="0.25">
      <c r="D267" t="s">
        <v>274</v>
      </c>
    </row>
    <row r="269" spans="4:5" x14ac:dyDescent="0.25">
      <c r="D269" t="s">
        <v>105</v>
      </c>
      <c r="E269" t="s">
        <v>235</v>
      </c>
    </row>
    <row r="270" spans="4:5" x14ac:dyDescent="0.25">
      <c r="D270" t="s">
        <v>107</v>
      </c>
      <c r="E270" t="s">
        <v>239</v>
      </c>
    </row>
    <row r="271" spans="4:5" x14ac:dyDescent="0.25">
      <c r="D271" t="s">
        <v>237</v>
      </c>
      <c r="E271" t="s">
        <v>238</v>
      </c>
    </row>
    <row r="272" spans="4:5" x14ac:dyDescent="0.25">
      <c r="D272" t="s">
        <v>275</v>
      </c>
    </row>
    <row r="274" spans="4:5" x14ac:dyDescent="0.25">
      <c r="D274" t="s">
        <v>105</v>
      </c>
      <c r="E274" t="s">
        <v>106</v>
      </c>
    </row>
    <row r="275" spans="4:5" x14ac:dyDescent="0.25">
      <c r="D275" t="s">
        <v>107</v>
      </c>
      <c r="E275" t="s">
        <v>240</v>
      </c>
    </row>
    <row r="276" spans="4:5" x14ac:dyDescent="0.25">
      <c r="D276" t="s">
        <v>232</v>
      </c>
      <c r="E276" t="s">
        <v>238</v>
      </c>
    </row>
    <row r="277" spans="4:5" x14ac:dyDescent="0.25">
      <c r="D277" t="s">
        <v>276</v>
      </c>
    </row>
    <row r="279" spans="4:5" x14ac:dyDescent="0.25">
      <c r="D279" t="s">
        <v>105</v>
      </c>
      <c r="E279" t="s">
        <v>106</v>
      </c>
    </row>
    <row r="280" spans="4:5" x14ac:dyDescent="0.25">
      <c r="D280" t="s">
        <v>107</v>
      </c>
      <c r="E280" t="s">
        <v>242</v>
      </c>
    </row>
    <row r="281" spans="4:5" x14ac:dyDescent="0.25">
      <c r="D281" t="s">
        <v>232</v>
      </c>
      <c r="E281" t="s">
        <v>238</v>
      </c>
    </row>
    <row r="282" spans="4:5" x14ac:dyDescent="0.25">
      <c r="D282" t="s">
        <v>277</v>
      </c>
    </row>
    <row r="284" spans="4:5" x14ac:dyDescent="0.25">
      <c r="D284" t="s">
        <v>105</v>
      </c>
      <c r="E284" t="s">
        <v>252</v>
      </c>
    </row>
    <row r="285" spans="4:5" x14ac:dyDescent="0.25">
      <c r="D285" t="s">
        <v>107</v>
      </c>
      <c r="E285" t="s">
        <v>253</v>
      </c>
    </row>
    <row r="286" spans="4:5" x14ac:dyDescent="0.25">
      <c r="D286" t="s">
        <v>254</v>
      </c>
    </row>
    <row r="287" spans="4:5" x14ac:dyDescent="0.25">
      <c r="D287" t="s">
        <v>255</v>
      </c>
    </row>
    <row r="288" spans="4:5" x14ac:dyDescent="0.25">
      <c r="D288" t="s">
        <v>256</v>
      </c>
    </row>
    <row r="289" spans="4:5" x14ac:dyDescent="0.25">
      <c r="D289" t="s">
        <v>257</v>
      </c>
    </row>
    <row r="290" spans="4:5" x14ac:dyDescent="0.25">
      <c r="D290" t="s">
        <v>258</v>
      </c>
      <c r="E290" t="b">
        <v>0</v>
      </c>
    </row>
    <row r="291" spans="4:5" x14ac:dyDescent="0.25">
      <c r="D291" t="s">
        <v>259</v>
      </c>
      <c r="E291" t="s">
        <v>278</v>
      </c>
    </row>
    <row r="292" spans="4:5" x14ac:dyDescent="0.25">
      <c r="D292" t="s">
        <v>279</v>
      </c>
    </row>
    <row r="294" spans="4:5" x14ac:dyDescent="0.25">
      <c r="D294" t="s">
        <v>105</v>
      </c>
      <c r="E294" t="s">
        <v>252</v>
      </c>
    </row>
    <row r="295" spans="4:5" x14ac:dyDescent="0.25">
      <c r="D295" t="s">
        <v>107</v>
      </c>
      <c r="E295" t="s">
        <v>253</v>
      </c>
    </row>
    <row r="296" spans="4:5" x14ac:dyDescent="0.25">
      <c r="D296" t="s">
        <v>254</v>
      </c>
    </row>
    <row r="297" spans="4:5" x14ac:dyDescent="0.25">
      <c r="D297" t="s">
        <v>255</v>
      </c>
    </row>
    <row r="298" spans="4:5" x14ac:dyDescent="0.25">
      <c r="D298" t="s">
        <v>256</v>
      </c>
    </row>
    <row r="299" spans="4:5" x14ac:dyDescent="0.25">
      <c r="D299" t="s">
        <v>257</v>
      </c>
    </row>
    <row r="300" spans="4:5" x14ac:dyDescent="0.25">
      <c r="D300" t="s">
        <v>258</v>
      </c>
      <c r="E300" t="b">
        <v>1</v>
      </c>
    </row>
    <row r="301" spans="4:5" x14ac:dyDescent="0.25">
      <c r="D301" t="s">
        <v>259</v>
      </c>
      <c r="E301" t="s">
        <v>278</v>
      </c>
    </row>
    <row r="302" spans="4:5" x14ac:dyDescent="0.25">
      <c r="D302" t="s">
        <v>280</v>
      </c>
    </row>
    <row r="304" spans="4:5" x14ac:dyDescent="0.25">
      <c r="D304" t="s">
        <v>105</v>
      </c>
      <c r="E304" t="s">
        <v>106</v>
      </c>
    </row>
    <row r="305" spans="4:5" x14ac:dyDescent="0.25">
      <c r="D305" t="s">
        <v>107</v>
      </c>
      <c r="E305" t="s">
        <v>281</v>
      </c>
    </row>
    <row r="306" spans="4:5" x14ac:dyDescent="0.25">
      <c r="D306" t="s">
        <v>232</v>
      </c>
      <c r="E306" t="s">
        <v>238</v>
      </c>
    </row>
    <row r="307" spans="4:5" x14ac:dyDescent="0.25">
      <c r="D307" t="s">
        <v>282</v>
      </c>
    </row>
    <row r="309" spans="4:5" x14ac:dyDescent="0.25">
      <c r="D309" t="s">
        <v>105</v>
      </c>
      <c r="E309" t="s">
        <v>244</v>
      </c>
    </row>
    <row r="310" spans="4:5" x14ac:dyDescent="0.25">
      <c r="D310" t="s">
        <v>107</v>
      </c>
      <c r="E310" t="s">
        <v>281</v>
      </c>
    </row>
    <row r="311" spans="4:5" x14ac:dyDescent="0.25">
      <c r="D311" t="s">
        <v>232</v>
      </c>
      <c r="E311" t="s">
        <v>238</v>
      </c>
    </row>
    <row r="312" spans="4:5" x14ac:dyDescent="0.25">
      <c r="D312" t="s">
        <v>283</v>
      </c>
    </row>
    <row r="314" spans="4:5" x14ac:dyDescent="0.25">
      <c r="D314" t="s">
        <v>105</v>
      </c>
      <c r="E314" t="s">
        <v>106</v>
      </c>
    </row>
    <row r="315" spans="4:5" x14ac:dyDescent="0.25">
      <c r="D315" t="s">
        <v>107</v>
      </c>
      <c r="E315" t="s">
        <v>231</v>
      </c>
    </row>
    <row r="316" spans="4:5" x14ac:dyDescent="0.25">
      <c r="D316" t="s">
        <v>232</v>
      </c>
      <c r="E316" t="s">
        <v>44</v>
      </c>
    </row>
    <row r="317" spans="4:5" x14ac:dyDescent="0.25">
      <c r="D317" t="s">
        <v>233</v>
      </c>
      <c r="E317">
        <v>25</v>
      </c>
    </row>
    <row r="318" spans="4:5" x14ac:dyDescent="0.25">
      <c r="D318" t="s">
        <v>234</v>
      </c>
      <c r="E318">
        <v>0</v>
      </c>
    </row>
    <row r="323" spans="2:9" x14ac:dyDescent="0.25">
      <c r="B323" t="s">
        <v>118</v>
      </c>
    </row>
    <row r="324" spans="2:9" x14ac:dyDescent="0.25">
      <c r="B324" t="s">
        <v>160</v>
      </c>
    </row>
    <row r="325" spans="2:9" x14ac:dyDescent="0.25">
      <c r="B325" t="s">
        <v>161</v>
      </c>
    </row>
    <row r="326" spans="2:9" x14ac:dyDescent="0.25">
      <c r="B326" t="s">
        <v>162</v>
      </c>
    </row>
    <row r="327" spans="2:9" x14ac:dyDescent="0.25">
      <c r="B327" t="s">
        <v>122</v>
      </c>
    </row>
    <row r="328" spans="2:9" x14ac:dyDescent="0.25">
      <c r="B328" t="s">
        <v>163</v>
      </c>
    </row>
    <row r="329" spans="2:9" x14ac:dyDescent="0.25">
      <c r="B329" t="s">
        <v>124</v>
      </c>
    </row>
    <row r="331" spans="2:9" x14ac:dyDescent="0.25">
      <c r="C331" t="s">
        <v>112</v>
      </c>
    </row>
    <row r="333" spans="2:9" x14ac:dyDescent="0.25">
      <c r="D333" t="s">
        <v>105</v>
      </c>
      <c r="E333" t="s">
        <v>133</v>
      </c>
    </row>
    <row r="334" spans="2:9" x14ac:dyDescent="0.25">
      <c r="D334" t="s">
        <v>107</v>
      </c>
      <c r="E334" t="s">
        <v>218</v>
      </c>
    </row>
    <row r="335" spans="2:9" x14ac:dyDescent="0.25">
      <c r="D335" t="s">
        <v>138</v>
      </c>
      <c r="E335">
        <v>6</v>
      </c>
      <c r="F335">
        <v>6</v>
      </c>
      <c r="G335">
        <v>6</v>
      </c>
      <c r="H335">
        <v>6</v>
      </c>
      <c r="I335">
        <v>6</v>
      </c>
    </row>
    <row r="336" spans="2:9" x14ac:dyDescent="0.25">
      <c r="D336" t="s">
        <v>219</v>
      </c>
      <c r="E336" t="s">
        <v>220</v>
      </c>
      <c r="F336" t="s">
        <v>220</v>
      </c>
      <c r="G336" t="s">
        <v>220</v>
      </c>
      <c r="H336" t="s">
        <v>220</v>
      </c>
      <c r="I336" t="s">
        <v>221</v>
      </c>
    </row>
    <row r="337" spans="4:9" x14ac:dyDescent="0.25">
      <c r="D337" t="s">
        <v>164</v>
      </c>
    </row>
    <row r="339" spans="4:9" x14ac:dyDescent="0.25">
      <c r="D339" t="s">
        <v>105</v>
      </c>
      <c r="E339" t="s">
        <v>133</v>
      </c>
    </row>
    <row r="340" spans="4:9" x14ac:dyDescent="0.25">
      <c r="D340" t="s">
        <v>107</v>
      </c>
      <c r="E340" t="s">
        <v>222</v>
      </c>
    </row>
    <row r="341" spans="4:9" x14ac:dyDescent="0.25">
      <c r="D341" t="s">
        <v>138</v>
      </c>
      <c r="E341">
        <v>6</v>
      </c>
      <c r="F341">
        <v>6</v>
      </c>
      <c r="G341">
        <v>6</v>
      </c>
      <c r="H341">
        <v>6</v>
      </c>
      <c r="I341">
        <v>6</v>
      </c>
    </row>
    <row r="342" spans="4:9" x14ac:dyDescent="0.25">
      <c r="D342" t="s">
        <v>284</v>
      </c>
    </row>
    <row r="344" spans="4:9" x14ac:dyDescent="0.25">
      <c r="D344" t="s">
        <v>105</v>
      </c>
      <c r="E344" t="s">
        <v>133</v>
      </c>
    </row>
    <row r="345" spans="4:9" x14ac:dyDescent="0.25">
      <c r="D345" t="s">
        <v>107</v>
      </c>
      <c r="E345" t="s">
        <v>217</v>
      </c>
    </row>
    <row r="346" spans="4:9" x14ac:dyDescent="0.25">
      <c r="D346" t="s">
        <v>134</v>
      </c>
      <c r="E346" t="s">
        <v>44</v>
      </c>
      <c r="F346" t="s">
        <v>44</v>
      </c>
      <c r="G346" t="s">
        <v>44</v>
      </c>
      <c r="H346" t="s">
        <v>44</v>
      </c>
      <c r="I346" t="s">
        <v>44</v>
      </c>
    </row>
    <row r="347" spans="4:9" x14ac:dyDescent="0.25">
      <c r="D347" t="s">
        <v>135</v>
      </c>
      <c r="E347">
        <v>1</v>
      </c>
      <c r="F347">
        <v>2</v>
      </c>
      <c r="G347">
        <v>3</v>
      </c>
      <c r="H347">
        <v>4</v>
      </c>
      <c r="I347">
        <v>5</v>
      </c>
    </row>
    <row r="348" spans="4:9" x14ac:dyDescent="0.25">
      <c r="D348" t="s">
        <v>136</v>
      </c>
      <c r="E348" t="s">
        <v>77</v>
      </c>
      <c r="F348" t="s">
        <v>77</v>
      </c>
      <c r="G348" t="s">
        <v>77</v>
      </c>
      <c r="H348" t="s">
        <v>77</v>
      </c>
      <c r="I348" t="s">
        <v>77</v>
      </c>
    </row>
    <row r="349" spans="4:9" x14ac:dyDescent="0.25">
      <c r="D349" t="s">
        <v>137</v>
      </c>
      <c r="E349">
        <v>1</v>
      </c>
      <c r="F349">
        <v>2</v>
      </c>
      <c r="G349">
        <v>3</v>
      </c>
      <c r="H349">
        <v>4</v>
      </c>
      <c r="I349">
        <v>5</v>
      </c>
    </row>
    <row r="350" spans="4:9" x14ac:dyDescent="0.25">
      <c r="D350" t="s">
        <v>138</v>
      </c>
      <c r="E350">
        <v>6</v>
      </c>
      <c r="F350">
        <v>6</v>
      </c>
      <c r="G350">
        <v>6</v>
      </c>
      <c r="H350">
        <v>6</v>
      </c>
      <c r="I350">
        <v>6</v>
      </c>
    </row>
    <row r="351" spans="4:9" x14ac:dyDescent="0.25">
      <c r="D351" t="s">
        <v>139</v>
      </c>
      <c r="E351">
        <v>122.4</v>
      </c>
      <c r="F351">
        <v>122.4</v>
      </c>
      <c r="G351">
        <v>122.4</v>
      </c>
      <c r="H351">
        <v>122.4</v>
      </c>
      <c r="I351">
        <v>122.4</v>
      </c>
    </row>
    <row r="352" spans="4:9" x14ac:dyDescent="0.25">
      <c r="D352" t="s">
        <v>140</v>
      </c>
      <c r="E352" t="s">
        <v>41</v>
      </c>
      <c r="F352" t="s">
        <v>41</v>
      </c>
      <c r="G352" t="s">
        <v>41</v>
      </c>
      <c r="H352" t="s">
        <v>41</v>
      </c>
      <c r="I352" t="s">
        <v>41</v>
      </c>
    </row>
    <row r="353" spans="2:5" x14ac:dyDescent="0.25">
      <c r="D353" t="s">
        <v>141</v>
      </c>
    </row>
    <row r="354" spans="2:5" x14ac:dyDescent="0.25">
      <c r="D354" t="s">
        <v>142</v>
      </c>
    </row>
    <row r="355" spans="2:5" x14ac:dyDescent="0.25">
      <c r="D355" t="s">
        <v>223</v>
      </c>
      <c r="E355" t="s">
        <v>224</v>
      </c>
    </row>
    <row r="356" spans="2:5" x14ac:dyDescent="0.25">
      <c r="D356" t="s">
        <v>285</v>
      </c>
    </row>
    <row r="361" spans="2:5" x14ac:dyDescent="0.25">
      <c r="B361" t="s">
        <v>150</v>
      </c>
    </row>
    <row r="362" spans="2:5" x14ac:dyDescent="0.25">
      <c r="B362" t="s">
        <v>165</v>
      </c>
    </row>
    <row r="363" spans="2:5" x14ac:dyDescent="0.25">
      <c r="B363" t="s">
        <v>166</v>
      </c>
    </row>
    <row r="364" spans="2:5" x14ac:dyDescent="0.25">
      <c r="B364" t="s">
        <v>153</v>
      </c>
    </row>
    <row r="365" spans="2:5" x14ac:dyDescent="0.25">
      <c r="B365" t="s">
        <v>154</v>
      </c>
    </row>
    <row r="367" spans="2:5" x14ac:dyDescent="0.25">
      <c r="C367" t="s">
        <v>112</v>
      </c>
    </row>
    <row r="369" spans="4:5" x14ac:dyDescent="0.25">
      <c r="D369" t="s">
        <v>105</v>
      </c>
      <c r="E369" t="s">
        <v>235</v>
      </c>
    </row>
    <row r="370" spans="4:5" x14ac:dyDescent="0.25">
      <c r="D370" t="s">
        <v>107</v>
      </c>
      <c r="E370" t="s">
        <v>236</v>
      </c>
    </row>
    <row r="371" spans="4:5" x14ac:dyDescent="0.25">
      <c r="D371" t="s">
        <v>237</v>
      </c>
      <c r="E371" t="s">
        <v>238</v>
      </c>
    </row>
    <row r="372" spans="4:5" x14ac:dyDescent="0.25">
      <c r="D372" t="s">
        <v>168</v>
      </c>
    </row>
    <row r="374" spans="4:5" x14ac:dyDescent="0.25">
      <c r="D374" t="s">
        <v>105</v>
      </c>
      <c r="E374" t="s">
        <v>235</v>
      </c>
    </row>
    <row r="375" spans="4:5" x14ac:dyDescent="0.25">
      <c r="D375" t="s">
        <v>107</v>
      </c>
      <c r="E375" t="s">
        <v>239</v>
      </c>
    </row>
    <row r="376" spans="4:5" x14ac:dyDescent="0.25">
      <c r="D376" t="s">
        <v>237</v>
      </c>
      <c r="E376" t="s">
        <v>238</v>
      </c>
    </row>
    <row r="377" spans="4:5" x14ac:dyDescent="0.25">
      <c r="D377" t="s">
        <v>169</v>
      </c>
    </row>
    <row r="379" spans="4:5" x14ac:dyDescent="0.25">
      <c r="D379" t="s">
        <v>105</v>
      </c>
      <c r="E379" t="s">
        <v>106</v>
      </c>
    </row>
    <row r="380" spans="4:5" x14ac:dyDescent="0.25">
      <c r="D380" t="s">
        <v>107</v>
      </c>
      <c r="E380" t="s">
        <v>240</v>
      </c>
    </row>
    <row r="381" spans="4:5" x14ac:dyDescent="0.25">
      <c r="D381" t="s">
        <v>232</v>
      </c>
      <c r="E381" t="s">
        <v>238</v>
      </c>
    </row>
    <row r="382" spans="4:5" x14ac:dyDescent="0.25">
      <c r="D382" t="s">
        <v>170</v>
      </c>
    </row>
    <row r="384" spans="4:5" x14ac:dyDescent="0.25">
      <c r="D384" t="s">
        <v>105</v>
      </c>
      <c r="E384" t="s">
        <v>106</v>
      </c>
    </row>
    <row r="385" spans="4:5" x14ac:dyDescent="0.25">
      <c r="D385" t="s">
        <v>107</v>
      </c>
      <c r="E385" t="s">
        <v>242</v>
      </c>
    </row>
    <row r="386" spans="4:5" x14ac:dyDescent="0.25">
      <c r="D386" t="s">
        <v>232</v>
      </c>
      <c r="E386" t="s">
        <v>238</v>
      </c>
    </row>
    <row r="387" spans="4:5" x14ac:dyDescent="0.25">
      <c r="D387" t="s">
        <v>286</v>
      </c>
    </row>
    <row r="389" spans="4:5" x14ac:dyDescent="0.25">
      <c r="D389" t="s">
        <v>105</v>
      </c>
      <c r="E389" t="s">
        <v>244</v>
      </c>
    </row>
    <row r="390" spans="4:5" x14ac:dyDescent="0.25">
      <c r="D390" t="s">
        <v>107</v>
      </c>
      <c r="E390" t="s">
        <v>231</v>
      </c>
    </row>
    <row r="391" spans="4:5" x14ac:dyDescent="0.25">
      <c r="D391" t="s">
        <v>232</v>
      </c>
      <c r="E391" t="s">
        <v>238</v>
      </c>
    </row>
    <row r="392" spans="4:5" x14ac:dyDescent="0.25">
      <c r="D392" t="s">
        <v>287</v>
      </c>
    </row>
    <row r="394" spans="4:5" x14ac:dyDescent="0.25">
      <c r="D394" t="s">
        <v>105</v>
      </c>
      <c r="E394" t="s">
        <v>106</v>
      </c>
    </row>
    <row r="395" spans="4:5" x14ac:dyDescent="0.25">
      <c r="D395" t="s">
        <v>107</v>
      </c>
      <c r="E395" t="s">
        <v>246</v>
      </c>
    </row>
    <row r="396" spans="4:5" x14ac:dyDescent="0.25">
      <c r="D396" t="s">
        <v>232</v>
      </c>
      <c r="E396" t="s">
        <v>238</v>
      </c>
    </row>
    <row r="397" spans="4:5" x14ac:dyDescent="0.25">
      <c r="D397" t="s">
        <v>288</v>
      </c>
    </row>
    <row r="399" spans="4:5" x14ac:dyDescent="0.25">
      <c r="D399" t="s">
        <v>105</v>
      </c>
      <c r="E399" t="s">
        <v>106</v>
      </c>
    </row>
    <row r="400" spans="4:5" x14ac:dyDescent="0.25">
      <c r="D400" t="s">
        <v>107</v>
      </c>
      <c r="E400" t="s">
        <v>248</v>
      </c>
    </row>
    <row r="401" spans="4:5" x14ac:dyDescent="0.25">
      <c r="D401" t="s">
        <v>232</v>
      </c>
      <c r="E401" t="s">
        <v>238</v>
      </c>
    </row>
    <row r="402" spans="4:5" x14ac:dyDescent="0.25">
      <c r="D402" t="s">
        <v>289</v>
      </c>
    </row>
    <row r="404" spans="4:5" x14ac:dyDescent="0.25">
      <c r="D404" t="s">
        <v>105</v>
      </c>
      <c r="E404" t="s">
        <v>106</v>
      </c>
    </row>
    <row r="405" spans="4:5" x14ac:dyDescent="0.25">
      <c r="D405" t="s">
        <v>107</v>
      </c>
      <c r="E405" t="s">
        <v>246</v>
      </c>
    </row>
    <row r="406" spans="4:5" x14ac:dyDescent="0.25">
      <c r="D406" t="s">
        <v>232</v>
      </c>
      <c r="E406" t="s">
        <v>238</v>
      </c>
    </row>
    <row r="407" spans="4:5" x14ac:dyDescent="0.25">
      <c r="D407" t="s">
        <v>290</v>
      </c>
    </row>
    <row r="409" spans="4:5" x14ac:dyDescent="0.25">
      <c r="D409" t="s">
        <v>105</v>
      </c>
      <c r="E409" t="s">
        <v>106</v>
      </c>
    </row>
    <row r="410" spans="4:5" x14ac:dyDescent="0.25">
      <c r="D410" t="s">
        <v>107</v>
      </c>
      <c r="E410" t="s">
        <v>248</v>
      </c>
    </row>
    <row r="411" spans="4:5" x14ac:dyDescent="0.25">
      <c r="D411" t="s">
        <v>232</v>
      </c>
      <c r="E411" t="s">
        <v>238</v>
      </c>
    </row>
    <row r="412" spans="4:5" x14ac:dyDescent="0.25">
      <c r="D412" t="s">
        <v>291</v>
      </c>
    </row>
    <row r="414" spans="4:5" x14ac:dyDescent="0.25">
      <c r="D414" t="s">
        <v>105</v>
      </c>
      <c r="E414" t="s">
        <v>252</v>
      </c>
    </row>
    <row r="415" spans="4:5" x14ac:dyDescent="0.25">
      <c r="D415" t="s">
        <v>107</v>
      </c>
      <c r="E415" t="s">
        <v>253</v>
      </c>
    </row>
    <row r="416" spans="4:5" x14ac:dyDescent="0.25">
      <c r="D416" t="s">
        <v>254</v>
      </c>
    </row>
    <row r="417" spans="4:5" x14ac:dyDescent="0.25">
      <c r="D417" t="s">
        <v>255</v>
      </c>
    </row>
    <row r="418" spans="4:5" x14ac:dyDescent="0.25">
      <c r="D418" t="s">
        <v>256</v>
      </c>
    </row>
    <row r="419" spans="4:5" x14ac:dyDescent="0.25">
      <c r="D419" t="s">
        <v>257</v>
      </c>
    </row>
    <row r="420" spans="4:5" x14ac:dyDescent="0.25">
      <c r="D420" t="s">
        <v>258</v>
      </c>
      <c r="E420" t="b">
        <v>0</v>
      </c>
    </row>
    <row r="421" spans="4:5" x14ac:dyDescent="0.25">
      <c r="D421" t="s">
        <v>259</v>
      </c>
      <c r="E421" t="s">
        <v>260</v>
      </c>
    </row>
    <row r="422" spans="4:5" x14ac:dyDescent="0.25">
      <c r="D422" t="s">
        <v>292</v>
      </c>
    </row>
    <row r="424" spans="4:5" x14ac:dyDescent="0.25">
      <c r="D424" t="s">
        <v>105</v>
      </c>
      <c r="E424" t="s">
        <v>252</v>
      </c>
    </row>
    <row r="425" spans="4:5" x14ac:dyDescent="0.25">
      <c r="D425" t="s">
        <v>107</v>
      </c>
      <c r="E425" t="s">
        <v>253</v>
      </c>
    </row>
    <row r="426" spans="4:5" x14ac:dyDescent="0.25">
      <c r="D426" t="s">
        <v>254</v>
      </c>
    </row>
    <row r="427" spans="4:5" x14ac:dyDescent="0.25">
      <c r="D427" t="s">
        <v>255</v>
      </c>
    </row>
    <row r="428" spans="4:5" x14ac:dyDescent="0.25">
      <c r="D428" t="s">
        <v>256</v>
      </c>
    </row>
    <row r="429" spans="4:5" x14ac:dyDescent="0.25">
      <c r="D429" t="s">
        <v>257</v>
      </c>
    </row>
    <row r="430" spans="4:5" x14ac:dyDescent="0.25">
      <c r="D430" t="s">
        <v>258</v>
      </c>
      <c r="E430" t="b">
        <v>1</v>
      </c>
    </row>
    <row r="431" spans="4:5" x14ac:dyDescent="0.25">
      <c r="D431" t="s">
        <v>259</v>
      </c>
      <c r="E431" t="s">
        <v>260</v>
      </c>
    </row>
    <row r="432" spans="4:5" x14ac:dyDescent="0.25">
      <c r="D432" t="s">
        <v>293</v>
      </c>
    </row>
    <row r="434" spans="3:5" x14ac:dyDescent="0.25">
      <c r="D434" t="s">
        <v>105</v>
      </c>
      <c r="E434" t="s">
        <v>106</v>
      </c>
    </row>
    <row r="435" spans="3:5" x14ac:dyDescent="0.25">
      <c r="D435" t="s">
        <v>107</v>
      </c>
      <c r="E435" t="s">
        <v>263</v>
      </c>
    </row>
    <row r="436" spans="3:5" x14ac:dyDescent="0.25">
      <c r="D436" t="s">
        <v>232</v>
      </c>
      <c r="E436" t="s">
        <v>44</v>
      </c>
    </row>
    <row r="437" spans="3:5" x14ac:dyDescent="0.25">
      <c r="D437" t="s">
        <v>233</v>
      </c>
      <c r="E437">
        <v>25</v>
      </c>
    </row>
    <row r="438" spans="3:5" x14ac:dyDescent="0.25">
      <c r="D438" t="s">
        <v>234</v>
      </c>
      <c r="E438">
        <v>0</v>
      </c>
    </row>
    <row r="439" spans="3:5" x14ac:dyDescent="0.25">
      <c r="D439" t="s">
        <v>294</v>
      </c>
    </row>
    <row r="440" spans="3:5" x14ac:dyDescent="0.25">
      <c r="C440" t="s">
        <v>167</v>
      </c>
    </row>
    <row r="443" spans="3:5" x14ac:dyDescent="0.25">
      <c r="D443" t="s">
        <v>105</v>
      </c>
      <c r="E443" t="s">
        <v>155</v>
      </c>
    </row>
    <row r="444" spans="3:5" x14ac:dyDescent="0.25">
      <c r="D444" t="s">
        <v>107</v>
      </c>
      <c r="E444" t="s">
        <v>156</v>
      </c>
    </row>
    <row r="445" spans="3:5" x14ac:dyDescent="0.25">
      <c r="D445" t="s">
        <v>265</v>
      </c>
      <c r="E445">
        <v>1799.8</v>
      </c>
    </row>
    <row r="446" spans="3:5" x14ac:dyDescent="0.25">
      <c r="D446" t="s">
        <v>295</v>
      </c>
    </row>
    <row r="448" spans="3:5" x14ac:dyDescent="0.25">
      <c r="D448" t="s">
        <v>105</v>
      </c>
      <c r="E448" t="s">
        <v>155</v>
      </c>
    </row>
    <row r="449" spans="4:5" x14ac:dyDescent="0.25">
      <c r="D449" t="s">
        <v>107</v>
      </c>
      <c r="E449" t="s">
        <v>158</v>
      </c>
    </row>
    <row r="450" spans="4:5" x14ac:dyDescent="0.25">
      <c r="D450" t="s">
        <v>296</v>
      </c>
    </row>
    <row r="452" spans="4:5" x14ac:dyDescent="0.25">
      <c r="D452" t="s">
        <v>105</v>
      </c>
      <c r="E452" t="s">
        <v>106</v>
      </c>
    </row>
    <row r="453" spans="4:5" x14ac:dyDescent="0.25">
      <c r="D453" t="s">
        <v>107</v>
      </c>
      <c r="E453" t="s">
        <v>268</v>
      </c>
    </row>
    <row r="454" spans="4:5" x14ac:dyDescent="0.25">
      <c r="D454" t="s">
        <v>232</v>
      </c>
      <c r="E454" t="s">
        <v>238</v>
      </c>
    </row>
    <row r="455" spans="4:5" x14ac:dyDescent="0.25">
      <c r="D455" t="s">
        <v>297</v>
      </c>
    </row>
    <row r="457" spans="4:5" x14ac:dyDescent="0.25">
      <c r="D457" t="s">
        <v>105</v>
      </c>
      <c r="E457" t="s">
        <v>106</v>
      </c>
    </row>
    <row r="458" spans="4:5" x14ac:dyDescent="0.25">
      <c r="D458" t="s">
        <v>107</v>
      </c>
      <c r="E458" t="s">
        <v>246</v>
      </c>
    </row>
    <row r="459" spans="4:5" x14ac:dyDescent="0.25">
      <c r="D459" t="s">
        <v>232</v>
      </c>
      <c r="E459" t="s">
        <v>238</v>
      </c>
    </row>
    <row r="460" spans="4:5" x14ac:dyDescent="0.25">
      <c r="D460" t="s">
        <v>298</v>
      </c>
    </row>
    <row r="462" spans="4:5" x14ac:dyDescent="0.25">
      <c r="D462" t="s">
        <v>105</v>
      </c>
      <c r="E462" t="s">
        <v>106</v>
      </c>
    </row>
    <row r="463" spans="4:5" x14ac:dyDescent="0.25">
      <c r="D463" t="s">
        <v>107</v>
      </c>
      <c r="E463" t="s">
        <v>248</v>
      </c>
    </row>
    <row r="464" spans="4:5" x14ac:dyDescent="0.25">
      <c r="D464" t="s">
        <v>232</v>
      </c>
      <c r="E464" t="s">
        <v>238</v>
      </c>
    </row>
    <row r="465" spans="4:5" x14ac:dyDescent="0.25">
      <c r="D465" t="s">
        <v>299</v>
      </c>
    </row>
    <row r="467" spans="4:5" x14ac:dyDescent="0.25">
      <c r="D467" t="s">
        <v>105</v>
      </c>
      <c r="E467" t="s">
        <v>106</v>
      </c>
    </row>
    <row r="468" spans="4:5" x14ac:dyDescent="0.25">
      <c r="D468" t="s">
        <v>107</v>
      </c>
      <c r="E468" t="s">
        <v>246</v>
      </c>
    </row>
    <row r="469" spans="4:5" x14ac:dyDescent="0.25">
      <c r="D469" t="s">
        <v>232</v>
      </c>
      <c r="E469" t="s">
        <v>238</v>
      </c>
    </row>
    <row r="470" spans="4:5" x14ac:dyDescent="0.25">
      <c r="D470" t="s">
        <v>300</v>
      </c>
    </row>
    <row r="472" spans="4:5" x14ac:dyDescent="0.25">
      <c r="D472" t="s">
        <v>105</v>
      </c>
      <c r="E472" t="s">
        <v>106</v>
      </c>
    </row>
    <row r="473" spans="4:5" x14ac:dyDescent="0.25">
      <c r="D473" t="s">
        <v>107</v>
      </c>
      <c r="E473" t="s">
        <v>248</v>
      </c>
    </row>
    <row r="474" spans="4:5" x14ac:dyDescent="0.25">
      <c r="D474" t="s">
        <v>232</v>
      </c>
      <c r="E474" t="s">
        <v>238</v>
      </c>
    </row>
    <row r="475" spans="4:5" x14ac:dyDescent="0.25">
      <c r="D475" t="s">
        <v>301</v>
      </c>
    </row>
    <row r="477" spans="4:5" x14ac:dyDescent="0.25">
      <c r="D477" t="s">
        <v>105</v>
      </c>
      <c r="E477" t="s">
        <v>235</v>
      </c>
    </row>
    <row r="478" spans="4:5" x14ac:dyDescent="0.25">
      <c r="D478" t="s">
        <v>107</v>
      </c>
      <c r="E478" t="s">
        <v>236</v>
      </c>
    </row>
    <row r="479" spans="4:5" x14ac:dyDescent="0.25">
      <c r="D479" t="s">
        <v>237</v>
      </c>
      <c r="E479" t="s">
        <v>238</v>
      </c>
    </row>
    <row r="480" spans="4:5" x14ac:dyDescent="0.25">
      <c r="D480" t="s">
        <v>302</v>
      </c>
    </row>
    <row r="482" spans="4:5" x14ac:dyDescent="0.25">
      <c r="D482" t="s">
        <v>105</v>
      </c>
      <c r="E482" t="s">
        <v>235</v>
      </c>
    </row>
    <row r="483" spans="4:5" x14ac:dyDescent="0.25">
      <c r="D483" t="s">
        <v>107</v>
      </c>
      <c r="E483" t="s">
        <v>239</v>
      </c>
    </row>
    <row r="484" spans="4:5" x14ac:dyDescent="0.25">
      <c r="D484" t="s">
        <v>237</v>
      </c>
      <c r="E484" t="s">
        <v>238</v>
      </c>
    </row>
    <row r="485" spans="4:5" x14ac:dyDescent="0.25">
      <c r="D485" t="s">
        <v>303</v>
      </c>
    </row>
    <row r="487" spans="4:5" x14ac:dyDescent="0.25">
      <c r="D487" t="s">
        <v>105</v>
      </c>
      <c r="E487" t="s">
        <v>106</v>
      </c>
    </row>
    <row r="488" spans="4:5" x14ac:dyDescent="0.25">
      <c r="D488" t="s">
        <v>107</v>
      </c>
      <c r="E488" t="s">
        <v>240</v>
      </c>
    </row>
    <row r="489" spans="4:5" x14ac:dyDescent="0.25">
      <c r="D489" t="s">
        <v>232</v>
      </c>
      <c r="E489" t="s">
        <v>238</v>
      </c>
    </row>
    <row r="490" spans="4:5" x14ac:dyDescent="0.25">
      <c r="D490" t="s">
        <v>304</v>
      </c>
    </row>
    <row r="492" spans="4:5" x14ac:dyDescent="0.25">
      <c r="D492" t="s">
        <v>105</v>
      </c>
      <c r="E492" t="s">
        <v>106</v>
      </c>
    </row>
    <row r="493" spans="4:5" x14ac:dyDescent="0.25">
      <c r="D493" t="s">
        <v>107</v>
      </c>
      <c r="E493" t="s">
        <v>242</v>
      </c>
    </row>
    <row r="494" spans="4:5" x14ac:dyDescent="0.25">
      <c r="D494" t="s">
        <v>232</v>
      </c>
      <c r="E494" t="s">
        <v>238</v>
      </c>
    </row>
    <row r="495" spans="4:5" x14ac:dyDescent="0.25">
      <c r="D495" t="s">
        <v>305</v>
      </c>
    </row>
    <row r="497" spans="4:5" x14ac:dyDescent="0.25">
      <c r="D497" t="s">
        <v>105</v>
      </c>
      <c r="E497" t="s">
        <v>252</v>
      </c>
    </row>
    <row r="498" spans="4:5" x14ac:dyDescent="0.25">
      <c r="D498" t="s">
        <v>107</v>
      </c>
      <c r="E498" t="s">
        <v>253</v>
      </c>
    </row>
    <row r="499" spans="4:5" x14ac:dyDescent="0.25">
      <c r="D499" t="s">
        <v>254</v>
      </c>
    </row>
    <row r="500" spans="4:5" x14ac:dyDescent="0.25">
      <c r="D500" t="s">
        <v>255</v>
      </c>
    </row>
    <row r="501" spans="4:5" x14ac:dyDescent="0.25">
      <c r="D501" t="s">
        <v>256</v>
      </c>
    </row>
    <row r="502" spans="4:5" x14ac:dyDescent="0.25">
      <c r="D502" t="s">
        <v>257</v>
      </c>
    </row>
    <row r="503" spans="4:5" x14ac:dyDescent="0.25">
      <c r="D503" t="s">
        <v>258</v>
      </c>
      <c r="E503" t="b">
        <v>0</v>
      </c>
    </row>
    <row r="504" spans="4:5" x14ac:dyDescent="0.25">
      <c r="D504" t="s">
        <v>259</v>
      </c>
      <c r="E504" t="s">
        <v>278</v>
      </c>
    </row>
    <row r="505" spans="4:5" x14ac:dyDescent="0.25">
      <c r="D505" t="s">
        <v>306</v>
      </c>
    </row>
    <row r="507" spans="4:5" x14ac:dyDescent="0.25">
      <c r="D507" t="s">
        <v>105</v>
      </c>
      <c r="E507" t="s">
        <v>252</v>
      </c>
    </row>
    <row r="508" spans="4:5" x14ac:dyDescent="0.25">
      <c r="D508" t="s">
        <v>107</v>
      </c>
      <c r="E508" t="s">
        <v>253</v>
      </c>
    </row>
    <row r="509" spans="4:5" x14ac:dyDescent="0.25">
      <c r="D509" t="s">
        <v>254</v>
      </c>
    </row>
    <row r="510" spans="4:5" x14ac:dyDescent="0.25">
      <c r="D510" t="s">
        <v>255</v>
      </c>
    </row>
    <row r="511" spans="4:5" x14ac:dyDescent="0.25">
      <c r="D511" t="s">
        <v>256</v>
      </c>
    </row>
    <row r="512" spans="4:5" x14ac:dyDescent="0.25">
      <c r="D512" t="s">
        <v>257</v>
      </c>
    </row>
    <row r="513" spans="4:5" x14ac:dyDescent="0.25">
      <c r="D513" t="s">
        <v>258</v>
      </c>
      <c r="E513" t="b">
        <v>1</v>
      </c>
    </row>
    <row r="514" spans="4:5" x14ac:dyDescent="0.25">
      <c r="D514" t="s">
        <v>259</v>
      </c>
      <c r="E514" t="s">
        <v>278</v>
      </c>
    </row>
    <row r="515" spans="4:5" x14ac:dyDescent="0.25">
      <c r="D515" t="s">
        <v>307</v>
      </c>
    </row>
    <row r="517" spans="4:5" x14ac:dyDescent="0.25">
      <c r="D517" t="s">
        <v>105</v>
      </c>
      <c r="E517" t="s">
        <v>106</v>
      </c>
    </row>
    <row r="518" spans="4:5" x14ac:dyDescent="0.25">
      <c r="D518" t="s">
        <v>107</v>
      </c>
      <c r="E518" t="s">
        <v>281</v>
      </c>
    </row>
    <row r="519" spans="4:5" x14ac:dyDescent="0.25">
      <c r="D519" t="s">
        <v>232</v>
      </c>
      <c r="E519" t="s">
        <v>238</v>
      </c>
    </row>
    <row r="520" spans="4:5" x14ac:dyDescent="0.25">
      <c r="D520" t="s">
        <v>308</v>
      </c>
    </row>
    <row r="522" spans="4:5" x14ac:dyDescent="0.25">
      <c r="D522" t="s">
        <v>105</v>
      </c>
      <c r="E522" t="s">
        <v>244</v>
      </c>
    </row>
    <row r="523" spans="4:5" x14ac:dyDescent="0.25">
      <c r="D523" t="s">
        <v>107</v>
      </c>
      <c r="E523" t="s">
        <v>281</v>
      </c>
    </row>
    <row r="524" spans="4:5" x14ac:dyDescent="0.25">
      <c r="D524" t="s">
        <v>232</v>
      </c>
      <c r="E524" t="s">
        <v>238</v>
      </c>
    </row>
    <row r="525" spans="4:5" x14ac:dyDescent="0.25">
      <c r="D525" t="s">
        <v>309</v>
      </c>
    </row>
    <row r="527" spans="4:5" x14ac:dyDescent="0.25">
      <c r="D527" t="s">
        <v>105</v>
      </c>
      <c r="E527" t="s">
        <v>106</v>
      </c>
    </row>
    <row r="528" spans="4:5" x14ac:dyDescent="0.25">
      <c r="D528" t="s">
        <v>107</v>
      </c>
      <c r="E528" t="s">
        <v>231</v>
      </c>
    </row>
    <row r="529" spans="2:5" x14ac:dyDescent="0.25">
      <c r="D529" t="s">
        <v>232</v>
      </c>
      <c r="E529" t="s">
        <v>74</v>
      </c>
    </row>
    <row r="530" spans="2:5" x14ac:dyDescent="0.25">
      <c r="D530" t="s">
        <v>233</v>
      </c>
      <c r="E530">
        <v>37</v>
      </c>
    </row>
    <row r="531" spans="2:5" x14ac:dyDescent="0.25">
      <c r="D531" t="s">
        <v>234</v>
      </c>
      <c r="E531">
        <v>0</v>
      </c>
    </row>
    <row r="536" spans="2:5" x14ac:dyDescent="0.25">
      <c r="B536" t="s">
        <v>108</v>
      </c>
    </row>
    <row r="537" spans="2:5" x14ac:dyDescent="0.25">
      <c r="B537" t="s">
        <v>171</v>
      </c>
    </row>
    <row r="538" spans="2:5" x14ac:dyDescent="0.25">
      <c r="B538" t="s">
        <v>172</v>
      </c>
    </row>
    <row r="539" spans="2:5" x14ac:dyDescent="0.25">
      <c r="B539" t="s">
        <v>111</v>
      </c>
    </row>
    <row r="545" spans="2:3" x14ac:dyDescent="0.25">
      <c r="B545" t="s">
        <v>173</v>
      </c>
    </row>
    <row r="546" spans="2:3" x14ac:dyDescent="0.25">
      <c r="B546" t="s">
        <v>174</v>
      </c>
    </row>
    <row r="547" spans="2:3" x14ac:dyDescent="0.25">
      <c r="B547" t="s">
        <v>175</v>
      </c>
    </row>
    <row r="548" spans="2:3" x14ac:dyDescent="0.25">
      <c r="B548" t="s">
        <v>176</v>
      </c>
    </row>
    <row r="549" spans="2:3" x14ac:dyDescent="0.25">
      <c r="B549" t="s">
        <v>177</v>
      </c>
    </row>
    <row r="551" spans="2:3" x14ac:dyDescent="0.25">
      <c r="C551" t="s">
        <v>178</v>
      </c>
    </row>
    <row r="554" spans="2:3" x14ac:dyDescent="0.25">
      <c r="C554" t="s">
        <v>112</v>
      </c>
    </row>
    <row r="559" spans="2:3" x14ac:dyDescent="0.25">
      <c r="B559" t="s">
        <v>108</v>
      </c>
    </row>
    <row r="560" spans="2:3" x14ac:dyDescent="0.25">
      <c r="B560" t="s">
        <v>179</v>
      </c>
    </row>
    <row r="561" spans="2:3" x14ac:dyDescent="0.25">
      <c r="B561" t="s">
        <v>180</v>
      </c>
    </row>
    <row r="562" spans="2:3" x14ac:dyDescent="0.25">
      <c r="B562" t="s">
        <v>111</v>
      </c>
    </row>
    <row r="564" spans="2:3" x14ac:dyDescent="0.25">
      <c r="C564" t="s">
        <v>112</v>
      </c>
    </row>
    <row r="569" spans="2:3" x14ac:dyDescent="0.25">
      <c r="B569" t="s">
        <v>181</v>
      </c>
    </row>
    <row r="570" spans="2:3" x14ac:dyDescent="0.25">
      <c r="B570" t="s">
        <v>182</v>
      </c>
    </row>
    <row r="571" spans="2:3" x14ac:dyDescent="0.25">
      <c r="B571" t="s">
        <v>183</v>
      </c>
    </row>
    <row r="572" spans="2:3" x14ac:dyDescent="0.25">
      <c r="B572" t="s">
        <v>184</v>
      </c>
    </row>
    <row r="573" spans="2:3" x14ac:dyDescent="0.25">
      <c r="B573" t="s">
        <v>185</v>
      </c>
    </row>
    <row r="575" spans="2:3" x14ac:dyDescent="0.25">
      <c r="C575" t="s">
        <v>112</v>
      </c>
    </row>
    <row r="580" spans="2:3" x14ac:dyDescent="0.25">
      <c r="B580" t="s">
        <v>126</v>
      </c>
    </row>
    <row r="581" spans="2:3" x14ac:dyDescent="0.25">
      <c r="B581" t="s">
        <v>187</v>
      </c>
    </row>
    <row r="582" spans="2:3" x14ac:dyDescent="0.25">
      <c r="B582" t="s">
        <v>188</v>
      </c>
    </row>
    <row r="583" spans="2:3" x14ac:dyDescent="0.25">
      <c r="B583" t="s">
        <v>189</v>
      </c>
    </row>
    <row r="584" spans="2:3" x14ac:dyDescent="0.25">
      <c r="B584" t="s">
        <v>190</v>
      </c>
    </row>
    <row r="585" spans="2:3" x14ac:dyDescent="0.25">
      <c r="B585" t="s">
        <v>191</v>
      </c>
    </row>
    <row r="586" spans="2:3" x14ac:dyDescent="0.25">
      <c r="B586" t="s">
        <v>192</v>
      </c>
    </row>
    <row r="587" spans="2:3" x14ac:dyDescent="0.25">
      <c r="B587" t="s">
        <v>193</v>
      </c>
    </row>
    <row r="589" spans="2:3" x14ac:dyDescent="0.25">
      <c r="C589" t="s">
        <v>112</v>
      </c>
    </row>
    <row r="591" spans="2:3" x14ac:dyDescent="0.25">
      <c r="C591" t="s">
        <v>112</v>
      </c>
    </row>
    <row r="593" spans="4:9" x14ac:dyDescent="0.25">
      <c r="D593" t="s">
        <v>105</v>
      </c>
      <c r="E593" t="s">
        <v>133</v>
      </c>
    </row>
    <row r="594" spans="4:9" x14ac:dyDescent="0.25">
      <c r="D594" t="s">
        <v>107</v>
      </c>
      <c r="E594" t="s">
        <v>218</v>
      </c>
    </row>
    <row r="595" spans="4:9" x14ac:dyDescent="0.25">
      <c r="D595" t="s">
        <v>138</v>
      </c>
      <c r="E595">
        <v>100</v>
      </c>
      <c r="F595">
        <v>100</v>
      </c>
      <c r="G595">
        <v>100</v>
      </c>
      <c r="H595">
        <v>100</v>
      </c>
      <c r="I595">
        <v>100</v>
      </c>
    </row>
    <row r="596" spans="4:9" x14ac:dyDescent="0.25">
      <c r="D596" t="s">
        <v>219</v>
      </c>
      <c r="E596" t="s">
        <v>220</v>
      </c>
      <c r="F596" t="s">
        <v>220</v>
      </c>
      <c r="G596" t="s">
        <v>220</v>
      </c>
      <c r="H596" t="s">
        <v>220</v>
      </c>
      <c r="I596" t="s">
        <v>221</v>
      </c>
    </row>
    <row r="597" spans="4:9" x14ac:dyDescent="0.25">
      <c r="D597" t="s">
        <v>194</v>
      </c>
    </row>
    <row r="599" spans="4:9" x14ac:dyDescent="0.25">
      <c r="D599" t="s">
        <v>105</v>
      </c>
      <c r="E599" t="s">
        <v>133</v>
      </c>
    </row>
    <row r="600" spans="4:9" x14ac:dyDescent="0.25">
      <c r="D600" t="s">
        <v>107</v>
      </c>
      <c r="E600" t="s">
        <v>222</v>
      </c>
    </row>
    <row r="601" spans="4:9" x14ac:dyDescent="0.25">
      <c r="D601" t="s">
        <v>138</v>
      </c>
      <c r="E601">
        <v>100</v>
      </c>
      <c r="F601">
        <v>100</v>
      </c>
      <c r="G601">
        <v>100</v>
      </c>
      <c r="H601">
        <v>100</v>
      </c>
      <c r="I601">
        <v>100</v>
      </c>
    </row>
    <row r="602" spans="4:9" x14ac:dyDescent="0.25">
      <c r="D602" t="s">
        <v>310</v>
      </c>
    </row>
    <row r="604" spans="4:9" x14ac:dyDescent="0.25">
      <c r="D604" t="s">
        <v>105</v>
      </c>
      <c r="E604" t="s">
        <v>133</v>
      </c>
    </row>
    <row r="605" spans="4:9" x14ac:dyDescent="0.25">
      <c r="D605" t="s">
        <v>107</v>
      </c>
      <c r="E605" t="s">
        <v>217</v>
      </c>
    </row>
    <row r="606" spans="4:9" x14ac:dyDescent="0.25">
      <c r="D606" t="s">
        <v>134</v>
      </c>
      <c r="E606" t="s">
        <v>74</v>
      </c>
      <c r="F606" t="s">
        <v>74</v>
      </c>
      <c r="G606" t="s">
        <v>74</v>
      </c>
      <c r="H606" t="s">
        <v>74</v>
      </c>
      <c r="I606" t="s">
        <v>74</v>
      </c>
    </row>
    <row r="607" spans="4:9" x14ac:dyDescent="0.25">
      <c r="D607" t="s">
        <v>135</v>
      </c>
      <c r="E607">
        <v>1</v>
      </c>
      <c r="F607">
        <v>2</v>
      </c>
      <c r="G607">
        <v>3</v>
      </c>
      <c r="H607">
        <v>4</v>
      </c>
      <c r="I607">
        <v>5</v>
      </c>
    </row>
    <row r="608" spans="4:9" x14ac:dyDescent="0.25">
      <c r="D608" t="s">
        <v>136</v>
      </c>
      <c r="E608" t="s">
        <v>78</v>
      </c>
      <c r="F608" t="s">
        <v>78</v>
      </c>
      <c r="G608" t="s">
        <v>78</v>
      </c>
      <c r="H608" t="s">
        <v>78</v>
      </c>
      <c r="I608" t="s">
        <v>78</v>
      </c>
    </row>
    <row r="609" spans="2:9" x14ac:dyDescent="0.25">
      <c r="D609" t="s">
        <v>137</v>
      </c>
      <c r="E609">
        <v>1</v>
      </c>
      <c r="F609">
        <v>2</v>
      </c>
      <c r="G609">
        <v>3</v>
      </c>
      <c r="H609">
        <v>4</v>
      </c>
      <c r="I609">
        <v>5</v>
      </c>
    </row>
    <row r="610" spans="2:9" x14ac:dyDescent="0.25">
      <c r="D610" t="s">
        <v>138</v>
      </c>
      <c r="E610">
        <v>100</v>
      </c>
      <c r="F610">
        <v>100</v>
      </c>
      <c r="G610">
        <v>100</v>
      </c>
      <c r="H610">
        <v>100</v>
      </c>
      <c r="I610">
        <v>100</v>
      </c>
    </row>
    <row r="611" spans="2:9" x14ac:dyDescent="0.25">
      <c r="D611" t="s">
        <v>139</v>
      </c>
      <c r="E611">
        <v>0</v>
      </c>
      <c r="F611">
        <v>0</v>
      </c>
      <c r="G611">
        <v>0</v>
      </c>
      <c r="H611">
        <v>0</v>
      </c>
      <c r="I611">
        <v>0</v>
      </c>
    </row>
    <row r="612" spans="2:9" x14ac:dyDescent="0.25">
      <c r="D612" t="s">
        <v>140</v>
      </c>
      <c r="E612" t="s">
        <v>42</v>
      </c>
      <c r="F612" t="s">
        <v>42</v>
      </c>
      <c r="G612" t="s">
        <v>42</v>
      </c>
      <c r="H612" t="s">
        <v>42</v>
      </c>
      <c r="I612" t="s">
        <v>42</v>
      </c>
    </row>
    <row r="613" spans="2:9" x14ac:dyDescent="0.25">
      <c r="D613" t="s">
        <v>141</v>
      </c>
    </row>
    <row r="614" spans="2:9" x14ac:dyDescent="0.25">
      <c r="D614" t="s">
        <v>142</v>
      </c>
    </row>
    <row r="615" spans="2:9" x14ac:dyDescent="0.25">
      <c r="D615" t="s">
        <v>223</v>
      </c>
      <c r="E615" t="s">
        <v>224</v>
      </c>
    </row>
    <row r="616" spans="2:9" x14ac:dyDescent="0.25">
      <c r="D616" t="s">
        <v>311</v>
      </c>
    </row>
    <row r="618" spans="2:9" x14ac:dyDescent="0.25">
      <c r="C618" t="s">
        <v>125</v>
      </c>
    </row>
    <row r="623" spans="2:9" x14ac:dyDescent="0.25">
      <c r="B623" t="s">
        <v>118</v>
      </c>
    </row>
    <row r="624" spans="2:9" x14ac:dyDescent="0.25">
      <c r="B624" t="s">
        <v>195</v>
      </c>
    </row>
    <row r="625" spans="2:9" x14ac:dyDescent="0.25">
      <c r="B625" t="s">
        <v>196</v>
      </c>
    </row>
    <row r="626" spans="2:9" x14ac:dyDescent="0.25">
      <c r="B626" t="s">
        <v>197</v>
      </c>
    </row>
    <row r="627" spans="2:9" x14ac:dyDescent="0.25">
      <c r="B627" t="s">
        <v>198</v>
      </c>
    </row>
    <row r="628" spans="2:9" x14ac:dyDescent="0.25">
      <c r="B628" t="s">
        <v>199</v>
      </c>
    </row>
    <row r="629" spans="2:9" x14ac:dyDescent="0.25">
      <c r="B629" t="s">
        <v>124</v>
      </c>
    </row>
    <row r="631" spans="2:9" x14ac:dyDescent="0.25">
      <c r="C631" t="s">
        <v>112</v>
      </c>
    </row>
    <row r="633" spans="2:9" x14ac:dyDescent="0.25">
      <c r="D633" t="s">
        <v>105</v>
      </c>
      <c r="E633" t="s">
        <v>133</v>
      </c>
    </row>
    <row r="634" spans="2:9" x14ac:dyDescent="0.25">
      <c r="D634" t="s">
        <v>107</v>
      </c>
      <c r="E634" t="s">
        <v>218</v>
      </c>
    </row>
    <row r="635" spans="2:9" x14ac:dyDescent="0.25">
      <c r="D635" t="s">
        <v>138</v>
      </c>
      <c r="E635">
        <v>5</v>
      </c>
      <c r="F635">
        <v>5</v>
      </c>
      <c r="G635">
        <v>5</v>
      </c>
      <c r="H635">
        <v>5</v>
      </c>
      <c r="I635">
        <v>5</v>
      </c>
    </row>
    <row r="636" spans="2:9" x14ac:dyDescent="0.25">
      <c r="D636" t="s">
        <v>219</v>
      </c>
      <c r="E636" t="s">
        <v>220</v>
      </c>
      <c r="F636" t="s">
        <v>220</v>
      </c>
      <c r="G636" t="s">
        <v>220</v>
      </c>
      <c r="H636" t="s">
        <v>220</v>
      </c>
      <c r="I636" t="s">
        <v>221</v>
      </c>
    </row>
    <row r="637" spans="2:9" x14ac:dyDescent="0.25">
      <c r="D637" t="s">
        <v>200</v>
      </c>
    </row>
    <row r="639" spans="2:9" x14ac:dyDescent="0.25">
      <c r="D639" t="s">
        <v>105</v>
      </c>
      <c r="E639" t="s">
        <v>133</v>
      </c>
    </row>
    <row r="640" spans="2:9" x14ac:dyDescent="0.25">
      <c r="D640" t="s">
        <v>107</v>
      </c>
      <c r="E640" t="s">
        <v>222</v>
      </c>
    </row>
    <row r="641" spans="4:9" x14ac:dyDescent="0.25">
      <c r="D641" t="s">
        <v>138</v>
      </c>
      <c r="E641">
        <v>5</v>
      </c>
      <c r="F641">
        <v>5</v>
      </c>
      <c r="G641">
        <v>5</v>
      </c>
      <c r="H641">
        <v>5</v>
      </c>
      <c r="I641">
        <v>5</v>
      </c>
    </row>
    <row r="642" spans="4:9" x14ac:dyDescent="0.25">
      <c r="D642" t="s">
        <v>312</v>
      </c>
    </row>
    <row r="644" spans="4:9" x14ac:dyDescent="0.25">
      <c r="D644" t="s">
        <v>105</v>
      </c>
      <c r="E644" t="s">
        <v>133</v>
      </c>
    </row>
    <row r="645" spans="4:9" x14ac:dyDescent="0.25">
      <c r="D645" t="s">
        <v>107</v>
      </c>
      <c r="E645" t="s">
        <v>217</v>
      </c>
    </row>
    <row r="646" spans="4:9" x14ac:dyDescent="0.25">
      <c r="D646" t="s">
        <v>134</v>
      </c>
      <c r="E646" t="s">
        <v>74</v>
      </c>
      <c r="F646" t="s">
        <v>74</v>
      </c>
      <c r="G646" t="s">
        <v>74</v>
      </c>
      <c r="H646" t="s">
        <v>74</v>
      </c>
      <c r="I646" t="s">
        <v>74</v>
      </c>
    </row>
    <row r="647" spans="4:9" x14ac:dyDescent="0.25">
      <c r="D647" t="s">
        <v>135</v>
      </c>
      <c r="E647">
        <v>1</v>
      </c>
      <c r="F647">
        <v>2</v>
      </c>
      <c r="G647">
        <v>3</v>
      </c>
      <c r="H647">
        <v>4</v>
      </c>
      <c r="I647">
        <v>5</v>
      </c>
    </row>
    <row r="648" spans="4:9" x14ac:dyDescent="0.25">
      <c r="D648" t="s">
        <v>136</v>
      </c>
      <c r="E648" t="s">
        <v>80</v>
      </c>
      <c r="F648" t="s">
        <v>80</v>
      </c>
      <c r="G648" t="s">
        <v>80</v>
      </c>
      <c r="H648" t="s">
        <v>80</v>
      </c>
      <c r="I648" t="s">
        <v>80</v>
      </c>
    </row>
    <row r="649" spans="4:9" x14ac:dyDescent="0.25">
      <c r="D649" t="s">
        <v>137</v>
      </c>
      <c r="E649">
        <v>1</v>
      </c>
      <c r="F649">
        <v>2</v>
      </c>
      <c r="G649">
        <v>3</v>
      </c>
      <c r="H649">
        <v>4</v>
      </c>
      <c r="I649">
        <v>5</v>
      </c>
    </row>
    <row r="650" spans="4:9" x14ac:dyDescent="0.25">
      <c r="D650" t="s">
        <v>138</v>
      </c>
      <c r="E650">
        <v>5</v>
      </c>
      <c r="F650">
        <v>5</v>
      </c>
      <c r="G650">
        <v>5</v>
      </c>
      <c r="H650">
        <v>5</v>
      </c>
      <c r="I650">
        <v>5</v>
      </c>
    </row>
    <row r="651" spans="4:9" x14ac:dyDescent="0.25">
      <c r="D651" t="s">
        <v>139</v>
      </c>
      <c r="E651">
        <v>100</v>
      </c>
      <c r="F651">
        <v>100</v>
      </c>
      <c r="G651">
        <v>100</v>
      </c>
      <c r="H651">
        <v>100</v>
      </c>
      <c r="I651">
        <v>100</v>
      </c>
    </row>
    <row r="652" spans="4:9" x14ac:dyDescent="0.25">
      <c r="D652" t="s">
        <v>140</v>
      </c>
      <c r="E652" t="s">
        <v>41</v>
      </c>
      <c r="F652" t="s">
        <v>41</v>
      </c>
      <c r="G652" t="s">
        <v>41</v>
      </c>
      <c r="H652" t="s">
        <v>41</v>
      </c>
      <c r="I652" t="s">
        <v>41</v>
      </c>
    </row>
    <row r="653" spans="4:9" x14ac:dyDescent="0.25">
      <c r="D653" t="s">
        <v>141</v>
      </c>
    </row>
    <row r="654" spans="4:9" x14ac:dyDescent="0.25">
      <c r="D654" t="s">
        <v>142</v>
      </c>
    </row>
    <row r="655" spans="4:9" x14ac:dyDescent="0.25">
      <c r="D655" t="s">
        <v>223</v>
      </c>
      <c r="E655" t="s">
        <v>224</v>
      </c>
    </row>
    <row r="656" spans="4:9" x14ac:dyDescent="0.25">
      <c r="D656" t="s">
        <v>313</v>
      </c>
    </row>
    <row r="661" spans="2:5" x14ac:dyDescent="0.25">
      <c r="B661" t="s">
        <v>150</v>
      </c>
    </row>
    <row r="662" spans="2:5" x14ac:dyDescent="0.25">
      <c r="B662" t="s">
        <v>201</v>
      </c>
    </row>
    <row r="663" spans="2:5" x14ac:dyDescent="0.25">
      <c r="B663" t="s">
        <v>202</v>
      </c>
    </row>
    <row r="664" spans="2:5" x14ac:dyDescent="0.25">
      <c r="B664" t="s">
        <v>203</v>
      </c>
    </row>
    <row r="665" spans="2:5" x14ac:dyDescent="0.25">
      <c r="B665" t="s">
        <v>154</v>
      </c>
    </row>
    <row r="667" spans="2:5" x14ac:dyDescent="0.25">
      <c r="C667" t="s">
        <v>112</v>
      </c>
    </row>
    <row r="669" spans="2:5" x14ac:dyDescent="0.25">
      <c r="D669" t="s">
        <v>105</v>
      </c>
      <c r="E669" t="s">
        <v>235</v>
      </c>
    </row>
    <row r="670" spans="2:5" x14ac:dyDescent="0.25">
      <c r="D670" t="s">
        <v>107</v>
      </c>
      <c r="E670" t="s">
        <v>236</v>
      </c>
    </row>
    <row r="671" spans="2:5" x14ac:dyDescent="0.25">
      <c r="D671" t="s">
        <v>237</v>
      </c>
      <c r="E671" t="s">
        <v>314</v>
      </c>
    </row>
    <row r="672" spans="2:5" x14ac:dyDescent="0.25">
      <c r="D672" t="s">
        <v>204</v>
      </c>
    </row>
    <row r="674" spans="4:5" x14ac:dyDescent="0.25">
      <c r="D674" t="s">
        <v>105</v>
      </c>
      <c r="E674" t="s">
        <v>235</v>
      </c>
    </row>
    <row r="675" spans="4:5" x14ac:dyDescent="0.25">
      <c r="D675" t="s">
        <v>107</v>
      </c>
      <c r="E675" t="s">
        <v>239</v>
      </c>
    </row>
    <row r="676" spans="4:5" x14ac:dyDescent="0.25">
      <c r="D676" t="s">
        <v>237</v>
      </c>
      <c r="E676" t="s">
        <v>314</v>
      </c>
    </row>
    <row r="677" spans="4:5" x14ac:dyDescent="0.25">
      <c r="D677" t="s">
        <v>205</v>
      </c>
    </row>
    <row r="679" spans="4:5" x14ac:dyDescent="0.25">
      <c r="D679" t="s">
        <v>105</v>
      </c>
      <c r="E679" t="s">
        <v>106</v>
      </c>
    </row>
    <row r="680" spans="4:5" x14ac:dyDescent="0.25">
      <c r="D680" t="s">
        <v>107</v>
      </c>
      <c r="E680" t="s">
        <v>240</v>
      </c>
    </row>
    <row r="681" spans="4:5" x14ac:dyDescent="0.25">
      <c r="D681" t="s">
        <v>232</v>
      </c>
      <c r="E681" t="s">
        <v>314</v>
      </c>
    </row>
    <row r="682" spans="4:5" x14ac:dyDescent="0.25">
      <c r="D682" t="s">
        <v>315</v>
      </c>
    </row>
    <row r="684" spans="4:5" x14ac:dyDescent="0.25">
      <c r="D684" t="s">
        <v>105</v>
      </c>
      <c r="E684" t="s">
        <v>106</v>
      </c>
    </row>
    <row r="685" spans="4:5" x14ac:dyDescent="0.25">
      <c r="D685" t="s">
        <v>107</v>
      </c>
      <c r="E685" t="s">
        <v>242</v>
      </c>
    </row>
    <row r="686" spans="4:5" x14ac:dyDescent="0.25">
      <c r="D686" t="s">
        <v>232</v>
      </c>
      <c r="E686" t="s">
        <v>314</v>
      </c>
    </row>
    <row r="687" spans="4:5" x14ac:dyDescent="0.25">
      <c r="D687" t="s">
        <v>316</v>
      </c>
    </row>
    <row r="689" spans="4:5" x14ac:dyDescent="0.25">
      <c r="D689" t="s">
        <v>105</v>
      </c>
      <c r="E689" t="s">
        <v>244</v>
      </c>
    </row>
    <row r="690" spans="4:5" x14ac:dyDescent="0.25">
      <c r="D690" t="s">
        <v>107</v>
      </c>
      <c r="E690" t="s">
        <v>231</v>
      </c>
    </row>
    <row r="691" spans="4:5" x14ac:dyDescent="0.25">
      <c r="D691" t="s">
        <v>232</v>
      </c>
      <c r="E691" t="s">
        <v>314</v>
      </c>
    </row>
    <row r="692" spans="4:5" x14ac:dyDescent="0.25">
      <c r="D692" t="s">
        <v>317</v>
      </c>
    </row>
    <row r="694" spans="4:5" x14ac:dyDescent="0.25">
      <c r="D694" t="s">
        <v>105</v>
      </c>
      <c r="E694" t="s">
        <v>106</v>
      </c>
    </row>
    <row r="695" spans="4:5" x14ac:dyDescent="0.25">
      <c r="D695" t="s">
        <v>107</v>
      </c>
      <c r="E695" t="s">
        <v>246</v>
      </c>
    </row>
    <row r="696" spans="4:5" x14ac:dyDescent="0.25">
      <c r="D696" t="s">
        <v>232</v>
      </c>
      <c r="E696" t="s">
        <v>314</v>
      </c>
    </row>
    <row r="697" spans="4:5" x14ac:dyDescent="0.25">
      <c r="D697" t="s">
        <v>318</v>
      </c>
    </row>
    <row r="699" spans="4:5" x14ac:dyDescent="0.25">
      <c r="D699" t="s">
        <v>105</v>
      </c>
      <c r="E699" t="s">
        <v>106</v>
      </c>
    </row>
    <row r="700" spans="4:5" x14ac:dyDescent="0.25">
      <c r="D700" t="s">
        <v>107</v>
      </c>
      <c r="E700" t="s">
        <v>248</v>
      </c>
    </row>
    <row r="701" spans="4:5" x14ac:dyDescent="0.25">
      <c r="D701" t="s">
        <v>232</v>
      </c>
      <c r="E701" t="s">
        <v>314</v>
      </c>
    </row>
    <row r="702" spans="4:5" x14ac:dyDescent="0.25">
      <c r="D702" t="s">
        <v>319</v>
      </c>
    </row>
    <row r="704" spans="4:5" x14ac:dyDescent="0.25">
      <c r="D704" t="s">
        <v>105</v>
      </c>
      <c r="E704" t="s">
        <v>106</v>
      </c>
    </row>
    <row r="705" spans="4:5" x14ac:dyDescent="0.25">
      <c r="D705" t="s">
        <v>107</v>
      </c>
      <c r="E705" t="s">
        <v>246</v>
      </c>
    </row>
    <row r="706" spans="4:5" x14ac:dyDescent="0.25">
      <c r="D706" t="s">
        <v>232</v>
      </c>
      <c r="E706" t="s">
        <v>314</v>
      </c>
    </row>
    <row r="707" spans="4:5" x14ac:dyDescent="0.25">
      <c r="D707" t="s">
        <v>320</v>
      </c>
    </row>
    <row r="709" spans="4:5" x14ac:dyDescent="0.25">
      <c r="D709" t="s">
        <v>105</v>
      </c>
      <c r="E709" t="s">
        <v>106</v>
      </c>
    </row>
    <row r="710" spans="4:5" x14ac:dyDescent="0.25">
      <c r="D710" t="s">
        <v>107</v>
      </c>
      <c r="E710" t="s">
        <v>248</v>
      </c>
    </row>
    <row r="711" spans="4:5" x14ac:dyDescent="0.25">
      <c r="D711" t="s">
        <v>232</v>
      </c>
      <c r="E711" t="s">
        <v>314</v>
      </c>
    </row>
    <row r="712" spans="4:5" x14ac:dyDescent="0.25">
      <c r="D712" t="s">
        <v>321</v>
      </c>
    </row>
    <row r="714" spans="4:5" x14ac:dyDescent="0.25">
      <c r="D714" t="s">
        <v>105</v>
      </c>
      <c r="E714" t="s">
        <v>252</v>
      </c>
    </row>
    <row r="715" spans="4:5" x14ac:dyDescent="0.25">
      <c r="D715" t="s">
        <v>107</v>
      </c>
      <c r="E715" t="s">
        <v>253</v>
      </c>
    </row>
    <row r="716" spans="4:5" x14ac:dyDescent="0.25">
      <c r="D716" t="s">
        <v>254</v>
      </c>
    </row>
    <row r="717" spans="4:5" x14ac:dyDescent="0.25">
      <c r="D717" t="s">
        <v>255</v>
      </c>
    </row>
    <row r="718" spans="4:5" x14ac:dyDescent="0.25">
      <c r="D718" t="s">
        <v>256</v>
      </c>
    </row>
    <row r="719" spans="4:5" x14ac:dyDescent="0.25">
      <c r="D719" t="s">
        <v>257</v>
      </c>
    </row>
    <row r="720" spans="4:5" x14ac:dyDescent="0.25">
      <c r="D720" t="s">
        <v>258</v>
      </c>
      <c r="E720" t="b">
        <v>0</v>
      </c>
    </row>
    <row r="721" spans="4:5" x14ac:dyDescent="0.25">
      <c r="D721" t="s">
        <v>259</v>
      </c>
      <c r="E721" t="s">
        <v>260</v>
      </c>
    </row>
    <row r="722" spans="4:5" x14ac:dyDescent="0.25">
      <c r="D722" t="s">
        <v>322</v>
      </c>
    </row>
    <row r="724" spans="4:5" x14ac:dyDescent="0.25">
      <c r="D724" t="s">
        <v>105</v>
      </c>
      <c r="E724" t="s">
        <v>252</v>
      </c>
    </row>
    <row r="725" spans="4:5" x14ac:dyDescent="0.25">
      <c r="D725" t="s">
        <v>107</v>
      </c>
      <c r="E725" t="s">
        <v>253</v>
      </c>
    </row>
    <row r="726" spans="4:5" x14ac:dyDescent="0.25">
      <c r="D726" t="s">
        <v>254</v>
      </c>
    </row>
    <row r="727" spans="4:5" x14ac:dyDescent="0.25">
      <c r="D727" t="s">
        <v>255</v>
      </c>
    </row>
    <row r="728" spans="4:5" x14ac:dyDescent="0.25">
      <c r="D728" t="s">
        <v>256</v>
      </c>
    </row>
    <row r="729" spans="4:5" x14ac:dyDescent="0.25">
      <c r="D729" t="s">
        <v>257</v>
      </c>
    </row>
    <row r="730" spans="4:5" x14ac:dyDescent="0.25">
      <c r="D730" t="s">
        <v>258</v>
      </c>
      <c r="E730" t="b">
        <v>1</v>
      </c>
    </row>
    <row r="731" spans="4:5" x14ac:dyDescent="0.25">
      <c r="D731" t="s">
        <v>259</v>
      </c>
      <c r="E731" t="s">
        <v>260</v>
      </c>
    </row>
    <row r="732" spans="4:5" x14ac:dyDescent="0.25">
      <c r="D732" t="s">
        <v>323</v>
      </c>
    </row>
    <row r="734" spans="4:5" x14ac:dyDescent="0.25">
      <c r="D734" t="s">
        <v>105</v>
      </c>
      <c r="E734" t="s">
        <v>106</v>
      </c>
    </row>
    <row r="735" spans="4:5" x14ac:dyDescent="0.25">
      <c r="D735" t="s">
        <v>107</v>
      </c>
      <c r="E735" t="s">
        <v>263</v>
      </c>
    </row>
    <row r="736" spans="4:5" x14ac:dyDescent="0.25">
      <c r="D736" t="s">
        <v>232</v>
      </c>
      <c r="E736" t="s">
        <v>74</v>
      </c>
    </row>
    <row r="737" spans="4:5" x14ac:dyDescent="0.25">
      <c r="D737" t="s">
        <v>233</v>
      </c>
      <c r="E737">
        <v>37</v>
      </c>
    </row>
    <row r="738" spans="4:5" x14ac:dyDescent="0.25">
      <c r="D738" t="s">
        <v>234</v>
      </c>
      <c r="E738">
        <v>0</v>
      </c>
    </row>
    <row r="739" spans="4:5" x14ac:dyDescent="0.25">
      <c r="D739" t="s">
        <v>324</v>
      </c>
    </row>
    <row r="741" spans="4:5" x14ac:dyDescent="0.25">
      <c r="D741" t="s">
        <v>105</v>
      </c>
      <c r="E741" t="s">
        <v>155</v>
      </c>
    </row>
    <row r="742" spans="4:5" x14ac:dyDescent="0.25">
      <c r="D742" t="s">
        <v>107</v>
      </c>
      <c r="E742" t="s">
        <v>156</v>
      </c>
    </row>
    <row r="743" spans="4:5" x14ac:dyDescent="0.25">
      <c r="D743" t="s">
        <v>265</v>
      </c>
      <c r="E743">
        <v>3600</v>
      </c>
    </row>
    <row r="744" spans="4:5" x14ac:dyDescent="0.25">
      <c r="D744" t="s">
        <v>325</v>
      </c>
    </row>
    <row r="746" spans="4:5" x14ac:dyDescent="0.25">
      <c r="D746" t="s">
        <v>105</v>
      </c>
      <c r="E746" t="s">
        <v>155</v>
      </c>
    </row>
    <row r="747" spans="4:5" x14ac:dyDescent="0.25">
      <c r="D747" t="s">
        <v>107</v>
      </c>
      <c r="E747" t="s">
        <v>158</v>
      </c>
    </row>
    <row r="748" spans="4:5" x14ac:dyDescent="0.25">
      <c r="D748" t="s">
        <v>326</v>
      </c>
    </row>
    <row r="750" spans="4:5" x14ac:dyDescent="0.25">
      <c r="D750" t="s">
        <v>105</v>
      </c>
      <c r="E750" t="s">
        <v>106</v>
      </c>
    </row>
    <row r="751" spans="4:5" x14ac:dyDescent="0.25">
      <c r="D751" t="s">
        <v>107</v>
      </c>
      <c r="E751" t="s">
        <v>268</v>
      </c>
    </row>
    <row r="752" spans="4:5" x14ac:dyDescent="0.25">
      <c r="D752" t="s">
        <v>232</v>
      </c>
      <c r="E752" t="s">
        <v>314</v>
      </c>
    </row>
    <row r="753" spans="4:5" x14ac:dyDescent="0.25">
      <c r="D753" t="s">
        <v>327</v>
      </c>
    </row>
    <row r="755" spans="4:5" x14ac:dyDescent="0.25">
      <c r="D755" t="s">
        <v>105</v>
      </c>
      <c r="E755" t="s">
        <v>106</v>
      </c>
    </row>
    <row r="756" spans="4:5" x14ac:dyDescent="0.25">
      <c r="D756" t="s">
        <v>107</v>
      </c>
      <c r="E756" t="s">
        <v>246</v>
      </c>
    </row>
    <row r="757" spans="4:5" x14ac:dyDescent="0.25">
      <c r="D757" t="s">
        <v>232</v>
      </c>
      <c r="E757" t="s">
        <v>314</v>
      </c>
    </row>
    <row r="758" spans="4:5" x14ac:dyDescent="0.25">
      <c r="D758" t="s">
        <v>328</v>
      </c>
    </row>
    <row r="760" spans="4:5" x14ac:dyDescent="0.25">
      <c r="D760" t="s">
        <v>105</v>
      </c>
      <c r="E760" t="s">
        <v>106</v>
      </c>
    </row>
    <row r="761" spans="4:5" x14ac:dyDescent="0.25">
      <c r="D761" t="s">
        <v>107</v>
      </c>
      <c r="E761" t="s">
        <v>248</v>
      </c>
    </row>
    <row r="762" spans="4:5" x14ac:dyDescent="0.25">
      <c r="D762" t="s">
        <v>232</v>
      </c>
      <c r="E762" t="s">
        <v>314</v>
      </c>
    </row>
    <row r="763" spans="4:5" x14ac:dyDescent="0.25">
      <c r="D763" t="s">
        <v>329</v>
      </c>
    </row>
    <row r="765" spans="4:5" x14ac:dyDescent="0.25">
      <c r="D765" t="s">
        <v>105</v>
      </c>
      <c r="E765" t="s">
        <v>106</v>
      </c>
    </row>
    <row r="766" spans="4:5" x14ac:dyDescent="0.25">
      <c r="D766" t="s">
        <v>107</v>
      </c>
      <c r="E766" t="s">
        <v>246</v>
      </c>
    </row>
    <row r="767" spans="4:5" x14ac:dyDescent="0.25">
      <c r="D767" t="s">
        <v>232</v>
      </c>
      <c r="E767" t="s">
        <v>314</v>
      </c>
    </row>
    <row r="768" spans="4:5" x14ac:dyDescent="0.25">
      <c r="D768" t="s">
        <v>330</v>
      </c>
    </row>
    <row r="770" spans="4:5" x14ac:dyDescent="0.25">
      <c r="D770" t="s">
        <v>105</v>
      </c>
      <c r="E770" t="s">
        <v>106</v>
      </c>
    </row>
    <row r="771" spans="4:5" x14ac:dyDescent="0.25">
      <c r="D771" t="s">
        <v>107</v>
      </c>
      <c r="E771" t="s">
        <v>248</v>
      </c>
    </row>
    <row r="772" spans="4:5" x14ac:dyDescent="0.25">
      <c r="D772" t="s">
        <v>232</v>
      </c>
      <c r="E772" t="s">
        <v>314</v>
      </c>
    </row>
    <row r="773" spans="4:5" x14ac:dyDescent="0.25">
      <c r="D773" t="s">
        <v>331</v>
      </c>
    </row>
    <row r="775" spans="4:5" x14ac:dyDescent="0.25">
      <c r="D775" t="s">
        <v>105</v>
      </c>
      <c r="E775" t="s">
        <v>235</v>
      </c>
    </row>
    <row r="776" spans="4:5" x14ac:dyDescent="0.25">
      <c r="D776" t="s">
        <v>107</v>
      </c>
      <c r="E776" t="s">
        <v>236</v>
      </c>
    </row>
    <row r="777" spans="4:5" x14ac:dyDescent="0.25">
      <c r="D777" t="s">
        <v>237</v>
      </c>
      <c r="E777" t="s">
        <v>314</v>
      </c>
    </row>
    <row r="778" spans="4:5" x14ac:dyDescent="0.25">
      <c r="D778" t="s">
        <v>332</v>
      </c>
    </row>
    <row r="780" spans="4:5" x14ac:dyDescent="0.25">
      <c r="D780" t="s">
        <v>105</v>
      </c>
      <c r="E780" t="s">
        <v>235</v>
      </c>
    </row>
    <row r="781" spans="4:5" x14ac:dyDescent="0.25">
      <c r="D781" t="s">
        <v>107</v>
      </c>
      <c r="E781" t="s">
        <v>239</v>
      </c>
    </row>
    <row r="782" spans="4:5" x14ac:dyDescent="0.25">
      <c r="D782" t="s">
        <v>237</v>
      </c>
      <c r="E782" t="s">
        <v>314</v>
      </c>
    </row>
    <row r="783" spans="4:5" x14ac:dyDescent="0.25">
      <c r="D783" t="s">
        <v>333</v>
      </c>
    </row>
    <row r="785" spans="4:5" x14ac:dyDescent="0.25">
      <c r="D785" t="s">
        <v>105</v>
      </c>
      <c r="E785" t="s">
        <v>106</v>
      </c>
    </row>
    <row r="786" spans="4:5" x14ac:dyDescent="0.25">
      <c r="D786" t="s">
        <v>107</v>
      </c>
      <c r="E786" t="s">
        <v>240</v>
      </c>
    </row>
    <row r="787" spans="4:5" x14ac:dyDescent="0.25">
      <c r="D787" t="s">
        <v>232</v>
      </c>
      <c r="E787" t="s">
        <v>314</v>
      </c>
    </row>
    <row r="788" spans="4:5" x14ac:dyDescent="0.25">
      <c r="D788" t="s">
        <v>334</v>
      </c>
    </row>
    <row r="790" spans="4:5" x14ac:dyDescent="0.25">
      <c r="D790" t="s">
        <v>105</v>
      </c>
      <c r="E790" t="s">
        <v>106</v>
      </c>
    </row>
    <row r="791" spans="4:5" x14ac:dyDescent="0.25">
      <c r="D791" t="s">
        <v>107</v>
      </c>
      <c r="E791" t="s">
        <v>242</v>
      </c>
    </row>
    <row r="792" spans="4:5" x14ac:dyDescent="0.25">
      <c r="D792" t="s">
        <v>232</v>
      </c>
      <c r="E792" t="s">
        <v>314</v>
      </c>
    </row>
    <row r="793" spans="4:5" x14ac:dyDescent="0.25">
      <c r="D793" t="s">
        <v>335</v>
      </c>
    </row>
    <row r="795" spans="4:5" x14ac:dyDescent="0.25">
      <c r="D795" t="s">
        <v>105</v>
      </c>
      <c r="E795" t="s">
        <v>252</v>
      </c>
    </row>
    <row r="796" spans="4:5" x14ac:dyDescent="0.25">
      <c r="D796" t="s">
        <v>107</v>
      </c>
      <c r="E796" t="s">
        <v>253</v>
      </c>
    </row>
    <row r="797" spans="4:5" x14ac:dyDescent="0.25">
      <c r="D797" t="s">
        <v>254</v>
      </c>
    </row>
    <row r="798" spans="4:5" x14ac:dyDescent="0.25">
      <c r="D798" t="s">
        <v>255</v>
      </c>
    </row>
    <row r="799" spans="4:5" x14ac:dyDescent="0.25">
      <c r="D799" t="s">
        <v>256</v>
      </c>
    </row>
    <row r="800" spans="4:5" x14ac:dyDescent="0.25">
      <c r="D800" t="s">
        <v>257</v>
      </c>
    </row>
    <row r="801" spans="4:5" x14ac:dyDescent="0.25">
      <c r="D801" t="s">
        <v>258</v>
      </c>
      <c r="E801" t="b">
        <v>0</v>
      </c>
    </row>
    <row r="802" spans="4:5" x14ac:dyDescent="0.25">
      <c r="D802" t="s">
        <v>259</v>
      </c>
      <c r="E802" t="s">
        <v>278</v>
      </c>
    </row>
    <row r="803" spans="4:5" x14ac:dyDescent="0.25">
      <c r="D803" t="s">
        <v>336</v>
      </c>
    </row>
    <row r="805" spans="4:5" x14ac:dyDescent="0.25">
      <c r="D805" t="s">
        <v>105</v>
      </c>
      <c r="E805" t="s">
        <v>252</v>
      </c>
    </row>
    <row r="806" spans="4:5" x14ac:dyDescent="0.25">
      <c r="D806" t="s">
        <v>107</v>
      </c>
      <c r="E806" t="s">
        <v>253</v>
      </c>
    </row>
    <row r="807" spans="4:5" x14ac:dyDescent="0.25">
      <c r="D807" t="s">
        <v>254</v>
      </c>
    </row>
    <row r="808" spans="4:5" x14ac:dyDescent="0.25">
      <c r="D808" t="s">
        <v>255</v>
      </c>
    </row>
    <row r="809" spans="4:5" x14ac:dyDescent="0.25">
      <c r="D809" t="s">
        <v>256</v>
      </c>
    </row>
    <row r="810" spans="4:5" x14ac:dyDescent="0.25">
      <c r="D810" t="s">
        <v>257</v>
      </c>
    </row>
    <row r="811" spans="4:5" x14ac:dyDescent="0.25">
      <c r="D811" t="s">
        <v>258</v>
      </c>
      <c r="E811" t="b">
        <v>1</v>
      </c>
    </row>
    <row r="812" spans="4:5" x14ac:dyDescent="0.25">
      <c r="D812" t="s">
        <v>259</v>
      </c>
      <c r="E812" t="s">
        <v>278</v>
      </c>
    </row>
    <row r="813" spans="4:5" x14ac:dyDescent="0.25">
      <c r="D813" t="s">
        <v>337</v>
      </c>
    </row>
    <row r="815" spans="4:5" x14ac:dyDescent="0.25">
      <c r="D815" t="s">
        <v>105</v>
      </c>
      <c r="E815" t="s">
        <v>106</v>
      </c>
    </row>
    <row r="816" spans="4:5" x14ac:dyDescent="0.25">
      <c r="D816" t="s">
        <v>107</v>
      </c>
      <c r="E816" t="s">
        <v>281</v>
      </c>
    </row>
    <row r="817" spans="2:5" x14ac:dyDescent="0.25">
      <c r="D817" t="s">
        <v>232</v>
      </c>
      <c r="E817" t="s">
        <v>314</v>
      </c>
    </row>
    <row r="818" spans="2:5" x14ac:dyDescent="0.25">
      <c r="D818" t="s">
        <v>338</v>
      </c>
    </row>
    <row r="820" spans="2:5" x14ac:dyDescent="0.25">
      <c r="D820" t="s">
        <v>105</v>
      </c>
      <c r="E820" t="s">
        <v>244</v>
      </c>
    </row>
    <row r="821" spans="2:5" x14ac:dyDescent="0.25">
      <c r="D821" t="s">
        <v>107</v>
      </c>
      <c r="E821" t="s">
        <v>281</v>
      </c>
    </row>
    <row r="822" spans="2:5" x14ac:dyDescent="0.25">
      <c r="D822" t="s">
        <v>232</v>
      </c>
      <c r="E822" t="s">
        <v>314</v>
      </c>
    </row>
    <row r="823" spans="2:5" x14ac:dyDescent="0.25">
      <c r="D823" t="s">
        <v>339</v>
      </c>
    </row>
    <row r="828" spans="2:5" x14ac:dyDescent="0.25">
      <c r="B828" t="s">
        <v>118</v>
      </c>
    </row>
    <row r="829" spans="2:5" x14ac:dyDescent="0.25">
      <c r="B829" t="s">
        <v>206</v>
      </c>
    </row>
    <row r="830" spans="2:5" x14ac:dyDescent="0.25">
      <c r="B830" t="s">
        <v>207</v>
      </c>
    </row>
    <row r="831" spans="2:5" x14ac:dyDescent="0.25">
      <c r="B831" t="s">
        <v>208</v>
      </c>
    </row>
    <row r="832" spans="2:5" x14ac:dyDescent="0.25">
      <c r="B832" t="s">
        <v>122</v>
      </c>
    </row>
    <row r="833" spans="2:9" x14ac:dyDescent="0.25">
      <c r="B833" t="s">
        <v>209</v>
      </c>
    </row>
    <row r="834" spans="2:9" x14ac:dyDescent="0.25">
      <c r="B834" t="s">
        <v>124</v>
      </c>
    </row>
    <row r="836" spans="2:9" x14ac:dyDescent="0.25">
      <c r="C836" t="s">
        <v>112</v>
      </c>
    </row>
    <row r="838" spans="2:9" x14ac:dyDescent="0.25">
      <c r="D838" t="s">
        <v>105</v>
      </c>
      <c r="E838" t="s">
        <v>133</v>
      </c>
    </row>
    <row r="839" spans="2:9" x14ac:dyDescent="0.25">
      <c r="D839" t="s">
        <v>107</v>
      </c>
      <c r="E839" t="s">
        <v>218</v>
      </c>
    </row>
    <row r="840" spans="2:9" x14ac:dyDescent="0.25">
      <c r="D840" t="s">
        <v>138</v>
      </c>
      <c r="E840">
        <v>2</v>
      </c>
      <c r="F840">
        <v>2</v>
      </c>
      <c r="G840">
        <v>2</v>
      </c>
      <c r="H840">
        <v>2</v>
      </c>
      <c r="I840">
        <v>2</v>
      </c>
    </row>
    <row r="841" spans="2:9" x14ac:dyDescent="0.25">
      <c r="D841" t="s">
        <v>219</v>
      </c>
      <c r="E841" t="s">
        <v>220</v>
      </c>
      <c r="F841" t="s">
        <v>220</v>
      </c>
      <c r="G841" t="s">
        <v>220</v>
      </c>
      <c r="H841" t="s">
        <v>220</v>
      </c>
      <c r="I841" t="s">
        <v>221</v>
      </c>
    </row>
    <row r="842" spans="2:9" x14ac:dyDescent="0.25">
      <c r="D842" t="s">
        <v>210</v>
      </c>
    </row>
    <row r="844" spans="2:9" x14ac:dyDescent="0.25">
      <c r="D844" t="s">
        <v>105</v>
      </c>
      <c r="E844" t="s">
        <v>133</v>
      </c>
    </row>
    <row r="845" spans="2:9" x14ac:dyDescent="0.25">
      <c r="D845" t="s">
        <v>107</v>
      </c>
      <c r="E845" t="s">
        <v>222</v>
      </c>
    </row>
    <row r="846" spans="2:9" x14ac:dyDescent="0.25">
      <c r="D846" t="s">
        <v>138</v>
      </c>
      <c r="E846">
        <v>2</v>
      </c>
      <c r="F846">
        <v>2</v>
      </c>
      <c r="G846">
        <v>2</v>
      </c>
      <c r="H846">
        <v>2</v>
      </c>
      <c r="I846">
        <v>2</v>
      </c>
    </row>
    <row r="847" spans="2:9" x14ac:dyDescent="0.25">
      <c r="D847" t="s">
        <v>340</v>
      </c>
    </row>
    <row r="849" spans="4:9" x14ac:dyDescent="0.25">
      <c r="D849" t="s">
        <v>105</v>
      </c>
      <c r="E849" t="s">
        <v>133</v>
      </c>
    </row>
    <row r="850" spans="4:9" x14ac:dyDescent="0.25">
      <c r="D850" t="s">
        <v>107</v>
      </c>
      <c r="E850" t="s">
        <v>217</v>
      </c>
    </row>
    <row r="851" spans="4:9" x14ac:dyDescent="0.25">
      <c r="D851" t="s">
        <v>134</v>
      </c>
      <c r="E851" t="s">
        <v>74</v>
      </c>
      <c r="F851" t="s">
        <v>74</v>
      </c>
      <c r="G851" t="s">
        <v>74</v>
      </c>
      <c r="H851" t="s">
        <v>74</v>
      </c>
      <c r="I851" t="s">
        <v>74</v>
      </c>
    </row>
    <row r="852" spans="4:9" x14ac:dyDescent="0.25">
      <c r="D852" t="s">
        <v>135</v>
      </c>
      <c r="E852">
        <v>1</v>
      </c>
      <c r="F852">
        <v>2</v>
      </c>
      <c r="G852">
        <v>3</v>
      </c>
      <c r="H852">
        <v>4</v>
      </c>
      <c r="I852">
        <v>5</v>
      </c>
    </row>
    <row r="853" spans="4:9" x14ac:dyDescent="0.25">
      <c r="D853" t="s">
        <v>136</v>
      </c>
      <c r="E853" t="s">
        <v>73</v>
      </c>
      <c r="F853" t="s">
        <v>73</v>
      </c>
      <c r="G853" t="s">
        <v>73</v>
      </c>
      <c r="H853" t="s">
        <v>73</v>
      </c>
      <c r="I853" t="s">
        <v>73</v>
      </c>
    </row>
    <row r="854" spans="4:9" x14ac:dyDescent="0.25">
      <c r="D854" t="s">
        <v>137</v>
      </c>
      <c r="E854">
        <v>1</v>
      </c>
      <c r="F854">
        <v>2</v>
      </c>
      <c r="G854">
        <v>3</v>
      </c>
      <c r="H854">
        <v>4</v>
      </c>
      <c r="I854">
        <v>5</v>
      </c>
    </row>
    <row r="855" spans="4:9" x14ac:dyDescent="0.25">
      <c r="D855" t="s">
        <v>138</v>
      </c>
      <c r="E855">
        <v>2</v>
      </c>
      <c r="F855">
        <v>2</v>
      </c>
      <c r="G855">
        <v>2</v>
      </c>
      <c r="H855">
        <v>2</v>
      </c>
      <c r="I855">
        <v>2</v>
      </c>
    </row>
    <row r="856" spans="4:9" x14ac:dyDescent="0.25">
      <c r="D856" t="s">
        <v>139</v>
      </c>
      <c r="E856">
        <v>105</v>
      </c>
      <c r="F856">
        <v>105</v>
      </c>
      <c r="G856">
        <v>105</v>
      </c>
      <c r="H856">
        <v>105</v>
      </c>
      <c r="I856">
        <v>105</v>
      </c>
    </row>
    <row r="857" spans="4:9" x14ac:dyDescent="0.25">
      <c r="D857" t="s">
        <v>140</v>
      </c>
      <c r="E857" t="s">
        <v>41</v>
      </c>
      <c r="F857" t="s">
        <v>41</v>
      </c>
      <c r="G857" t="s">
        <v>41</v>
      </c>
      <c r="H857" t="s">
        <v>41</v>
      </c>
      <c r="I857" t="s">
        <v>41</v>
      </c>
    </row>
    <row r="858" spans="4:9" x14ac:dyDescent="0.25">
      <c r="D858" t="s">
        <v>141</v>
      </c>
    </row>
    <row r="859" spans="4:9" x14ac:dyDescent="0.25">
      <c r="D859" t="s">
        <v>142</v>
      </c>
    </row>
    <row r="860" spans="4:9" x14ac:dyDescent="0.25">
      <c r="D860" t="s">
        <v>223</v>
      </c>
      <c r="E860" t="s">
        <v>224</v>
      </c>
    </row>
    <row r="861" spans="4:9" x14ac:dyDescent="0.25">
      <c r="D861" t="s">
        <v>341</v>
      </c>
    </row>
    <row r="866" spans="2:3" x14ac:dyDescent="0.25">
      <c r="B866" t="s">
        <v>181</v>
      </c>
    </row>
    <row r="867" spans="2:3" x14ac:dyDescent="0.25">
      <c r="B867" t="s">
        <v>211</v>
      </c>
    </row>
    <row r="868" spans="2:3" x14ac:dyDescent="0.25">
      <c r="B868" t="s">
        <v>183</v>
      </c>
    </row>
    <row r="869" spans="2:3" x14ac:dyDescent="0.25">
      <c r="B869" t="s">
        <v>212</v>
      </c>
    </row>
    <row r="870" spans="2:3" x14ac:dyDescent="0.25">
      <c r="B870" t="s">
        <v>213</v>
      </c>
    </row>
    <row r="872" spans="2:3" x14ac:dyDescent="0.25">
      <c r="C872" t="s">
        <v>112</v>
      </c>
    </row>
    <row r="877" spans="2:3" x14ac:dyDescent="0.25">
      <c r="B877" t="s">
        <v>214</v>
      </c>
    </row>
    <row r="878" spans="2:3" x14ac:dyDescent="0.25">
      <c r="B878" t="s">
        <v>215</v>
      </c>
    </row>
    <row r="880" spans="2:3" x14ac:dyDescent="0.25">
      <c r="C880" t="s">
        <v>216</v>
      </c>
    </row>
    <row r="882" spans="4:15" x14ac:dyDescent="0.25">
      <c r="D882" t="s">
        <v>105</v>
      </c>
      <c r="E882" t="s">
        <v>186</v>
      </c>
    </row>
    <row r="883" spans="4:15" x14ac:dyDescent="0.25">
      <c r="D883" t="s">
        <v>107</v>
      </c>
      <c r="E883" t="s">
        <v>342</v>
      </c>
    </row>
    <row r="884" spans="4:15" x14ac:dyDescent="0.25">
      <c r="D884" t="s">
        <v>343</v>
      </c>
    </row>
    <row r="886" spans="4:15" x14ac:dyDescent="0.25">
      <c r="D886" t="s">
        <v>105</v>
      </c>
      <c r="E886" t="s">
        <v>186</v>
      </c>
    </row>
    <row r="887" spans="4:15" x14ac:dyDescent="0.25">
      <c r="D887" t="s">
        <v>107</v>
      </c>
      <c r="E887" t="s">
        <v>235</v>
      </c>
    </row>
    <row r="888" spans="4:15" x14ac:dyDescent="0.25">
      <c r="D888" t="s">
        <v>344</v>
      </c>
      <c r="E888" t="s">
        <v>75</v>
      </c>
      <c r="F888" t="s">
        <v>44</v>
      </c>
      <c r="G888" t="s">
        <v>74</v>
      </c>
      <c r="H888" t="s">
        <v>345</v>
      </c>
      <c r="I888" t="s">
        <v>78</v>
      </c>
      <c r="J888" t="s">
        <v>13</v>
      </c>
      <c r="K888" t="s">
        <v>67</v>
      </c>
      <c r="L888" t="s">
        <v>80</v>
      </c>
      <c r="M888" t="s">
        <v>73</v>
      </c>
      <c r="N888" t="s">
        <v>77</v>
      </c>
      <c r="O888" t="s">
        <v>76</v>
      </c>
    </row>
    <row r="889" spans="4:15" x14ac:dyDescent="0.25">
      <c r="D889" t="s">
        <v>346</v>
      </c>
      <c r="E889" t="s">
        <v>347</v>
      </c>
      <c r="F889" t="s">
        <v>348</v>
      </c>
      <c r="G889" t="s">
        <v>349</v>
      </c>
      <c r="H889" t="s">
        <v>350</v>
      </c>
      <c r="I889" t="s">
        <v>351</v>
      </c>
      <c r="J889" t="s">
        <v>352</v>
      </c>
      <c r="K889" t="s">
        <v>353</v>
      </c>
      <c r="L889" t="s">
        <v>354</v>
      </c>
      <c r="M889" t="s">
        <v>355</v>
      </c>
      <c r="N889" t="s">
        <v>356</v>
      </c>
      <c r="O889" t="s">
        <v>357</v>
      </c>
    </row>
    <row r="890" spans="4:15" x14ac:dyDescent="0.25">
      <c r="D890" t="s">
        <v>358</v>
      </c>
      <c r="E890" t="b">
        <v>0</v>
      </c>
      <c r="F890" t="s">
        <v>359</v>
      </c>
      <c r="G890" t="s">
        <v>360</v>
      </c>
      <c r="H890" t="b">
        <v>0</v>
      </c>
      <c r="I890" t="b">
        <v>0</v>
      </c>
      <c r="J890" t="b">
        <v>0</v>
      </c>
      <c r="K890" t="b">
        <v>0</v>
      </c>
      <c r="L890" t="b">
        <v>1</v>
      </c>
      <c r="M890" t="b">
        <v>1</v>
      </c>
      <c r="N890" t="b">
        <v>1</v>
      </c>
      <c r="O890" t="b">
        <v>1</v>
      </c>
    </row>
    <row r="891" spans="4:15" x14ac:dyDescent="0.25">
      <c r="D891" t="s">
        <v>361</v>
      </c>
      <c r="E891" t="s">
        <v>347</v>
      </c>
      <c r="F891" t="s">
        <v>362</v>
      </c>
      <c r="G891" t="s">
        <v>363</v>
      </c>
      <c r="H891" t="s">
        <v>364</v>
      </c>
      <c r="I891" t="s">
        <v>365</v>
      </c>
      <c r="J891" t="s">
        <v>366</v>
      </c>
      <c r="K891" t="s">
        <v>367</v>
      </c>
      <c r="L891" t="s">
        <v>354</v>
      </c>
      <c r="M891" t="s">
        <v>355</v>
      </c>
      <c r="N891" t="s">
        <v>356</v>
      </c>
      <c r="O891" t="s">
        <v>357</v>
      </c>
    </row>
    <row r="892" spans="4:15" x14ac:dyDescent="0.25">
      <c r="D892" t="s">
        <v>368</v>
      </c>
      <c r="E892">
        <v>1040</v>
      </c>
      <c r="F892">
        <v>138.4</v>
      </c>
      <c r="G892">
        <v>117</v>
      </c>
      <c r="H892">
        <v>51</v>
      </c>
      <c r="I892">
        <v>11500</v>
      </c>
      <c r="J892">
        <v>22</v>
      </c>
      <c r="K892">
        <v>150</v>
      </c>
      <c r="L892">
        <v>175</v>
      </c>
      <c r="M892">
        <v>160</v>
      </c>
      <c r="N892">
        <v>180</v>
      </c>
      <c r="O892">
        <v>162</v>
      </c>
    </row>
    <row r="893" spans="4:15" x14ac:dyDescent="0.25">
      <c r="D893" t="s">
        <v>369</v>
      </c>
      <c r="E893" t="s">
        <v>370</v>
      </c>
      <c r="F893" t="s">
        <v>33</v>
      </c>
      <c r="G893" t="s">
        <v>33</v>
      </c>
      <c r="H893" t="s">
        <v>33</v>
      </c>
      <c r="I893" t="s">
        <v>371</v>
      </c>
      <c r="J893" t="s">
        <v>33</v>
      </c>
      <c r="K893" t="s">
        <v>33</v>
      </c>
      <c r="L893" t="s">
        <v>372</v>
      </c>
      <c r="M893" t="s">
        <v>372</v>
      </c>
      <c r="N893" t="s">
        <v>372</v>
      </c>
      <c r="O893" t="s">
        <v>372</v>
      </c>
    </row>
    <row r="894" spans="4:15" x14ac:dyDescent="0.25">
      <c r="D894" t="s">
        <v>373</v>
      </c>
      <c r="E894" t="s">
        <v>374</v>
      </c>
      <c r="F894" t="s">
        <v>2</v>
      </c>
      <c r="G894" t="s">
        <v>2</v>
      </c>
      <c r="H894" t="s">
        <v>2</v>
      </c>
      <c r="I894" t="s">
        <v>374</v>
      </c>
      <c r="J894" t="s">
        <v>2</v>
      </c>
      <c r="K894" t="s">
        <v>2</v>
      </c>
      <c r="L894" t="s">
        <v>374</v>
      </c>
      <c r="M894" t="s">
        <v>374</v>
      </c>
      <c r="N894" t="s">
        <v>374</v>
      </c>
      <c r="O894" t="s">
        <v>374</v>
      </c>
    </row>
    <row r="895" spans="4:15" x14ac:dyDescent="0.25">
      <c r="D895" t="s">
        <v>375</v>
      </c>
      <c r="E895" t="s">
        <v>370</v>
      </c>
      <c r="F895" t="s">
        <v>376</v>
      </c>
      <c r="G895" t="s">
        <v>376</v>
      </c>
      <c r="H895" t="s">
        <v>377</v>
      </c>
      <c r="I895" t="s">
        <v>371</v>
      </c>
      <c r="J895" t="s">
        <v>376</v>
      </c>
      <c r="K895" t="s">
        <v>378</v>
      </c>
      <c r="L895" t="s">
        <v>379</v>
      </c>
      <c r="M895" t="s">
        <v>379</v>
      </c>
      <c r="N895" t="s">
        <v>379</v>
      </c>
      <c r="O895" t="s">
        <v>380</v>
      </c>
    </row>
    <row r="897" spans="4:39" x14ac:dyDescent="0.25">
      <c r="D897" t="s">
        <v>105</v>
      </c>
      <c r="E897" t="s">
        <v>186</v>
      </c>
    </row>
    <row r="898" spans="4:39" x14ac:dyDescent="0.25">
      <c r="D898" t="s">
        <v>107</v>
      </c>
      <c r="E898" t="s">
        <v>133</v>
      </c>
    </row>
    <row r="899" spans="4:39" x14ac:dyDescent="0.25">
      <c r="D899" t="s">
        <v>368</v>
      </c>
      <c r="E899">
        <v>108</v>
      </c>
      <c r="F899">
        <v>108</v>
      </c>
      <c r="G899">
        <v>108</v>
      </c>
      <c r="H899">
        <v>108</v>
      </c>
      <c r="I899">
        <v>108</v>
      </c>
      <c r="J899">
        <v>12</v>
      </c>
      <c r="K899">
        <v>12</v>
      </c>
      <c r="L899">
        <v>12</v>
      </c>
      <c r="M899">
        <v>12</v>
      </c>
      <c r="N899">
        <v>12</v>
      </c>
      <c r="O899">
        <v>2.4</v>
      </c>
      <c r="P899">
        <v>2.4</v>
      </c>
      <c r="Q899">
        <v>2.4</v>
      </c>
      <c r="R899">
        <v>2.4</v>
      </c>
      <c r="S899">
        <v>2.4</v>
      </c>
      <c r="T899">
        <v>6</v>
      </c>
      <c r="U899">
        <v>6</v>
      </c>
      <c r="V899">
        <v>6</v>
      </c>
      <c r="W899">
        <v>6</v>
      </c>
      <c r="X899">
        <v>6</v>
      </c>
      <c r="Y899">
        <v>100</v>
      </c>
      <c r="Z899">
        <v>100</v>
      </c>
      <c r="AA899">
        <v>100</v>
      </c>
      <c r="AB899">
        <v>100</v>
      </c>
      <c r="AC899">
        <v>100</v>
      </c>
      <c r="AD899">
        <v>5</v>
      </c>
      <c r="AE899">
        <v>5</v>
      </c>
      <c r="AF899">
        <v>5</v>
      </c>
      <c r="AG899">
        <v>5</v>
      </c>
      <c r="AH899">
        <v>5</v>
      </c>
      <c r="AI899">
        <v>2</v>
      </c>
      <c r="AJ899">
        <v>2</v>
      </c>
      <c r="AK899">
        <v>2</v>
      </c>
      <c r="AL899">
        <v>2</v>
      </c>
      <c r="AM899">
        <v>2</v>
      </c>
    </row>
    <row r="901" spans="4:39" x14ac:dyDescent="0.25">
      <c r="D901" t="s">
        <v>105</v>
      </c>
      <c r="E901" t="s">
        <v>186</v>
      </c>
    </row>
    <row r="902" spans="4:39" x14ac:dyDescent="0.25">
      <c r="D902" t="s">
        <v>107</v>
      </c>
      <c r="E902" t="s">
        <v>381</v>
      </c>
    </row>
    <row r="904" spans="4:39" x14ac:dyDescent="0.25">
      <c r="D904" t="s">
        <v>105</v>
      </c>
      <c r="E904" t="s">
        <v>186</v>
      </c>
    </row>
    <row r="905" spans="4:39" x14ac:dyDescent="0.25">
      <c r="D905" t="s">
        <v>107</v>
      </c>
      <c r="E905" t="s">
        <v>382</v>
      </c>
    </row>
    <row r="907" spans="4:39" x14ac:dyDescent="0.25">
      <c r="D907" t="s">
        <v>105</v>
      </c>
      <c r="E907" t="s">
        <v>186</v>
      </c>
    </row>
    <row r="908" spans="4:39" x14ac:dyDescent="0.25">
      <c r="D908" t="s">
        <v>107</v>
      </c>
      <c r="E908" t="s">
        <v>383</v>
      </c>
    </row>
    <row r="910" spans="4:39" x14ac:dyDescent="0.25">
      <c r="D910" t="s">
        <v>105</v>
      </c>
      <c r="E910" t="s">
        <v>186</v>
      </c>
    </row>
    <row r="911" spans="4:39" x14ac:dyDescent="0.25">
      <c r="D911" t="s">
        <v>107</v>
      </c>
      <c r="E911" t="s">
        <v>384</v>
      </c>
    </row>
    <row r="913" spans="4:5" x14ac:dyDescent="0.25">
      <c r="D913" t="s">
        <v>105</v>
      </c>
      <c r="E913" t="s">
        <v>186</v>
      </c>
    </row>
    <row r="914" spans="4:5" x14ac:dyDescent="0.25">
      <c r="D914" t="s">
        <v>107</v>
      </c>
      <c r="E914" t="s">
        <v>385</v>
      </c>
    </row>
    <row r="916" spans="4:5" x14ac:dyDescent="0.25">
      <c r="D916" t="s">
        <v>105</v>
      </c>
      <c r="E916" t="s">
        <v>186</v>
      </c>
    </row>
    <row r="917" spans="4:5" x14ac:dyDescent="0.25">
      <c r="D917" t="s">
        <v>107</v>
      </c>
      <c r="E917" t="s">
        <v>386</v>
      </c>
    </row>
    <row r="919" spans="4:5" x14ac:dyDescent="0.25">
      <c r="D919" t="s">
        <v>105</v>
      </c>
      <c r="E919" t="s">
        <v>186</v>
      </c>
    </row>
    <row r="920" spans="4:5" x14ac:dyDescent="0.25">
      <c r="D920" t="s">
        <v>107</v>
      </c>
      <c r="E920" t="s">
        <v>388</v>
      </c>
    </row>
    <row r="921" spans="4:5" x14ac:dyDescent="0.25">
      <c r="D921" t="s">
        <v>389</v>
      </c>
      <c r="E921" t="s">
        <v>126</v>
      </c>
    </row>
    <row r="922" spans="4:5" x14ac:dyDescent="0.25">
      <c r="D922" t="s">
        <v>390</v>
      </c>
      <c r="E922" t="s">
        <v>391</v>
      </c>
    </row>
    <row r="924" spans="4:5" x14ac:dyDescent="0.25">
      <c r="D924" t="s">
        <v>387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DEB0E-8200-45CF-9D91-65C2CB15EE87}">
  <dimension ref="B1:M10"/>
  <sheetViews>
    <sheetView workbookViewId="0"/>
  </sheetViews>
  <sheetFormatPr defaultRowHeight="15" x14ac:dyDescent="0.25"/>
  <sheetData>
    <row r="1" spans="2:13" ht="15.75" thickBot="1" x14ac:dyDescent="0.3"/>
    <row r="2" spans="2:13" ht="15.75" thickBot="1" x14ac:dyDescent="0.3">
      <c r="B2" s="121"/>
      <c r="C2" s="120"/>
      <c r="D2" s="120"/>
      <c r="E2" s="120"/>
      <c r="F2" s="120"/>
      <c r="G2" s="120"/>
      <c r="H2" s="120"/>
      <c r="I2" s="120"/>
      <c r="J2" s="120"/>
      <c r="K2" s="120"/>
      <c r="L2" s="120"/>
      <c r="M2" s="124"/>
    </row>
    <row r="3" spans="2:13" x14ac:dyDescent="0.25">
      <c r="B3" s="121"/>
      <c r="C3" s="120"/>
      <c r="D3" s="120"/>
      <c r="E3" s="120"/>
      <c r="F3" s="120"/>
      <c r="G3" s="120"/>
      <c r="H3" s="120"/>
      <c r="I3" s="120"/>
      <c r="J3" s="120"/>
      <c r="K3" s="120"/>
      <c r="L3" s="120"/>
      <c r="M3" s="124"/>
    </row>
    <row r="4" spans="2:13" x14ac:dyDescent="0.25">
      <c r="B4" s="122"/>
      <c r="C4" s="59"/>
      <c r="D4" s="59"/>
      <c r="E4" s="59"/>
      <c r="F4" s="59"/>
      <c r="G4" s="59"/>
      <c r="H4" s="59"/>
      <c r="I4" s="59"/>
      <c r="J4" s="59"/>
      <c r="K4" s="59"/>
      <c r="L4" s="59"/>
      <c r="M4" s="125"/>
    </row>
    <row r="5" spans="2:13" x14ac:dyDescent="0.25">
      <c r="B5" s="122"/>
      <c r="C5" s="59"/>
      <c r="D5" s="59"/>
      <c r="E5" s="59"/>
      <c r="F5" s="59"/>
      <c r="G5" s="59"/>
      <c r="H5" s="59"/>
      <c r="I5" s="59"/>
      <c r="J5" s="59"/>
      <c r="K5" s="59"/>
      <c r="L5" s="59"/>
      <c r="M5" s="125"/>
    </row>
    <row r="6" spans="2:13" x14ac:dyDescent="0.25">
      <c r="B6" s="122"/>
      <c r="C6" s="59"/>
      <c r="D6" s="59"/>
      <c r="E6" s="59"/>
      <c r="F6" s="59"/>
      <c r="G6" s="59"/>
      <c r="H6" s="59"/>
      <c r="I6" s="59"/>
      <c r="J6" s="59"/>
      <c r="K6" s="59"/>
      <c r="L6" s="59"/>
      <c r="M6" s="125"/>
    </row>
    <row r="7" spans="2:13" x14ac:dyDescent="0.25">
      <c r="B7" s="122"/>
      <c r="C7" s="59"/>
      <c r="D7" s="59"/>
      <c r="E7" s="59"/>
      <c r="F7" s="59"/>
      <c r="G7" s="59"/>
      <c r="H7" s="59"/>
      <c r="I7" s="59"/>
      <c r="J7" s="59"/>
      <c r="K7" s="59"/>
      <c r="L7" s="59"/>
      <c r="M7" s="125"/>
    </row>
    <row r="8" spans="2:13" x14ac:dyDescent="0.25">
      <c r="B8" s="122"/>
      <c r="C8" s="59"/>
      <c r="D8" s="59"/>
      <c r="E8" s="59"/>
      <c r="F8" s="59"/>
      <c r="G8" s="59"/>
      <c r="H8" s="59"/>
      <c r="I8" s="59"/>
      <c r="J8" s="59"/>
      <c r="K8" s="59"/>
      <c r="L8" s="59"/>
      <c r="M8" s="125"/>
    </row>
    <row r="9" spans="2:13" x14ac:dyDescent="0.25">
      <c r="B9" s="122"/>
      <c r="C9" s="59"/>
      <c r="D9" s="59"/>
      <c r="E9" s="59"/>
      <c r="F9" s="59"/>
      <c r="G9" s="59"/>
      <c r="H9" s="59"/>
      <c r="I9" s="59"/>
      <c r="J9" s="59"/>
      <c r="K9" s="59"/>
      <c r="L9" s="59"/>
      <c r="M9" s="125"/>
    </row>
    <row r="10" spans="2:13" ht="15.75" thickBot="1" x14ac:dyDescent="0.3">
      <c r="B10" s="123"/>
      <c r="C10" s="2"/>
      <c r="D10" s="2"/>
      <c r="E10" s="2"/>
      <c r="F10" s="2"/>
      <c r="G10" s="2"/>
      <c r="H10" s="2"/>
      <c r="I10" s="2"/>
      <c r="J10" s="2"/>
      <c r="K10" s="2"/>
      <c r="L10" s="2"/>
      <c r="M10" s="12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4c8e7f9b-eac5-4ae2-b2ae-e40caed85104"/>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RunLog</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2022-01-24T20:49:38Z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