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B187EA24-F74B-4663-9AD1-F9B249BD2599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TestLog" sheetId="10" r:id="rId5"/>
    <sheet name="PrepList" sheetId="7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A3" i="3" l="1"/>
  <c r="D3" i="3" s="1"/>
  <c r="A4" i="3"/>
  <c r="D4" i="3" s="1"/>
  <c r="A5" i="3"/>
  <c r="A6" i="3"/>
  <c r="D6" i="3" s="1"/>
  <c r="A7" i="3"/>
  <c r="D7" i="3" s="1"/>
  <c r="A8" i="3"/>
  <c r="A9" i="3"/>
  <c r="A10" i="3"/>
  <c r="A11" i="3"/>
  <c r="A12" i="3"/>
  <c r="D5" i="3"/>
  <c r="D8" i="3"/>
  <c r="D9" i="3"/>
  <c r="D10" i="3"/>
  <c r="D11" i="3"/>
  <c r="D12" i="3"/>
  <c r="E92" i="2"/>
  <c r="E91" i="2"/>
  <c r="E90" i="2"/>
  <c r="E76" i="2"/>
  <c r="A2" i="3" l="1"/>
  <c r="D2" i="3" l="1"/>
  <c r="B2" i="3"/>
</calcChain>
</file>

<file path=xl/sharedStrings.xml><?xml version="1.0" encoding="utf-8"?>
<sst xmlns="http://schemas.openxmlformats.org/spreadsheetml/2006/main" count="303" uniqueCount="122">
  <si>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</si>
  <si>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</si>
  <si>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</si>
  <si>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</si>
  <si>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</si>
  <si>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</si>
  <si>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</si>
  <si>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</si>
  <si>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</si>
  <si>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</si>
  <si>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</si>
  <si>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</si>
  <si>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</si>
  <si>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</si>
  <si>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</si>
  <si>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</si>
  <si>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</si>
  <si>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</si>
  <si>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</si>
  <si>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</si>
  <si>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</si>
  <si>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</si>
  <si>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</si>
  <si>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</si>
  <si>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</si>
  <si>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</si>
  <si>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</si>
  <si>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</si>
  <si>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</si>
  <si>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</si>
  <si>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</si>
  <si>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</si>
  <si>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</si>
  <si>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</si>
  <si>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</si>
  <si>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</si>
  <si>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</si>
  <si>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</si>
  <si>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</si>
  <si>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</si>
  <si>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</si>
  <si>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</si>
  <si>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</si>
  <si>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</si>
  <si>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</si>
  <si>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</si>
  <si>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</si>
  <si>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</si>
  <si>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</si>
  <si>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</si>
  <si>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</si>
  <si>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</si>
  <si>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</si>
  <si>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</si>
  <si>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</si>
  <si>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</si>
  <si>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</si>
  <si>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</si>
  <si>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</si>
  <si>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</si>
  <si>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</si>
  <si>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</si>
  <si>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</si>
  <si>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</si>
  <si>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</si>
  <si>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</si>
  <si>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</si>
  <si>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</si>
  <si>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</si>
  <si>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</si>
  <si>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</si>
  <si>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</si>
  <si>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</si>
  <si>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</si>
  <si>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</si>
  <si>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</si>
  <si>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</si>
  <si>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</si>
  <si>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</si>
  <si>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</si>
  <si>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</si>
  <si>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</si>
  <si>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</si>
  <si>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</si>
  <si>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</si>
  <si>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</si>
  <si>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</si>
  <si>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</si>
  <si>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</si>
  <si>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</si>
  <si>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</si>
  <si>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</si>
  <si>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</si>
  <si>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1M Tris pH 7.5</t>
  </si>
  <si>
    <t>100mM Tris pH 7.5</t>
  </si>
  <si>
    <t>Maybe?</t>
  </si>
  <si>
    <t>TFA</t>
  </si>
  <si>
    <t xml:space="preserve">Desalting Plate </t>
  </si>
  <si>
    <t>Water</t>
  </si>
  <si>
    <t xml:space="preserve">Dry Sample in Vacuum Concentrator </t>
  </si>
  <si>
    <t xml:space="preserve">Please load the diluted sample into Labconco vacuum concentrator at 40C for 10 minutes for a target final volume of 15uL and target final concentration of 1.5 mg/mL.  Measure concentrations (minimum concentration required is 1.25mg/mL). Record the concentrations into the worklist column. </t>
  </si>
  <si>
    <t>8M GnHCl</t>
  </si>
  <si>
    <t>500mM DTT</t>
  </si>
  <si>
    <t>500mM IAA</t>
  </si>
  <si>
    <t>Measure Concentrations</t>
  </si>
  <si>
    <t xml:space="preserve">measure concentrations on Nanodrop and input the values into the worklist. </t>
  </si>
  <si>
    <t>0.2 mg/mL Trypsin/LysC</t>
  </si>
  <si>
    <t>Completed</t>
  </si>
  <si>
    <t xml:space="preserve">Hamilton Run Finished Successfully </t>
  </si>
  <si>
    <t>Negative control, IP-BDG</t>
  </si>
  <si>
    <t>Negative control, IP-mouse IgG2a</t>
  </si>
  <si>
    <t>Negative control, IP-minidys</t>
  </si>
  <si>
    <t>Negative control, IP-mouse IgG1</t>
  </si>
  <si>
    <t>Negative control, IP-no antibody</t>
  </si>
  <si>
    <t>minidys, IP-BDG</t>
  </si>
  <si>
    <t>minidys, IP-mouse IgG2a</t>
  </si>
  <si>
    <t>minidys, IP-minidys</t>
  </si>
  <si>
    <t>minidys, IP-IgG1</t>
  </si>
  <si>
    <t>minidys, IP-no antibody</t>
  </si>
  <si>
    <t>Beads only</t>
  </si>
  <si>
    <t xml:space="preserve">Digestion Plate </t>
  </si>
  <si>
    <t>Denaturation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</si>
</sst>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fizer-my.sharepoint.com/DILAYV/20210824%20Anji%20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Dropdown values"/>
      <sheetName val="Building Blocks"/>
      <sheetName val="Method"/>
      <sheetName val="Worklist"/>
    </sheetNames>
    <sheetDataSet>
      <sheetData sheetId="0"/>
      <sheetData sheetId="1"/>
      <sheetData sheetId="2"/>
      <sheetData sheetId="3">
        <row r="1">
          <cell r="F1" t="str">
            <v>Desalting Concentration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7" t="s">
        <v>30</v>
      </c>
      <c r="C3" s="37"/>
      <c r="D3" s="37" t="s">
        <v>52</v>
      </c>
      <c r="F3" s="56" t="s">
        <v>25</v>
      </c>
      <c r="G3" s="56"/>
      <c r="H3" s="56"/>
      <c r="I3" s="56"/>
      <c r="J3" s="56"/>
      <c r="K3" s="56"/>
      <c r="L3" s="56"/>
    </row>
    <row r="4" spans="2:12" x14ac:dyDescent="0.25">
      <c r="B4" t="s">
        <v>33</v>
      </c>
      <c r="D4" s="40" t="s">
        <v>66</v>
      </c>
      <c r="F4" s="37" t="s">
        <v>0</v>
      </c>
      <c r="G4" s="37" t="s">
        <v>16</v>
      </c>
      <c r="H4" s="37" t="s">
        <v>5</v>
      </c>
      <c r="I4" s="37" t="s">
        <v>20</v>
      </c>
      <c r="J4" s="37" t="s">
        <v>45</v>
      </c>
      <c r="K4" s="37" t="s">
        <v>38</v>
      </c>
      <c r="L4" s="37" t="s">
        <v>54</v>
      </c>
    </row>
    <row r="5" spans="2:12" x14ac:dyDescent="0.25">
      <c r="B5" t="s">
        <v>55</v>
      </c>
      <c r="D5" s="40" t="s">
        <v>67</v>
      </c>
      <c r="F5" t="s">
        <v>0</v>
      </c>
      <c r="G5" t="s">
        <v>16</v>
      </c>
      <c r="H5" t="s">
        <v>5</v>
      </c>
      <c r="I5" t="s">
        <v>20</v>
      </c>
      <c r="J5" t="s">
        <v>45</v>
      </c>
      <c r="K5" t="s">
        <v>38</v>
      </c>
      <c r="L5" t="s">
        <v>54</v>
      </c>
    </row>
    <row r="6" spans="2:12" x14ac:dyDescent="0.25">
      <c r="B6" t="s">
        <v>31</v>
      </c>
      <c r="D6" s="40"/>
      <c r="F6" t="s">
        <v>26</v>
      </c>
      <c r="G6" t="s">
        <v>27</v>
      </c>
      <c r="H6" t="s">
        <v>28</v>
      </c>
      <c r="I6" t="s">
        <v>29</v>
      </c>
      <c r="J6" t="s">
        <v>46</v>
      </c>
      <c r="K6" t="s">
        <v>39</v>
      </c>
      <c r="L6" t="s">
        <v>56</v>
      </c>
    </row>
    <row r="7" spans="2:12" x14ac:dyDescent="0.25">
      <c r="B7" t="s">
        <v>57</v>
      </c>
      <c r="D7" s="40"/>
    </row>
    <row r="9" spans="2:12" x14ac:dyDescent="0.25">
      <c r="B9" s="37" t="s">
        <v>53</v>
      </c>
      <c r="D9" s="34" t="s">
        <v>49</v>
      </c>
    </row>
    <row r="10" spans="2:12" x14ac:dyDescent="0.25">
      <c r="B10" t="s">
        <v>60</v>
      </c>
      <c r="D10" s="24" t="s">
        <v>41</v>
      </c>
    </row>
    <row r="11" spans="2:12" x14ac:dyDescent="0.25">
      <c r="B11" t="s">
        <v>61</v>
      </c>
      <c r="D11" s="24" t="s">
        <v>42</v>
      </c>
    </row>
    <row r="12" spans="2:12" x14ac:dyDescent="0.25">
      <c r="B12" t="s">
        <v>62</v>
      </c>
    </row>
    <row r="13" spans="2:12" x14ac:dyDescent="0.25">
      <c r="B13" t="s">
        <v>63</v>
      </c>
      <c r="D13" s="37" t="s">
        <v>73</v>
      </c>
    </row>
    <row r="14" spans="2:12" x14ac:dyDescent="0.25">
      <c r="B14" t="s">
        <v>64</v>
      </c>
      <c r="D14" t="s">
        <v>74</v>
      </c>
    </row>
    <row r="15" spans="2:12" x14ac:dyDescent="0.25">
      <c r="B15" t="s">
        <v>65</v>
      </c>
      <c r="D15" t="s">
        <v>75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7" t="s">
        <v>85</v>
      </c>
    </row>
    <row r="19" spans="2:4" x14ac:dyDescent="0.25">
      <c r="B19" s="37" t="s">
        <v>51</v>
      </c>
      <c r="D19" t="s">
        <v>86</v>
      </c>
    </row>
    <row r="20" spans="2:4" x14ac:dyDescent="0.25">
      <c r="B20" t="s">
        <v>58</v>
      </c>
      <c r="D20" t="s">
        <v>84</v>
      </c>
    </row>
    <row r="21" spans="2:4" x14ac:dyDescent="0.25">
      <c r="B21" t="s">
        <v>59</v>
      </c>
      <c r="D21" t="s">
        <v>87</v>
      </c>
    </row>
    <row r="22" spans="2:4" x14ac:dyDescent="0.25">
      <c r="D22" t="s">
        <v>88</v>
      </c>
    </row>
    <row r="24" spans="2:4" x14ac:dyDescent="0.25">
      <c r="D24" s="37" t="s">
        <v>89</v>
      </c>
    </row>
    <row r="25" spans="2:4" x14ac:dyDescent="0.25">
      <c r="D25" t="s">
        <v>90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0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89" t="s">
        <v>77</v>
      </c>
      <c r="D2" s="90"/>
      <c r="E2" s="91"/>
      <c r="G2" s="95" t="s">
        <v>78</v>
      </c>
      <c r="H2" s="96"/>
      <c r="I2" s="97"/>
      <c r="K2" s="95" t="s">
        <v>79</v>
      </c>
      <c r="L2" s="96"/>
      <c r="M2" s="97"/>
    </row>
    <row r="3" spans="3:13" ht="15.75" thickBot="1" x14ac:dyDescent="0.3">
      <c r="C3" s="92"/>
      <c r="D3" s="93"/>
      <c r="E3" s="94"/>
      <c r="G3" s="98"/>
      <c r="H3" s="99"/>
      <c r="I3" s="100"/>
      <c r="K3" s="98"/>
      <c r="L3" s="99"/>
      <c r="M3" s="100"/>
    </row>
    <row r="4" spans="3:13" ht="15.75" thickBot="1" x14ac:dyDescent="0.3"/>
    <row r="5" spans="3:13" x14ac:dyDescent="0.25">
      <c r="C5" s="69" t="s">
        <v>2</v>
      </c>
      <c r="D5" s="70"/>
      <c r="E5" s="41" t="s">
        <v>15</v>
      </c>
      <c r="G5" s="108" t="s">
        <v>0</v>
      </c>
      <c r="H5" s="109"/>
      <c r="I5" s="29" t="s">
        <v>15</v>
      </c>
      <c r="K5" s="82" t="s">
        <v>71</v>
      </c>
      <c r="L5" s="83"/>
      <c r="M5" s="45" t="s">
        <v>15</v>
      </c>
    </row>
    <row r="6" spans="3:13" x14ac:dyDescent="0.25">
      <c r="C6" s="30" t="s">
        <v>1</v>
      </c>
      <c r="D6" s="33"/>
      <c r="E6" s="80"/>
      <c r="G6" s="3" t="s">
        <v>37</v>
      </c>
      <c r="H6" s="13"/>
      <c r="I6" s="60"/>
      <c r="K6" s="5" t="s">
        <v>37</v>
      </c>
      <c r="L6" s="20"/>
      <c r="M6" s="66"/>
    </row>
    <row r="7" spans="3:13" ht="15.75" thickBot="1" x14ac:dyDescent="0.3">
      <c r="C7" s="42" t="s">
        <v>24</v>
      </c>
      <c r="D7" s="32"/>
      <c r="E7" s="81"/>
      <c r="G7" s="3" t="s">
        <v>53</v>
      </c>
      <c r="H7" s="13"/>
      <c r="I7" s="61"/>
      <c r="K7" s="5" t="s">
        <v>80</v>
      </c>
      <c r="L7" s="20"/>
      <c r="M7" s="67"/>
    </row>
    <row r="8" spans="3:13" ht="15.75" thickBot="1" x14ac:dyDescent="0.3">
      <c r="G8" s="3" t="s">
        <v>51</v>
      </c>
      <c r="H8" s="13"/>
      <c r="I8" s="61"/>
      <c r="K8" s="6" t="s">
        <v>72</v>
      </c>
      <c r="L8" s="21" t="s">
        <v>74</v>
      </c>
      <c r="M8" s="68"/>
    </row>
    <row r="9" spans="3:13" ht="15.75" thickBot="1" x14ac:dyDescent="0.3">
      <c r="C9" s="103" t="s">
        <v>4</v>
      </c>
      <c r="D9" s="104"/>
      <c r="E9" s="25" t="s">
        <v>15</v>
      </c>
      <c r="G9" s="3" t="s">
        <v>11</v>
      </c>
      <c r="H9" s="13"/>
      <c r="I9" s="61"/>
    </row>
    <row r="10" spans="3:13" ht="15.75" thickBot="1" x14ac:dyDescent="0.3">
      <c r="C10" s="9" t="s">
        <v>23</v>
      </c>
      <c r="D10" s="18"/>
      <c r="E10" s="105"/>
      <c r="G10" s="4" t="s">
        <v>40</v>
      </c>
      <c r="H10" s="14" t="s">
        <v>41</v>
      </c>
      <c r="I10" s="62"/>
      <c r="K10" s="82" t="s">
        <v>76</v>
      </c>
      <c r="L10" s="83"/>
      <c r="M10" s="45" t="s">
        <v>15</v>
      </c>
    </row>
    <row r="11" spans="3:13" ht="15.75" thickBot="1" x14ac:dyDescent="0.3">
      <c r="C11" s="9" t="s">
        <v>34</v>
      </c>
      <c r="D11" s="18"/>
      <c r="E11" s="106"/>
      <c r="K11" s="5" t="s">
        <v>37</v>
      </c>
      <c r="L11" s="20"/>
      <c r="M11" s="66"/>
    </row>
    <row r="12" spans="3:13" ht="15.75" thickBot="1" x14ac:dyDescent="0.3">
      <c r="C12" s="10" t="s">
        <v>35</v>
      </c>
      <c r="D12" s="19"/>
      <c r="E12" s="107"/>
      <c r="G12" s="101" t="s">
        <v>16</v>
      </c>
      <c r="H12" s="102"/>
      <c r="I12" s="26" t="s">
        <v>15</v>
      </c>
      <c r="K12" s="5" t="s">
        <v>81</v>
      </c>
      <c r="L12" s="20"/>
      <c r="M12" s="67"/>
    </row>
    <row r="13" spans="3:13" ht="15.75" thickBot="1" x14ac:dyDescent="0.3">
      <c r="G13" s="7" t="s">
        <v>37</v>
      </c>
      <c r="H13" s="15"/>
      <c r="I13" s="63"/>
      <c r="K13" s="6" t="s">
        <v>72</v>
      </c>
      <c r="L13" s="21" t="s">
        <v>74</v>
      </c>
      <c r="M13" s="68"/>
    </row>
    <row r="14" spans="3:13" x14ac:dyDescent="0.25">
      <c r="C14" s="69" t="s">
        <v>50</v>
      </c>
      <c r="D14" s="70"/>
      <c r="E14" s="38" t="s">
        <v>15</v>
      </c>
      <c r="G14" s="7" t="s">
        <v>3</v>
      </c>
      <c r="H14" s="15"/>
      <c r="I14" s="64"/>
    </row>
    <row r="15" spans="3:13" x14ac:dyDescent="0.25">
      <c r="C15" s="71"/>
      <c r="D15" s="72"/>
      <c r="E15" s="80"/>
      <c r="G15" s="7" t="s">
        <v>6</v>
      </c>
      <c r="H15" s="15"/>
      <c r="I15" s="64"/>
    </row>
    <row r="16" spans="3:13" ht="15.75" thickBot="1" x14ac:dyDescent="0.3">
      <c r="C16" s="73"/>
      <c r="D16" s="74"/>
      <c r="E16" s="81"/>
      <c r="G16" s="7" t="s">
        <v>7</v>
      </c>
      <c r="H16" s="15"/>
      <c r="I16" s="64"/>
    </row>
    <row r="17" spans="7:9" ht="15.75" thickBot="1" x14ac:dyDescent="0.3">
      <c r="G17" s="8" t="s">
        <v>10</v>
      </c>
      <c r="H17" s="16"/>
      <c r="I17" s="65"/>
    </row>
    <row r="18" spans="7:9" ht="15.75" thickBot="1" x14ac:dyDescent="0.3"/>
    <row r="19" spans="7:9" x14ac:dyDescent="0.25">
      <c r="G19" s="75" t="s">
        <v>38</v>
      </c>
      <c r="H19" s="76"/>
      <c r="I19" s="28" t="s">
        <v>15</v>
      </c>
    </row>
    <row r="20" spans="7:9" x14ac:dyDescent="0.25">
      <c r="G20" s="11" t="s">
        <v>12</v>
      </c>
      <c r="H20" s="22"/>
      <c r="I20" s="77"/>
    </row>
    <row r="21" spans="7:9" x14ac:dyDescent="0.25">
      <c r="G21" s="11" t="s">
        <v>9</v>
      </c>
      <c r="H21" s="22"/>
      <c r="I21" s="78"/>
    </row>
    <row r="22" spans="7:9" ht="15.75" thickBot="1" x14ac:dyDescent="0.3">
      <c r="G22" s="12" t="s">
        <v>19</v>
      </c>
      <c r="H22" s="23"/>
      <c r="I22" s="79"/>
    </row>
    <row r="23" spans="7:9" ht="15.75" thickBot="1" x14ac:dyDescent="0.3"/>
    <row r="24" spans="7:9" x14ac:dyDescent="0.25">
      <c r="G24" s="82" t="s">
        <v>5</v>
      </c>
      <c r="H24" s="83"/>
      <c r="I24" s="27" t="s">
        <v>15</v>
      </c>
    </row>
    <row r="25" spans="7:9" x14ac:dyDescent="0.25">
      <c r="G25" s="5" t="s">
        <v>37</v>
      </c>
      <c r="H25" s="20"/>
      <c r="I25" s="66"/>
    </row>
    <row r="26" spans="7:9" x14ac:dyDescent="0.25">
      <c r="G26" s="5" t="s">
        <v>36</v>
      </c>
      <c r="H26" s="20"/>
      <c r="I26" s="67"/>
    </row>
    <row r="27" spans="7:9" ht="15.75" thickBot="1" x14ac:dyDescent="0.3">
      <c r="G27" s="6" t="s">
        <v>24</v>
      </c>
      <c r="H27" s="21"/>
      <c r="I27" s="68"/>
    </row>
    <row r="28" spans="7:9" ht="15.75" thickBot="1" x14ac:dyDescent="0.3">
      <c r="G28" s="37"/>
    </row>
    <row r="29" spans="7:9" x14ac:dyDescent="0.25">
      <c r="G29" s="84" t="s">
        <v>43</v>
      </c>
      <c r="H29" s="85"/>
      <c r="I29" s="47" t="s">
        <v>15</v>
      </c>
    </row>
    <row r="30" spans="7:9" x14ac:dyDescent="0.25">
      <c r="G30" s="35" t="s">
        <v>37</v>
      </c>
      <c r="H30" s="48"/>
      <c r="I30" s="86"/>
    </row>
    <row r="31" spans="7:9" x14ac:dyDescent="0.25">
      <c r="G31" s="35" t="s">
        <v>11</v>
      </c>
      <c r="H31" s="49"/>
      <c r="I31" s="87"/>
    </row>
    <row r="32" spans="7:9" x14ac:dyDescent="0.25">
      <c r="G32" s="35" t="s">
        <v>83</v>
      </c>
      <c r="H32" s="49"/>
      <c r="I32" s="87"/>
    </row>
    <row r="33" spans="7:9" x14ac:dyDescent="0.25">
      <c r="G33" s="35" t="s">
        <v>91</v>
      </c>
      <c r="H33" s="49"/>
      <c r="I33" s="87"/>
    </row>
    <row r="34" spans="7:9" x14ac:dyDescent="0.25">
      <c r="G34" s="35" t="s">
        <v>68</v>
      </c>
      <c r="H34" s="49" t="s">
        <v>84</v>
      </c>
      <c r="I34" s="87"/>
    </row>
    <row r="35" spans="7:9" ht="15.75" thickBot="1" x14ac:dyDescent="0.3">
      <c r="G35" s="36" t="s">
        <v>92</v>
      </c>
      <c r="H35" s="50"/>
      <c r="I35" s="88"/>
    </row>
    <row r="36" spans="7:9" ht="15.75" thickBot="1" x14ac:dyDescent="0.3"/>
    <row r="37" spans="7:9" x14ac:dyDescent="0.25">
      <c r="G37" s="69" t="s">
        <v>20</v>
      </c>
      <c r="H37" s="70"/>
      <c r="I37" s="39" t="s">
        <v>15</v>
      </c>
    </row>
    <row r="38" spans="7:9" x14ac:dyDescent="0.25">
      <c r="G38" s="30" t="s">
        <v>48</v>
      </c>
      <c r="H38" s="31"/>
      <c r="I38" s="57"/>
    </row>
    <row r="39" spans="7:9" x14ac:dyDescent="0.25">
      <c r="G39" s="30" t="s">
        <v>21</v>
      </c>
      <c r="H39" s="44"/>
      <c r="I39" s="58"/>
    </row>
    <row r="40" spans="7:9" ht="15.75" thickBot="1" x14ac:dyDescent="0.3">
      <c r="G40" s="1" t="s">
        <v>22</v>
      </c>
      <c r="H40" s="43"/>
      <c r="I40" s="59"/>
    </row>
  </sheetData>
  <mergeCells count="26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I38:I40"/>
    <mergeCell ref="I6:I10"/>
    <mergeCell ref="I13:I17"/>
    <mergeCell ref="I25:I2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G37:H37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H38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F2350576-AF99-416F-8078-E004F22D192A}">
          <x14:formula1>
            <xm:f>'___Dropdown values'!$D$25</xm:f>
          </x14:formula1>
          <xm:sqref>H32:H33</xm:sqref>
        </x14:dataValidation>
        <x14:dataValidation type="list" allowBlank="1" showInputMessage="1" showErrorMessage="1" xr:uid="{3FE4D40D-E396-4437-A6E0-AAE27F6362BE}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41"/>
  <sheetViews>
    <sheetView zoomScale="90" zoomScaleNormal="90" workbookViewId="0">
      <selection activeCell="E27" sqref="E27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69" t="s">
        <v>2</v>
      </c>
      <c r="E2" s="70"/>
      <c r="F2" s="41" t="s">
        <v>15</v>
      </c>
    </row>
    <row r="3" spans="4:15" ht="14.45" customHeight="1" x14ac:dyDescent="0.25">
      <c r="D3" s="30" t="s">
        <v>1</v>
      </c>
      <c r="E3" s="52" t="s">
        <v>13</v>
      </c>
      <c r="F3" s="119" t="s">
        <v>44</v>
      </c>
    </row>
    <row r="4" spans="4:15" ht="15.75" thickBot="1" x14ac:dyDescent="0.3">
      <c r="D4" s="1" t="s">
        <v>24</v>
      </c>
      <c r="E4" s="17" t="s">
        <v>33</v>
      </c>
      <c r="F4" s="120"/>
    </row>
    <row r="6" spans="4:15" s="2" customFormat="1" ht="15.75" thickBot="1" x14ac:dyDescent="0.3">
      <c r="D6" s="121" t="s">
        <v>8</v>
      </c>
      <c r="E6" s="121"/>
    </row>
    <row r="7" spans="4:15" x14ac:dyDescent="0.25">
      <c r="N7"/>
      <c r="O7"/>
    </row>
    <row r="8" spans="4:15" ht="15.75" thickBot="1" x14ac:dyDescent="0.3">
      <c r="N8"/>
      <c r="O8"/>
    </row>
    <row r="9" spans="4:15" x14ac:dyDescent="0.25">
      <c r="D9" s="108" t="s">
        <v>0</v>
      </c>
      <c r="E9" s="109"/>
      <c r="F9" s="29" t="s">
        <v>15</v>
      </c>
      <c r="N9"/>
      <c r="O9"/>
    </row>
    <row r="10" spans="4:15" x14ac:dyDescent="0.25">
      <c r="D10" s="3" t="s">
        <v>37</v>
      </c>
      <c r="E10" s="13" t="s">
        <v>93</v>
      </c>
      <c r="F10" s="113"/>
      <c r="N10"/>
      <c r="O10"/>
    </row>
    <row r="11" spans="4:15" x14ac:dyDescent="0.25">
      <c r="D11" s="3" t="s">
        <v>53</v>
      </c>
      <c r="E11" s="13" t="s">
        <v>64</v>
      </c>
      <c r="F11" s="114"/>
      <c r="N11"/>
      <c r="O11"/>
    </row>
    <row r="12" spans="4:15" x14ac:dyDescent="0.25">
      <c r="D12" s="3" t="s">
        <v>51</v>
      </c>
      <c r="E12" s="13" t="s">
        <v>58</v>
      </c>
      <c r="F12" s="114"/>
      <c r="N12"/>
      <c r="O12"/>
    </row>
    <row r="13" spans="4:15" x14ac:dyDescent="0.25">
      <c r="D13" s="3" t="s">
        <v>11</v>
      </c>
      <c r="E13" s="13">
        <v>10</v>
      </c>
      <c r="F13" s="114"/>
      <c r="N13"/>
      <c r="O13"/>
    </row>
    <row r="14" spans="4:15" ht="15.75" thickBot="1" x14ac:dyDescent="0.3">
      <c r="D14" s="4" t="s">
        <v>40</v>
      </c>
      <c r="E14" s="14" t="s">
        <v>41</v>
      </c>
      <c r="F14" s="115"/>
      <c r="N14"/>
      <c r="O14"/>
    </row>
    <row r="15" spans="4:15" ht="15.75" thickBot="1" x14ac:dyDescent="0.3">
      <c r="N15"/>
      <c r="O15"/>
    </row>
    <row r="16" spans="4:15" x14ac:dyDescent="0.25">
      <c r="D16" s="108" t="s">
        <v>0</v>
      </c>
      <c r="E16" s="109"/>
      <c r="F16" s="29" t="s">
        <v>15</v>
      </c>
      <c r="N16"/>
      <c r="O16"/>
    </row>
    <row r="17" spans="1:15" x14ac:dyDescent="0.25">
      <c r="D17" s="3" t="s">
        <v>37</v>
      </c>
      <c r="E17" s="13" t="s">
        <v>98</v>
      </c>
      <c r="F17" s="113"/>
      <c r="N17"/>
      <c r="O17"/>
    </row>
    <row r="18" spans="1:15" x14ac:dyDescent="0.25">
      <c r="A18" t="s">
        <v>70</v>
      </c>
      <c r="D18" s="3" t="s">
        <v>53</v>
      </c>
      <c r="E18" s="13" t="s">
        <v>64</v>
      </c>
      <c r="F18" s="114"/>
      <c r="N18"/>
      <c r="O18"/>
    </row>
    <row r="19" spans="1:15" x14ac:dyDescent="0.25">
      <c r="D19" s="3" t="s">
        <v>51</v>
      </c>
      <c r="E19" s="13" t="s">
        <v>58</v>
      </c>
      <c r="F19" s="114"/>
      <c r="N19"/>
      <c r="O19"/>
    </row>
    <row r="20" spans="1:15" x14ac:dyDescent="0.25">
      <c r="D20" s="3" t="s">
        <v>11</v>
      </c>
      <c r="E20" s="13">
        <v>35</v>
      </c>
      <c r="F20" s="114"/>
      <c r="N20"/>
      <c r="O20"/>
    </row>
    <row r="21" spans="1:15" ht="15.75" thickBot="1" x14ac:dyDescent="0.3">
      <c r="D21" s="4" t="s">
        <v>40</v>
      </c>
      <c r="E21" s="14" t="s">
        <v>41</v>
      </c>
      <c r="F21" s="115"/>
      <c r="N21"/>
      <c r="O21"/>
    </row>
    <row r="22" spans="1:15" ht="15.75" thickBot="1" x14ac:dyDescent="0.3">
      <c r="N22"/>
      <c r="O22"/>
    </row>
    <row r="23" spans="1:15" x14ac:dyDescent="0.25">
      <c r="D23" s="69" t="s">
        <v>20</v>
      </c>
      <c r="E23" s="70"/>
      <c r="F23" s="39" t="s">
        <v>15</v>
      </c>
      <c r="N23"/>
      <c r="O23"/>
    </row>
    <row r="24" spans="1:15" x14ac:dyDescent="0.25">
      <c r="D24" s="30" t="s">
        <v>48</v>
      </c>
      <c r="E24" s="31" t="s">
        <v>41</v>
      </c>
      <c r="F24" s="57"/>
      <c r="N24"/>
      <c r="O24"/>
    </row>
    <row r="25" spans="1:15" x14ac:dyDescent="0.25">
      <c r="D25" s="30" t="s">
        <v>21</v>
      </c>
      <c r="E25" s="51" t="s">
        <v>99</v>
      </c>
      <c r="F25" s="58"/>
      <c r="N25"/>
      <c r="O25"/>
    </row>
    <row r="26" spans="1:15" ht="90.75" thickBot="1" x14ac:dyDescent="0.3">
      <c r="D26" s="1" t="s">
        <v>22</v>
      </c>
      <c r="E26" s="43" t="s">
        <v>100</v>
      </c>
      <c r="F26" s="59"/>
      <c r="N26"/>
      <c r="O26"/>
    </row>
    <row r="27" spans="1:15" x14ac:dyDescent="0.25">
      <c r="E27" s="53"/>
      <c r="F27" s="54"/>
      <c r="N27"/>
      <c r="O27"/>
    </row>
    <row r="28" spans="1:15" ht="15.75" thickBot="1" x14ac:dyDescent="0.3">
      <c r="E28" s="53"/>
      <c r="F28" s="54"/>
      <c r="N28"/>
      <c r="O28"/>
    </row>
    <row r="29" spans="1:15" x14ac:dyDescent="0.25">
      <c r="D29" s="69" t="s">
        <v>2</v>
      </c>
      <c r="E29" s="70"/>
      <c r="F29" s="41" t="s">
        <v>15</v>
      </c>
      <c r="N29"/>
      <c r="O29"/>
    </row>
    <row r="30" spans="1:15" x14ac:dyDescent="0.25">
      <c r="D30" s="30" t="s">
        <v>1</v>
      </c>
      <c r="E30" s="52" t="s">
        <v>121</v>
      </c>
      <c r="F30" s="119"/>
      <c r="N30"/>
      <c r="O30"/>
    </row>
    <row r="31" spans="1:15" ht="15.75" thickBot="1" x14ac:dyDescent="0.3">
      <c r="D31" s="1" t="s">
        <v>24</v>
      </c>
      <c r="E31" s="32" t="s">
        <v>33</v>
      </c>
      <c r="F31" s="120"/>
      <c r="N31"/>
      <c r="O31"/>
    </row>
    <row r="32" spans="1:15" ht="15.75" thickBot="1" x14ac:dyDescent="0.3">
      <c r="N32"/>
      <c r="O32"/>
    </row>
    <row r="33" spans="4:15" x14ac:dyDescent="0.25">
      <c r="D33" s="108" t="s">
        <v>0</v>
      </c>
      <c r="E33" s="109"/>
      <c r="F33" s="29" t="s">
        <v>15</v>
      </c>
      <c r="N33"/>
      <c r="O33"/>
    </row>
    <row r="34" spans="4:15" ht="14.45" customHeight="1" x14ac:dyDescent="0.25">
      <c r="D34" s="3" t="s">
        <v>37</v>
      </c>
      <c r="E34" s="13" t="s">
        <v>93</v>
      </c>
      <c r="F34" s="113"/>
      <c r="N34"/>
      <c r="O34"/>
    </row>
    <row r="35" spans="4:15" x14ac:dyDescent="0.25">
      <c r="D35" s="3" t="s">
        <v>53</v>
      </c>
      <c r="E35" s="13" t="s">
        <v>64</v>
      </c>
      <c r="F35" s="114"/>
      <c r="N35"/>
      <c r="O35"/>
    </row>
    <row r="36" spans="4:15" x14ac:dyDescent="0.25">
      <c r="D36" s="3" t="s">
        <v>51</v>
      </c>
      <c r="E36" s="13" t="s">
        <v>58</v>
      </c>
      <c r="F36" s="114"/>
      <c r="N36"/>
      <c r="O36"/>
    </row>
    <row r="37" spans="4:15" x14ac:dyDescent="0.25">
      <c r="D37" s="3" t="s">
        <v>11</v>
      </c>
      <c r="E37" s="13">
        <v>15</v>
      </c>
      <c r="F37" s="114"/>
      <c r="N37"/>
      <c r="O37"/>
    </row>
    <row r="38" spans="4:15" ht="15.75" thickBot="1" x14ac:dyDescent="0.3">
      <c r="D38" s="4" t="s">
        <v>40</v>
      </c>
      <c r="E38" s="14" t="s">
        <v>41</v>
      </c>
      <c r="F38" s="115"/>
      <c r="N38"/>
      <c r="O38"/>
    </row>
    <row r="39" spans="4:15" ht="15.75" thickBot="1" x14ac:dyDescent="0.3">
      <c r="N39"/>
      <c r="O39"/>
    </row>
    <row r="40" spans="4:15" x14ac:dyDescent="0.25">
      <c r="D40" s="108" t="s">
        <v>0</v>
      </c>
      <c r="E40" s="109"/>
      <c r="F40" s="29" t="s">
        <v>15</v>
      </c>
      <c r="N40"/>
      <c r="O40"/>
    </row>
    <row r="41" spans="4:15" x14ac:dyDescent="0.25">
      <c r="D41" s="3" t="s">
        <v>37</v>
      </c>
      <c r="E41" s="13" t="s">
        <v>101</v>
      </c>
      <c r="F41" s="113"/>
      <c r="N41"/>
      <c r="O41"/>
    </row>
    <row r="42" spans="4:15" x14ac:dyDescent="0.25">
      <c r="D42" s="3" t="s">
        <v>53</v>
      </c>
      <c r="E42" s="13" t="s">
        <v>65</v>
      </c>
      <c r="F42" s="114"/>
      <c r="N42"/>
      <c r="O42"/>
    </row>
    <row r="43" spans="4:15" x14ac:dyDescent="0.25">
      <c r="D43" s="3" t="s">
        <v>51</v>
      </c>
      <c r="E43" s="13" t="s">
        <v>58</v>
      </c>
      <c r="F43" s="114"/>
      <c r="N43"/>
      <c r="O43"/>
    </row>
    <row r="44" spans="4:15" x14ac:dyDescent="0.25">
      <c r="D44" s="3" t="s">
        <v>11</v>
      </c>
      <c r="E44" s="13">
        <v>70</v>
      </c>
      <c r="F44" s="114"/>
      <c r="N44"/>
      <c r="O44"/>
    </row>
    <row r="45" spans="4:15" ht="15.75" thickBot="1" x14ac:dyDescent="0.3">
      <c r="D45" s="4" t="s">
        <v>40</v>
      </c>
      <c r="E45" s="14" t="s">
        <v>41</v>
      </c>
      <c r="F45" s="115"/>
      <c r="N45"/>
      <c r="O45"/>
    </row>
    <row r="46" spans="4:15" ht="15.75" thickBot="1" x14ac:dyDescent="0.3">
      <c r="N46"/>
      <c r="O46"/>
    </row>
    <row r="47" spans="4:15" x14ac:dyDescent="0.25">
      <c r="D47" s="108" t="s">
        <v>0</v>
      </c>
      <c r="E47" s="109"/>
      <c r="F47" s="29" t="s">
        <v>15</v>
      </c>
      <c r="N47"/>
      <c r="O47"/>
    </row>
    <row r="48" spans="4:15" x14ac:dyDescent="0.25">
      <c r="D48" s="3" t="s">
        <v>37</v>
      </c>
      <c r="E48" s="13" t="s">
        <v>102</v>
      </c>
      <c r="F48" s="113"/>
      <c r="N48"/>
      <c r="O48"/>
    </row>
    <row r="49" spans="4:15" x14ac:dyDescent="0.25">
      <c r="D49" s="3" t="s">
        <v>53</v>
      </c>
      <c r="E49" s="13" t="s">
        <v>61</v>
      </c>
      <c r="F49" s="114"/>
      <c r="N49"/>
      <c r="O49"/>
    </row>
    <row r="50" spans="4:15" x14ac:dyDescent="0.25">
      <c r="D50" s="3" t="s">
        <v>51</v>
      </c>
      <c r="E50" s="13" t="s">
        <v>58</v>
      </c>
      <c r="F50" s="114"/>
      <c r="N50"/>
      <c r="O50"/>
    </row>
    <row r="51" spans="4:15" x14ac:dyDescent="0.25">
      <c r="D51" s="3" t="s">
        <v>11</v>
      </c>
      <c r="E51" s="13">
        <v>1.25</v>
      </c>
      <c r="F51" s="114"/>
      <c r="N51"/>
      <c r="O51"/>
    </row>
    <row r="52" spans="4:15" ht="15.75" thickBot="1" x14ac:dyDescent="0.3">
      <c r="D52" s="4" t="s">
        <v>40</v>
      </c>
      <c r="E52" s="14" t="s">
        <v>41</v>
      </c>
      <c r="F52" s="115"/>
      <c r="N52"/>
      <c r="O52"/>
    </row>
    <row r="53" spans="4:15" ht="15.75" thickBot="1" x14ac:dyDescent="0.3">
      <c r="N53"/>
      <c r="O53"/>
    </row>
    <row r="54" spans="4:15" x14ac:dyDescent="0.25">
      <c r="D54" s="75" t="s">
        <v>38</v>
      </c>
      <c r="E54" s="76"/>
      <c r="F54" s="28" t="s">
        <v>15</v>
      </c>
      <c r="N54"/>
      <c r="O54"/>
    </row>
    <row r="55" spans="4:15" x14ac:dyDescent="0.25">
      <c r="D55" s="11" t="s">
        <v>12</v>
      </c>
      <c r="E55" s="22">
        <v>37</v>
      </c>
      <c r="F55" s="116"/>
      <c r="N55"/>
      <c r="O55"/>
    </row>
    <row r="56" spans="4:15" x14ac:dyDescent="0.25">
      <c r="D56" s="11" t="s">
        <v>9</v>
      </c>
      <c r="E56" s="22">
        <v>60</v>
      </c>
      <c r="F56" s="117"/>
      <c r="N56"/>
      <c r="O56"/>
    </row>
    <row r="57" spans="4:15" ht="15.75" thickBot="1" x14ac:dyDescent="0.3">
      <c r="D57" s="12" t="s">
        <v>19</v>
      </c>
      <c r="E57" s="23">
        <v>0</v>
      </c>
      <c r="F57" s="118"/>
      <c r="N57"/>
      <c r="O57"/>
    </row>
    <row r="58" spans="4:15" ht="15.75" thickBot="1" x14ac:dyDescent="0.3">
      <c r="N58"/>
      <c r="O58"/>
    </row>
    <row r="59" spans="4:15" x14ac:dyDescent="0.25">
      <c r="D59" s="108" t="s">
        <v>0</v>
      </c>
      <c r="E59" s="109"/>
      <c r="F59" s="29" t="s">
        <v>15</v>
      </c>
      <c r="N59"/>
      <c r="O59"/>
    </row>
    <row r="60" spans="4:15" x14ac:dyDescent="0.25">
      <c r="D60" s="3" t="s">
        <v>37</v>
      </c>
      <c r="E60" s="13" t="s">
        <v>103</v>
      </c>
      <c r="F60" s="113"/>
      <c r="N60"/>
      <c r="O60"/>
    </row>
    <row r="61" spans="4:15" x14ac:dyDescent="0.25">
      <c r="D61" s="3" t="s">
        <v>53</v>
      </c>
      <c r="E61" s="13" t="s">
        <v>62</v>
      </c>
      <c r="F61" s="114"/>
      <c r="N61"/>
      <c r="O61"/>
    </row>
    <row r="62" spans="4:15" x14ac:dyDescent="0.25">
      <c r="D62" s="3" t="s">
        <v>51</v>
      </c>
      <c r="E62" s="13" t="s">
        <v>58</v>
      </c>
      <c r="F62" s="114"/>
      <c r="N62"/>
      <c r="O62"/>
    </row>
    <row r="63" spans="4:15" x14ac:dyDescent="0.25">
      <c r="D63" s="3" t="s">
        <v>11</v>
      </c>
      <c r="E63" s="13">
        <v>1.9</v>
      </c>
      <c r="F63" s="114"/>
      <c r="N63"/>
      <c r="O63"/>
    </row>
    <row r="64" spans="4:15" ht="15.75" thickBot="1" x14ac:dyDescent="0.3">
      <c r="D64" s="4" t="s">
        <v>40</v>
      </c>
      <c r="E64" s="14" t="s">
        <v>41</v>
      </c>
      <c r="F64" s="115"/>
      <c r="N64"/>
      <c r="O64"/>
    </row>
    <row r="65" spans="4:15" ht="15.75" thickBot="1" x14ac:dyDescent="0.3">
      <c r="N65"/>
      <c r="O65"/>
    </row>
    <row r="66" spans="4:15" x14ac:dyDescent="0.25">
      <c r="D66" s="75" t="s">
        <v>38</v>
      </c>
      <c r="E66" s="76"/>
      <c r="F66" s="28" t="s">
        <v>15</v>
      </c>
      <c r="N66"/>
      <c r="O66"/>
    </row>
    <row r="67" spans="4:15" x14ac:dyDescent="0.25">
      <c r="D67" s="11" t="s">
        <v>12</v>
      </c>
      <c r="E67" s="22">
        <v>25</v>
      </c>
      <c r="F67" s="116"/>
      <c r="N67"/>
      <c r="O67"/>
    </row>
    <row r="68" spans="4:15" x14ac:dyDescent="0.25">
      <c r="D68" s="11" t="s">
        <v>9</v>
      </c>
      <c r="E68" s="22">
        <v>60</v>
      </c>
      <c r="F68" s="117"/>
      <c r="N68"/>
      <c r="O68"/>
    </row>
    <row r="69" spans="4:15" ht="15.75" thickBot="1" x14ac:dyDescent="0.3">
      <c r="D69" s="12" t="s">
        <v>19</v>
      </c>
      <c r="E69" s="23">
        <v>0</v>
      </c>
      <c r="F69" s="118"/>
      <c r="N69"/>
      <c r="O69"/>
    </row>
    <row r="70" spans="4:15" ht="15.75" thickBot="1" x14ac:dyDescent="0.3">
      <c r="N70"/>
      <c r="O70"/>
    </row>
    <row r="71" spans="4:15" x14ac:dyDescent="0.25">
      <c r="D71" s="69" t="s">
        <v>2</v>
      </c>
      <c r="E71" s="70"/>
      <c r="F71" s="41" t="s">
        <v>15</v>
      </c>
      <c r="N71"/>
      <c r="O71"/>
    </row>
    <row r="72" spans="4:15" x14ac:dyDescent="0.25">
      <c r="D72" s="30" t="s">
        <v>1</v>
      </c>
      <c r="E72" s="52" t="s">
        <v>97</v>
      </c>
      <c r="F72" s="119"/>
      <c r="N72"/>
      <c r="O72"/>
    </row>
    <row r="73" spans="4:15" ht="15.75" thickBot="1" x14ac:dyDescent="0.3">
      <c r="D73" s="1" t="s">
        <v>24</v>
      </c>
      <c r="E73" s="32" t="s">
        <v>33</v>
      </c>
      <c r="F73" s="120"/>
      <c r="N73"/>
      <c r="O73"/>
    </row>
    <row r="74" spans="4:15" ht="15.75" thickBot="1" x14ac:dyDescent="0.3">
      <c r="N74"/>
      <c r="O74"/>
    </row>
    <row r="75" spans="4:15" x14ac:dyDescent="0.25">
      <c r="D75" s="82" t="s">
        <v>5</v>
      </c>
      <c r="E75" s="83"/>
      <c r="F75" s="45" t="s">
        <v>15</v>
      </c>
      <c r="N75"/>
      <c r="O75"/>
    </row>
    <row r="76" spans="4:15" x14ac:dyDescent="0.25">
      <c r="D76" s="5" t="s">
        <v>37</v>
      </c>
      <c r="E76" s="20" t="str">
        <f>E30</f>
        <v>Denaturation Plate</v>
      </c>
      <c r="F76" s="122"/>
      <c r="N76"/>
      <c r="O76"/>
    </row>
    <row r="77" spans="4:15" x14ac:dyDescent="0.25">
      <c r="D77" s="5" t="s">
        <v>36</v>
      </c>
      <c r="E77" s="20" t="s">
        <v>94</v>
      </c>
      <c r="F77" s="123"/>
      <c r="N77"/>
      <c r="O77"/>
    </row>
    <row r="78" spans="4:15" ht="15.75" thickBot="1" x14ac:dyDescent="0.3">
      <c r="D78" s="6" t="s">
        <v>24</v>
      </c>
      <c r="E78" s="21" t="s">
        <v>66</v>
      </c>
      <c r="F78" s="124"/>
      <c r="N78"/>
      <c r="O78"/>
    </row>
    <row r="79" spans="4:15" ht="15.75" thickBot="1" x14ac:dyDescent="0.3">
      <c r="N79"/>
      <c r="O79"/>
    </row>
    <row r="80" spans="4:15" x14ac:dyDescent="0.25">
      <c r="D80" s="69" t="s">
        <v>2</v>
      </c>
      <c r="E80" s="70"/>
      <c r="F80" s="41" t="s">
        <v>15</v>
      </c>
      <c r="N80"/>
      <c r="O80"/>
    </row>
    <row r="81" spans="4:15" x14ac:dyDescent="0.25">
      <c r="D81" s="30" t="s">
        <v>1</v>
      </c>
      <c r="E81" s="52" t="s">
        <v>120</v>
      </c>
      <c r="F81" s="119"/>
      <c r="N81"/>
      <c r="O81"/>
    </row>
    <row r="82" spans="4:15" ht="15.75" thickBot="1" x14ac:dyDescent="0.3">
      <c r="D82" s="1" t="s">
        <v>24</v>
      </c>
      <c r="E82" s="32" t="s">
        <v>33</v>
      </c>
      <c r="F82" s="120"/>
      <c r="N82"/>
      <c r="O82"/>
    </row>
    <row r="83" spans="4:15" ht="15.75" thickBot="1" x14ac:dyDescent="0.3">
      <c r="F83" s="55"/>
      <c r="N83"/>
      <c r="O83"/>
    </row>
    <row r="84" spans="4:15" x14ac:dyDescent="0.25">
      <c r="D84" s="69" t="s">
        <v>20</v>
      </c>
      <c r="E84" s="70"/>
      <c r="F84" s="39" t="s">
        <v>15</v>
      </c>
      <c r="N84"/>
      <c r="O84"/>
    </row>
    <row r="85" spans="4:15" x14ac:dyDescent="0.25">
      <c r="D85" s="30" t="s">
        <v>48</v>
      </c>
      <c r="E85" s="31" t="s">
        <v>41</v>
      </c>
      <c r="F85" s="57"/>
      <c r="N85"/>
      <c r="O85"/>
    </row>
    <row r="86" spans="4:15" x14ac:dyDescent="0.25">
      <c r="D86" s="30" t="s">
        <v>21</v>
      </c>
      <c r="E86" s="44" t="s">
        <v>104</v>
      </c>
      <c r="F86" s="58"/>
      <c r="N86"/>
      <c r="O86"/>
    </row>
    <row r="87" spans="4:15" ht="30.75" thickBot="1" x14ac:dyDescent="0.3">
      <c r="D87" s="1" t="s">
        <v>22</v>
      </c>
      <c r="E87" s="43" t="s">
        <v>105</v>
      </c>
      <c r="F87" s="59"/>
      <c r="N87"/>
      <c r="O87"/>
    </row>
    <row r="88" spans="4:15" ht="15.75" thickBot="1" x14ac:dyDescent="0.3">
      <c r="N88"/>
      <c r="O88"/>
    </row>
    <row r="89" spans="4:15" x14ac:dyDescent="0.25">
      <c r="D89" s="101" t="s">
        <v>16</v>
      </c>
      <c r="E89" s="102"/>
      <c r="F89" s="26" t="s">
        <v>15</v>
      </c>
      <c r="N89"/>
      <c r="O89"/>
    </row>
    <row r="90" spans="4:15" x14ac:dyDescent="0.25">
      <c r="D90" s="7" t="s">
        <v>37</v>
      </c>
      <c r="E90" s="15" t="str">
        <f>E72</f>
        <v xml:space="preserve">Desalting Plate </v>
      </c>
      <c r="F90" s="110" t="s">
        <v>95</v>
      </c>
      <c r="N90"/>
      <c r="O90"/>
    </row>
    <row r="91" spans="4:15" x14ac:dyDescent="0.25">
      <c r="D91" s="7" t="s">
        <v>3</v>
      </c>
      <c r="E91" s="15" t="str">
        <f>E77</f>
        <v>100mM Tris pH 7.5</v>
      </c>
      <c r="F91" s="111"/>
      <c r="N91"/>
      <c r="O91"/>
    </row>
    <row r="92" spans="4:15" x14ac:dyDescent="0.25">
      <c r="D92" s="7" t="s">
        <v>6</v>
      </c>
      <c r="E92" s="15" t="str">
        <f>[1]Worklist!F1</f>
        <v>Desalting Concentration</v>
      </c>
      <c r="F92" s="111"/>
      <c r="N92"/>
      <c r="O92"/>
    </row>
    <row r="93" spans="4:15" x14ac:dyDescent="0.25">
      <c r="D93" s="7" t="s">
        <v>7</v>
      </c>
      <c r="E93" s="15">
        <v>0.1125</v>
      </c>
      <c r="F93" s="111"/>
      <c r="N93"/>
      <c r="O93"/>
    </row>
    <row r="94" spans="4:15" ht="15.75" thickBot="1" x14ac:dyDescent="0.3">
      <c r="D94" s="8" t="s">
        <v>10</v>
      </c>
      <c r="E94" s="16">
        <v>100</v>
      </c>
      <c r="F94" s="112"/>
      <c r="N94"/>
      <c r="O94"/>
    </row>
    <row r="95" spans="4:15" ht="15.75" thickBot="1" x14ac:dyDescent="0.3">
      <c r="N95"/>
      <c r="O95"/>
    </row>
    <row r="96" spans="4:15" x14ac:dyDescent="0.25">
      <c r="D96" s="108" t="s">
        <v>0</v>
      </c>
      <c r="E96" s="109"/>
      <c r="F96" s="29" t="s">
        <v>15</v>
      </c>
      <c r="N96"/>
      <c r="O96"/>
    </row>
    <row r="97" spans="4:15" x14ac:dyDescent="0.25">
      <c r="D97" s="3" t="s">
        <v>37</v>
      </c>
      <c r="E97" s="13" t="s">
        <v>106</v>
      </c>
      <c r="F97" s="113"/>
      <c r="N97"/>
      <c r="O97"/>
    </row>
    <row r="98" spans="4:15" x14ac:dyDescent="0.25">
      <c r="D98" s="3" t="s">
        <v>53</v>
      </c>
      <c r="E98" s="13" t="s">
        <v>14</v>
      </c>
      <c r="F98" s="114"/>
      <c r="N98"/>
      <c r="O98"/>
    </row>
    <row r="99" spans="4:15" x14ac:dyDescent="0.25">
      <c r="D99" s="3" t="s">
        <v>51</v>
      </c>
      <c r="E99" s="13" t="s">
        <v>59</v>
      </c>
      <c r="F99" s="114"/>
      <c r="N99"/>
      <c r="O99"/>
    </row>
    <row r="100" spans="4:15" x14ac:dyDescent="0.25">
      <c r="D100" s="3" t="s">
        <v>11</v>
      </c>
      <c r="E100" s="13">
        <v>1.875</v>
      </c>
      <c r="F100" s="114"/>
      <c r="N100"/>
      <c r="O100"/>
    </row>
    <row r="101" spans="4:15" ht="15.75" thickBot="1" x14ac:dyDescent="0.3">
      <c r="D101" s="4" t="s">
        <v>40</v>
      </c>
      <c r="E101" s="14" t="s">
        <v>41</v>
      </c>
      <c r="F101" s="115"/>
      <c r="N101"/>
      <c r="O101"/>
    </row>
    <row r="102" spans="4:15" ht="15.75" thickBot="1" x14ac:dyDescent="0.3">
      <c r="N102"/>
      <c r="O102"/>
    </row>
    <row r="103" spans="4:15" x14ac:dyDescent="0.25">
      <c r="D103" s="108" t="s">
        <v>0</v>
      </c>
      <c r="E103" s="109"/>
      <c r="F103" s="29" t="s">
        <v>15</v>
      </c>
      <c r="N103"/>
      <c r="O103"/>
    </row>
    <row r="104" spans="4:15" x14ac:dyDescent="0.25">
      <c r="D104" s="3" t="s">
        <v>37</v>
      </c>
      <c r="E104" s="13" t="s">
        <v>96</v>
      </c>
      <c r="F104" s="113"/>
      <c r="N104"/>
      <c r="O104"/>
    </row>
    <row r="105" spans="4:15" x14ac:dyDescent="0.25">
      <c r="D105" s="3" t="s">
        <v>53</v>
      </c>
      <c r="E105" s="13" t="s">
        <v>63</v>
      </c>
      <c r="F105" s="114"/>
      <c r="N105"/>
      <c r="O105"/>
    </row>
    <row r="106" spans="4:15" x14ac:dyDescent="0.25">
      <c r="D106" s="3" t="s">
        <v>51</v>
      </c>
      <c r="E106" s="13" t="s">
        <v>58</v>
      </c>
      <c r="F106" s="114"/>
      <c r="N106"/>
      <c r="O106"/>
    </row>
    <row r="107" spans="4:15" x14ac:dyDescent="0.25">
      <c r="D107" s="3" t="s">
        <v>11</v>
      </c>
      <c r="E107" s="13">
        <v>3.75</v>
      </c>
      <c r="F107" s="114"/>
      <c r="N107"/>
      <c r="O107"/>
    </row>
    <row r="108" spans="4:15" ht="15.75" thickBot="1" x14ac:dyDescent="0.3">
      <c r="D108" s="4" t="s">
        <v>40</v>
      </c>
      <c r="E108" s="14" t="s">
        <v>41</v>
      </c>
      <c r="F108" s="115"/>
      <c r="N108"/>
      <c r="O108"/>
    </row>
    <row r="109" spans="4:15" ht="15.75" thickBot="1" x14ac:dyDescent="0.3">
      <c r="N109"/>
      <c r="O109"/>
    </row>
    <row r="110" spans="4:15" x14ac:dyDescent="0.25">
      <c r="D110" s="69" t="s">
        <v>20</v>
      </c>
      <c r="E110" s="70"/>
      <c r="F110" s="39" t="s">
        <v>15</v>
      </c>
      <c r="N110"/>
      <c r="O110"/>
    </row>
    <row r="111" spans="4:15" x14ac:dyDescent="0.25">
      <c r="D111" s="30" t="s">
        <v>48</v>
      </c>
      <c r="E111" s="31" t="s">
        <v>42</v>
      </c>
      <c r="F111" s="57"/>
      <c r="N111"/>
      <c r="O111"/>
    </row>
    <row r="112" spans="4:15" x14ac:dyDescent="0.25">
      <c r="D112" s="30" t="s">
        <v>21</v>
      </c>
      <c r="E112" s="44" t="s">
        <v>107</v>
      </c>
      <c r="F112" s="58"/>
      <c r="N112"/>
      <c r="O112"/>
    </row>
    <row r="113" spans="4:15" ht="15.75" thickBot="1" x14ac:dyDescent="0.3">
      <c r="D113" s="1" t="s">
        <v>22</v>
      </c>
      <c r="E113" s="43" t="s">
        <v>108</v>
      </c>
      <c r="F113" s="59"/>
      <c r="N113"/>
      <c r="O113"/>
    </row>
    <row r="114" spans="4:15" ht="15.75" thickBot="1" x14ac:dyDescent="0.3">
      <c r="N114"/>
      <c r="O114"/>
    </row>
    <row r="115" spans="4:15" x14ac:dyDescent="0.25">
      <c r="D115" s="69" t="s">
        <v>50</v>
      </c>
      <c r="E115" s="70"/>
      <c r="F115" s="41" t="s">
        <v>15</v>
      </c>
      <c r="N115"/>
      <c r="O115"/>
    </row>
    <row r="116" spans="4:15" x14ac:dyDescent="0.25">
      <c r="D116" s="71"/>
      <c r="E116" s="72"/>
      <c r="F116" s="119"/>
      <c r="N116"/>
      <c r="O116"/>
    </row>
    <row r="117" spans="4:15" ht="15.75" thickBot="1" x14ac:dyDescent="0.3">
      <c r="D117" s="73"/>
      <c r="E117" s="74"/>
      <c r="F117" s="120"/>
      <c r="N117"/>
      <c r="O117"/>
    </row>
    <row r="118" spans="4:15" x14ac:dyDescent="0.25">
      <c r="D118" s="24"/>
      <c r="E118" s="24"/>
      <c r="N118"/>
      <c r="O118"/>
    </row>
    <row r="119" spans="4:15" x14ac:dyDescent="0.25">
      <c r="D119" s="24"/>
      <c r="E119" s="24"/>
      <c r="N119"/>
      <c r="O119"/>
    </row>
    <row r="120" spans="4:15" x14ac:dyDescent="0.25">
      <c r="D120" s="24"/>
      <c r="E120" s="24"/>
      <c r="N120"/>
      <c r="O120"/>
    </row>
    <row r="121" spans="4:15" x14ac:dyDescent="0.25">
      <c r="D121" s="24"/>
      <c r="E121" s="24"/>
      <c r="N121"/>
      <c r="O121"/>
    </row>
    <row r="122" spans="4:15" x14ac:dyDescent="0.25">
      <c r="D122" s="24"/>
      <c r="E122" s="24"/>
      <c r="N122"/>
      <c r="O122"/>
    </row>
    <row r="123" spans="4:15" x14ac:dyDescent="0.25">
      <c r="D123" s="24"/>
      <c r="E123" s="24"/>
      <c r="N123"/>
      <c r="O123"/>
    </row>
    <row r="124" spans="4:15" x14ac:dyDescent="0.25">
      <c r="D124" s="24"/>
      <c r="E124" s="24"/>
      <c r="N124"/>
      <c r="O124"/>
    </row>
    <row r="125" spans="4:15" x14ac:dyDescent="0.25">
      <c r="D125" s="24"/>
      <c r="E125" s="24"/>
      <c r="N125"/>
      <c r="O125"/>
    </row>
    <row r="126" spans="4:15" x14ac:dyDescent="0.25">
      <c r="D126" s="24"/>
      <c r="E126" s="24"/>
      <c r="N126"/>
      <c r="O126"/>
    </row>
    <row r="127" spans="4:15" x14ac:dyDescent="0.25">
      <c r="D127" s="24"/>
      <c r="E127" s="24"/>
      <c r="N127"/>
      <c r="O127"/>
    </row>
    <row r="128" spans="4:15" x14ac:dyDescent="0.25">
      <c r="D128" s="46"/>
      <c r="E128" s="46"/>
      <c r="N128"/>
      <c r="O128"/>
    </row>
    <row r="129" spans="4:15" x14ac:dyDescent="0.25">
      <c r="D129" s="46"/>
      <c r="E129" s="46"/>
      <c r="N129"/>
      <c r="O129"/>
    </row>
    <row r="130" spans="4:15" x14ac:dyDescent="0.25">
      <c r="D130" s="46"/>
      <c r="E130" s="46"/>
      <c r="N130"/>
      <c r="O130"/>
    </row>
    <row r="131" spans="4:15" x14ac:dyDescent="0.25">
      <c r="D131" s="46"/>
      <c r="E131" s="46"/>
      <c r="N131"/>
      <c r="O131"/>
    </row>
    <row r="132" spans="4:15" x14ac:dyDescent="0.25">
      <c r="D132" s="46"/>
      <c r="E132" s="46"/>
      <c r="N132"/>
      <c r="O132"/>
    </row>
    <row r="133" spans="4:15" x14ac:dyDescent="0.25">
      <c r="D133" s="24"/>
      <c r="E133" s="24"/>
      <c r="N133"/>
      <c r="O133"/>
    </row>
    <row r="134" spans="4:15" x14ac:dyDescent="0.25">
      <c r="D134" s="24"/>
      <c r="E134" s="24"/>
      <c r="N134"/>
      <c r="O134"/>
    </row>
    <row r="135" spans="4:15" x14ac:dyDescent="0.25">
      <c r="D135" s="24"/>
      <c r="E135" s="24"/>
      <c r="N135"/>
      <c r="O135"/>
    </row>
    <row r="136" spans="4:15" x14ac:dyDescent="0.25">
      <c r="D136" s="24"/>
      <c r="E136" s="24"/>
      <c r="N136"/>
      <c r="O136"/>
    </row>
    <row r="137" spans="4:15" x14ac:dyDescent="0.25">
      <c r="N137"/>
      <c r="O137"/>
    </row>
    <row r="138" spans="4:15" x14ac:dyDescent="0.25">
      <c r="N138"/>
      <c r="O138"/>
    </row>
    <row r="139" spans="4:15" x14ac:dyDescent="0.25">
      <c r="N139"/>
      <c r="O139"/>
    </row>
    <row r="140" spans="4:15" x14ac:dyDescent="0.25">
      <c r="I140" s="24"/>
      <c r="J140" s="24"/>
      <c r="N140"/>
      <c r="O140"/>
    </row>
    <row r="141" spans="4:15" x14ac:dyDescent="0.25">
      <c r="I141" s="24"/>
      <c r="J141" s="24"/>
      <c r="N141"/>
      <c r="O141"/>
    </row>
  </sheetData>
  <mergeCells count="42">
    <mergeCell ref="D110:E110"/>
    <mergeCell ref="F111:F113"/>
    <mergeCell ref="D115:E115"/>
    <mergeCell ref="D116:E117"/>
    <mergeCell ref="F116:F117"/>
    <mergeCell ref="F30:F31"/>
    <mergeCell ref="D71:E71"/>
    <mergeCell ref="F72:F73"/>
    <mergeCell ref="D9:E9"/>
    <mergeCell ref="F10:F14"/>
    <mergeCell ref="D16:E16"/>
    <mergeCell ref="F17:F21"/>
    <mergeCell ref="D33:E33"/>
    <mergeCell ref="F34:F38"/>
    <mergeCell ref="D40:E40"/>
    <mergeCell ref="F41:F45"/>
    <mergeCell ref="D47:E47"/>
    <mergeCell ref="D29:E29"/>
    <mergeCell ref="D2:E2"/>
    <mergeCell ref="F3:F4"/>
    <mergeCell ref="D6:E6"/>
    <mergeCell ref="D103:E103"/>
    <mergeCell ref="F104:F108"/>
    <mergeCell ref="D66:E66"/>
    <mergeCell ref="F67:F69"/>
    <mergeCell ref="D75:E75"/>
    <mergeCell ref="F76:F78"/>
    <mergeCell ref="D89:E89"/>
    <mergeCell ref="D80:E80"/>
    <mergeCell ref="F81:F82"/>
    <mergeCell ref="D84:E84"/>
    <mergeCell ref="F85:F87"/>
    <mergeCell ref="D23:E23"/>
    <mergeCell ref="F24:F26"/>
    <mergeCell ref="F90:F94"/>
    <mergeCell ref="D96:E96"/>
    <mergeCell ref="F97:F101"/>
    <mergeCell ref="F48:F52"/>
    <mergeCell ref="D54:E54"/>
    <mergeCell ref="F55:F57"/>
    <mergeCell ref="D59:E59"/>
    <mergeCell ref="F60:F6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tabSelected="1" workbookViewId="0">
      <selection activeCell="B2" sqref="B2:B12"/>
    </sheetView>
  </sheetViews>
  <sheetFormatPr defaultRowHeight="15" x14ac:dyDescent="0.25"/>
  <cols>
    <col min="1" max="1" width="9" bestFit="1" customWidth="1"/>
    <col min="2" max="2" width="20.42578125" customWidth="1"/>
    <col min="3" max="3" width="28.57031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32</v>
      </c>
      <c r="B1" t="s">
        <v>47</v>
      </c>
      <c r="C1" t="s">
        <v>17</v>
      </c>
      <c r="D1" t="s">
        <v>82</v>
      </c>
      <c r="E1" t="s">
        <v>18</v>
      </c>
      <c r="F1" t="s">
        <v>69</v>
      </c>
    </row>
    <row r="2" spans="1:6" x14ac:dyDescent="0.25">
      <c r="A2">
        <f t="shared" ref="A2:A12" si="0">ROW(A1)</f>
        <v>1</v>
      </c>
      <c r="B2">
        <f t="shared" ref="B2:B12" si="1">A2</f>
        <v>1</v>
      </c>
      <c r="C2" t="s">
        <v>109</v>
      </c>
      <c r="D2">
        <f>A2</f>
        <v>1</v>
      </c>
      <c r="E2">
        <v>10</v>
      </c>
      <c r="F2">
        <v>0</v>
      </c>
    </row>
    <row r="3" spans="1:6" x14ac:dyDescent="0.25">
      <c r="A3">
        <f t="shared" si="0"/>
        <v>2</v>
      </c>
      <c r="B3">
        <f t="shared" si="1"/>
        <v>2</v>
      </c>
      <c r="C3" t="s">
        <v>110</v>
      </c>
      <c r="D3">
        <f t="shared" ref="D3:D12" si="2">A3</f>
        <v>2</v>
      </c>
      <c r="E3">
        <v>10</v>
      </c>
      <c r="F3">
        <v>0</v>
      </c>
    </row>
    <row r="4" spans="1:6" x14ac:dyDescent="0.25">
      <c r="A4">
        <f t="shared" si="0"/>
        <v>3</v>
      </c>
      <c r="B4">
        <f t="shared" si="1"/>
        <v>3</v>
      </c>
      <c r="C4" t="s">
        <v>111</v>
      </c>
      <c r="D4">
        <f t="shared" si="2"/>
        <v>3</v>
      </c>
      <c r="E4">
        <v>10</v>
      </c>
      <c r="F4">
        <v>0</v>
      </c>
    </row>
    <row r="5" spans="1:6" x14ac:dyDescent="0.25">
      <c r="A5">
        <f t="shared" si="0"/>
        <v>4</v>
      </c>
      <c r="B5">
        <f t="shared" si="1"/>
        <v>4</v>
      </c>
      <c r="C5" t="s">
        <v>112</v>
      </c>
      <c r="D5">
        <f t="shared" si="2"/>
        <v>4</v>
      </c>
      <c r="E5">
        <v>10</v>
      </c>
      <c r="F5">
        <v>0</v>
      </c>
    </row>
    <row r="6" spans="1:6" x14ac:dyDescent="0.25">
      <c r="A6">
        <f t="shared" si="0"/>
        <v>5</v>
      </c>
      <c r="B6">
        <f t="shared" si="1"/>
        <v>5</v>
      </c>
      <c r="C6" t="s">
        <v>113</v>
      </c>
      <c r="D6">
        <f t="shared" si="2"/>
        <v>5</v>
      </c>
      <c r="E6">
        <v>10</v>
      </c>
      <c r="F6">
        <v>0</v>
      </c>
    </row>
    <row r="7" spans="1:6" x14ac:dyDescent="0.25">
      <c r="A7">
        <f t="shared" si="0"/>
        <v>6</v>
      </c>
      <c r="B7">
        <f t="shared" si="1"/>
        <v>6</v>
      </c>
      <c r="C7" t="s">
        <v>114</v>
      </c>
      <c r="D7">
        <f t="shared" si="2"/>
        <v>6</v>
      </c>
      <c r="E7">
        <v>10</v>
      </c>
      <c r="F7">
        <v>0</v>
      </c>
    </row>
    <row r="8" spans="1:6" x14ac:dyDescent="0.25">
      <c r="A8">
        <f t="shared" si="0"/>
        <v>7</v>
      </c>
      <c r="B8">
        <f t="shared" si="1"/>
        <v>7</v>
      </c>
      <c r="C8" t="s">
        <v>115</v>
      </c>
      <c r="D8">
        <f t="shared" si="2"/>
        <v>7</v>
      </c>
      <c r="E8">
        <v>10</v>
      </c>
      <c r="F8">
        <v>0</v>
      </c>
    </row>
    <row r="9" spans="1:6" x14ac:dyDescent="0.25">
      <c r="A9">
        <f t="shared" si="0"/>
        <v>8</v>
      </c>
      <c r="B9">
        <f t="shared" si="1"/>
        <v>8</v>
      </c>
      <c r="C9" t="s">
        <v>116</v>
      </c>
      <c r="D9">
        <f t="shared" si="2"/>
        <v>8</v>
      </c>
      <c r="E9">
        <v>10</v>
      </c>
      <c r="F9">
        <v>0</v>
      </c>
    </row>
    <row r="10" spans="1:6" x14ac:dyDescent="0.25">
      <c r="A10">
        <f t="shared" si="0"/>
        <v>9</v>
      </c>
      <c r="B10">
        <f t="shared" si="1"/>
        <v>9</v>
      </c>
      <c r="C10" t="s">
        <v>117</v>
      </c>
      <c r="D10">
        <f t="shared" si="2"/>
        <v>9</v>
      </c>
      <c r="E10">
        <v>10</v>
      </c>
      <c r="F10">
        <v>0</v>
      </c>
    </row>
    <row r="11" spans="1:6" x14ac:dyDescent="0.25">
      <c r="A11">
        <f t="shared" si="0"/>
        <v>10</v>
      </c>
      <c r="B11">
        <f t="shared" si="1"/>
        <v>10</v>
      </c>
      <c r="C11" t="s">
        <v>118</v>
      </c>
      <c r="D11">
        <f t="shared" si="2"/>
        <v>10</v>
      </c>
      <c r="E11">
        <v>10</v>
      </c>
      <c r="F11">
        <v>0</v>
      </c>
    </row>
    <row r="12" spans="1:6" x14ac:dyDescent="0.25">
      <c r="A12">
        <f t="shared" si="0"/>
        <v>11</v>
      </c>
      <c r="B12">
        <f t="shared" si="1"/>
        <v>11</v>
      </c>
      <c r="C12" t="s">
        <v>119</v>
      </c>
      <c r="D12">
        <f t="shared" si="2"/>
        <v>11</v>
      </c>
      <c r="E12">
        <v>10</v>
      </c>
      <c r="F1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842C0-45B5-42C0-9C1E-4092F218FCF7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D0CDE-39D0-4403-A5BF-D0ED6005972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cc16eacc-26c8-4df3-9d75-d6f43556ca3d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Building Blocks</vt:lpstr>
      <vt:lpstr>Method</vt:lpstr>
      <vt:lpstr>Worklist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2021-08-25T13:18:06Z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