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DD0AB5AC-1EB8-496C-BFFC-6B6127C31FE4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___Dropdown values" sheetId="4" r:id="rId1"/>
    <sheet name="Building Blocks" sheetId="1" r:id="rId2"/>
    <sheet name="Method" sheetId="2" r:id="rId3"/>
    <sheet name="Worklist" sheetId="3" r:id="rId4"/>
    <sheet name="PrepList" sheetId="31" r:id="rId5"/>
    <sheet name="TestLog" sheetId="3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6" i="2" l="1"/>
  <c r="E95" i="2"/>
  <c r="E94" i="2"/>
  <c r="E80" i="2" l="1"/>
  <c r="A2" i="3" l="1"/>
  <c r="D2" i="3" l="1"/>
  <c r="B2" i="3"/>
</calcChain>
</file>

<file path=xl/sharedStrings.xml><?xml version="1.0" encoding="utf-8"?>
<sst xmlns="http://schemas.openxmlformats.org/spreadsheetml/2006/main" count="705" uniqueCount="264">
  <si>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</si>
  <si>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</si>
  <si>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</si>
  <si>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</si>
  <si>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</si>
  <si>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</si>
  <si>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</si>
  <si>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</si>
  <si>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</si>
  <si>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</si>
  <si>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</si>
  <si>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</si>
  <si>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</si>
  <si>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</si>
  <si>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</si>
  <si>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</si>
  <si>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</si>
  <si>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</si>
  <si>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Concentration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</si>
  <si>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</si>
  <si>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</si>
  <si>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</si>
  <si>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</si>
  <si>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</si>
  <si>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</si>
  <si>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</si>
  <si>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</si>
  <si>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</si>
  <si>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</si>
  <si>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</si>
  <si>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</si>
  <si>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</si>
  <si>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</si>
  <si>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</si>
  <si>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</si>
  <si>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</si>
  <si>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</si>
  <si>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</si>
  <si>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</si>
  <si>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</si>
  <si>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</si>
  <si>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</si>
  <si>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</si>
  <si>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</si>
  <si>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</si>
  <si>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</si>
  <si>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</si>
  <si>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</si>
  <si>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</si>
  <si>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</si>
  <si>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</si>
  <si>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</si>
  <si>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</si>
  <si>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</si>
  <si>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</si>
  <si>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</si>
  <si>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</si>
  <si>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</si>
  <si>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</si>
  <si>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</si>
  <si>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</si>
  <si>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</si>
  <si>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</si>
  <si>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</si>
  <si>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</si>
  <si>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</si>
  <si>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</si>
  <si>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</si>
  <si>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</si>
  <si>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</si>
  <si>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Desalting Concentration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</si>
  <si>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</si>
  <si>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</si>
  <si>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</si>
  <si>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</si>
  <si>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</si>
  <si>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</si>
  <si>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</si>
  <si>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</si>
  <si>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</si>
  <si>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</si>
  <si>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</si>
  <si>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</si>
  <si>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Sample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</si>
  <si>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</si>
  <si>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</si>
  <si>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</si>
  <si>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</si>
  <si>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</si>
  <si>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</si>
  <si>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</si>
  <si>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</si>
  <si>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</si>
  <si>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</si>
  <si>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</si>
  <si>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</si>
  <si>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1M Tris pH 7.5</t>
  </si>
  <si>
    <t>Water</t>
  </si>
  <si>
    <t xml:space="preserve">Dry Sample in Vacuum Concentrator </t>
  </si>
  <si>
    <t xml:space="preserve">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</si>
  <si>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Denaturation Plate</t>
  </si>
  <si>
    <t>8M GnHCl</t>
  </si>
  <si>
    <t>500mM DTT</t>
  </si>
  <si>
    <t>500mM IAA</t>
  </si>
  <si>
    <t xml:space="preserve">Desalting Plate </t>
  </si>
  <si>
    <t>100mM Tris pH 7.5</t>
  </si>
  <si>
    <t xml:space="preserve">Digestion Plate </t>
  </si>
  <si>
    <t>Measure Concentrations</t>
  </si>
  <si>
    <t xml:space="preserve">measure concentrations on Nanodrop and input the values into the worklist. </t>
  </si>
  <si>
    <t>0.2 mg/mL Trypsin/LysC</t>
  </si>
  <si>
    <t>TFA</t>
  </si>
  <si>
    <t>Completed</t>
  </si>
  <si>
    <t xml:space="preserve">Hamilton Run Finished Successfully </t>
  </si>
  <si>
    <t>[Heater]</t>
  </si>
  <si>
    <t>[Start Heat]</t>
  </si>
  <si>
    <t>[ID]</t>
  </si>
  <si>
    <t>[Temp]</t>
  </si>
  <si>
    <t>Step Title: Liquid Transfer</t>
  </si>
  <si>
    <t>Source: 1M Tris pH 7.5</t>
  </si>
  <si>
    <t>Liquid Type: Buffer/Diluent</t>
  </si>
  <si>
    <t>Storage Condition: Ambient</t>
  </si>
  <si>
    <t>Volume (uL): 10.0</t>
  </si>
  <si>
    <t>Mix?: Yes</t>
  </si>
  <si>
    <t>Test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</si>
  <si>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</si>
  <si>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</si>
  <si>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</si>
  <si>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</si>
  <si>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</si>
  <si>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</si>
  <si>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</si>
  <si>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</si>
  <si>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</si>
  <si>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</si>
  <si>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Source: Water</t>
  </si>
  <si>
    <t>Volume (uL): 35.0</t>
  </si>
  <si>
    <t>##4.1##</t>
  </si>
  <si>
    <t>Step Title: Notify</t>
  </si>
  <si>
    <t>Wait On User: Yes</t>
  </si>
  <si>
    <t xml:space="preserve">Subject: Dry Sample in Vacuum Concentrator </t>
  </si>
  <si>
    <t xml:space="preserve">Message: Please load the diluted sample into Labconco vacuum concentrator at 40C for 10 minutes for a target final volume of 15uL and target final concentration of 1.5 mg/mL.  Measure concentrations (minimum concentration required is 1.25mg/mL). Record the concentrations into the worklist column. </t>
  </si>
  <si>
    <t>[Notify]</t>
  </si>
  <si>
    <t>[SendMessage]</t>
  </si>
  <si>
    <t>[Wait]</t>
  </si>
  <si>
    <t>[Subject]</t>
  </si>
  <si>
    <t>[Message]</t>
  </si>
  <si>
    <t>Step Title: Plate</t>
  </si>
  <si>
    <t>Name: Denaturation Plate</t>
  </si>
  <si>
    <t>Type: 96 Well PCR Plate</t>
  </si>
  <si>
    <t>Volume (uL): 15.0</t>
  </si>
  <si>
    <t>##8.1##</t>
  </si>
  <si>
    <t>Source: 8M GnHCl</t>
  </si>
  <si>
    <t>Liquid Type: Denaturant</t>
  </si>
  <si>
    <t>Volume (uL): 70.0</t>
  </si>
  <si>
    <t>##9.1##</t>
  </si>
  <si>
    <t>Source: 500mM DTT</t>
  </si>
  <si>
    <t>Liquid Type: Reductant</t>
  </si>
  <si>
    <t>Volume (uL): 1.25</t>
  </si>
  <si>
    <t>##10.1##</t>
  </si>
  <si>
    <t>Step Title: Incubate</t>
  </si>
  <si>
    <t>Temp (C): 37.0</t>
  </si>
  <si>
    <t>Time (min): 60.0</t>
  </si>
  <si>
    <t>Shake (rpm): 0.0</t>
  </si>
  <si>
    <t>[Timer]</t>
  </si>
  <si>
    <t>[Start]</t>
  </si>
  <si>
    <t>[Time]</t>
  </si>
  <si>
    <t>##11.1##</t>
  </si>
  <si>
    <t>##11.2##</t>
  </si>
  <si>
    <t>[Stop Heat]</t>
  </si>
  <si>
    <t>Source: 500mM IAA</t>
  </si>
  <si>
    <t>Liquid Type: Alkylant</t>
  </si>
  <si>
    <t>Volume (uL): 1.9</t>
  </si>
  <si>
    <t>Excel Location (Row,Col): (78,3)</t>
  </si>
  <si>
    <t>Temp (C): 25.0</t>
  </si>
  <si>
    <t>Performing Desalting Equilibration</t>
  </si>
  <si>
    <t>[Desalt]</t>
  </si>
  <si>
    <t>[Equilibrate]</t>
  </si>
  <si>
    <t>##13.1##</t>
  </si>
  <si>
    <t>Excel Location (Row,Col): (83,3)</t>
  </si>
  <si>
    <t xml:space="preserve">Name: Desalting Plate </t>
  </si>
  <si>
    <t>Step Title: Desalt</t>
  </si>
  <si>
    <t>Excel Location (Row,Col): (87,3)</t>
  </si>
  <si>
    <t>Source: Denaturation Plate</t>
  </si>
  <si>
    <t>Equilibration Buffer: 100mM Tris pH 7.5</t>
  </si>
  <si>
    <t>Type: SizeX:100</t>
  </si>
  <si>
    <t>Equilibration already performed. Skipping Equilibration</t>
  </si>
  <si>
    <t>[Process]</t>
  </si>
  <si>
    <t>##15.1##</t>
  </si>
  <si>
    <t>Excel Location (Row,Col): (92,3)</t>
  </si>
  <si>
    <t xml:space="preserve">Name: Digestion Plate </t>
  </si>
  <si>
    <t>Subject: Measure Concentrations</t>
  </si>
  <si>
    <t xml:space="preserve">Message: measure concentrations on Nanodrop and input the values into the worklist. </t>
  </si>
  <si>
    <t>##17.1##</t>
  </si>
  <si>
    <t>Step Title: Dilute</t>
  </si>
  <si>
    <t xml:space="preserve">Source: Desalting Plate </t>
  </si>
  <si>
    <t>Diluent: 100mM Tris pH 7.5</t>
  </si>
  <si>
    <t>Target Concentration (mg/mL): 0.1125</t>
  </si>
  <si>
    <t>Target Volume (uL): 100.0</t>
  </si>
  <si>
    <t>##18.1##</t>
  </si>
  <si>
    <t>Source: 0.2 mg/mL Trypsin/LysC</t>
  </si>
  <si>
    <t>Liquid Type: Enzyme</t>
  </si>
  <si>
    <t>Storage Condition: Cold</t>
  </si>
  <si>
    <t>Volume (uL): 1.875</t>
  </si>
  <si>
    <t>##19.1##</t>
  </si>
  <si>
    <t>Source: TFA</t>
  </si>
  <si>
    <t>Liquid Type: Quench</t>
  </si>
  <si>
    <t>Volume (uL): 3.75</t>
  </si>
  <si>
    <t>Wait On User: No</t>
  </si>
  <si>
    <t>Subject: Completed</t>
  </si>
  <si>
    <t xml:space="preserve">Message: Hamilton Run Finished Successfully </t>
  </si>
  <si>
    <t>Step Title: Finish</t>
  </si>
  <si>
    <t>Digestion Plate  plate deactivated</t>
  </si>
  <si>
    <t>Denaturation Plate: 200uL Biorad 96 Well PCR Plate</t>
  </si>
  <si>
    <t>15mL Centrifuge Tube</t>
  </si>
  <si>
    <t>Minimum Volume: 570.0uL</t>
  </si>
  <si>
    <t>Reagent</t>
  </si>
  <si>
    <t>Reagent Lot</t>
  </si>
  <si>
    <t>Reagent Volume</t>
  </si>
  <si>
    <t>Diluent Lot</t>
  </si>
  <si>
    <t>Diluent Volume</t>
  </si>
  <si>
    <t>200mL Reagent Trough</t>
  </si>
  <si>
    <t>Hamilton 1.5mL FlipTube</t>
  </si>
  <si>
    <t>Minimum Volume: 151.88uL</t>
  </si>
  <si>
    <t>Minimum Volume: 153.75uL</t>
  </si>
  <si>
    <t>Minimum Volume: 151.9uL</t>
  </si>
  <si>
    <t>Minimum Volume: 151.25uL</t>
  </si>
  <si>
    <t>60mL Reagent Reservior</t>
  </si>
  <si>
    <t>Minimum Volume: 2535.0uL</t>
  </si>
  <si>
    <t>Minimum Volume: 2525.0uL</t>
  </si>
  <si>
    <t xml:space="preserve">Starting Concentration (mg/mL): Desalting Concentration (Worklist Column) </t>
  </si>
  <si>
    <t>Excel Location (Row,Col): (9,3)</t>
  </si>
  <si>
    <t>Excel Location (Row,Col): (16,3)</t>
  </si>
  <si>
    <t>Excel Location (Row,Col): (23,3)</t>
  </si>
  <si>
    <t>Excel Location (Row,Col): (29,3)</t>
  </si>
  <si>
    <t>Excel Location (Row,Col): (36,3)</t>
  </si>
  <si>
    <t>Excel Location (Row,Col): (43,3)</t>
  </si>
  <si>
    <t>Excel Location (Row,Col): (50,3)</t>
  </si>
  <si>
    <t>Excel Location (Row,Col): (57,3)</t>
  </si>
  <si>
    <t>Excel Location (Row,Col): (62,3)</t>
  </si>
  <si>
    <t>Excel Location (Row,Col): (69,3)</t>
  </si>
  <si>
    <t>Excel Location (Row,Col): (74,3)</t>
  </si>
  <si>
    <t>Step Title: Preload Liquid</t>
  </si>
  <si>
    <t>Excel Location (Row,Col): (6,3)</t>
  </si>
  <si>
    <t>Volume: 45.0</t>
  </si>
  <si>
    <t>##5.1##</t>
  </si>
  <si>
    <t>Excel Location (Row,Col): (33,3)</t>
  </si>
  <si>
    <t>Volume: 15.0</t>
  </si>
  <si>
    <t>##12.1##</t>
  </si>
  <si>
    <t>##13.2##</t>
  </si>
  <si>
    <t>##13.3##</t>
  </si>
  <si>
    <t>##20.1##</t>
  </si>
  <si>
    <t>##21.1##</t>
  </si>
  <si>
    <t>B2: 13.150000000000006uL</t>
  </si>
  <si>
    <t>Sample: 200uL Biorad 96 Well PCR Plate</t>
  </si>
  <si>
    <t>B2: 100.0uL</t>
  </si>
  <si>
    <t>Max Source Volume (uL)</t>
  </si>
  <si>
    <t>Max Source Volume (uL): 70.0</t>
  </si>
  <si>
    <t>Excel Location (Row,Col): (100,3)</t>
  </si>
  <si>
    <t>Excel Location (Row,Col): (107,3)</t>
  </si>
  <si>
    <t>Excel Location (Row,Col): (114,3)</t>
  </si>
  <si>
    <t>Excel Location (Row,Col): (119,3)</t>
  </si>
  <si>
    <t>Volume is out of range for Position [10]. Performing automatic correction to upper and lower limits. (Source,Diluent): 0 &gt; (1125.0,-1025.0) &gt; 70.0</t>
  </si>
  <si>
    <t>##18.2##</t>
  </si>
  <si>
    <t>Minimum Volume: 7030.0uL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</si>
</sst>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5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7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  <xf numFmtId="0" fontId="6" fillId="0" borderId="23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0" fontId="0" fillId="0" borderId="16" xfId="0" applyBorder="1"/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31</v>
      </c>
      <c r="C3" s="38"/>
      <c r="D3" s="38" t="s">
        <v>53</v>
      </c>
      <c r="F3" s="68" t="s">
        <v>26</v>
      </c>
      <c r="G3" s="68"/>
      <c r="H3" s="68"/>
      <c r="I3" s="68"/>
      <c r="J3" s="68"/>
      <c r="K3" s="68"/>
      <c r="L3" s="68"/>
    </row>
    <row r="4" spans="2:12" x14ac:dyDescent="0.25">
      <c r="B4" t="s">
        <v>34</v>
      </c>
      <c r="D4" s="41" t="s">
        <v>67</v>
      </c>
      <c r="F4" s="38" t="s">
        <v>0</v>
      </c>
      <c r="G4" s="38" t="s">
        <v>16</v>
      </c>
      <c r="H4" s="38" t="s">
        <v>5</v>
      </c>
      <c r="I4" s="38" t="s">
        <v>21</v>
      </c>
      <c r="J4" s="38" t="s">
        <v>46</v>
      </c>
      <c r="K4" s="38" t="s">
        <v>39</v>
      </c>
      <c r="L4" s="38" t="s">
        <v>55</v>
      </c>
    </row>
    <row r="5" spans="2:12" x14ac:dyDescent="0.25">
      <c r="B5" t="s">
        <v>56</v>
      </c>
      <c r="D5" s="41" t="s">
        <v>68</v>
      </c>
      <c r="F5" t="s">
        <v>0</v>
      </c>
      <c r="G5" t="s">
        <v>16</v>
      </c>
      <c r="H5" t="s">
        <v>5</v>
      </c>
      <c r="I5" t="s">
        <v>21</v>
      </c>
      <c r="J5" t="s">
        <v>46</v>
      </c>
      <c r="K5" t="s">
        <v>39</v>
      </c>
      <c r="L5" t="s">
        <v>55</v>
      </c>
    </row>
    <row r="6" spans="2:12" x14ac:dyDescent="0.25">
      <c r="B6" t="s">
        <v>32</v>
      </c>
      <c r="D6" s="41"/>
      <c r="F6" t="s">
        <v>27</v>
      </c>
      <c r="G6" t="s">
        <v>28</v>
      </c>
      <c r="H6" t="s">
        <v>29</v>
      </c>
      <c r="I6" t="s">
        <v>30</v>
      </c>
      <c r="J6" t="s">
        <v>47</v>
      </c>
      <c r="K6" t="s">
        <v>40</v>
      </c>
      <c r="L6" t="s">
        <v>57</v>
      </c>
    </row>
    <row r="7" spans="2:12" x14ac:dyDescent="0.25">
      <c r="B7" t="s">
        <v>58</v>
      </c>
      <c r="D7" s="41"/>
    </row>
    <row r="9" spans="2:12" x14ac:dyDescent="0.25">
      <c r="B9" s="38" t="s">
        <v>54</v>
      </c>
      <c r="D9" s="35" t="s">
        <v>50</v>
      </c>
    </row>
    <row r="10" spans="2:12" x14ac:dyDescent="0.25">
      <c r="B10" t="s">
        <v>61</v>
      </c>
      <c r="D10" s="24" t="s">
        <v>42</v>
      </c>
    </row>
    <row r="11" spans="2:12" x14ac:dyDescent="0.25">
      <c r="B11" t="s">
        <v>62</v>
      </c>
      <c r="D11" s="24" t="s">
        <v>43</v>
      </c>
    </row>
    <row r="12" spans="2:12" x14ac:dyDescent="0.25">
      <c r="B12" t="s">
        <v>63</v>
      </c>
    </row>
    <row r="13" spans="2:12" x14ac:dyDescent="0.25">
      <c r="B13" t="s">
        <v>64</v>
      </c>
      <c r="D13" s="38" t="s">
        <v>74</v>
      </c>
    </row>
    <row r="14" spans="2:12" x14ac:dyDescent="0.25">
      <c r="B14" t="s">
        <v>65</v>
      </c>
      <c r="D14" t="s">
        <v>75</v>
      </c>
    </row>
    <row r="15" spans="2:12" x14ac:dyDescent="0.25">
      <c r="B15" t="s">
        <v>66</v>
      </c>
      <c r="D15" t="s">
        <v>76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86</v>
      </c>
    </row>
    <row r="19" spans="2:4" x14ac:dyDescent="0.25">
      <c r="B19" s="38" t="s">
        <v>52</v>
      </c>
      <c r="D19" t="s">
        <v>87</v>
      </c>
    </row>
    <row r="20" spans="2:4" x14ac:dyDescent="0.25">
      <c r="B20" t="s">
        <v>59</v>
      </c>
      <c r="D20" t="s">
        <v>85</v>
      </c>
    </row>
    <row r="21" spans="2:4" x14ac:dyDescent="0.25">
      <c r="B21" t="s">
        <v>60</v>
      </c>
      <c r="D21" t="s">
        <v>88</v>
      </c>
    </row>
    <row r="22" spans="2:4" x14ac:dyDescent="0.25">
      <c r="D22" t="s">
        <v>89</v>
      </c>
    </row>
    <row r="24" spans="2:4" x14ac:dyDescent="0.25">
      <c r="D24" s="38" t="s">
        <v>90</v>
      </c>
    </row>
    <row r="25" spans="2:4" x14ac:dyDescent="0.25">
      <c r="D25" t="s">
        <v>91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0"/>
  <sheetViews>
    <sheetView zoomScale="80" zoomScaleNormal="80" workbookViewId="0">
      <selection activeCell="K15" sqref="K15:M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101" t="s">
        <v>78</v>
      </c>
      <c r="D2" s="102"/>
      <c r="E2" s="103"/>
      <c r="G2" s="107" t="s">
        <v>79</v>
      </c>
      <c r="H2" s="108"/>
      <c r="I2" s="109"/>
      <c r="K2" s="107" t="s">
        <v>80</v>
      </c>
      <c r="L2" s="108"/>
      <c r="M2" s="109"/>
    </row>
    <row r="3" spans="3:13" ht="15.75" thickBot="1" x14ac:dyDescent="0.3">
      <c r="C3" s="104"/>
      <c r="D3" s="105"/>
      <c r="E3" s="106"/>
      <c r="G3" s="110"/>
      <c r="H3" s="111"/>
      <c r="I3" s="112"/>
      <c r="K3" s="110"/>
      <c r="L3" s="111"/>
      <c r="M3" s="112"/>
    </row>
    <row r="4" spans="3:13" ht="15.75" thickBot="1" x14ac:dyDescent="0.3"/>
    <row r="5" spans="3:13" x14ac:dyDescent="0.25">
      <c r="C5" s="83" t="s">
        <v>2</v>
      </c>
      <c r="D5" s="84"/>
      <c r="E5" s="42" t="s">
        <v>15</v>
      </c>
      <c r="G5" s="120" t="s">
        <v>0</v>
      </c>
      <c r="H5" s="121"/>
      <c r="I5" s="29" t="s">
        <v>15</v>
      </c>
      <c r="K5" s="81" t="s">
        <v>72</v>
      </c>
      <c r="L5" s="82"/>
      <c r="M5" s="46" t="s">
        <v>15</v>
      </c>
    </row>
    <row r="6" spans="3:13" x14ac:dyDescent="0.25">
      <c r="C6" s="31" t="s">
        <v>1</v>
      </c>
      <c r="D6" s="34"/>
      <c r="E6" s="94"/>
      <c r="G6" s="3" t="s">
        <v>38</v>
      </c>
      <c r="H6" s="13"/>
      <c r="I6" s="72"/>
      <c r="K6" s="5" t="s">
        <v>38</v>
      </c>
      <c r="L6" s="20"/>
      <c r="M6" s="78"/>
    </row>
    <row r="7" spans="3:13" ht="15.75" thickBot="1" x14ac:dyDescent="0.3">
      <c r="C7" s="43" t="s">
        <v>25</v>
      </c>
      <c r="D7" s="33"/>
      <c r="E7" s="95"/>
      <c r="G7" s="3" t="s">
        <v>54</v>
      </c>
      <c r="H7" s="13"/>
      <c r="I7" s="73"/>
      <c r="K7" s="5" t="s">
        <v>81</v>
      </c>
      <c r="L7" s="20"/>
      <c r="M7" s="79"/>
    </row>
    <row r="8" spans="3:13" ht="15.75" thickBot="1" x14ac:dyDescent="0.3">
      <c r="G8" s="3" t="s">
        <v>52</v>
      </c>
      <c r="H8" s="13"/>
      <c r="I8" s="73"/>
      <c r="K8" s="6" t="s">
        <v>73</v>
      </c>
      <c r="L8" s="21" t="s">
        <v>75</v>
      </c>
      <c r="M8" s="80"/>
    </row>
    <row r="9" spans="3:13" ht="15.75" thickBot="1" x14ac:dyDescent="0.3">
      <c r="C9" s="115" t="s">
        <v>4</v>
      </c>
      <c r="D9" s="116"/>
      <c r="E9" s="25" t="s">
        <v>15</v>
      </c>
      <c r="G9" s="3" t="s">
        <v>11</v>
      </c>
      <c r="H9" s="13"/>
      <c r="I9" s="73"/>
    </row>
    <row r="10" spans="3:13" ht="15.75" thickBot="1" x14ac:dyDescent="0.3">
      <c r="C10" s="9" t="s">
        <v>24</v>
      </c>
      <c r="D10" s="18"/>
      <c r="E10" s="117"/>
      <c r="G10" s="4" t="s">
        <v>41</v>
      </c>
      <c r="H10" s="14" t="s">
        <v>42</v>
      </c>
      <c r="I10" s="74"/>
      <c r="K10" s="81" t="s">
        <v>77</v>
      </c>
      <c r="L10" s="82"/>
      <c r="M10" s="46" t="s">
        <v>15</v>
      </c>
    </row>
    <row r="11" spans="3:13" ht="15.75" thickBot="1" x14ac:dyDescent="0.3">
      <c r="C11" s="9" t="s">
        <v>35</v>
      </c>
      <c r="D11" s="18"/>
      <c r="E11" s="118"/>
      <c r="K11" s="5" t="s">
        <v>38</v>
      </c>
      <c r="L11" s="20"/>
      <c r="M11" s="78"/>
    </row>
    <row r="12" spans="3:13" ht="15.75" thickBot="1" x14ac:dyDescent="0.3">
      <c r="C12" s="10" t="s">
        <v>36</v>
      </c>
      <c r="D12" s="19"/>
      <c r="E12" s="119"/>
      <c r="G12" s="113" t="s">
        <v>16</v>
      </c>
      <c r="H12" s="114"/>
      <c r="I12" s="26" t="s">
        <v>15</v>
      </c>
      <c r="K12" s="5" t="s">
        <v>82</v>
      </c>
      <c r="L12" s="20"/>
      <c r="M12" s="79"/>
    </row>
    <row r="13" spans="3:13" ht="15.75" thickBot="1" x14ac:dyDescent="0.3">
      <c r="G13" s="7" t="s">
        <v>38</v>
      </c>
      <c r="H13" s="15"/>
      <c r="I13" s="75"/>
      <c r="K13" s="6" t="s">
        <v>73</v>
      </c>
      <c r="L13" s="21" t="s">
        <v>75</v>
      </c>
      <c r="M13" s="80"/>
    </row>
    <row r="14" spans="3:13" ht="15.75" thickBot="1" x14ac:dyDescent="0.3">
      <c r="C14" s="83" t="s">
        <v>51</v>
      </c>
      <c r="D14" s="84"/>
      <c r="E14" s="39" t="s">
        <v>15</v>
      </c>
      <c r="G14" s="7" t="s">
        <v>3</v>
      </c>
      <c r="H14" s="15"/>
      <c r="I14" s="76"/>
    </row>
    <row r="15" spans="3:13" x14ac:dyDescent="0.25">
      <c r="C15" s="85"/>
      <c r="D15" s="86"/>
      <c r="E15" s="94"/>
      <c r="G15" s="7" t="s">
        <v>6</v>
      </c>
      <c r="H15" s="15"/>
      <c r="I15" s="76"/>
      <c r="K15" s="81" t="s">
        <v>94</v>
      </c>
      <c r="L15" s="82"/>
      <c r="M15" s="46" t="s">
        <v>15</v>
      </c>
    </row>
    <row r="16" spans="3:13" ht="15.75" thickBot="1" x14ac:dyDescent="0.3">
      <c r="C16" s="87"/>
      <c r="D16" s="88"/>
      <c r="E16" s="95"/>
      <c r="G16" s="7" t="s">
        <v>7</v>
      </c>
      <c r="H16" s="15"/>
      <c r="I16" s="76"/>
      <c r="K16" s="6" t="s">
        <v>95</v>
      </c>
      <c r="L16" s="21"/>
      <c r="M16" s="52"/>
    </row>
    <row r="17" spans="7:9" ht="15.75" thickBot="1" x14ac:dyDescent="0.3">
      <c r="G17" s="8" t="s">
        <v>10</v>
      </c>
      <c r="H17" s="16"/>
      <c r="I17" s="77"/>
    </row>
    <row r="18" spans="7:9" ht="15.75" thickBot="1" x14ac:dyDescent="0.3"/>
    <row r="19" spans="7:9" x14ac:dyDescent="0.25">
      <c r="G19" s="89" t="s">
        <v>39</v>
      </c>
      <c r="H19" s="90"/>
      <c r="I19" s="28" t="s">
        <v>15</v>
      </c>
    </row>
    <row r="20" spans="7:9" x14ac:dyDescent="0.25">
      <c r="G20" s="11" t="s">
        <v>12</v>
      </c>
      <c r="H20" s="22"/>
      <c r="I20" s="91"/>
    </row>
    <row r="21" spans="7:9" x14ac:dyDescent="0.25">
      <c r="G21" s="11" t="s">
        <v>9</v>
      </c>
      <c r="H21" s="22"/>
      <c r="I21" s="92"/>
    </row>
    <row r="22" spans="7:9" ht="15.75" thickBot="1" x14ac:dyDescent="0.3">
      <c r="G22" s="12" t="s">
        <v>20</v>
      </c>
      <c r="H22" s="23"/>
      <c r="I22" s="93"/>
    </row>
    <row r="23" spans="7:9" ht="15.75" thickBot="1" x14ac:dyDescent="0.3"/>
    <row r="24" spans="7:9" x14ac:dyDescent="0.25">
      <c r="G24" s="81" t="s">
        <v>5</v>
      </c>
      <c r="H24" s="82"/>
      <c r="I24" s="27" t="s">
        <v>15</v>
      </c>
    </row>
    <row r="25" spans="7:9" x14ac:dyDescent="0.25">
      <c r="G25" s="5" t="s">
        <v>38</v>
      </c>
      <c r="H25" s="20"/>
      <c r="I25" s="78"/>
    </row>
    <row r="26" spans="7:9" x14ac:dyDescent="0.25">
      <c r="G26" s="5" t="s">
        <v>37</v>
      </c>
      <c r="H26" s="20"/>
      <c r="I26" s="79"/>
    </row>
    <row r="27" spans="7:9" ht="15.75" thickBot="1" x14ac:dyDescent="0.3">
      <c r="G27" s="6" t="s">
        <v>25</v>
      </c>
      <c r="H27" s="21"/>
      <c r="I27" s="80"/>
    </row>
    <row r="28" spans="7:9" ht="15.75" thickBot="1" x14ac:dyDescent="0.3">
      <c r="G28" s="38"/>
    </row>
    <row r="29" spans="7:9" x14ac:dyDescent="0.25">
      <c r="G29" s="96" t="s">
        <v>44</v>
      </c>
      <c r="H29" s="97"/>
      <c r="I29" s="48" t="s">
        <v>15</v>
      </c>
    </row>
    <row r="30" spans="7:9" x14ac:dyDescent="0.25">
      <c r="G30" s="36" t="s">
        <v>38</v>
      </c>
      <c r="H30" s="49"/>
      <c r="I30" s="98"/>
    </row>
    <row r="31" spans="7:9" x14ac:dyDescent="0.25">
      <c r="G31" s="36" t="s">
        <v>11</v>
      </c>
      <c r="H31" s="50"/>
      <c r="I31" s="99"/>
    </row>
    <row r="32" spans="7:9" x14ac:dyDescent="0.25">
      <c r="G32" s="36" t="s">
        <v>84</v>
      </c>
      <c r="H32" s="50"/>
      <c r="I32" s="99"/>
    </row>
    <row r="33" spans="7:9" x14ac:dyDescent="0.25">
      <c r="G33" s="36" t="s">
        <v>92</v>
      </c>
      <c r="H33" s="50"/>
      <c r="I33" s="99"/>
    </row>
    <row r="34" spans="7:9" x14ac:dyDescent="0.25">
      <c r="G34" s="36" t="s">
        <v>69</v>
      </c>
      <c r="H34" s="50" t="s">
        <v>85</v>
      </c>
      <c r="I34" s="99"/>
    </row>
    <row r="35" spans="7:9" ht="15.75" thickBot="1" x14ac:dyDescent="0.3">
      <c r="G35" s="37" t="s">
        <v>93</v>
      </c>
      <c r="H35" s="51"/>
      <c r="I35" s="100"/>
    </row>
    <row r="36" spans="7:9" ht="15.75" thickBot="1" x14ac:dyDescent="0.3"/>
    <row r="37" spans="7:9" x14ac:dyDescent="0.25">
      <c r="G37" s="83" t="s">
        <v>21</v>
      </c>
      <c r="H37" s="84"/>
      <c r="I37" s="40" t="s">
        <v>15</v>
      </c>
    </row>
    <row r="38" spans="7:9" x14ac:dyDescent="0.25">
      <c r="G38" s="31" t="s">
        <v>49</v>
      </c>
      <c r="H38" s="32"/>
      <c r="I38" s="69"/>
    </row>
    <row r="39" spans="7:9" x14ac:dyDescent="0.25">
      <c r="G39" s="31" t="s">
        <v>22</v>
      </c>
      <c r="H39" s="45"/>
      <c r="I39" s="70"/>
    </row>
    <row r="40" spans="7:9" ht="15.75" thickBot="1" x14ac:dyDescent="0.3">
      <c r="G40" s="1" t="s">
        <v>23</v>
      </c>
      <c r="H40" s="44"/>
      <c r="I40" s="71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19:H19"/>
    <mergeCell ref="I20:I22"/>
    <mergeCell ref="G37:H37"/>
    <mergeCell ref="E15:E16"/>
    <mergeCell ref="G24:H24"/>
    <mergeCell ref="G29:H29"/>
    <mergeCell ref="I30:I35"/>
    <mergeCell ref="I38:I40"/>
    <mergeCell ref="I6:I10"/>
    <mergeCell ref="I13:I17"/>
    <mergeCell ref="I25:I27"/>
    <mergeCell ref="K15:L15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G24:H24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G37:H37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G19:H19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H38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H27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9C3BFE67-C386-4E42-8BE7-547226269234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F2350576-AF99-416F-8078-E004F22D192A}">
          <x14:formula1>
            <xm:f>'___Dropdown values'!$D$25</xm:f>
          </x14:formula1>
          <xm:sqref>H32:H33</xm:sqref>
        </x14:dataValidation>
        <x14:dataValidation type="list" allowBlank="1" showInputMessage="1" showErrorMessage="1" xr:uid="{3FE4D40D-E396-4437-A6E0-AAE27F6362BE}">
          <x14:formula1>
            <xm:f>'___Dropdown values'!$D$19:$D$22</xm:f>
          </x14:formula1>
          <xm:sqref>H34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22"/>
  <sheetViews>
    <sheetView tabSelected="1" zoomScale="90" zoomScaleNormal="90" workbookViewId="0">
      <selection activeCell="E94" sqref="E9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83" t="s">
        <v>2</v>
      </c>
      <c r="E2" s="84"/>
      <c r="F2" s="30" t="s">
        <v>15</v>
      </c>
    </row>
    <row r="3" spans="4:15" x14ac:dyDescent="0.25">
      <c r="D3" s="31" t="s">
        <v>1</v>
      </c>
      <c r="E3" s="34" t="s">
        <v>13</v>
      </c>
      <c r="F3" s="94" t="s">
        <v>45</v>
      </c>
    </row>
    <row r="4" spans="4:15" ht="15.75" thickBot="1" x14ac:dyDescent="0.3">
      <c r="D4" s="1" t="s">
        <v>25</v>
      </c>
      <c r="E4" s="17" t="s">
        <v>34</v>
      </c>
      <c r="F4" s="95"/>
    </row>
    <row r="6" spans="4:15" s="2" customFormat="1" ht="15.75" thickBot="1" x14ac:dyDescent="0.3">
      <c r="D6" s="136" t="s">
        <v>8</v>
      </c>
      <c r="E6" s="136"/>
    </row>
    <row r="7" spans="4:15" x14ac:dyDescent="0.25">
      <c r="D7" s="81" t="s">
        <v>94</v>
      </c>
      <c r="E7" s="82"/>
      <c r="F7" s="46" t="s">
        <v>15</v>
      </c>
      <c r="N7"/>
      <c r="O7"/>
    </row>
    <row r="8" spans="4:15" ht="15.75" thickBot="1" x14ac:dyDescent="0.3">
      <c r="D8" s="6" t="s">
        <v>95</v>
      </c>
      <c r="E8" s="21">
        <v>45</v>
      </c>
      <c r="F8" s="52"/>
      <c r="N8"/>
      <c r="O8"/>
    </row>
    <row r="9" spans="4:15" ht="15.75" thickBot="1" x14ac:dyDescent="0.3">
      <c r="D9" s="24"/>
      <c r="E9" s="24"/>
      <c r="N9"/>
      <c r="O9"/>
    </row>
    <row r="10" spans="4:15" x14ac:dyDescent="0.25">
      <c r="D10" s="120" t="s">
        <v>0</v>
      </c>
      <c r="E10" s="121"/>
      <c r="F10" s="29" t="s">
        <v>15</v>
      </c>
      <c r="N10"/>
      <c r="O10"/>
    </row>
    <row r="11" spans="4:15" x14ac:dyDescent="0.25">
      <c r="D11" s="3" t="s">
        <v>38</v>
      </c>
      <c r="E11" s="13" t="s">
        <v>96</v>
      </c>
      <c r="F11" s="124"/>
      <c r="N11"/>
      <c r="O11"/>
    </row>
    <row r="12" spans="4:15" x14ac:dyDescent="0.25">
      <c r="D12" s="3" t="s">
        <v>54</v>
      </c>
      <c r="E12" s="13" t="s">
        <v>65</v>
      </c>
      <c r="F12" s="125"/>
      <c r="N12"/>
      <c r="O12"/>
    </row>
    <row r="13" spans="4:15" x14ac:dyDescent="0.25">
      <c r="D13" s="3" t="s">
        <v>52</v>
      </c>
      <c r="E13" s="13" t="s">
        <v>59</v>
      </c>
      <c r="F13" s="125"/>
      <c r="N13"/>
      <c r="O13"/>
    </row>
    <row r="14" spans="4:15" x14ac:dyDescent="0.25">
      <c r="D14" s="3" t="s">
        <v>11</v>
      </c>
      <c r="E14" s="13">
        <v>10</v>
      </c>
      <c r="F14" s="125"/>
      <c r="N14"/>
      <c r="O14"/>
    </row>
    <row r="15" spans="4:15" ht="15.75" thickBot="1" x14ac:dyDescent="0.3">
      <c r="D15" s="4" t="s">
        <v>41</v>
      </c>
      <c r="E15" s="14" t="s">
        <v>42</v>
      </c>
      <c r="F15" s="126"/>
      <c r="N15"/>
      <c r="O15"/>
    </row>
    <row r="16" spans="4:15" ht="15.75" thickBot="1" x14ac:dyDescent="0.3">
      <c r="N16"/>
      <c r="O16"/>
    </row>
    <row r="17" spans="1:15" x14ac:dyDescent="0.25">
      <c r="D17" s="120" t="s">
        <v>0</v>
      </c>
      <c r="E17" s="121"/>
      <c r="F17" s="29" t="s">
        <v>15</v>
      </c>
      <c r="N17"/>
      <c r="O17"/>
    </row>
    <row r="18" spans="1:15" x14ac:dyDescent="0.25">
      <c r="A18" t="s">
        <v>71</v>
      </c>
      <c r="D18" s="3" t="s">
        <v>38</v>
      </c>
      <c r="E18" s="13" t="s">
        <v>97</v>
      </c>
      <c r="F18" s="124"/>
      <c r="N18"/>
      <c r="O18"/>
    </row>
    <row r="19" spans="1:15" x14ac:dyDescent="0.25">
      <c r="D19" s="3" t="s">
        <v>54</v>
      </c>
      <c r="E19" s="13" t="s">
        <v>65</v>
      </c>
      <c r="F19" s="125"/>
      <c r="N19"/>
      <c r="O19"/>
    </row>
    <row r="20" spans="1:15" x14ac:dyDescent="0.25">
      <c r="D20" s="3" t="s">
        <v>52</v>
      </c>
      <c r="E20" s="13" t="s">
        <v>59</v>
      </c>
      <c r="F20" s="125"/>
      <c r="N20"/>
      <c r="O20"/>
    </row>
    <row r="21" spans="1:15" x14ac:dyDescent="0.25">
      <c r="D21" s="3" t="s">
        <v>11</v>
      </c>
      <c r="E21" s="13">
        <v>35</v>
      </c>
      <c r="F21" s="125"/>
      <c r="N21"/>
      <c r="O21"/>
    </row>
    <row r="22" spans="1:15" ht="15.75" thickBot="1" x14ac:dyDescent="0.3">
      <c r="D22" s="4" t="s">
        <v>41</v>
      </c>
      <c r="E22" s="14" t="s">
        <v>42</v>
      </c>
      <c r="F22" s="126"/>
      <c r="N22"/>
      <c r="O22"/>
    </row>
    <row r="23" spans="1:15" ht="15.75" thickBot="1" x14ac:dyDescent="0.3">
      <c r="N23"/>
      <c r="O23"/>
    </row>
    <row r="24" spans="1:15" x14ac:dyDescent="0.25">
      <c r="D24" s="83" t="s">
        <v>21</v>
      </c>
      <c r="E24" s="84"/>
      <c r="F24" s="40" t="s">
        <v>15</v>
      </c>
      <c r="N24"/>
      <c r="O24"/>
    </row>
    <row r="25" spans="1:15" x14ac:dyDescent="0.25">
      <c r="D25" s="31" t="s">
        <v>49</v>
      </c>
      <c r="E25" s="32" t="s">
        <v>42</v>
      </c>
      <c r="F25" s="69"/>
      <c r="N25"/>
      <c r="O25"/>
    </row>
    <row r="26" spans="1:15" x14ac:dyDescent="0.25">
      <c r="D26" s="31" t="s">
        <v>22</v>
      </c>
      <c r="E26" s="53" t="s">
        <v>98</v>
      </c>
      <c r="F26" s="70"/>
      <c r="N26"/>
      <c r="O26"/>
    </row>
    <row r="27" spans="1:15" ht="90.75" thickBot="1" x14ac:dyDescent="0.3">
      <c r="D27" s="1" t="s">
        <v>23</v>
      </c>
      <c r="E27" s="44" t="s">
        <v>99</v>
      </c>
      <c r="F27" s="71"/>
      <c r="N27"/>
      <c r="O27"/>
    </row>
    <row r="28" spans="1:15" x14ac:dyDescent="0.25">
      <c r="E28" s="54"/>
      <c r="F28" s="55"/>
      <c r="N28"/>
      <c r="O28"/>
    </row>
    <row r="29" spans="1:15" ht="15.75" thickBot="1" x14ac:dyDescent="0.3">
      <c r="E29" s="54"/>
      <c r="F29" s="55"/>
      <c r="N29"/>
      <c r="O29"/>
    </row>
    <row r="30" spans="1:15" x14ac:dyDescent="0.25">
      <c r="D30" s="83" t="s">
        <v>2</v>
      </c>
      <c r="E30" s="84"/>
      <c r="F30" s="42" t="s">
        <v>15</v>
      </c>
      <c r="N30"/>
      <c r="O30"/>
    </row>
    <row r="31" spans="1:15" x14ac:dyDescent="0.25">
      <c r="D31" s="31" t="s">
        <v>1</v>
      </c>
      <c r="E31" s="56" t="s">
        <v>100</v>
      </c>
      <c r="F31" s="122"/>
      <c r="N31"/>
      <c r="O31"/>
    </row>
    <row r="32" spans="1:15" ht="15.75" thickBot="1" x14ac:dyDescent="0.3">
      <c r="D32" s="1" t="s">
        <v>25</v>
      </c>
      <c r="E32" s="33" t="s">
        <v>34</v>
      </c>
      <c r="F32" s="123"/>
      <c r="N32"/>
      <c r="O32"/>
    </row>
    <row r="33" spans="4:15" ht="15.75" thickBot="1" x14ac:dyDescent="0.3">
      <c r="D33" s="47"/>
      <c r="E33" s="47"/>
      <c r="F33" s="58"/>
      <c r="N33"/>
      <c r="O33"/>
    </row>
    <row r="34" spans="4:15" x14ac:dyDescent="0.25">
      <c r="D34" s="81" t="s">
        <v>94</v>
      </c>
      <c r="E34" s="82"/>
      <c r="F34" s="46" t="s">
        <v>15</v>
      </c>
      <c r="N34"/>
      <c r="O34"/>
    </row>
    <row r="35" spans="4:15" ht="15.75" thickBot="1" x14ac:dyDescent="0.3">
      <c r="D35" s="6" t="s">
        <v>95</v>
      </c>
      <c r="E35" s="21">
        <v>15</v>
      </c>
      <c r="F35" s="52"/>
      <c r="N35"/>
      <c r="O35"/>
    </row>
    <row r="36" spans="4:15" ht="15.75" thickBot="1" x14ac:dyDescent="0.3">
      <c r="N36"/>
      <c r="O36"/>
    </row>
    <row r="37" spans="4:15" x14ac:dyDescent="0.25">
      <c r="D37" s="120" t="s">
        <v>0</v>
      </c>
      <c r="E37" s="121"/>
      <c r="F37" s="29" t="s">
        <v>15</v>
      </c>
      <c r="N37"/>
      <c r="O37"/>
    </row>
    <row r="38" spans="4:15" x14ac:dyDescent="0.25">
      <c r="D38" s="3" t="s">
        <v>38</v>
      </c>
      <c r="E38" s="13" t="s">
        <v>96</v>
      </c>
      <c r="F38" s="124"/>
      <c r="N38"/>
      <c r="O38"/>
    </row>
    <row r="39" spans="4:15" x14ac:dyDescent="0.25">
      <c r="D39" s="3" t="s">
        <v>54</v>
      </c>
      <c r="E39" s="13" t="s">
        <v>65</v>
      </c>
      <c r="F39" s="125"/>
      <c r="N39"/>
      <c r="O39"/>
    </row>
    <row r="40" spans="4:15" x14ac:dyDescent="0.25">
      <c r="D40" s="3" t="s">
        <v>52</v>
      </c>
      <c r="E40" s="13" t="s">
        <v>59</v>
      </c>
      <c r="F40" s="125"/>
      <c r="N40"/>
      <c r="O40"/>
    </row>
    <row r="41" spans="4:15" x14ac:dyDescent="0.25">
      <c r="D41" s="3" t="s">
        <v>11</v>
      </c>
      <c r="E41" s="13">
        <v>15</v>
      </c>
      <c r="F41" s="125"/>
      <c r="N41"/>
      <c r="O41"/>
    </row>
    <row r="42" spans="4:15" ht="15.75" thickBot="1" x14ac:dyDescent="0.3">
      <c r="D42" s="4" t="s">
        <v>41</v>
      </c>
      <c r="E42" s="14" t="s">
        <v>42</v>
      </c>
      <c r="F42" s="126"/>
      <c r="N42"/>
      <c r="O42"/>
    </row>
    <row r="43" spans="4:15" ht="15.75" thickBot="1" x14ac:dyDescent="0.3">
      <c r="N43"/>
      <c r="O43"/>
    </row>
    <row r="44" spans="4:15" x14ac:dyDescent="0.25">
      <c r="D44" s="120" t="s">
        <v>0</v>
      </c>
      <c r="E44" s="121"/>
      <c r="F44" s="29" t="s">
        <v>15</v>
      </c>
      <c r="N44"/>
      <c r="O44"/>
    </row>
    <row r="45" spans="4:15" x14ac:dyDescent="0.25">
      <c r="D45" s="3" t="s">
        <v>38</v>
      </c>
      <c r="E45" s="13" t="s">
        <v>101</v>
      </c>
      <c r="F45" s="124"/>
      <c r="N45"/>
      <c r="O45"/>
    </row>
    <row r="46" spans="4:15" x14ac:dyDescent="0.25">
      <c r="D46" s="3" t="s">
        <v>54</v>
      </c>
      <c r="E46" s="13" t="s">
        <v>66</v>
      </c>
      <c r="F46" s="125"/>
      <c r="N46"/>
      <c r="O46"/>
    </row>
    <row r="47" spans="4:15" x14ac:dyDescent="0.25">
      <c r="D47" s="3" t="s">
        <v>52</v>
      </c>
      <c r="E47" s="13" t="s">
        <v>59</v>
      </c>
      <c r="F47" s="125"/>
      <c r="N47"/>
      <c r="O47"/>
    </row>
    <row r="48" spans="4:15" x14ac:dyDescent="0.25">
      <c r="D48" s="3" t="s">
        <v>11</v>
      </c>
      <c r="E48" s="13">
        <v>70</v>
      </c>
      <c r="F48" s="125"/>
      <c r="N48"/>
      <c r="O48"/>
    </row>
    <row r="49" spans="4:15" ht="15.75" thickBot="1" x14ac:dyDescent="0.3">
      <c r="D49" s="4" t="s">
        <v>41</v>
      </c>
      <c r="E49" s="14" t="s">
        <v>42</v>
      </c>
      <c r="F49" s="126"/>
      <c r="N49"/>
      <c r="O49"/>
    </row>
    <row r="50" spans="4:15" ht="15.75" thickBot="1" x14ac:dyDescent="0.3">
      <c r="N50"/>
      <c r="O50"/>
    </row>
    <row r="51" spans="4:15" x14ac:dyDescent="0.25">
      <c r="D51" s="120" t="s">
        <v>0</v>
      </c>
      <c r="E51" s="121"/>
      <c r="F51" s="29" t="s">
        <v>15</v>
      </c>
      <c r="N51"/>
      <c r="O51"/>
    </row>
    <row r="52" spans="4:15" x14ac:dyDescent="0.25">
      <c r="D52" s="3" t="s">
        <v>38</v>
      </c>
      <c r="E52" s="13" t="s">
        <v>102</v>
      </c>
      <c r="F52" s="124"/>
      <c r="N52"/>
      <c r="O52"/>
    </row>
    <row r="53" spans="4:15" x14ac:dyDescent="0.25">
      <c r="D53" s="3" t="s">
        <v>54</v>
      </c>
      <c r="E53" s="13" t="s">
        <v>62</v>
      </c>
      <c r="F53" s="125"/>
      <c r="N53"/>
      <c r="O53"/>
    </row>
    <row r="54" spans="4:15" x14ac:dyDescent="0.25">
      <c r="D54" s="3" t="s">
        <v>52</v>
      </c>
      <c r="E54" s="13" t="s">
        <v>59</v>
      </c>
      <c r="F54" s="125"/>
      <c r="N54"/>
      <c r="O54"/>
    </row>
    <row r="55" spans="4:15" x14ac:dyDescent="0.25">
      <c r="D55" s="3" t="s">
        <v>11</v>
      </c>
      <c r="E55" s="13">
        <v>1.25</v>
      </c>
      <c r="F55" s="125"/>
      <c r="N55"/>
      <c r="O55"/>
    </row>
    <row r="56" spans="4:15" ht="15.75" thickBot="1" x14ac:dyDescent="0.3">
      <c r="D56" s="4" t="s">
        <v>41</v>
      </c>
      <c r="E56" s="14" t="s">
        <v>42</v>
      </c>
      <c r="F56" s="126"/>
      <c r="N56"/>
      <c r="O56"/>
    </row>
    <row r="57" spans="4:15" ht="15.75" thickBot="1" x14ac:dyDescent="0.3">
      <c r="N57"/>
      <c r="O57"/>
    </row>
    <row r="58" spans="4:15" x14ac:dyDescent="0.25">
      <c r="D58" s="89" t="s">
        <v>39</v>
      </c>
      <c r="E58" s="90"/>
      <c r="F58" s="28" t="s">
        <v>15</v>
      </c>
      <c r="N58"/>
      <c r="O58"/>
    </row>
    <row r="59" spans="4:15" x14ac:dyDescent="0.25">
      <c r="D59" s="11" t="s">
        <v>12</v>
      </c>
      <c r="E59" s="22">
        <v>37</v>
      </c>
      <c r="F59" s="133"/>
      <c r="N59"/>
      <c r="O59"/>
    </row>
    <row r="60" spans="4:15" x14ac:dyDescent="0.25">
      <c r="D60" s="11" t="s">
        <v>9</v>
      </c>
      <c r="E60" s="22">
        <v>60</v>
      </c>
      <c r="F60" s="134"/>
      <c r="N60"/>
      <c r="O60"/>
    </row>
    <row r="61" spans="4:15" ht="15.75" thickBot="1" x14ac:dyDescent="0.3">
      <c r="D61" s="12" t="s">
        <v>20</v>
      </c>
      <c r="E61" s="23">
        <v>0</v>
      </c>
      <c r="F61" s="135"/>
      <c r="N61"/>
      <c r="O61"/>
    </row>
    <row r="62" spans="4:15" ht="15.75" thickBot="1" x14ac:dyDescent="0.3">
      <c r="N62"/>
      <c r="O62"/>
    </row>
    <row r="63" spans="4:15" x14ac:dyDescent="0.25">
      <c r="D63" s="120" t="s">
        <v>0</v>
      </c>
      <c r="E63" s="121"/>
      <c r="F63" s="29" t="s">
        <v>15</v>
      </c>
      <c r="N63"/>
      <c r="O63"/>
    </row>
    <row r="64" spans="4:15" x14ac:dyDescent="0.25">
      <c r="D64" s="3" t="s">
        <v>38</v>
      </c>
      <c r="E64" s="13" t="s">
        <v>103</v>
      </c>
      <c r="F64" s="124"/>
      <c r="N64"/>
      <c r="O64"/>
    </row>
    <row r="65" spans="4:15" x14ac:dyDescent="0.25">
      <c r="D65" s="3" t="s">
        <v>54</v>
      </c>
      <c r="E65" s="13" t="s">
        <v>63</v>
      </c>
      <c r="F65" s="125"/>
      <c r="N65"/>
      <c r="O65"/>
    </row>
    <row r="66" spans="4:15" x14ac:dyDescent="0.25">
      <c r="D66" s="3" t="s">
        <v>52</v>
      </c>
      <c r="E66" s="13" t="s">
        <v>59</v>
      </c>
      <c r="F66" s="125"/>
      <c r="N66"/>
      <c r="O66"/>
    </row>
    <row r="67" spans="4:15" x14ac:dyDescent="0.25">
      <c r="D67" s="3" t="s">
        <v>11</v>
      </c>
      <c r="E67" s="13">
        <v>1.9</v>
      </c>
      <c r="F67" s="125"/>
      <c r="N67"/>
      <c r="O67"/>
    </row>
    <row r="68" spans="4:15" ht="15.75" thickBot="1" x14ac:dyDescent="0.3">
      <c r="D68" s="4" t="s">
        <v>41</v>
      </c>
      <c r="E68" s="14" t="s">
        <v>42</v>
      </c>
      <c r="F68" s="126"/>
      <c r="N68"/>
      <c r="O68"/>
    </row>
    <row r="69" spans="4:15" ht="15.75" thickBot="1" x14ac:dyDescent="0.3">
      <c r="N69"/>
      <c r="O69"/>
    </row>
    <row r="70" spans="4:15" x14ac:dyDescent="0.25">
      <c r="D70" s="89" t="s">
        <v>39</v>
      </c>
      <c r="E70" s="90"/>
      <c r="F70" s="28" t="s">
        <v>15</v>
      </c>
      <c r="N70"/>
      <c r="O70"/>
    </row>
    <row r="71" spans="4:15" x14ac:dyDescent="0.25">
      <c r="D71" s="11" t="s">
        <v>12</v>
      </c>
      <c r="E71" s="22">
        <v>25</v>
      </c>
      <c r="F71" s="133"/>
      <c r="N71"/>
      <c r="O71"/>
    </row>
    <row r="72" spans="4:15" x14ac:dyDescent="0.25">
      <c r="D72" s="11" t="s">
        <v>9</v>
      </c>
      <c r="E72" s="22">
        <v>60</v>
      </c>
      <c r="F72" s="134"/>
      <c r="N72"/>
      <c r="O72"/>
    </row>
    <row r="73" spans="4:15" ht="15.75" thickBot="1" x14ac:dyDescent="0.3">
      <c r="D73" s="12" t="s">
        <v>20</v>
      </c>
      <c r="E73" s="23">
        <v>0</v>
      </c>
      <c r="F73" s="135"/>
      <c r="N73"/>
      <c r="O73"/>
    </row>
    <row r="74" spans="4:15" ht="15.75" thickBot="1" x14ac:dyDescent="0.3">
      <c r="N74"/>
      <c r="O74"/>
    </row>
    <row r="75" spans="4:15" x14ac:dyDescent="0.25">
      <c r="D75" s="83" t="s">
        <v>2</v>
      </c>
      <c r="E75" s="84"/>
      <c r="F75" s="42" t="s">
        <v>15</v>
      </c>
      <c r="N75"/>
      <c r="O75"/>
    </row>
    <row r="76" spans="4:15" x14ac:dyDescent="0.25">
      <c r="D76" s="31" t="s">
        <v>1</v>
      </c>
      <c r="E76" s="56" t="s">
        <v>104</v>
      </c>
      <c r="F76" s="122"/>
      <c r="N76"/>
      <c r="O76"/>
    </row>
    <row r="77" spans="4:15" ht="15.75" thickBot="1" x14ac:dyDescent="0.3">
      <c r="D77" s="1" t="s">
        <v>25</v>
      </c>
      <c r="E77" s="33" t="s">
        <v>34</v>
      </c>
      <c r="F77" s="123"/>
      <c r="N77"/>
      <c r="O77"/>
    </row>
    <row r="78" spans="4:15" ht="15.75" thickBot="1" x14ac:dyDescent="0.3">
      <c r="N78"/>
      <c r="O78"/>
    </row>
    <row r="79" spans="4:15" x14ac:dyDescent="0.25">
      <c r="D79" s="81" t="s">
        <v>5</v>
      </c>
      <c r="E79" s="82"/>
      <c r="F79" s="46" t="s">
        <v>15</v>
      </c>
      <c r="N79"/>
      <c r="O79"/>
    </row>
    <row r="80" spans="4:15" x14ac:dyDescent="0.25">
      <c r="D80" s="5" t="s">
        <v>38</v>
      </c>
      <c r="E80" s="20" t="str">
        <f>E31</f>
        <v>Denaturation Plate</v>
      </c>
      <c r="F80" s="130"/>
      <c r="N80"/>
      <c r="O80"/>
    </row>
    <row r="81" spans="4:15" x14ac:dyDescent="0.25">
      <c r="D81" s="5" t="s">
        <v>37</v>
      </c>
      <c r="E81" s="20" t="s">
        <v>105</v>
      </c>
      <c r="F81" s="131"/>
      <c r="N81"/>
      <c r="O81"/>
    </row>
    <row r="82" spans="4:15" ht="15.75" thickBot="1" x14ac:dyDescent="0.3">
      <c r="D82" s="6" t="s">
        <v>25</v>
      </c>
      <c r="E82" s="21" t="s">
        <v>67</v>
      </c>
      <c r="F82" s="132"/>
      <c r="N82"/>
      <c r="O82"/>
    </row>
    <row r="83" spans="4:15" ht="15.75" thickBot="1" x14ac:dyDescent="0.3">
      <c r="N83"/>
      <c r="O83"/>
    </row>
    <row r="84" spans="4:15" x14ac:dyDescent="0.25">
      <c r="D84" s="83" t="s">
        <v>2</v>
      </c>
      <c r="E84" s="84"/>
      <c r="F84" s="42" t="s">
        <v>15</v>
      </c>
      <c r="N84"/>
      <c r="O84"/>
    </row>
    <row r="85" spans="4:15" x14ac:dyDescent="0.25">
      <c r="D85" s="31" t="s">
        <v>1</v>
      </c>
      <c r="E85" s="56" t="s">
        <v>106</v>
      </c>
      <c r="F85" s="122"/>
      <c r="N85"/>
      <c r="O85"/>
    </row>
    <row r="86" spans="4:15" ht="15.75" thickBot="1" x14ac:dyDescent="0.3">
      <c r="D86" s="1" t="s">
        <v>25</v>
      </c>
      <c r="E86" s="33" t="s">
        <v>34</v>
      </c>
      <c r="F86" s="123"/>
      <c r="N86"/>
      <c r="O86"/>
    </row>
    <row r="87" spans="4:15" ht="15.75" thickBot="1" x14ac:dyDescent="0.3">
      <c r="F87" s="57"/>
      <c r="N87"/>
      <c r="O87"/>
    </row>
    <row r="88" spans="4:15" x14ac:dyDescent="0.25">
      <c r="D88" s="83" t="s">
        <v>21</v>
      </c>
      <c r="E88" s="84"/>
      <c r="F88" s="40" t="s">
        <v>15</v>
      </c>
      <c r="N88"/>
      <c r="O88"/>
    </row>
    <row r="89" spans="4:15" x14ac:dyDescent="0.25">
      <c r="D89" s="31" t="s">
        <v>49</v>
      </c>
      <c r="E89" s="32" t="s">
        <v>42</v>
      </c>
      <c r="F89" s="69"/>
      <c r="N89"/>
      <c r="O89"/>
    </row>
    <row r="90" spans="4:15" x14ac:dyDescent="0.25">
      <c r="D90" s="31" t="s">
        <v>22</v>
      </c>
      <c r="E90" s="45" t="s">
        <v>107</v>
      </c>
      <c r="F90" s="70"/>
      <c r="N90"/>
      <c r="O90"/>
    </row>
    <row r="91" spans="4:15" ht="30.75" thickBot="1" x14ac:dyDescent="0.3">
      <c r="D91" s="1" t="s">
        <v>23</v>
      </c>
      <c r="E91" s="44" t="s">
        <v>108</v>
      </c>
      <c r="F91" s="71"/>
      <c r="N91"/>
      <c r="O91"/>
    </row>
    <row r="92" spans="4:15" ht="15.75" thickBot="1" x14ac:dyDescent="0.3">
      <c r="N92"/>
      <c r="O92"/>
    </row>
    <row r="93" spans="4:15" x14ac:dyDescent="0.25">
      <c r="D93" s="113" t="s">
        <v>16</v>
      </c>
      <c r="E93" s="114"/>
      <c r="F93" s="26" t="s">
        <v>15</v>
      </c>
      <c r="N93"/>
      <c r="O93"/>
    </row>
    <row r="94" spans="4:15" x14ac:dyDescent="0.25">
      <c r="D94" s="7" t="s">
        <v>38</v>
      </c>
      <c r="E94" s="15" t="str">
        <f>E76</f>
        <v xml:space="preserve">Desalting Plate </v>
      </c>
      <c r="F94" s="127"/>
      <c r="N94"/>
      <c r="O94"/>
    </row>
    <row r="95" spans="4:15" x14ac:dyDescent="0.25">
      <c r="D95" s="7" t="s">
        <v>3</v>
      </c>
      <c r="E95" s="15" t="str">
        <f>E81</f>
        <v>100mM Tris pH 7.5</v>
      </c>
      <c r="F95" s="128"/>
      <c r="N95"/>
      <c r="O95"/>
    </row>
    <row r="96" spans="4:15" x14ac:dyDescent="0.25">
      <c r="D96" s="7" t="s">
        <v>6</v>
      </c>
      <c r="E96" s="15" t="str">
        <f>Worklist!F1</f>
        <v>Desalting Concentration</v>
      </c>
      <c r="F96" s="128"/>
      <c r="N96"/>
      <c r="O96"/>
    </row>
    <row r="97" spans="4:15" x14ac:dyDescent="0.25">
      <c r="D97" s="7" t="s">
        <v>7</v>
      </c>
      <c r="E97" s="15">
        <v>0.1125</v>
      </c>
      <c r="F97" s="128"/>
      <c r="N97"/>
      <c r="O97"/>
    </row>
    <row r="98" spans="4:15" x14ac:dyDescent="0.25">
      <c r="D98" s="7" t="s">
        <v>10</v>
      </c>
      <c r="E98" s="15">
        <v>100</v>
      </c>
      <c r="F98" s="128"/>
      <c r="N98"/>
      <c r="O98"/>
    </row>
    <row r="99" spans="4:15" ht="15.75" thickBot="1" x14ac:dyDescent="0.3">
      <c r="D99" s="8" t="s">
        <v>255</v>
      </c>
      <c r="E99" s="16">
        <v>70</v>
      </c>
      <c r="F99" s="129"/>
      <c r="N99"/>
      <c r="O99"/>
    </row>
    <row r="100" spans="4:15" ht="15.75" thickBot="1" x14ac:dyDescent="0.3">
      <c r="N100"/>
      <c r="O100"/>
    </row>
    <row r="101" spans="4:15" x14ac:dyDescent="0.25">
      <c r="D101" s="120" t="s">
        <v>0</v>
      </c>
      <c r="E101" s="121"/>
      <c r="F101" s="29" t="s">
        <v>15</v>
      </c>
      <c r="N101"/>
      <c r="O101"/>
    </row>
    <row r="102" spans="4:15" x14ac:dyDescent="0.25">
      <c r="D102" s="3" t="s">
        <v>38</v>
      </c>
      <c r="E102" s="13" t="s">
        <v>109</v>
      </c>
      <c r="F102" s="124"/>
      <c r="N102"/>
      <c r="O102"/>
    </row>
    <row r="103" spans="4:15" x14ac:dyDescent="0.25">
      <c r="D103" s="3" t="s">
        <v>54</v>
      </c>
      <c r="E103" s="13" t="s">
        <v>14</v>
      </c>
      <c r="F103" s="125"/>
      <c r="N103"/>
      <c r="O103"/>
    </row>
    <row r="104" spans="4:15" x14ac:dyDescent="0.25">
      <c r="D104" s="3" t="s">
        <v>52</v>
      </c>
      <c r="E104" s="13" t="s">
        <v>60</v>
      </c>
      <c r="F104" s="125"/>
      <c r="N104"/>
      <c r="O104"/>
    </row>
    <row r="105" spans="4:15" x14ac:dyDescent="0.25">
      <c r="D105" s="3" t="s">
        <v>11</v>
      </c>
      <c r="E105" s="13">
        <v>1.875</v>
      </c>
      <c r="F105" s="125"/>
      <c r="N105"/>
      <c r="O105"/>
    </row>
    <row r="106" spans="4:15" ht="15.75" thickBot="1" x14ac:dyDescent="0.3">
      <c r="D106" s="4" t="s">
        <v>41</v>
      </c>
      <c r="E106" s="14" t="s">
        <v>42</v>
      </c>
      <c r="F106" s="126"/>
      <c r="N106"/>
      <c r="O106"/>
    </row>
    <row r="107" spans="4:15" ht="15.75" thickBot="1" x14ac:dyDescent="0.3">
      <c r="N107"/>
      <c r="O107"/>
    </row>
    <row r="108" spans="4:15" x14ac:dyDescent="0.25">
      <c r="D108" s="120" t="s">
        <v>0</v>
      </c>
      <c r="E108" s="121"/>
      <c r="F108" s="29" t="s">
        <v>15</v>
      </c>
      <c r="N108"/>
      <c r="O108"/>
    </row>
    <row r="109" spans="4:15" x14ac:dyDescent="0.25">
      <c r="D109" s="3" t="s">
        <v>38</v>
      </c>
      <c r="E109" s="13" t="s">
        <v>110</v>
      </c>
      <c r="F109" s="124"/>
      <c r="N109"/>
      <c r="O109"/>
    </row>
    <row r="110" spans="4:15" x14ac:dyDescent="0.25">
      <c r="D110" s="3" t="s">
        <v>54</v>
      </c>
      <c r="E110" s="13" t="s">
        <v>64</v>
      </c>
      <c r="F110" s="125"/>
      <c r="N110"/>
      <c r="O110"/>
    </row>
    <row r="111" spans="4:15" x14ac:dyDescent="0.25">
      <c r="D111" s="3" t="s">
        <v>52</v>
      </c>
      <c r="E111" s="13" t="s">
        <v>59</v>
      </c>
      <c r="F111" s="125"/>
      <c r="N111"/>
      <c r="O111"/>
    </row>
    <row r="112" spans="4:15" x14ac:dyDescent="0.25">
      <c r="D112" s="3" t="s">
        <v>11</v>
      </c>
      <c r="E112" s="13">
        <v>3.75</v>
      </c>
      <c r="F112" s="125"/>
      <c r="N112"/>
      <c r="O112"/>
    </row>
    <row r="113" spans="4:15" ht="15.75" thickBot="1" x14ac:dyDescent="0.3">
      <c r="D113" s="4" t="s">
        <v>41</v>
      </c>
      <c r="E113" s="14" t="s">
        <v>42</v>
      </c>
      <c r="F113" s="126"/>
      <c r="N113"/>
      <c r="O113"/>
    </row>
    <row r="114" spans="4:15" ht="15.75" thickBot="1" x14ac:dyDescent="0.3">
      <c r="N114"/>
      <c r="O114"/>
    </row>
    <row r="115" spans="4:15" x14ac:dyDescent="0.25">
      <c r="D115" s="83" t="s">
        <v>21</v>
      </c>
      <c r="E115" s="84"/>
      <c r="F115" s="40" t="s">
        <v>15</v>
      </c>
      <c r="N115"/>
      <c r="O115"/>
    </row>
    <row r="116" spans="4:15" x14ac:dyDescent="0.25">
      <c r="D116" s="31" t="s">
        <v>49</v>
      </c>
      <c r="E116" s="32" t="s">
        <v>43</v>
      </c>
      <c r="F116" s="69"/>
      <c r="I116" s="24"/>
      <c r="J116" s="24"/>
      <c r="N116"/>
      <c r="O116"/>
    </row>
    <row r="117" spans="4:15" x14ac:dyDescent="0.25">
      <c r="D117" s="31" t="s">
        <v>22</v>
      </c>
      <c r="E117" s="45" t="s">
        <v>111</v>
      </c>
      <c r="F117" s="70"/>
      <c r="I117" s="24"/>
      <c r="J117" s="24"/>
      <c r="N117"/>
      <c r="O117"/>
    </row>
    <row r="118" spans="4:15" ht="15.75" thickBot="1" x14ac:dyDescent="0.3">
      <c r="D118" s="1" t="s">
        <v>23</v>
      </c>
      <c r="E118" s="44" t="s">
        <v>112</v>
      </c>
      <c r="F118" s="71"/>
    </row>
    <row r="119" spans="4:15" ht="15.75" thickBot="1" x14ac:dyDescent="0.3"/>
    <row r="120" spans="4:15" x14ac:dyDescent="0.25">
      <c r="D120" s="83" t="s">
        <v>51</v>
      </c>
      <c r="E120" s="84"/>
      <c r="F120" s="42" t="s">
        <v>15</v>
      </c>
    </row>
    <row r="121" spans="4:15" x14ac:dyDescent="0.25">
      <c r="D121" s="85"/>
      <c r="E121" s="86"/>
      <c r="F121" s="122"/>
    </row>
    <row r="122" spans="4:15" ht="15.75" thickBot="1" x14ac:dyDescent="0.3">
      <c r="D122" s="87"/>
      <c r="E122" s="88"/>
      <c r="F122" s="123"/>
    </row>
  </sheetData>
  <mergeCells count="44">
    <mergeCell ref="D93:E93"/>
    <mergeCell ref="F94:F99"/>
    <mergeCell ref="D2:E2"/>
    <mergeCell ref="F3:F4"/>
    <mergeCell ref="D6:E6"/>
    <mergeCell ref="D10:E10"/>
    <mergeCell ref="F11:F15"/>
    <mergeCell ref="D7:E7"/>
    <mergeCell ref="D17:E17"/>
    <mergeCell ref="F18:F22"/>
    <mergeCell ref="D24:E24"/>
    <mergeCell ref="F25:F27"/>
    <mergeCell ref="D30:E30"/>
    <mergeCell ref="F31:F32"/>
    <mergeCell ref="D37:E37"/>
    <mergeCell ref="F38:F42"/>
    <mergeCell ref="D44:E44"/>
    <mergeCell ref="F45:F49"/>
    <mergeCell ref="D34:E34"/>
    <mergeCell ref="D51:E51"/>
    <mergeCell ref="F52:F56"/>
    <mergeCell ref="D58:E58"/>
    <mergeCell ref="F59:F61"/>
    <mergeCell ref="D63:E63"/>
    <mergeCell ref="F64:F68"/>
    <mergeCell ref="D70:E70"/>
    <mergeCell ref="F71:F73"/>
    <mergeCell ref="D75:E75"/>
    <mergeCell ref="F76:F77"/>
    <mergeCell ref="D79:E79"/>
    <mergeCell ref="F80:F82"/>
    <mergeCell ref="D84:E84"/>
    <mergeCell ref="F85:F86"/>
    <mergeCell ref="D88:E88"/>
    <mergeCell ref="F89:F91"/>
    <mergeCell ref="D101:E101"/>
    <mergeCell ref="F102:F106"/>
    <mergeCell ref="D121:E122"/>
    <mergeCell ref="F121:F122"/>
    <mergeCell ref="D108:E108"/>
    <mergeCell ref="F109:F113"/>
    <mergeCell ref="D115:E115"/>
    <mergeCell ref="F116:F118"/>
    <mergeCell ref="D120:E1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"/>
  <sheetViews>
    <sheetView workbookViewId="0">
      <selection activeCell="F3" sqref="F3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6" x14ac:dyDescent="0.25">
      <c r="A1" t="s">
        <v>33</v>
      </c>
      <c r="B1" t="s">
        <v>48</v>
      </c>
      <c r="C1" t="s">
        <v>17</v>
      </c>
      <c r="D1" t="s">
        <v>83</v>
      </c>
      <c r="E1" t="s">
        <v>18</v>
      </c>
      <c r="F1" t="s">
        <v>70</v>
      </c>
    </row>
    <row r="2" spans="1:6" x14ac:dyDescent="0.25">
      <c r="A2">
        <f t="shared" ref="A2" si="0">ROW(A1)</f>
        <v>1</v>
      </c>
      <c r="B2">
        <f t="shared" ref="B2" si="1">A2</f>
        <v>1</v>
      </c>
      <c r="C2" t="s">
        <v>19</v>
      </c>
      <c r="D2">
        <f>A2</f>
        <v>1</v>
      </c>
      <c r="E2">
        <v>10</v>
      </c>
      <c r="F2">
        <v>0.01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BD17E-8D38-43F3-9E1A-3C307954EC22}">
  <dimension ref="B1:M70"/>
  <sheetViews>
    <sheetView topLeftCell="A46" workbookViewId="0"/>
  </sheetViews>
  <sheetFormatPr defaultRowHeight="15" x14ac:dyDescent="0.25"/>
  <cols>
    <col min="3" max="3" width="24.140625" bestFit="1" customWidth="1"/>
  </cols>
  <sheetData>
    <row r="1" spans="2:13" ht="15.75" thickBot="1" x14ac:dyDescent="0.3"/>
    <row r="2" spans="2:13" ht="27" thickBot="1" x14ac:dyDescent="0.45">
      <c r="B2" s="152" t="s">
        <v>212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4"/>
    </row>
    <row r="3" spans="2:13" x14ac:dyDescent="0.25">
      <c r="B3" s="61"/>
      <c r="C3" s="62"/>
      <c r="D3" s="62"/>
      <c r="E3" s="62"/>
      <c r="F3" s="62"/>
      <c r="G3" s="62"/>
      <c r="H3" s="62"/>
      <c r="I3" s="62"/>
      <c r="J3" s="62"/>
      <c r="K3" s="62"/>
      <c r="L3" s="62"/>
      <c r="M3" s="63"/>
    </row>
    <row r="4" spans="2:13" x14ac:dyDescent="0.25">
      <c r="B4" s="64"/>
      <c r="C4" s="65" t="s">
        <v>252</v>
      </c>
      <c r="D4" s="65"/>
      <c r="E4" s="65"/>
      <c r="F4" s="65"/>
      <c r="G4" s="65"/>
      <c r="H4" s="65"/>
      <c r="I4" s="65"/>
      <c r="J4" s="65"/>
      <c r="K4" s="65"/>
      <c r="L4" s="65"/>
      <c r="M4" s="66"/>
    </row>
    <row r="5" spans="2:13" x14ac:dyDescent="0.25">
      <c r="B5" s="64"/>
      <c r="C5" s="65"/>
      <c r="D5" s="65"/>
      <c r="E5" s="65"/>
      <c r="F5" s="65"/>
      <c r="G5" s="65"/>
      <c r="H5" s="65"/>
      <c r="I5" s="65"/>
      <c r="J5" s="65"/>
      <c r="K5" s="65"/>
      <c r="L5" s="65"/>
      <c r="M5" s="66"/>
    </row>
    <row r="6" spans="2:13" x14ac:dyDescent="0.25">
      <c r="B6" s="64"/>
      <c r="C6" s="65"/>
      <c r="D6" s="65"/>
      <c r="E6" s="65"/>
      <c r="F6" s="65"/>
      <c r="G6" s="65"/>
      <c r="H6" s="65"/>
      <c r="I6" s="65"/>
      <c r="J6" s="65"/>
      <c r="K6" s="65"/>
      <c r="L6" s="65"/>
      <c r="M6" s="66"/>
    </row>
    <row r="7" spans="2:13" x14ac:dyDescent="0.25">
      <c r="B7" s="64"/>
      <c r="C7" s="65"/>
      <c r="D7" s="65"/>
      <c r="E7" s="65"/>
      <c r="F7" s="65"/>
      <c r="G7" s="65"/>
      <c r="H7" s="65"/>
      <c r="I7" s="65"/>
      <c r="J7" s="65"/>
      <c r="K7" s="65"/>
      <c r="L7" s="65"/>
      <c r="M7" s="66"/>
    </row>
    <row r="8" spans="2:13" x14ac:dyDescent="0.25">
      <c r="B8" s="64"/>
      <c r="C8" s="65"/>
      <c r="D8" s="65"/>
      <c r="E8" s="65"/>
      <c r="F8" s="65"/>
      <c r="G8" s="65"/>
      <c r="H8" s="65"/>
      <c r="I8" s="65"/>
      <c r="J8" s="65"/>
      <c r="K8" s="65"/>
      <c r="L8" s="65"/>
      <c r="M8" s="66"/>
    </row>
    <row r="9" spans="2:13" x14ac:dyDescent="0.25">
      <c r="B9" s="64"/>
      <c r="C9" s="65"/>
      <c r="D9" s="65"/>
      <c r="E9" s="65"/>
      <c r="F9" s="65"/>
      <c r="G9" s="65"/>
      <c r="H9" s="65"/>
      <c r="I9" s="65"/>
      <c r="J9" s="65"/>
      <c r="K9" s="65"/>
      <c r="L9" s="65"/>
      <c r="M9" s="66"/>
    </row>
    <row r="10" spans="2:13" ht="15.75" thickBot="1" x14ac:dyDescent="0.3">
      <c r="B10" s="59"/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0"/>
    </row>
    <row r="12" spans="2:13" ht="15.75" thickBot="1" x14ac:dyDescent="0.3"/>
    <row r="13" spans="2:13" ht="27" thickBot="1" x14ac:dyDescent="0.45">
      <c r="B13" s="152" t="s">
        <v>253</v>
      </c>
      <c r="C13" s="153"/>
      <c r="D13" s="153"/>
      <c r="E13" s="153"/>
      <c r="F13" s="153"/>
      <c r="G13" s="153"/>
      <c r="H13" s="153"/>
      <c r="I13" s="153"/>
      <c r="J13" s="153"/>
      <c r="K13" s="153"/>
      <c r="L13" s="153"/>
      <c r="M13" s="154"/>
    </row>
    <row r="14" spans="2:13" x14ac:dyDescent="0.25">
      <c r="B14" s="61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3"/>
    </row>
    <row r="15" spans="2:13" x14ac:dyDescent="0.25">
      <c r="B15" s="64"/>
      <c r="C15" s="65" t="s">
        <v>254</v>
      </c>
      <c r="D15" s="65"/>
      <c r="E15" s="65"/>
      <c r="F15" s="65"/>
      <c r="G15" s="65"/>
      <c r="H15" s="65"/>
      <c r="I15" s="65"/>
      <c r="J15" s="65"/>
      <c r="K15" s="65"/>
      <c r="L15" s="65"/>
      <c r="M15" s="66"/>
    </row>
    <row r="16" spans="2:13" x14ac:dyDescent="0.25">
      <c r="B16" s="64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6"/>
    </row>
    <row r="17" spans="2:13" x14ac:dyDescent="0.25">
      <c r="B17" s="64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6"/>
    </row>
    <row r="18" spans="2:13" x14ac:dyDescent="0.25">
      <c r="B18" s="64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6"/>
    </row>
    <row r="19" spans="2:13" x14ac:dyDescent="0.25">
      <c r="B19" s="64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6"/>
    </row>
    <row r="20" spans="2:13" x14ac:dyDescent="0.25">
      <c r="B20" s="64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6"/>
    </row>
    <row r="21" spans="2:13" ht="15.75" thickBot="1" x14ac:dyDescent="0.3">
      <c r="B21" s="59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0"/>
    </row>
    <row r="25" spans="2:13" ht="15.75" thickBot="1" x14ac:dyDescent="0.3"/>
    <row r="26" spans="2:13" ht="19.5" thickBot="1" x14ac:dyDescent="0.35">
      <c r="B26" s="145" t="s">
        <v>101</v>
      </c>
      <c r="C26" s="146"/>
      <c r="D26" s="146"/>
      <c r="E26" s="146"/>
      <c r="F26" s="147"/>
      <c r="I26" s="145" t="s">
        <v>105</v>
      </c>
      <c r="J26" s="146"/>
      <c r="K26" s="146"/>
      <c r="L26" s="146"/>
      <c r="M26" s="147"/>
    </row>
    <row r="27" spans="2:13" ht="16.5" thickBot="1" x14ac:dyDescent="0.3">
      <c r="B27" s="148" t="s">
        <v>213</v>
      </c>
      <c r="C27" s="149"/>
      <c r="D27" s="149"/>
      <c r="E27" s="149"/>
      <c r="F27" s="150"/>
      <c r="I27" s="148" t="s">
        <v>220</v>
      </c>
      <c r="J27" s="149"/>
      <c r="K27" s="149"/>
      <c r="L27" s="149"/>
      <c r="M27" s="150"/>
    </row>
    <row r="28" spans="2:13" ht="16.5" thickBot="1" x14ac:dyDescent="0.3">
      <c r="B28" s="148" t="s">
        <v>214</v>
      </c>
      <c r="C28" s="149"/>
      <c r="D28" s="149"/>
      <c r="E28" s="149"/>
      <c r="F28" s="150"/>
      <c r="I28" s="148" t="s">
        <v>263</v>
      </c>
      <c r="J28" s="149"/>
      <c r="K28" s="149"/>
      <c r="L28" s="149"/>
      <c r="M28" s="150"/>
    </row>
    <row r="29" spans="2:13" x14ac:dyDescent="0.25">
      <c r="B29" s="151" t="s">
        <v>215</v>
      </c>
      <c r="C29" s="141"/>
      <c r="D29" s="141"/>
      <c r="E29" s="141"/>
      <c r="F29" s="142"/>
      <c r="I29" s="151" t="s">
        <v>215</v>
      </c>
      <c r="J29" s="141"/>
      <c r="K29" s="141"/>
      <c r="L29" s="141"/>
      <c r="M29" s="142"/>
    </row>
    <row r="30" spans="2:13" x14ac:dyDescent="0.25">
      <c r="B30" s="137" t="s">
        <v>216</v>
      </c>
      <c r="C30" s="138"/>
      <c r="D30" s="138"/>
      <c r="E30" s="138"/>
      <c r="F30" s="143"/>
      <c r="I30" s="137" t="s">
        <v>216</v>
      </c>
      <c r="J30" s="138"/>
      <c r="K30" s="138"/>
      <c r="L30" s="138"/>
      <c r="M30" s="143"/>
    </row>
    <row r="31" spans="2:13" x14ac:dyDescent="0.25">
      <c r="B31" s="137" t="s">
        <v>217</v>
      </c>
      <c r="C31" s="138"/>
      <c r="D31" s="138"/>
      <c r="E31" s="138"/>
      <c r="F31" s="143"/>
      <c r="I31" s="137" t="s">
        <v>217</v>
      </c>
      <c r="J31" s="138"/>
      <c r="K31" s="138"/>
      <c r="L31" s="138"/>
      <c r="M31" s="143"/>
    </row>
    <row r="32" spans="2:13" x14ac:dyDescent="0.25">
      <c r="B32" s="137" t="s">
        <v>3</v>
      </c>
      <c r="C32" s="138"/>
      <c r="D32" s="138"/>
      <c r="E32" s="138"/>
      <c r="F32" s="143"/>
      <c r="I32" s="137" t="s">
        <v>3</v>
      </c>
      <c r="J32" s="138"/>
      <c r="K32" s="138"/>
      <c r="L32" s="138"/>
      <c r="M32" s="143"/>
    </row>
    <row r="33" spans="2:13" x14ac:dyDescent="0.25">
      <c r="B33" s="137" t="s">
        <v>218</v>
      </c>
      <c r="C33" s="138"/>
      <c r="D33" s="138"/>
      <c r="E33" s="138"/>
      <c r="F33" s="143"/>
      <c r="I33" s="137" t="s">
        <v>218</v>
      </c>
      <c r="J33" s="138"/>
      <c r="K33" s="138"/>
      <c r="L33" s="138"/>
      <c r="M33" s="143"/>
    </row>
    <row r="34" spans="2:13" ht="15.75" thickBot="1" x14ac:dyDescent="0.3">
      <c r="B34" s="139" t="s">
        <v>219</v>
      </c>
      <c r="C34" s="140"/>
      <c r="D34" s="140"/>
      <c r="E34" s="140"/>
      <c r="F34" s="144"/>
      <c r="I34" s="139" t="s">
        <v>219</v>
      </c>
      <c r="J34" s="140"/>
      <c r="K34" s="140"/>
      <c r="L34" s="140"/>
      <c r="M34" s="144"/>
    </row>
    <row r="37" spans="2:13" ht="15.75" thickBot="1" x14ac:dyDescent="0.3"/>
    <row r="38" spans="2:13" ht="19.5" thickBot="1" x14ac:dyDescent="0.35">
      <c r="B38" s="145" t="s">
        <v>109</v>
      </c>
      <c r="C38" s="146"/>
      <c r="D38" s="146"/>
      <c r="E38" s="146"/>
      <c r="F38" s="147"/>
      <c r="I38" s="145" t="s">
        <v>110</v>
      </c>
      <c r="J38" s="146"/>
      <c r="K38" s="146"/>
      <c r="L38" s="146"/>
      <c r="M38" s="147"/>
    </row>
    <row r="39" spans="2:13" ht="16.5" thickBot="1" x14ac:dyDescent="0.3">
      <c r="B39" s="148" t="s">
        <v>221</v>
      </c>
      <c r="C39" s="149"/>
      <c r="D39" s="149"/>
      <c r="E39" s="149"/>
      <c r="F39" s="150"/>
      <c r="I39" s="148" t="s">
        <v>221</v>
      </c>
      <c r="J39" s="149"/>
      <c r="K39" s="149"/>
      <c r="L39" s="149"/>
      <c r="M39" s="150"/>
    </row>
    <row r="40" spans="2:13" ht="16.5" thickBot="1" x14ac:dyDescent="0.3">
      <c r="B40" s="148" t="s">
        <v>222</v>
      </c>
      <c r="C40" s="149"/>
      <c r="D40" s="149"/>
      <c r="E40" s="149"/>
      <c r="F40" s="150"/>
      <c r="I40" s="148" t="s">
        <v>223</v>
      </c>
      <c r="J40" s="149"/>
      <c r="K40" s="149"/>
      <c r="L40" s="149"/>
      <c r="M40" s="150"/>
    </row>
    <row r="41" spans="2:13" x14ac:dyDescent="0.25">
      <c r="B41" s="151" t="s">
        <v>215</v>
      </c>
      <c r="C41" s="141"/>
      <c r="D41" s="141"/>
      <c r="E41" s="141"/>
      <c r="F41" s="142"/>
      <c r="I41" s="151" t="s">
        <v>215</v>
      </c>
      <c r="J41" s="141"/>
      <c r="K41" s="141"/>
      <c r="L41" s="141"/>
      <c r="M41" s="142"/>
    </row>
    <row r="42" spans="2:13" x14ac:dyDescent="0.25">
      <c r="B42" s="137" t="s">
        <v>216</v>
      </c>
      <c r="C42" s="138"/>
      <c r="D42" s="138"/>
      <c r="E42" s="138"/>
      <c r="F42" s="143"/>
      <c r="I42" s="137" t="s">
        <v>216</v>
      </c>
      <c r="J42" s="138"/>
      <c r="K42" s="138"/>
      <c r="L42" s="138"/>
      <c r="M42" s="143"/>
    </row>
    <row r="43" spans="2:13" x14ac:dyDescent="0.25">
      <c r="B43" s="137" t="s">
        <v>217</v>
      </c>
      <c r="C43" s="138"/>
      <c r="D43" s="138"/>
      <c r="E43" s="138"/>
      <c r="F43" s="143"/>
      <c r="I43" s="137" t="s">
        <v>217</v>
      </c>
      <c r="J43" s="138"/>
      <c r="K43" s="138"/>
      <c r="L43" s="138"/>
      <c r="M43" s="143"/>
    </row>
    <row r="44" spans="2:13" x14ac:dyDescent="0.25">
      <c r="B44" s="137" t="s">
        <v>3</v>
      </c>
      <c r="C44" s="138"/>
      <c r="D44" s="138"/>
      <c r="E44" s="138"/>
      <c r="F44" s="143"/>
      <c r="I44" s="137" t="s">
        <v>3</v>
      </c>
      <c r="J44" s="138"/>
      <c r="K44" s="138"/>
      <c r="L44" s="138"/>
      <c r="M44" s="143"/>
    </row>
    <row r="45" spans="2:13" x14ac:dyDescent="0.25">
      <c r="B45" s="137" t="s">
        <v>218</v>
      </c>
      <c r="C45" s="138"/>
      <c r="D45" s="138"/>
      <c r="E45" s="138"/>
      <c r="F45" s="143"/>
      <c r="I45" s="137" t="s">
        <v>218</v>
      </c>
      <c r="J45" s="138"/>
      <c r="K45" s="138"/>
      <c r="L45" s="138"/>
      <c r="M45" s="143"/>
    </row>
    <row r="46" spans="2:13" ht="15.75" thickBot="1" x14ac:dyDescent="0.3">
      <c r="B46" s="139" t="s">
        <v>219</v>
      </c>
      <c r="C46" s="140"/>
      <c r="D46" s="140"/>
      <c r="E46" s="140"/>
      <c r="F46" s="144"/>
      <c r="I46" s="139" t="s">
        <v>219</v>
      </c>
      <c r="J46" s="140"/>
      <c r="K46" s="140"/>
      <c r="L46" s="140"/>
      <c r="M46" s="144"/>
    </row>
    <row r="49" spans="2:13" ht="15.75" thickBot="1" x14ac:dyDescent="0.3"/>
    <row r="50" spans="2:13" ht="19.5" thickBot="1" x14ac:dyDescent="0.35">
      <c r="B50" s="145" t="s">
        <v>103</v>
      </c>
      <c r="C50" s="146"/>
      <c r="D50" s="146"/>
      <c r="E50" s="146"/>
      <c r="F50" s="147"/>
      <c r="I50" s="145" t="s">
        <v>102</v>
      </c>
      <c r="J50" s="146"/>
      <c r="K50" s="146"/>
      <c r="L50" s="146"/>
      <c r="M50" s="147"/>
    </row>
    <row r="51" spans="2:13" ht="16.5" thickBot="1" x14ac:dyDescent="0.3">
      <c r="B51" s="148" t="s">
        <v>221</v>
      </c>
      <c r="C51" s="149"/>
      <c r="D51" s="149"/>
      <c r="E51" s="149"/>
      <c r="F51" s="150"/>
      <c r="I51" s="148" t="s">
        <v>221</v>
      </c>
      <c r="J51" s="149"/>
      <c r="K51" s="149"/>
      <c r="L51" s="149"/>
      <c r="M51" s="150"/>
    </row>
    <row r="52" spans="2:13" ht="16.5" thickBot="1" x14ac:dyDescent="0.3">
      <c r="B52" s="148" t="s">
        <v>224</v>
      </c>
      <c r="C52" s="149"/>
      <c r="D52" s="149"/>
      <c r="E52" s="149"/>
      <c r="F52" s="150"/>
      <c r="I52" s="148" t="s">
        <v>225</v>
      </c>
      <c r="J52" s="149"/>
      <c r="K52" s="149"/>
      <c r="L52" s="149"/>
      <c r="M52" s="150"/>
    </row>
    <row r="53" spans="2:13" x14ac:dyDescent="0.25">
      <c r="B53" s="151" t="s">
        <v>215</v>
      </c>
      <c r="C53" s="141"/>
      <c r="D53" s="141"/>
      <c r="E53" s="141"/>
      <c r="F53" s="142"/>
      <c r="I53" s="151" t="s">
        <v>215</v>
      </c>
      <c r="J53" s="141"/>
      <c r="K53" s="141"/>
      <c r="L53" s="141"/>
      <c r="M53" s="142"/>
    </row>
    <row r="54" spans="2:13" x14ac:dyDescent="0.25">
      <c r="B54" s="137" t="s">
        <v>216</v>
      </c>
      <c r="C54" s="138"/>
      <c r="D54" s="138"/>
      <c r="E54" s="138"/>
      <c r="F54" s="143"/>
      <c r="I54" s="137" t="s">
        <v>216</v>
      </c>
      <c r="J54" s="138"/>
      <c r="K54" s="138"/>
      <c r="L54" s="138"/>
      <c r="M54" s="143"/>
    </row>
    <row r="55" spans="2:13" x14ac:dyDescent="0.25">
      <c r="B55" s="137" t="s">
        <v>217</v>
      </c>
      <c r="C55" s="138"/>
      <c r="D55" s="138"/>
      <c r="E55" s="138"/>
      <c r="F55" s="143"/>
      <c r="I55" s="137" t="s">
        <v>217</v>
      </c>
      <c r="J55" s="138"/>
      <c r="K55" s="138"/>
      <c r="L55" s="138"/>
      <c r="M55" s="143"/>
    </row>
    <row r="56" spans="2:13" x14ac:dyDescent="0.25">
      <c r="B56" s="137" t="s">
        <v>3</v>
      </c>
      <c r="C56" s="138"/>
      <c r="D56" s="138"/>
      <c r="E56" s="138"/>
      <c r="F56" s="143"/>
      <c r="I56" s="137" t="s">
        <v>3</v>
      </c>
      <c r="J56" s="138"/>
      <c r="K56" s="138"/>
      <c r="L56" s="138"/>
      <c r="M56" s="143"/>
    </row>
    <row r="57" spans="2:13" x14ac:dyDescent="0.25">
      <c r="B57" s="137" t="s">
        <v>218</v>
      </c>
      <c r="C57" s="138"/>
      <c r="D57" s="138"/>
      <c r="E57" s="138"/>
      <c r="F57" s="143"/>
      <c r="I57" s="137" t="s">
        <v>218</v>
      </c>
      <c r="J57" s="138"/>
      <c r="K57" s="138"/>
      <c r="L57" s="138"/>
      <c r="M57" s="143"/>
    </row>
    <row r="58" spans="2:13" ht="15.75" thickBot="1" x14ac:dyDescent="0.3">
      <c r="B58" s="139" t="s">
        <v>219</v>
      </c>
      <c r="C58" s="140"/>
      <c r="D58" s="140"/>
      <c r="E58" s="140"/>
      <c r="F58" s="144"/>
      <c r="I58" s="139" t="s">
        <v>219</v>
      </c>
      <c r="J58" s="140"/>
      <c r="K58" s="140"/>
      <c r="L58" s="140"/>
      <c r="M58" s="144"/>
    </row>
    <row r="61" spans="2:13" ht="15.75" thickBot="1" x14ac:dyDescent="0.3"/>
    <row r="62" spans="2:13" ht="19.5" thickBot="1" x14ac:dyDescent="0.35">
      <c r="B62" s="145" t="s">
        <v>97</v>
      </c>
      <c r="C62" s="146"/>
      <c r="D62" s="146"/>
      <c r="E62" s="146"/>
      <c r="F62" s="147"/>
      <c r="I62" s="145" t="s">
        <v>96</v>
      </c>
      <c r="J62" s="146"/>
      <c r="K62" s="146"/>
      <c r="L62" s="146"/>
      <c r="M62" s="147"/>
    </row>
    <row r="63" spans="2:13" ht="16.5" thickBot="1" x14ac:dyDescent="0.3">
      <c r="B63" s="148" t="s">
        <v>226</v>
      </c>
      <c r="C63" s="149"/>
      <c r="D63" s="149"/>
      <c r="E63" s="149"/>
      <c r="F63" s="150"/>
      <c r="I63" s="148" t="s">
        <v>226</v>
      </c>
      <c r="J63" s="149"/>
      <c r="K63" s="149"/>
      <c r="L63" s="149"/>
      <c r="M63" s="150"/>
    </row>
    <row r="64" spans="2:13" ht="16.5" thickBot="1" x14ac:dyDescent="0.3">
      <c r="B64" s="148" t="s">
        <v>227</v>
      </c>
      <c r="C64" s="149"/>
      <c r="D64" s="149"/>
      <c r="E64" s="149"/>
      <c r="F64" s="150"/>
      <c r="I64" s="148" t="s">
        <v>228</v>
      </c>
      <c r="J64" s="149"/>
      <c r="K64" s="149"/>
      <c r="L64" s="149"/>
      <c r="M64" s="150"/>
    </row>
    <row r="65" spans="2:13" x14ac:dyDescent="0.25">
      <c r="B65" s="151" t="s">
        <v>215</v>
      </c>
      <c r="C65" s="141"/>
      <c r="D65" s="141"/>
      <c r="E65" s="141"/>
      <c r="F65" s="142"/>
      <c r="I65" s="151" t="s">
        <v>215</v>
      </c>
      <c r="J65" s="141"/>
      <c r="K65" s="141"/>
      <c r="L65" s="141"/>
      <c r="M65" s="142"/>
    </row>
    <row r="66" spans="2:13" x14ac:dyDescent="0.25">
      <c r="B66" s="137" t="s">
        <v>216</v>
      </c>
      <c r="C66" s="138"/>
      <c r="D66" s="138"/>
      <c r="E66" s="138"/>
      <c r="F66" s="143"/>
      <c r="I66" s="137" t="s">
        <v>216</v>
      </c>
      <c r="J66" s="138"/>
      <c r="K66" s="138"/>
      <c r="L66" s="138"/>
      <c r="M66" s="143"/>
    </row>
    <row r="67" spans="2:13" x14ac:dyDescent="0.25">
      <c r="B67" s="137" t="s">
        <v>217</v>
      </c>
      <c r="C67" s="138"/>
      <c r="D67" s="138"/>
      <c r="E67" s="138"/>
      <c r="F67" s="143"/>
      <c r="I67" s="137" t="s">
        <v>217</v>
      </c>
      <c r="J67" s="138"/>
      <c r="K67" s="138"/>
      <c r="L67" s="138"/>
      <c r="M67" s="143"/>
    </row>
    <row r="68" spans="2:13" x14ac:dyDescent="0.25">
      <c r="B68" s="137" t="s">
        <v>3</v>
      </c>
      <c r="C68" s="138"/>
      <c r="D68" s="138"/>
      <c r="E68" s="138"/>
      <c r="F68" s="143"/>
      <c r="I68" s="137" t="s">
        <v>3</v>
      </c>
      <c r="J68" s="138"/>
      <c r="K68" s="138"/>
      <c r="L68" s="138"/>
      <c r="M68" s="143"/>
    </row>
    <row r="69" spans="2:13" x14ac:dyDescent="0.25">
      <c r="B69" s="137" t="s">
        <v>218</v>
      </c>
      <c r="C69" s="138"/>
      <c r="D69" s="138"/>
      <c r="E69" s="138"/>
      <c r="F69" s="143"/>
      <c r="I69" s="137" t="s">
        <v>218</v>
      </c>
      <c r="J69" s="138"/>
      <c r="K69" s="138"/>
      <c r="L69" s="138"/>
      <c r="M69" s="143"/>
    </row>
    <row r="70" spans="2:13" ht="15.75" thickBot="1" x14ac:dyDescent="0.3">
      <c r="B70" s="139" t="s">
        <v>219</v>
      </c>
      <c r="C70" s="140"/>
      <c r="D70" s="140"/>
      <c r="E70" s="140"/>
      <c r="F70" s="144"/>
      <c r="I70" s="139" t="s">
        <v>219</v>
      </c>
      <c r="J70" s="140"/>
      <c r="K70" s="140"/>
      <c r="L70" s="140"/>
      <c r="M70" s="144"/>
    </row>
  </sheetData>
  <mergeCells count="122">
    <mergeCell ref="I68:J68"/>
    <mergeCell ref="I69:J69"/>
    <mergeCell ref="I70:J70"/>
    <mergeCell ref="K65:M65"/>
    <mergeCell ref="K66:M66"/>
    <mergeCell ref="K67:M67"/>
    <mergeCell ref="K68:M68"/>
    <mergeCell ref="K69:M69"/>
    <mergeCell ref="K70:M70"/>
    <mergeCell ref="I62:M62"/>
    <mergeCell ref="I63:M63"/>
    <mergeCell ref="I64:M64"/>
    <mergeCell ref="I65:J65"/>
    <mergeCell ref="I66:J66"/>
    <mergeCell ref="I67:J67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56:C56"/>
    <mergeCell ref="B57:C57"/>
    <mergeCell ref="B58:C58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CF91E-3DB3-45D0-B211-D6494EC1E9DB}">
  <dimension ref="B3:E418"/>
  <sheetViews>
    <sheetView topLeftCell="A310" workbookViewId="0"/>
  </sheetViews>
  <sheetFormatPr defaultRowHeight="15" x14ac:dyDescent="0.25"/>
  <sheetData>
    <row r="3" spans="2:5" x14ac:dyDescent="0.25">
      <c r="D3" t="s">
        <v>113</v>
      </c>
    </row>
    <row r="4" spans="2:5" x14ac:dyDescent="0.25">
      <c r="D4" t="s">
        <v>114</v>
      </c>
    </row>
    <row r="5" spans="2:5" x14ac:dyDescent="0.25">
      <c r="D5" t="s">
        <v>115</v>
      </c>
      <c r="E5">
        <v>1</v>
      </c>
    </row>
    <row r="6" spans="2:5" x14ac:dyDescent="0.25">
      <c r="D6" t="s">
        <v>116</v>
      </c>
      <c r="E6">
        <v>37</v>
      </c>
    </row>
    <row r="11" spans="2:5" x14ac:dyDescent="0.25">
      <c r="B11" t="s">
        <v>241</v>
      </c>
    </row>
    <row r="12" spans="2:5" x14ac:dyDescent="0.25">
      <c r="B12" t="s">
        <v>242</v>
      </c>
    </row>
    <row r="13" spans="2:5" x14ac:dyDescent="0.25">
      <c r="B13" t="s">
        <v>243</v>
      </c>
    </row>
    <row r="18" spans="2:5" x14ac:dyDescent="0.25">
      <c r="B18" t="s">
        <v>117</v>
      </c>
    </row>
    <row r="19" spans="2:5" x14ac:dyDescent="0.25">
      <c r="B19" t="s">
        <v>230</v>
      </c>
    </row>
    <row r="20" spans="2:5" x14ac:dyDescent="0.25">
      <c r="B20" t="s">
        <v>118</v>
      </c>
    </row>
    <row r="21" spans="2:5" x14ac:dyDescent="0.25">
      <c r="B21" t="s">
        <v>119</v>
      </c>
    </row>
    <row r="22" spans="2:5" x14ac:dyDescent="0.25">
      <c r="B22" t="s">
        <v>120</v>
      </c>
    </row>
    <row r="23" spans="2:5" x14ac:dyDescent="0.25">
      <c r="B23" t="s">
        <v>121</v>
      </c>
    </row>
    <row r="24" spans="2:5" x14ac:dyDescent="0.25">
      <c r="B24" t="s">
        <v>122</v>
      </c>
    </row>
    <row r="26" spans="2:5" x14ac:dyDescent="0.25">
      <c r="C26" t="s">
        <v>123</v>
      </c>
    </row>
    <row r="28" spans="2:5" x14ac:dyDescent="0.25">
      <c r="D28" t="s">
        <v>124</v>
      </c>
    </row>
    <row r="29" spans="2:5" x14ac:dyDescent="0.25">
      <c r="D29" t="s">
        <v>125</v>
      </c>
      <c r="E29" t="s">
        <v>13</v>
      </c>
    </row>
    <row r="30" spans="2:5" x14ac:dyDescent="0.25">
      <c r="D30" t="s">
        <v>126</v>
      </c>
      <c r="E30">
        <v>10</v>
      </c>
    </row>
    <row r="31" spans="2:5" x14ac:dyDescent="0.25">
      <c r="D31" t="s">
        <v>127</v>
      </c>
      <c r="E31" t="s">
        <v>96</v>
      </c>
    </row>
    <row r="32" spans="2:5" x14ac:dyDescent="0.25">
      <c r="D32" t="s">
        <v>128</v>
      </c>
      <c r="E32">
        <v>10</v>
      </c>
    </row>
    <row r="33" spans="2:5" x14ac:dyDescent="0.25">
      <c r="D33" t="s">
        <v>129</v>
      </c>
      <c r="E33">
        <v>10</v>
      </c>
    </row>
    <row r="34" spans="2:5" x14ac:dyDescent="0.25">
      <c r="D34" t="s">
        <v>130</v>
      </c>
      <c r="E34">
        <v>0</v>
      </c>
    </row>
    <row r="35" spans="2:5" x14ac:dyDescent="0.25">
      <c r="D35" t="s">
        <v>131</v>
      </c>
      <c r="E35">
        <v>45</v>
      </c>
    </row>
    <row r="36" spans="2:5" x14ac:dyDescent="0.25">
      <c r="D36" t="s">
        <v>132</v>
      </c>
      <c r="E36" t="s">
        <v>42</v>
      </c>
    </row>
    <row r="37" spans="2:5" x14ac:dyDescent="0.25">
      <c r="D37" t="s">
        <v>133</v>
      </c>
    </row>
    <row r="42" spans="2:5" x14ac:dyDescent="0.25">
      <c r="B42" t="s">
        <v>117</v>
      </c>
    </row>
    <row r="43" spans="2:5" x14ac:dyDescent="0.25">
      <c r="B43" t="s">
        <v>231</v>
      </c>
    </row>
    <row r="44" spans="2:5" x14ac:dyDescent="0.25">
      <c r="B44" t="s">
        <v>134</v>
      </c>
    </row>
    <row r="45" spans="2:5" x14ac:dyDescent="0.25">
      <c r="B45" t="s">
        <v>119</v>
      </c>
    </row>
    <row r="46" spans="2:5" x14ac:dyDescent="0.25">
      <c r="B46" t="s">
        <v>120</v>
      </c>
    </row>
    <row r="47" spans="2:5" x14ac:dyDescent="0.25">
      <c r="B47" t="s">
        <v>135</v>
      </c>
    </row>
    <row r="48" spans="2:5" x14ac:dyDescent="0.25">
      <c r="B48" t="s">
        <v>122</v>
      </c>
    </row>
    <row r="50" spans="3:5" x14ac:dyDescent="0.25">
      <c r="C50" t="s">
        <v>123</v>
      </c>
    </row>
    <row r="52" spans="3:5" x14ac:dyDescent="0.25">
      <c r="D52" t="s">
        <v>124</v>
      </c>
    </row>
    <row r="53" spans="3:5" x14ac:dyDescent="0.25">
      <c r="D53" t="s">
        <v>125</v>
      </c>
      <c r="E53" t="s">
        <v>13</v>
      </c>
    </row>
    <row r="54" spans="3:5" x14ac:dyDescent="0.25">
      <c r="D54" t="s">
        <v>126</v>
      </c>
      <c r="E54">
        <v>10</v>
      </c>
    </row>
    <row r="55" spans="3:5" x14ac:dyDescent="0.25">
      <c r="D55" t="s">
        <v>127</v>
      </c>
      <c r="E55" t="s">
        <v>97</v>
      </c>
    </row>
    <row r="56" spans="3:5" x14ac:dyDescent="0.25">
      <c r="D56" t="s">
        <v>128</v>
      </c>
      <c r="E56">
        <v>10</v>
      </c>
    </row>
    <row r="57" spans="3:5" x14ac:dyDescent="0.25">
      <c r="D57" t="s">
        <v>129</v>
      </c>
      <c r="E57">
        <v>35</v>
      </c>
    </row>
    <row r="58" spans="3:5" x14ac:dyDescent="0.25">
      <c r="D58" t="s">
        <v>130</v>
      </c>
      <c r="E58">
        <v>0</v>
      </c>
    </row>
    <row r="59" spans="3:5" x14ac:dyDescent="0.25">
      <c r="D59" t="s">
        <v>131</v>
      </c>
      <c r="E59">
        <v>55</v>
      </c>
    </row>
    <row r="60" spans="3:5" x14ac:dyDescent="0.25">
      <c r="D60" t="s">
        <v>132</v>
      </c>
      <c r="E60" t="s">
        <v>42</v>
      </c>
    </row>
    <row r="61" spans="3:5" x14ac:dyDescent="0.25">
      <c r="D61" t="s">
        <v>136</v>
      </c>
    </row>
    <row r="66" spans="2:5" x14ac:dyDescent="0.25">
      <c r="B66" t="s">
        <v>137</v>
      </c>
    </row>
    <row r="67" spans="2:5" x14ac:dyDescent="0.25">
      <c r="B67" t="s">
        <v>232</v>
      </c>
    </row>
    <row r="68" spans="2:5" x14ac:dyDescent="0.25">
      <c r="B68" t="s">
        <v>138</v>
      </c>
    </row>
    <row r="69" spans="2:5" x14ac:dyDescent="0.25">
      <c r="B69" t="s">
        <v>139</v>
      </c>
    </row>
    <row r="70" spans="2:5" x14ac:dyDescent="0.25">
      <c r="B70" t="s">
        <v>140</v>
      </c>
    </row>
    <row r="72" spans="2:5" x14ac:dyDescent="0.25">
      <c r="C72" t="s">
        <v>123</v>
      </c>
    </row>
    <row r="74" spans="2:5" x14ac:dyDescent="0.25">
      <c r="D74" t="s">
        <v>141</v>
      </c>
    </row>
    <row r="75" spans="2:5" x14ac:dyDescent="0.25">
      <c r="D75" t="s">
        <v>142</v>
      </c>
    </row>
    <row r="76" spans="2:5" x14ac:dyDescent="0.25">
      <c r="D76" t="s">
        <v>143</v>
      </c>
      <c r="E76" t="s">
        <v>42</v>
      </c>
    </row>
    <row r="77" spans="2:5" x14ac:dyDescent="0.25">
      <c r="D77" t="s">
        <v>144</v>
      </c>
      <c r="E77" t="s">
        <v>98</v>
      </c>
    </row>
    <row r="78" spans="2:5" x14ac:dyDescent="0.25">
      <c r="D78" t="s">
        <v>145</v>
      </c>
      <c r="E78" t="s">
        <v>99</v>
      </c>
    </row>
    <row r="79" spans="2:5" x14ac:dyDescent="0.25">
      <c r="D79" t="s">
        <v>244</v>
      </c>
    </row>
    <row r="84" spans="2:3" x14ac:dyDescent="0.25">
      <c r="B84" t="s">
        <v>146</v>
      </c>
    </row>
    <row r="85" spans="2:3" x14ac:dyDescent="0.25">
      <c r="B85" t="s">
        <v>233</v>
      </c>
    </row>
    <row r="86" spans="2:3" x14ac:dyDescent="0.25">
      <c r="B86" t="s">
        <v>147</v>
      </c>
    </row>
    <row r="87" spans="2:3" x14ac:dyDescent="0.25">
      <c r="B87" t="s">
        <v>148</v>
      </c>
    </row>
    <row r="89" spans="2:3" x14ac:dyDescent="0.25">
      <c r="C89" t="s">
        <v>123</v>
      </c>
    </row>
    <row r="94" spans="2:3" x14ac:dyDescent="0.25">
      <c r="B94" t="s">
        <v>241</v>
      </c>
    </row>
    <row r="95" spans="2:3" x14ac:dyDescent="0.25">
      <c r="B95" t="s">
        <v>245</v>
      </c>
    </row>
    <row r="96" spans="2:3" x14ac:dyDescent="0.25">
      <c r="B96" t="s">
        <v>246</v>
      </c>
    </row>
    <row r="101" spans="2:5" x14ac:dyDescent="0.25">
      <c r="B101" t="s">
        <v>117</v>
      </c>
    </row>
    <row r="102" spans="2:5" x14ac:dyDescent="0.25">
      <c r="B102" t="s">
        <v>234</v>
      </c>
    </row>
    <row r="103" spans="2:5" x14ac:dyDescent="0.25">
      <c r="B103" t="s">
        <v>118</v>
      </c>
    </row>
    <row r="104" spans="2:5" x14ac:dyDescent="0.25">
      <c r="B104" t="s">
        <v>119</v>
      </c>
    </row>
    <row r="105" spans="2:5" x14ac:dyDescent="0.25">
      <c r="B105" t="s">
        <v>120</v>
      </c>
    </row>
    <row r="106" spans="2:5" x14ac:dyDescent="0.25">
      <c r="B106" t="s">
        <v>149</v>
      </c>
    </row>
    <row r="107" spans="2:5" x14ac:dyDescent="0.25">
      <c r="B107" t="s">
        <v>122</v>
      </c>
    </row>
    <row r="109" spans="2:5" x14ac:dyDescent="0.25">
      <c r="C109" t="s">
        <v>123</v>
      </c>
    </row>
    <row r="111" spans="2:5" x14ac:dyDescent="0.25">
      <c r="D111" t="s">
        <v>124</v>
      </c>
    </row>
    <row r="112" spans="2:5" x14ac:dyDescent="0.25">
      <c r="D112" t="s">
        <v>125</v>
      </c>
      <c r="E112" t="s">
        <v>100</v>
      </c>
    </row>
    <row r="113" spans="2:5" x14ac:dyDescent="0.25">
      <c r="D113" t="s">
        <v>126</v>
      </c>
      <c r="E113">
        <v>10</v>
      </c>
    </row>
    <row r="114" spans="2:5" x14ac:dyDescent="0.25">
      <c r="D114" t="s">
        <v>127</v>
      </c>
      <c r="E114" t="s">
        <v>96</v>
      </c>
    </row>
    <row r="115" spans="2:5" x14ac:dyDescent="0.25">
      <c r="D115" t="s">
        <v>128</v>
      </c>
      <c r="E115">
        <v>10</v>
      </c>
    </row>
    <row r="116" spans="2:5" x14ac:dyDescent="0.25">
      <c r="D116" t="s">
        <v>129</v>
      </c>
      <c r="E116">
        <v>15</v>
      </c>
    </row>
    <row r="117" spans="2:5" x14ac:dyDescent="0.25">
      <c r="D117" t="s">
        <v>130</v>
      </c>
      <c r="E117">
        <v>0</v>
      </c>
    </row>
    <row r="118" spans="2:5" x14ac:dyDescent="0.25">
      <c r="D118" t="s">
        <v>131</v>
      </c>
      <c r="E118">
        <v>15</v>
      </c>
    </row>
    <row r="119" spans="2:5" x14ac:dyDescent="0.25">
      <c r="D119" t="s">
        <v>132</v>
      </c>
      <c r="E119" t="s">
        <v>42</v>
      </c>
    </row>
    <row r="120" spans="2:5" x14ac:dyDescent="0.25">
      <c r="D120" t="s">
        <v>150</v>
      </c>
    </row>
    <row r="125" spans="2:5" x14ac:dyDescent="0.25">
      <c r="B125" t="s">
        <v>117</v>
      </c>
    </row>
    <row r="126" spans="2:5" x14ac:dyDescent="0.25">
      <c r="B126" t="s">
        <v>235</v>
      </c>
    </row>
    <row r="127" spans="2:5" x14ac:dyDescent="0.25">
      <c r="B127" t="s">
        <v>151</v>
      </c>
    </row>
    <row r="128" spans="2:5" x14ac:dyDescent="0.25">
      <c r="B128" t="s">
        <v>152</v>
      </c>
    </row>
    <row r="129" spans="2:5" x14ac:dyDescent="0.25">
      <c r="B129" t="s">
        <v>120</v>
      </c>
    </row>
    <row r="130" spans="2:5" x14ac:dyDescent="0.25">
      <c r="B130" t="s">
        <v>153</v>
      </c>
    </row>
    <row r="131" spans="2:5" x14ac:dyDescent="0.25">
      <c r="B131" t="s">
        <v>122</v>
      </c>
    </row>
    <row r="133" spans="2:5" x14ac:dyDescent="0.25">
      <c r="C133" t="s">
        <v>123</v>
      </c>
    </row>
    <row r="135" spans="2:5" x14ac:dyDescent="0.25">
      <c r="D135" t="s">
        <v>124</v>
      </c>
    </row>
    <row r="136" spans="2:5" x14ac:dyDescent="0.25">
      <c r="D136" t="s">
        <v>125</v>
      </c>
      <c r="E136" t="s">
        <v>100</v>
      </c>
    </row>
    <row r="137" spans="2:5" x14ac:dyDescent="0.25">
      <c r="D137" t="s">
        <v>126</v>
      </c>
      <c r="E137">
        <v>10</v>
      </c>
    </row>
    <row r="138" spans="2:5" x14ac:dyDescent="0.25">
      <c r="D138" t="s">
        <v>127</v>
      </c>
      <c r="E138" t="s">
        <v>101</v>
      </c>
    </row>
    <row r="139" spans="2:5" x14ac:dyDescent="0.25">
      <c r="D139" t="s">
        <v>128</v>
      </c>
      <c r="E139">
        <v>10</v>
      </c>
    </row>
    <row r="140" spans="2:5" x14ac:dyDescent="0.25">
      <c r="D140" t="s">
        <v>129</v>
      </c>
      <c r="E140">
        <v>70</v>
      </c>
    </row>
    <row r="141" spans="2:5" x14ac:dyDescent="0.25">
      <c r="D141" t="s">
        <v>130</v>
      </c>
      <c r="E141">
        <v>0</v>
      </c>
    </row>
    <row r="142" spans="2:5" x14ac:dyDescent="0.25">
      <c r="D142" t="s">
        <v>131</v>
      </c>
      <c r="E142">
        <v>30</v>
      </c>
    </row>
    <row r="143" spans="2:5" x14ac:dyDescent="0.25">
      <c r="D143" t="s">
        <v>132</v>
      </c>
      <c r="E143" t="s">
        <v>42</v>
      </c>
    </row>
    <row r="144" spans="2:5" x14ac:dyDescent="0.25">
      <c r="D144" t="s">
        <v>154</v>
      </c>
    </row>
    <row r="149" spans="2:5" x14ac:dyDescent="0.25">
      <c r="B149" t="s">
        <v>117</v>
      </c>
    </row>
    <row r="150" spans="2:5" x14ac:dyDescent="0.25">
      <c r="B150" t="s">
        <v>236</v>
      </c>
    </row>
    <row r="151" spans="2:5" x14ac:dyDescent="0.25">
      <c r="B151" t="s">
        <v>155</v>
      </c>
    </row>
    <row r="152" spans="2:5" x14ac:dyDescent="0.25">
      <c r="B152" t="s">
        <v>156</v>
      </c>
    </row>
    <row r="153" spans="2:5" x14ac:dyDescent="0.25">
      <c r="B153" t="s">
        <v>120</v>
      </c>
    </row>
    <row r="154" spans="2:5" x14ac:dyDescent="0.25">
      <c r="B154" t="s">
        <v>157</v>
      </c>
    </row>
    <row r="155" spans="2:5" x14ac:dyDescent="0.25">
      <c r="B155" t="s">
        <v>122</v>
      </c>
    </row>
    <row r="157" spans="2:5" x14ac:dyDescent="0.25">
      <c r="C157" t="s">
        <v>123</v>
      </c>
    </row>
    <row r="159" spans="2:5" x14ac:dyDescent="0.25">
      <c r="D159" t="s">
        <v>124</v>
      </c>
    </row>
    <row r="160" spans="2:5" x14ac:dyDescent="0.25">
      <c r="D160" t="s">
        <v>125</v>
      </c>
      <c r="E160" t="s">
        <v>100</v>
      </c>
    </row>
    <row r="161" spans="2:5" x14ac:dyDescent="0.25">
      <c r="D161" t="s">
        <v>126</v>
      </c>
      <c r="E161">
        <v>10</v>
      </c>
    </row>
    <row r="162" spans="2:5" x14ac:dyDescent="0.25">
      <c r="D162" t="s">
        <v>127</v>
      </c>
      <c r="E162" t="s">
        <v>102</v>
      </c>
    </row>
    <row r="163" spans="2:5" x14ac:dyDescent="0.25">
      <c r="D163" t="s">
        <v>128</v>
      </c>
      <c r="E163">
        <v>10</v>
      </c>
    </row>
    <row r="164" spans="2:5" x14ac:dyDescent="0.25">
      <c r="D164" t="s">
        <v>129</v>
      </c>
      <c r="E164">
        <v>1.25</v>
      </c>
    </row>
    <row r="165" spans="2:5" x14ac:dyDescent="0.25">
      <c r="D165" t="s">
        <v>130</v>
      </c>
      <c r="E165">
        <v>0</v>
      </c>
    </row>
    <row r="166" spans="2:5" x14ac:dyDescent="0.25">
      <c r="D166" t="s">
        <v>131</v>
      </c>
      <c r="E166">
        <v>100</v>
      </c>
    </row>
    <row r="167" spans="2:5" x14ac:dyDescent="0.25">
      <c r="D167" t="s">
        <v>132</v>
      </c>
      <c r="E167" t="s">
        <v>42</v>
      </c>
    </row>
    <row r="168" spans="2:5" x14ac:dyDescent="0.25">
      <c r="D168" t="s">
        <v>158</v>
      </c>
    </row>
    <row r="173" spans="2:5" x14ac:dyDescent="0.25">
      <c r="B173" t="s">
        <v>159</v>
      </c>
    </row>
    <row r="174" spans="2:5" x14ac:dyDescent="0.25">
      <c r="B174" t="s">
        <v>237</v>
      </c>
    </row>
    <row r="175" spans="2:5" x14ac:dyDescent="0.25">
      <c r="B175" t="s">
        <v>160</v>
      </c>
    </row>
    <row r="176" spans="2:5" x14ac:dyDescent="0.25">
      <c r="B176" t="s">
        <v>161</v>
      </c>
    </row>
    <row r="177" spans="2:5" x14ac:dyDescent="0.25">
      <c r="B177" t="s">
        <v>162</v>
      </c>
    </row>
    <row r="179" spans="2:5" x14ac:dyDescent="0.25">
      <c r="C179" t="s">
        <v>123</v>
      </c>
    </row>
    <row r="181" spans="2:5" x14ac:dyDescent="0.25">
      <c r="D181" t="s">
        <v>163</v>
      </c>
    </row>
    <row r="182" spans="2:5" x14ac:dyDescent="0.25">
      <c r="D182" t="s">
        <v>164</v>
      </c>
    </row>
    <row r="183" spans="2:5" x14ac:dyDescent="0.25">
      <c r="D183" t="s">
        <v>165</v>
      </c>
      <c r="E183">
        <v>3600</v>
      </c>
    </row>
    <row r="184" spans="2:5" x14ac:dyDescent="0.25">
      <c r="D184" t="s">
        <v>166</v>
      </c>
    </row>
    <row r="186" spans="2:5" x14ac:dyDescent="0.25">
      <c r="D186" t="s">
        <v>163</v>
      </c>
    </row>
    <row r="187" spans="2:5" x14ac:dyDescent="0.25">
      <c r="D187" t="s">
        <v>143</v>
      </c>
    </row>
    <row r="188" spans="2:5" x14ac:dyDescent="0.25">
      <c r="D188" t="s">
        <v>167</v>
      </c>
    </row>
    <row r="190" spans="2:5" x14ac:dyDescent="0.25">
      <c r="D190" t="s">
        <v>113</v>
      </c>
    </row>
    <row r="191" spans="2:5" x14ac:dyDescent="0.25">
      <c r="D191" t="s">
        <v>168</v>
      </c>
    </row>
    <row r="192" spans="2:5" x14ac:dyDescent="0.25">
      <c r="D192" t="s">
        <v>115</v>
      </c>
      <c r="E192">
        <v>1</v>
      </c>
    </row>
    <row r="194" spans="2:5" x14ac:dyDescent="0.25">
      <c r="D194" t="s">
        <v>113</v>
      </c>
    </row>
    <row r="195" spans="2:5" x14ac:dyDescent="0.25">
      <c r="D195" t="s">
        <v>114</v>
      </c>
    </row>
    <row r="196" spans="2:5" x14ac:dyDescent="0.25">
      <c r="D196" t="s">
        <v>115</v>
      </c>
      <c r="E196">
        <v>2</v>
      </c>
    </row>
    <row r="197" spans="2:5" x14ac:dyDescent="0.25">
      <c r="D197" t="s">
        <v>116</v>
      </c>
      <c r="E197">
        <v>25</v>
      </c>
    </row>
    <row r="202" spans="2:5" x14ac:dyDescent="0.25">
      <c r="B202" t="s">
        <v>117</v>
      </c>
    </row>
    <row r="203" spans="2:5" x14ac:dyDescent="0.25">
      <c r="B203" t="s">
        <v>238</v>
      </c>
    </row>
    <row r="204" spans="2:5" x14ac:dyDescent="0.25">
      <c r="B204" t="s">
        <v>169</v>
      </c>
    </row>
    <row r="205" spans="2:5" x14ac:dyDescent="0.25">
      <c r="B205" t="s">
        <v>170</v>
      </c>
    </row>
    <row r="206" spans="2:5" x14ac:dyDescent="0.25">
      <c r="B206" t="s">
        <v>120</v>
      </c>
    </row>
    <row r="207" spans="2:5" x14ac:dyDescent="0.25">
      <c r="B207" t="s">
        <v>171</v>
      </c>
    </row>
    <row r="208" spans="2:5" x14ac:dyDescent="0.25">
      <c r="B208" t="s">
        <v>122</v>
      </c>
    </row>
    <row r="210" spans="3:5" x14ac:dyDescent="0.25">
      <c r="C210" t="s">
        <v>123</v>
      </c>
    </row>
    <row r="212" spans="3:5" x14ac:dyDescent="0.25">
      <c r="D212" t="s">
        <v>124</v>
      </c>
    </row>
    <row r="213" spans="3:5" x14ac:dyDescent="0.25">
      <c r="D213" t="s">
        <v>125</v>
      </c>
      <c r="E213" t="s">
        <v>100</v>
      </c>
    </row>
    <row r="214" spans="3:5" x14ac:dyDescent="0.25">
      <c r="D214" t="s">
        <v>126</v>
      </c>
      <c r="E214">
        <v>10</v>
      </c>
    </row>
    <row r="215" spans="3:5" x14ac:dyDescent="0.25">
      <c r="D215" t="s">
        <v>127</v>
      </c>
      <c r="E215" t="s">
        <v>103</v>
      </c>
    </row>
    <row r="216" spans="3:5" x14ac:dyDescent="0.25">
      <c r="D216" t="s">
        <v>128</v>
      </c>
      <c r="E216">
        <v>10</v>
      </c>
    </row>
    <row r="217" spans="3:5" x14ac:dyDescent="0.25">
      <c r="D217" t="s">
        <v>129</v>
      </c>
      <c r="E217">
        <v>1.9</v>
      </c>
    </row>
    <row r="218" spans="3:5" x14ac:dyDescent="0.25">
      <c r="D218" t="s">
        <v>130</v>
      </c>
      <c r="E218">
        <v>0</v>
      </c>
    </row>
    <row r="219" spans="3:5" x14ac:dyDescent="0.25">
      <c r="D219" t="s">
        <v>131</v>
      </c>
      <c r="E219">
        <v>101.25</v>
      </c>
    </row>
    <row r="220" spans="3:5" x14ac:dyDescent="0.25">
      <c r="D220" t="s">
        <v>132</v>
      </c>
      <c r="E220" t="s">
        <v>42</v>
      </c>
    </row>
    <row r="221" spans="3:5" x14ac:dyDescent="0.25">
      <c r="D221" t="s">
        <v>247</v>
      </c>
    </row>
    <row r="226" spans="2:4" x14ac:dyDescent="0.25">
      <c r="B226" t="s">
        <v>159</v>
      </c>
    </row>
    <row r="227" spans="2:4" x14ac:dyDescent="0.25">
      <c r="B227" t="s">
        <v>239</v>
      </c>
    </row>
    <row r="228" spans="2:4" x14ac:dyDescent="0.25">
      <c r="B228" t="s">
        <v>173</v>
      </c>
    </row>
    <row r="229" spans="2:4" x14ac:dyDescent="0.25">
      <c r="B229" t="s">
        <v>161</v>
      </c>
    </row>
    <row r="230" spans="2:4" x14ac:dyDescent="0.25">
      <c r="B230" t="s">
        <v>162</v>
      </c>
    </row>
    <row r="232" spans="2:4" x14ac:dyDescent="0.25">
      <c r="C232" t="s">
        <v>123</v>
      </c>
    </row>
    <row r="233" spans="2:4" x14ac:dyDescent="0.25">
      <c r="C233" t="s">
        <v>174</v>
      </c>
    </row>
    <row r="235" spans="2:4" x14ac:dyDescent="0.25">
      <c r="D235" t="s">
        <v>175</v>
      </c>
    </row>
    <row r="236" spans="2:4" x14ac:dyDescent="0.25">
      <c r="D236" t="s">
        <v>176</v>
      </c>
    </row>
    <row r="237" spans="2:4" x14ac:dyDescent="0.25">
      <c r="D237" t="s">
        <v>177</v>
      </c>
    </row>
    <row r="239" spans="2:4" x14ac:dyDescent="0.25">
      <c r="D239" t="s">
        <v>163</v>
      </c>
    </row>
    <row r="240" spans="2:4" x14ac:dyDescent="0.25">
      <c r="D240" t="s">
        <v>164</v>
      </c>
    </row>
    <row r="241" spans="2:5" x14ac:dyDescent="0.25">
      <c r="D241" t="s">
        <v>165</v>
      </c>
      <c r="E241">
        <v>3599.84</v>
      </c>
    </row>
    <row r="242" spans="2:5" x14ac:dyDescent="0.25">
      <c r="D242" t="s">
        <v>248</v>
      </c>
    </row>
    <row r="244" spans="2:5" x14ac:dyDescent="0.25">
      <c r="D244" t="s">
        <v>163</v>
      </c>
    </row>
    <row r="245" spans="2:5" x14ac:dyDescent="0.25">
      <c r="D245" t="s">
        <v>143</v>
      </c>
    </row>
    <row r="246" spans="2:5" x14ac:dyDescent="0.25">
      <c r="D246" t="s">
        <v>249</v>
      </c>
    </row>
    <row r="248" spans="2:5" x14ac:dyDescent="0.25">
      <c r="D248" t="s">
        <v>113</v>
      </c>
    </row>
    <row r="249" spans="2:5" x14ac:dyDescent="0.25">
      <c r="D249" t="s">
        <v>168</v>
      </c>
    </row>
    <row r="250" spans="2:5" x14ac:dyDescent="0.25">
      <c r="D250" t="s">
        <v>115</v>
      </c>
      <c r="E250">
        <v>2</v>
      </c>
    </row>
    <row r="255" spans="2:5" x14ac:dyDescent="0.25">
      <c r="B255" t="s">
        <v>146</v>
      </c>
    </row>
    <row r="256" spans="2:5" x14ac:dyDescent="0.25">
      <c r="B256" t="s">
        <v>240</v>
      </c>
    </row>
    <row r="257" spans="2:3" x14ac:dyDescent="0.25">
      <c r="B257" t="s">
        <v>179</v>
      </c>
    </row>
    <row r="258" spans="2:3" x14ac:dyDescent="0.25">
      <c r="B258" t="s">
        <v>148</v>
      </c>
    </row>
    <row r="264" spans="2:3" x14ac:dyDescent="0.25">
      <c r="B264" t="s">
        <v>180</v>
      </c>
    </row>
    <row r="265" spans="2:3" x14ac:dyDescent="0.25">
      <c r="B265" t="s">
        <v>172</v>
      </c>
    </row>
    <row r="266" spans="2:3" x14ac:dyDescent="0.25">
      <c r="B266" t="s">
        <v>182</v>
      </c>
    </row>
    <row r="267" spans="2:3" x14ac:dyDescent="0.25">
      <c r="B267" t="s">
        <v>183</v>
      </c>
    </row>
    <row r="268" spans="2:3" x14ac:dyDescent="0.25">
      <c r="B268" t="s">
        <v>184</v>
      </c>
    </row>
    <row r="270" spans="2:3" x14ac:dyDescent="0.25">
      <c r="C270" t="s">
        <v>185</v>
      </c>
    </row>
    <row r="273" spans="2:4" x14ac:dyDescent="0.25">
      <c r="D273" t="s">
        <v>175</v>
      </c>
    </row>
    <row r="274" spans="2:4" x14ac:dyDescent="0.25">
      <c r="D274" t="s">
        <v>186</v>
      </c>
    </row>
    <row r="275" spans="2:4" x14ac:dyDescent="0.25">
      <c r="D275" t="s">
        <v>187</v>
      </c>
    </row>
    <row r="276" spans="2:4" x14ac:dyDescent="0.25">
      <c r="C276" t="s">
        <v>123</v>
      </c>
    </row>
    <row r="281" spans="2:4" x14ac:dyDescent="0.25">
      <c r="B281" t="s">
        <v>146</v>
      </c>
    </row>
    <row r="282" spans="2:4" x14ac:dyDescent="0.25">
      <c r="B282" t="s">
        <v>178</v>
      </c>
    </row>
    <row r="283" spans="2:4" x14ac:dyDescent="0.25">
      <c r="B283" t="s">
        <v>189</v>
      </c>
    </row>
    <row r="284" spans="2:4" x14ac:dyDescent="0.25">
      <c r="B284" t="s">
        <v>148</v>
      </c>
    </row>
    <row r="286" spans="2:4" x14ac:dyDescent="0.25">
      <c r="C286" t="s">
        <v>123</v>
      </c>
    </row>
    <row r="291" spans="2:5" x14ac:dyDescent="0.25">
      <c r="B291" t="s">
        <v>137</v>
      </c>
    </row>
    <row r="292" spans="2:5" x14ac:dyDescent="0.25">
      <c r="B292" t="s">
        <v>181</v>
      </c>
    </row>
    <row r="293" spans="2:5" x14ac:dyDescent="0.25">
      <c r="B293" t="s">
        <v>138</v>
      </c>
    </row>
    <row r="294" spans="2:5" x14ac:dyDescent="0.25">
      <c r="B294" t="s">
        <v>190</v>
      </c>
    </row>
    <row r="295" spans="2:5" x14ac:dyDescent="0.25">
      <c r="B295" t="s">
        <v>191</v>
      </c>
    </row>
    <row r="297" spans="2:5" x14ac:dyDescent="0.25">
      <c r="C297" t="s">
        <v>123</v>
      </c>
    </row>
    <row r="299" spans="2:5" x14ac:dyDescent="0.25">
      <c r="D299" t="s">
        <v>141</v>
      </c>
    </row>
    <row r="300" spans="2:5" x14ac:dyDescent="0.25">
      <c r="D300" t="s">
        <v>142</v>
      </c>
    </row>
    <row r="301" spans="2:5" x14ac:dyDescent="0.25">
      <c r="D301" t="s">
        <v>143</v>
      </c>
      <c r="E301" t="s">
        <v>42</v>
      </c>
    </row>
    <row r="302" spans="2:5" x14ac:dyDescent="0.25">
      <c r="D302" t="s">
        <v>144</v>
      </c>
      <c r="E302" t="s">
        <v>107</v>
      </c>
    </row>
    <row r="303" spans="2:5" x14ac:dyDescent="0.25">
      <c r="D303" t="s">
        <v>145</v>
      </c>
      <c r="E303" t="s">
        <v>108</v>
      </c>
    </row>
    <row r="304" spans="2:5" x14ac:dyDescent="0.25">
      <c r="D304" t="s">
        <v>192</v>
      </c>
    </row>
    <row r="309" spans="2:3" x14ac:dyDescent="0.25">
      <c r="B309" t="s">
        <v>193</v>
      </c>
    </row>
    <row r="310" spans="2:3" x14ac:dyDescent="0.25">
      <c r="B310" t="s">
        <v>188</v>
      </c>
    </row>
    <row r="311" spans="2:3" x14ac:dyDescent="0.25">
      <c r="B311" t="s">
        <v>194</v>
      </c>
    </row>
    <row r="312" spans="2:3" x14ac:dyDescent="0.25">
      <c r="B312" t="s">
        <v>195</v>
      </c>
    </row>
    <row r="313" spans="2:3" x14ac:dyDescent="0.25">
      <c r="B313" t="s">
        <v>229</v>
      </c>
    </row>
    <row r="314" spans="2:3" x14ac:dyDescent="0.25">
      <c r="B314" t="s">
        <v>196</v>
      </c>
    </row>
    <row r="315" spans="2:3" x14ac:dyDescent="0.25">
      <c r="B315" t="s">
        <v>197</v>
      </c>
    </row>
    <row r="316" spans="2:3" x14ac:dyDescent="0.25">
      <c r="B316" t="s">
        <v>256</v>
      </c>
    </row>
    <row r="318" spans="2:3" x14ac:dyDescent="0.25">
      <c r="C318" t="s">
        <v>261</v>
      </c>
    </row>
    <row r="320" spans="2:3" x14ac:dyDescent="0.25">
      <c r="C320" t="s">
        <v>123</v>
      </c>
    </row>
    <row r="322" spans="3:5" x14ac:dyDescent="0.25">
      <c r="D322" t="s">
        <v>124</v>
      </c>
    </row>
    <row r="323" spans="3:5" x14ac:dyDescent="0.25">
      <c r="D323" t="s">
        <v>125</v>
      </c>
      <c r="E323" t="s">
        <v>106</v>
      </c>
    </row>
    <row r="324" spans="3:5" x14ac:dyDescent="0.25">
      <c r="D324" t="s">
        <v>126</v>
      </c>
      <c r="E324">
        <v>10</v>
      </c>
    </row>
    <row r="325" spans="3:5" x14ac:dyDescent="0.25">
      <c r="D325" t="s">
        <v>127</v>
      </c>
      <c r="E325" t="s">
        <v>104</v>
      </c>
    </row>
    <row r="326" spans="3:5" x14ac:dyDescent="0.25">
      <c r="D326" t="s">
        <v>128</v>
      </c>
      <c r="E326">
        <v>10</v>
      </c>
    </row>
    <row r="327" spans="3:5" x14ac:dyDescent="0.25">
      <c r="D327" t="s">
        <v>129</v>
      </c>
      <c r="E327">
        <v>70</v>
      </c>
    </row>
    <row r="328" spans="3:5" x14ac:dyDescent="0.25">
      <c r="D328" t="s">
        <v>130</v>
      </c>
      <c r="E328">
        <v>0</v>
      </c>
    </row>
    <row r="329" spans="3:5" x14ac:dyDescent="0.25">
      <c r="D329" t="s">
        <v>131</v>
      </c>
      <c r="E329">
        <v>0</v>
      </c>
    </row>
    <row r="330" spans="3:5" x14ac:dyDescent="0.25">
      <c r="D330" t="s">
        <v>132</v>
      </c>
      <c r="E330" t="s">
        <v>43</v>
      </c>
    </row>
    <row r="331" spans="3:5" x14ac:dyDescent="0.25">
      <c r="D331" t="s">
        <v>198</v>
      </c>
    </row>
    <row r="333" spans="3:5" x14ac:dyDescent="0.25">
      <c r="C333" t="s">
        <v>123</v>
      </c>
    </row>
    <row r="335" spans="3:5" x14ac:dyDescent="0.25">
      <c r="D335" t="s">
        <v>124</v>
      </c>
    </row>
    <row r="336" spans="3:5" x14ac:dyDescent="0.25">
      <c r="D336" t="s">
        <v>125</v>
      </c>
      <c r="E336" t="s">
        <v>106</v>
      </c>
    </row>
    <row r="337" spans="2:5" x14ac:dyDescent="0.25">
      <c r="D337" t="s">
        <v>126</v>
      </c>
      <c r="E337">
        <v>10</v>
      </c>
    </row>
    <row r="338" spans="2:5" x14ac:dyDescent="0.25">
      <c r="D338" t="s">
        <v>127</v>
      </c>
      <c r="E338" t="s">
        <v>105</v>
      </c>
    </row>
    <row r="339" spans="2:5" x14ac:dyDescent="0.25">
      <c r="D339" t="s">
        <v>128</v>
      </c>
      <c r="E339">
        <v>10</v>
      </c>
    </row>
    <row r="340" spans="2:5" x14ac:dyDescent="0.25">
      <c r="D340" t="s">
        <v>129</v>
      </c>
      <c r="E340">
        <v>30</v>
      </c>
    </row>
    <row r="341" spans="2:5" x14ac:dyDescent="0.25">
      <c r="D341" t="s">
        <v>130</v>
      </c>
      <c r="E341">
        <v>0</v>
      </c>
    </row>
    <row r="342" spans="2:5" x14ac:dyDescent="0.25">
      <c r="D342" t="s">
        <v>131</v>
      </c>
      <c r="E342">
        <v>70</v>
      </c>
    </row>
    <row r="343" spans="2:5" x14ac:dyDescent="0.25">
      <c r="D343" t="s">
        <v>132</v>
      </c>
      <c r="E343" t="s">
        <v>42</v>
      </c>
    </row>
    <row r="344" spans="2:5" x14ac:dyDescent="0.25">
      <c r="D344" t="s">
        <v>262</v>
      </c>
    </row>
    <row r="349" spans="2:5" x14ac:dyDescent="0.25">
      <c r="B349" t="s">
        <v>117</v>
      </c>
    </row>
    <row r="350" spans="2:5" x14ac:dyDescent="0.25">
      <c r="B350" t="s">
        <v>257</v>
      </c>
    </row>
    <row r="351" spans="2:5" x14ac:dyDescent="0.25">
      <c r="B351" t="s">
        <v>199</v>
      </c>
    </row>
    <row r="352" spans="2:5" x14ac:dyDescent="0.25">
      <c r="B352" t="s">
        <v>200</v>
      </c>
    </row>
    <row r="353" spans="2:5" x14ac:dyDescent="0.25">
      <c r="B353" t="s">
        <v>201</v>
      </c>
    </row>
    <row r="354" spans="2:5" x14ac:dyDescent="0.25">
      <c r="B354" t="s">
        <v>202</v>
      </c>
    </row>
    <row r="355" spans="2:5" x14ac:dyDescent="0.25">
      <c r="B355" t="s">
        <v>122</v>
      </c>
    </row>
    <row r="357" spans="2:5" x14ac:dyDescent="0.25">
      <c r="C357" t="s">
        <v>123</v>
      </c>
    </row>
    <row r="359" spans="2:5" x14ac:dyDescent="0.25">
      <c r="D359" t="s">
        <v>124</v>
      </c>
    </row>
    <row r="360" spans="2:5" x14ac:dyDescent="0.25">
      <c r="D360" t="s">
        <v>125</v>
      </c>
      <c r="E360" t="s">
        <v>106</v>
      </c>
    </row>
    <row r="361" spans="2:5" x14ac:dyDescent="0.25">
      <c r="D361" t="s">
        <v>126</v>
      </c>
      <c r="E361">
        <v>10</v>
      </c>
    </row>
    <row r="362" spans="2:5" x14ac:dyDescent="0.25">
      <c r="D362" t="s">
        <v>127</v>
      </c>
      <c r="E362" t="s">
        <v>109</v>
      </c>
    </row>
    <row r="363" spans="2:5" x14ac:dyDescent="0.25">
      <c r="D363" t="s">
        <v>128</v>
      </c>
      <c r="E363">
        <v>10</v>
      </c>
    </row>
    <row r="364" spans="2:5" x14ac:dyDescent="0.25">
      <c r="D364" t="s">
        <v>129</v>
      </c>
      <c r="E364">
        <v>1.88</v>
      </c>
    </row>
    <row r="365" spans="2:5" x14ac:dyDescent="0.25">
      <c r="D365" t="s">
        <v>130</v>
      </c>
      <c r="E365">
        <v>0</v>
      </c>
    </row>
    <row r="366" spans="2:5" x14ac:dyDescent="0.25">
      <c r="D366" t="s">
        <v>131</v>
      </c>
      <c r="E366">
        <v>100</v>
      </c>
    </row>
    <row r="367" spans="2:5" x14ac:dyDescent="0.25">
      <c r="D367" t="s">
        <v>132</v>
      </c>
      <c r="E367" t="s">
        <v>42</v>
      </c>
    </row>
    <row r="368" spans="2:5" x14ac:dyDescent="0.25">
      <c r="D368" t="s">
        <v>203</v>
      </c>
    </row>
    <row r="373" spans="2:5" x14ac:dyDescent="0.25">
      <c r="B373" t="s">
        <v>117</v>
      </c>
    </row>
    <row r="374" spans="2:5" x14ac:dyDescent="0.25">
      <c r="B374" t="s">
        <v>258</v>
      </c>
    </row>
    <row r="375" spans="2:5" x14ac:dyDescent="0.25">
      <c r="B375" t="s">
        <v>204</v>
      </c>
    </row>
    <row r="376" spans="2:5" x14ac:dyDescent="0.25">
      <c r="B376" t="s">
        <v>205</v>
      </c>
    </row>
    <row r="377" spans="2:5" x14ac:dyDescent="0.25">
      <c r="B377" t="s">
        <v>120</v>
      </c>
    </row>
    <row r="378" spans="2:5" x14ac:dyDescent="0.25">
      <c r="B378" t="s">
        <v>206</v>
      </c>
    </row>
    <row r="379" spans="2:5" x14ac:dyDescent="0.25">
      <c r="B379" t="s">
        <v>122</v>
      </c>
    </row>
    <row r="381" spans="2:5" x14ac:dyDescent="0.25">
      <c r="C381" t="s">
        <v>123</v>
      </c>
    </row>
    <row r="383" spans="2:5" x14ac:dyDescent="0.25">
      <c r="D383" t="s">
        <v>124</v>
      </c>
    </row>
    <row r="384" spans="2:5" x14ac:dyDescent="0.25">
      <c r="D384" t="s">
        <v>125</v>
      </c>
      <c r="E384" t="s">
        <v>106</v>
      </c>
    </row>
    <row r="385" spans="2:5" x14ac:dyDescent="0.25">
      <c r="D385" t="s">
        <v>126</v>
      </c>
      <c r="E385">
        <v>10</v>
      </c>
    </row>
    <row r="386" spans="2:5" x14ac:dyDescent="0.25">
      <c r="D386" t="s">
        <v>127</v>
      </c>
      <c r="E386" t="s">
        <v>110</v>
      </c>
    </row>
    <row r="387" spans="2:5" x14ac:dyDescent="0.25">
      <c r="D387" t="s">
        <v>128</v>
      </c>
      <c r="E387">
        <v>10</v>
      </c>
    </row>
    <row r="388" spans="2:5" x14ac:dyDescent="0.25">
      <c r="D388" t="s">
        <v>129</v>
      </c>
      <c r="E388">
        <v>3.75</v>
      </c>
    </row>
    <row r="389" spans="2:5" x14ac:dyDescent="0.25">
      <c r="D389" t="s">
        <v>130</v>
      </c>
      <c r="E389">
        <v>0</v>
      </c>
    </row>
    <row r="390" spans="2:5" x14ac:dyDescent="0.25">
      <c r="D390" t="s">
        <v>131</v>
      </c>
      <c r="E390">
        <v>101.88</v>
      </c>
    </row>
    <row r="391" spans="2:5" x14ac:dyDescent="0.25">
      <c r="D391" t="s">
        <v>132</v>
      </c>
      <c r="E391" t="s">
        <v>42</v>
      </c>
    </row>
    <row r="392" spans="2:5" x14ac:dyDescent="0.25">
      <c r="D392" t="s">
        <v>250</v>
      </c>
    </row>
    <row r="397" spans="2:5" x14ac:dyDescent="0.25">
      <c r="B397" t="s">
        <v>137</v>
      </c>
    </row>
    <row r="398" spans="2:5" x14ac:dyDescent="0.25">
      <c r="B398" t="s">
        <v>259</v>
      </c>
    </row>
    <row r="399" spans="2:5" x14ac:dyDescent="0.25">
      <c r="B399" t="s">
        <v>207</v>
      </c>
    </row>
    <row r="400" spans="2:5" x14ac:dyDescent="0.25">
      <c r="B400" t="s">
        <v>208</v>
      </c>
    </row>
    <row r="401" spans="2:5" x14ac:dyDescent="0.25">
      <c r="B401" t="s">
        <v>209</v>
      </c>
    </row>
    <row r="403" spans="2:5" x14ac:dyDescent="0.25">
      <c r="C403" t="s">
        <v>123</v>
      </c>
    </row>
    <row r="405" spans="2:5" x14ac:dyDescent="0.25">
      <c r="D405" t="s">
        <v>141</v>
      </c>
    </row>
    <row r="406" spans="2:5" x14ac:dyDescent="0.25">
      <c r="D406" t="s">
        <v>142</v>
      </c>
    </row>
    <row r="407" spans="2:5" x14ac:dyDescent="0.25">
      <c r="D407" t="s">
        <v>143</v>
      </c>
      <c r="E407" t="s">
        <v>43</v>
      </c>
    </row>
    <row r="408" spans="2:5" x14ac:dyDescent="0.25">
      <c r="D408" t="s">
        <v>144</v>
      </c>
      <c r="E408" t="s">
        <v>111</v>
      </c>
    </row>
    <row r="409" spans="2:5" x14ac:dyDescent="0.25">
      <c r="D409" t="s">
        <v>145</v>
      </c>
      <c r="E409" t="s">
        <v>112</v>
      </c>
    </row>
    <row r="410" spans="2:5" x14ac:dyDescent="0.25">
      <c r="D410" t="s">
        <v>251</v>
      </c>
    </row>
    <row r="415" spans="2:5" x14ac:dyDescent="0.25">
      <c r="B415" t="s">
        <v>210</v>
      </c>
    </row>
    <row r="416" spans="2:5" x14ac:dyDescent="0.25">
      <c r="B416" t="s">
        <v>260</v>
      </c>
    </row>
    <row r="418" spans="3:3" x14ac:dyDescent="0.25">
      <c r="C418" t="s">
        <v>211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2021-09-01T22:28:39Z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