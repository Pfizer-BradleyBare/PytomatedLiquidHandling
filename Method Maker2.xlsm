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85B5C353-FA29-4AFF-940C-330AAC3B2089}" xr6:coauthVersionLast="46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5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1" i="2" l="1"/>
  <c r="G115" i="2"/>
  <c r="G108" i="2"/>
  <c r="G101" i="2"/>
  <c r="G89" i="2"/>
  <c r="G78" i="2"/>
  <c r="G71" i="2"/>
  <c r="G90" i="2"/>
  <c r="E53" i="2"/>
  <c r="E52" i="2"/>
  <c r="E16" i="2"/>
  <c r="A5" i="3"/>
  <c r="A4" i="3"/>
  <c r="A3" i="3"/>
  <c r="E15" i="2"/>
  <c r="E13" i="2"/>
  <c r="A2" i="3"/>
</calcChain>
</file>

<file path=xl/sharedStrings.xml><?xml version="1.0" encoding="utf-8"?>
<sst xmlns="http://schemas.openxmlformats.org/spreadsheetml/2006/main" count="492" uniqueCount="173">
  <si>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</si>
  <si>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</si>
  <si>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</si>
  <si>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</si>
  <si>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</si>
  <si>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</si>
  <si>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</si>
  <si>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</si>
  <si>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</si>
  <si>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</si>
  <si>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</si>
  <si>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</si>
  <si>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</si>
  <si>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</si>
  <si>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</si>
  <si>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</si>
  <si>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</si>
  <si>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</si>
  <si>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</si>
  <si>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</si>
  <si>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</si>
  <si>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</si>
  <si>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</si>
  <si>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</si>
  <si>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</si>
  <si>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</si>
  <si>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</si>
  <si>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</si>
  <si>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</si>
  <si>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</si>
  <si>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</si>
  <si>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</si>
  <si>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</si>
  <si>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</si>
  <si>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</si>
  <si>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</si>
  <si>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</si>
  <si>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</si>
  <si>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</si>
  <si>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</si>
  <si>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</si>
  <si>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</si>
  <si>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</si>
  <si>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</si>
  <si>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</si>
  <si>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</si>
  <si>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</si>
  <si>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</si>
  <si>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</si>
  <si>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</si>
  <si>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</si>
  <si>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</si>
  <si>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</si>
  <si>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</si>
  <si>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</si>
  <si>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</si>
  <si>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</si>
  <si>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</si>
  <si>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</si>
  <si>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</si>
  <si>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</si>
  <si>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</si>
  <si>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</si>
  <si>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</si>
  <si>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</si>
  <si>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</si>
  <si>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</si>
  <si>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</si>
  <si>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</si>
  <si>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</si>
  <si>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</si>
  <si>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</si>
  <si>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Split Plate</t>
  </si>
  <si>
    <t>Plate Choice</t>
  </si>
  <si>
    <t>Concurrent</t>
  </si>
  <si>
    <t>Plate Name 1</t>
  </si>
  <si>
    <t>Plate Name 2</t>
  </si>
  <si>
    <t>Dynabeads</t>
  </si>
  <si>
    <t>Temp (C)</t>
  </si>
  <si>
    <t>Time (min)</t>
  </si>
  <si>
    <t>Shake (rpm)</t>
  </si>
  <si>
    <t>Merge Plate</t>
  </si>
  <si>
    <t>Magnetic Beads</t>
  </si>
  <si>
    <t>Storage Buffer</t>
  </si>
  <si>
    <t>B&amp;W Buffer</t>
  </si>
  <si>
    <t>Hold Time (min)</t>
  </si>
  <si>
    <t>Solution B</t>
  </si>
  <si>
    <t>Elution Solution</t>
  </si>
  <si>
    <t>Final</t>
  </si>
  <si>
    <t>Wait On User</t>
  </si>
  <si>
    <t>Subject</t>
  </si>
  <si>
    <t>5Cap Assay run Finished</t>
  </si>
  <si>
    <t>Message</t>
  </si>
  <si>
    <t>Congratulations, your run is finished. Hooray!</t>
  </si>
  <si>
    <t>Finish</t>
  </si>
  <si>
    <t>Sample #</t>
  </si>
  <si>
    <t>Description</t>
  </si>
  <si>
    <t>Blank</t>
  </si>
  <si>
    <t>Sample Vol</t>
  </si>
  <si>
    <t>Diluent Volume</t>
  </si>
  <si>
    <t>Repititions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</si>
  <si>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</si>
  <si>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</si>
  <si>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</si>
  <si>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</si>
  <si>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</si>
  <si>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</si>
  <si>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</si>
  <si>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</si>
  <si>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</si>
  <si>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</si>
  <si>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</si>
  <si>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</si>
  <si>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</si>
  <si>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</si>
  <si>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</si>
  <si>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</si>
  <si>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</si>
  <si>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</si>
  <si>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</si>
  <si>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</si>
  <si>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</si>
  <si>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</si>
  <si>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</si>
  <si>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</si>
  <si>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</si>
  <si>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</si>
  <si>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</si>
  <si>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</si>
  <si>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</si>
  <si>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</si>
  <si>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</si>
  <si>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</si>
  <si>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</si>
  <si>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</si>
  <si>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</si>
  <si>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</si>
  <si>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</si>
  <si>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</si>
  <si>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</si>
  <si>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True or Fals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</si>
  <si>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</si>
  <si>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</si>
  <si>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</si>
  <si>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</si>
  <si>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</si>
  <si>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</si>
  <si>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</si>
  <si>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</si>
  <si>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</si>
  <si>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</si>
  <si>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</si>
  <si>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</si>
  <si>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</si>
  <si>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</si>
  <si>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</si>
  <si>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</si>
  <si>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</si>
  <si>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</si>
  <si>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</si>
  <si>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</si>
  <si>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</si>
  <si>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Step Title: Thermocycle</t>
  </si>
  <si>
    <t>Excel Location (Row,Col): (33,3)</t>
  </si>
  <si>
    <t>Temp Program (C) (comma delimited): 80,75,70,60,50,45,35,30,22,30</t>
  </si>
  <si>
    <t>Time Program (min) (comma delimited): 5,2,2,2,2,5,5,2,2,2</t>
  </si>
  <si>
    <t>DISABLED: Thermocycle</t>
  </si>
  <si>
    <t>Waste 1</t>
  </si>
  <si>
    <t>Magnetic Beads Plate</t>
  </si>
  <si>
    <t>Storage Buffer Volume (uL)</t>
  </si>
  <si>
    <t>Time to start thermocycling step</t>
  </si>
  <si>
    <t>Please thermocycle the Annealing Plate with the following program. (Temp,Time) 80,5;75,2;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</si>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</sst>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6" borderId="10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0" borderId="0" xfId="0"/>
    <xf numFmtId="0" fontId="0" fillId="0" borderId="5" xfId="0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3" t="s">
        <v>0</v>
      </c>
      <c r="C3" s="33"/>
      <c r="D3" s="33" t="s">
        <v>1</v>
      </c>
      <c r="F3" s="41" t="s">
        <v>2</v>
      </c>
      <c r="G3" s="41"/>
      <c r="H3" s="41"/>
      <c r="I3" s="41"/>
      <c r="J3" s="41"/>
      <c r="K3" s="41"/>
      <c r="L3" s="41"/>
    </row>
    <row r="4" spans="2:12" x14ac:dyDescent="0.25">
      <c r="B4" t="s">
        <v>3</v>
      </c>
      <c r="D4" s="35" t="s">
        <v>4</v>
      </c>
      <c r="F4" s="33" t="s">
        <v>5</v>
      </c>
      <c r="G4" s="33" t="s">
        <v>6</v>
      </c>
      <c r="H4" s="33" t="s">
        <v>7</v>
      </c>
      <c r="I4" s="33" t="s">
        <v>8</v>
      </c>
      <c r="J4" s="33" t="s">
        <v>9</v>
      </c>
      <c r="K4" s="33" t="s">
        <v>10</v>
      </c>
      <c r="L4" s="33" t="s">
        <v>11</v>
      </c>
    </row>
    <row r="5" spans="2:12" x14ac:dyDescent="0.25">
      <c r="B5" t="s">
        <v>12</v>
      </c>
      <c r="D5" s="35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35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35"/>
    </row>
    <row r="9" spans="2:12" x14ac:dyDescent="0.25">
      <c r="B9" s="33" t="s">
        <v>23</v>
      </c>
      <c r="D9" s="3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3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33" t="s">
        <v>38</v>
      </c>
    </row>
    <row r="19" spans="2:4" x14ac:dyDescent="0.25">
      <c r="B19" s="3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3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9"/>
  <sheetViews>
    <sheetView tabSelected="1" topLeftCell="B54" zoomScale="90" zoomScaleNormal="90" workbookViewId="0">
      <selection activeCell="G140" sqref="G140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53" t="s">
        <v>37</v>
      </c>
      <c r="E2" s="54"/>
      <c r="F2" s="28" t="s">
        <v>48</v>
      </c>
    </row>
    <row r="3" spans="4:6" x14ac:dyDescent="0.25">
      <c r="D3" s="29" t="s">
        <v>49</v>
      </c>
      <c r="E3" s="32" t="s">
        <v>50</v>
      </c>
      <c r="F3" s="46" t="s">
        <v>51</v>
      </c>
    </row>
    <row r="4" spans="4:6" ht="15.75" thickBot="1" x14ac:dyDescent="0.3">
      <c r="D4" s="1" t="s">
        <v>52</v>
      </c>
      <c r="E4" s="17" t="s">
        <v>3</v>
      </c>
      <c r="F4" s="47"/>
    </row>
    <row r="6" spans="4:6" s="2" customFormat="1" ht="15.75" thickBot="1" x14ac:dyDescent="0.3">
      <c r="D6" s="75" t="s">
        <v>53</v>
      </c>
      <c r="E6" s="75"/>
    </row>
    <row r="7" spans="4:6" ht="15.75" thickBot="1" x14ac:dyDescent="0.3"/>
    <row r="8" spans="4:6" x14ac:dyDescent="0.25">
      <c r="D8" s="53" t="s">
        <v>37</v>
      </c>
      <c r="E8" s="54"/>
      <c r="F8" s="28" t="s">
        <v>48</v>
      </c>
    </row>
    <row r="9" spans="4:6" x14ac:dyDescent="0.25">
      <c r="D9" s="29" t="s">
        <v>49</v>
      </c>
      <c r="E9" s="32" t="s">
        <v>54</v>
      </c>
      <c r="F9" s="46"/>
    </row>
    <row r="10" spans="4:6" ht="15.75" thickBot="1" x14ac:dyDescent="0.3">
      <c r="D10" s="1" t="s">
        <v>52</v>
      </c>
      <c r="E10" s="31" t="s">
        <v>3</v>
      </c>
      <c r="F10" s="47"/>
    </row>
    <row r="11" spans="4:6" ht="15.75" thickBot="1" x14ac:dyDescent="0.3"/>
    <row r="12" spans="4:6" x14ac:dyDescent="0.25">
      <c r="D12" s="70" t="s">
        <v>6</v>
      </c>
      <c r="E12" s="71"/>
      <c r="F12" s="25" t="s">
        <v>48</v>
      </c>
    </row>
    <row r="13" spans="4:6" x14ac:dyDescent="0.25">
      <c r="D13" s="7" t="s">
        <v>55</v>
      </c>
      <c r="E13" s="15" t="str">
        <f>E3</f>
        <v>Sample</v>
      </c>
      <c r="F13" s="72"/>
    </row>
    <row r="14" spans="4:6" x14ac:dyDescent="0.25">
      <c r="D14" s="7" t="s">
        <v>56</v>
      </c>
      <c r="E14" s="15" t="s">
        <v>57</v>
      </c>
      <c r="F14" s="73"/>
    </row>
    <row r="15" spans="4:6" x14ac:dyDescent="0.25">
      <c r="D15" s="7" t="s">
        <v>58</v>
      </c>
      <c r="E15" s="15" t="str">
        <f>Worklist!C1</f>
        <v>Starting Concentration (mg/mL)</v>
      </c>
      <c r="F15" s="73"/>
    </row>
    <row r="16" spans="4:6" x14ac:dyDescent="0.25">
      <c r="D16" s="7" t="s">
        <v>59</v>
      </c>
      <c r="E16" s="15">
        <f>40*1388651*0.000001/E17</f>
        <v>0.65348282352941178</v>
      </c>
      <c r="F16" s="73"/>
    </row>
    <row r="17" spans="1:6" x14ac:dyDescent="0.25">
      <c r="D17" s="7" t="s">
        <v>60</v>
      </c>
      <c r="E17" s="15">
        <v>85</v>
      </c>
      <c r="F17" s="73"/>
    </row>
    <row r="18" spans="1:6" ht="15.75" thickBot="1" x14ac:dyDescent="0.3">
      <c r="A18" t="s">
        <v>61</v>
      </c>
      <c r="D18" s="8" t="s">
        <v>62</v>
      </c>
      <c r="E18" s="16">
        <v>85</v>
      </c>
      <c r="F18" s="74"/>
    </row>
    <row r="19" spans="1:6" ht="15.75" thickBot="1" x14ac:dyDescent="0.3"/>
    <row r="20" spans="1:6" x14ac:dyDescent="0.25">
      <c r="D20" s="48" t="s">
        <v>5</v>
      </c>
      <c r="E20" s="49"/>
      <c r="F20" s="27" t="s">
        <v>48</v>
      </c>
    </row>
    <row r="21" spans="1:6" x14ac:dyDescent="0.25">
      <c r="D21" s="3" t="s">
        <v>55</v>
      </c>
      <c r="E21" s="13" t="s">
        <v>63</v>
      </c>
      <c r="F21" s="50"/>
    </row>
    <row r="22" spans="1:6" x14ac:dyDescent="0.25">
      <c r="D22" s="3" t="s">
        <v>23</v>
      </c>
      <c r="E22" s="13" t="s">
        <v>32</v>
      </c>
      <c r="F22" s="51"/>
    </row>
    <row r="23" spans="1:6" x14ac:dyDescent="0.25">
      <c r="D23" s="3" t="s">
        <v>39</v>
      </c>
      <c r="E23" s="13" t="s">
        <v>41</v>
      </c>
      <c r="F23" s="51"/>
    </row>
    <row r="24" spans="1:6" x14ac:dyDescent="0.25">
      <c r="D24" s="3" t="s">
        <v>64</v>
      </c>
      <c r="E24" s="13">
        <v>10</v>
      </c>
      <c r="F24" s="51"/>
    </row>
    <row r="25" spans="1:6" ht="15.75" thickBot="1" x14ac:dyDescent="0.3">
      <c r="D25" s="4" t="s">
        <v>65</v>
      </c>
      <c r="E25" s="14" t="s">
        <v>26</v>
      </c>
      <c r="F25" s="52"/>
    </row>
    <row r="26" spans="1:6" ht="15.75" thickBot="1" x14ac:dyDescent="0.3"/>
    <row r="27" spans="1:6" x14ac:dyDescent="0.25">
      <c r="D27" s="48" t="s">
        <v>5</v>
      </c>
      <c r="E27" s="49"/>
      <c r="F27" s="27" t="s">
        <v>48</v>
      </c>
    </row>
    <row r="28" spans="1:6" x14ac:dyDescent="0.25">
      <c r="D28" s="3" t="s">
        <v>55</v>
      </c>
      <c r="E28" s="13" t="s">
        <v>66</v>
      </c>
      <c r="F28" s="50"/>
    </row>
    <row r="29" spans="1:6" x14ac:dyDescent="0.25">
      <c r="D29" s="3" t="s">
        <v>23</v>
      </c>
      <c r="E29" s="13" t="s">
        <v>25</v>
      </c>
      <c r="F29" s="51"/>
    </row>
    <row r="30" spans="1:6" x14ac:dyDescent="0.25">
      <c r="D30" s="3" t="s">
        <v>39</v>
      </c>
      <c r="E30" s="13" t="s">
        <v>41</v>
      </c>
      <c r="F30" s="51"/>
    </row>
    <row r="31" spans="1:6" x14ac:dyDescent="0.25">
      <c r="D31" s="3" t="s">
        <v>64</v>
      </c>
      <c r="E31" s="13">
        <v>5</v>
      </c>
      <c r="F31" s="51"/>
    </row>
    <row r="32" spans="1:6" ht="15.75" thickBot="1" x14ac:dyDescent="0.3">
      <c r="D32" s="4" t="s">
        <v>65</v>
      </c>
      <c r="E32" s="14" t="s">
        <v>26</v>
      </c>
      <c r="F32" s="52"/>
    </row>
    <row r="33" spans="4:6" ht="15.75" thickBot="1" x14ac:dyDescent="0.3"/>
    <row r="34" spans="4:6" x14ac:dyDescent="0.25">
      <c r="D34" s="60" t="s">
        <v>166</v>
      </c>
      <c r="E34" s="61"/>
      <c r="F34" s="26" t="s">
        <v>48</v>
      </c>
    </row>
    <row r="35" spans="4:6" x14ac:dyDescent="0.25">
      <c r="D35" s="11" t="s">
        <v>67</v>
      </c>
      <c r="E35" s="22" t="s">
        <v>68</v>
      </c>
      <c r="F35" s="39"/>
    </row>
    <row r="36" spans="4:6" ht="15.75" thickBot="1" x14ac:dyDescent="0.3">
      <c r="D36" s="12" t="s">
        <v>69</v>
      </c>
      <c r="E36" s="23" t="s">
        <v>70</v>
      </c>
      <c r="F36" s="40"/>
    </row>
    <row r="37" spans="4:6" ht="15.75" thickBot="1" x14ac:dyDescent="0.3"/>
    <row r="38" spans="4:6" x14ac:dyDescent="0.25">
      <c r="D38" s="53" t="s">
        <v>8</v>
      </c>
      <c r="E38" s="54"/>
      <c r="F38" s="88" t="s">
        <v>48</v>
      </c>
    </row>
    <row r="39" spans="4:6" x14ac:dyDescent="0.25">
      <c r="D39" s="86" t="s">
        <v>89</v>
      </c>
      <c r="E39" s="87" t="s">
        <v>26</v>
      </c>
      <c r="F39" s="55"/>
    </row>
    <row r="40" spans="4:6" x14ac:dyDescent="0.25">
      <c r="D40" s="86" t="s">
        <v>90</v>
      </c>
      <c r="E40" s="90" t="s">
        <v>170</v>
      </c>
      <c r="F40" s="56"/>
    </row>
    <row r="41" spans="4:6" ht="30.75" thickBot="1" x14ac:dyDescent="0.3">
      <c r="D41" s="80" t="s">
        <v>92</v>
      </c>
      <c r="E41" s="89" t="s">
        <v>171</v>
      </c>
      <c r="F41" s="57"/>
    </row>
    <row r="42" spans="4:6" ht="15.75" thickBot="1" x14ac:dyDescent="0.3"/>
    <row r="43" spans="4:6" x14ac:dyDescent="0.25">
      <c r="D43" s="48" t="s">
        <v>5</v>
      </c>
      <c r="E43" s="49"/>
      <c r="F43" s="27" t="s">
        <v>48</v>
      </c>
    </row>
    <row r="44" spans="4:6" x14ac:dyDescent="0.25">
      <c r="D44" s="3" t="s">
        <v>55</v>
      </c>
      <c r="E44" s="13" t="s">
        <v>71</v>
      </c>
      <c r="F44" s="50"/>
    </row>
    <row r="45" spans="4:6" x14ac:dyDescent="0.25">
      <c r="D45" s="3" t="s">
        <v>23</v>
      </c>
      <c r="E45" s="13" t="s">
        <v>36</v>
      </c>
      <c r="F45" s="51"/>
    </row>
    <row r="46" spans="4:6" x14ac:dyDescent="0.25">
      <c r="D46" s="3" t="s">
        <v>39</v>
      </c>
      <c r="E46" s="13" t="s">
        <v>41</v>
      </c>
      <c r="F46" s="51"/>
    </row>
    <row r="47" spans="4:6" x14ac:dyDescent="0.25">
      <c r="D47" s="3" t="s">
        <v>64</v>
      </c>
      <c r="E47" s="13">
        <v>10</v>
      </c>
      <c r="F47" s="51"/>
    </row>
    <row r="48" spans="4:6" ht="15.75" thickBot="1" x14ac:dyDescent="0.3">
      <c r="D48" s="4" t="s">
        <v>65</v>
      </c>
      <c r="E48" s="14" t="s">
        <v>26</v>
      </c>
      <c r="F48" s="52"/>
    </row>
    <row r="49" spans="2:8" ht="15.75" thickBot="1" x14ac:dyDescent="0.3"/>
    <row r="50" spans="2:8" x14ac:dyDescent="0.25">
      <c r="D50" s="65" t="s">
        <v>72</v>
      </c>
      <c r="E50" s="66"/>
      <c r="F50" s="24" t="s">
        <v>48</v>
      </c>
    </row>
    <row r="51" spans="2:8" x14ac:dyDescent="0.25">
      <c r="D51" s="9" t="s">
        <v>73</v>
      </c>
      <c r="E51" s="18" t="s">
        <v>74</v>
      </c>
      <c r="F51" s="67"/>
    </row>
    <row r="52" spans="2:8" x14ac:dyDescent="0.25">
      <c r="D52" s="9" t="s">
        <v>75</v>
      </c>
      <c r="E52" s="18" t="str">
        <f>C56</f>
        <v>Annealing</v>
      </c>
      <c r="F52" s="68"/>
    </row>
    <row r="53" spans="2:8" ht="15.75" thickBot="1" x14ac:dyDescent="0.3">
      <c r="D53" s="10" t="s">
        <v>76</v>
      </c>
      <c r="E53" s="19" t="str">
        <f>G56</f>
        <v>Dynabeads</v>
      </c>
      <c r="F53" s="69"/>
    </row>
    <row r="54" spans="2:8" ht="15.75" thickBot="1" x14ac:dyDescent="0.3"/>
    <row r="55" spans="2:8" x14ac:dyDescent="0.25">
      <c r="B55" s="53" t="s">
        <v>37</v>
      </c>
      <c r="C55" s="54"/>
      <c r="D55" s="28" t="s">
        <v>48</v>
      </c>
      <c r="F55" s="53" t="s">
        <v>37</v>
      </c>
      <c r="G55" s="54"/>
      <c r="H55" s="28" t="s">
        <v>48</v>
      </c>
    </row>
    <row r="56" spans="2:8" x14ac:dyDescent="0.25">
      <c r="B56" s="29" t="s">
        <v>49</v>
      </c>
      <c r="C56" s="32" t="s">
        <v>54</v>
      </c>
      <c r="D56" s="46"/>
      <c r="F56" s="29" t="s">
        <v>49</v>
      </c>
      <c r="G56" s="32" t="s">
        <v>77</v>
      </c>
      <c r="H56" s="46"/>
    </row>
    <row r="57" spans="2:8" ht="15.75" thickBot="1" x14ac:dyDescent="0.3">
      <c r="B57" s="1" t="s">
        <v>52</v>
      </c>
      <c r="C57" s="31" t="s">
        <v>3</v>
      </c>
      <c r="D57" s="47"/>
      <c r="F57" s="1" t="s">
        <v>52</v>
      </c>
      <c r="G57" s="31" t="s">
        <v>3</v>
      </c>
      <c r="H57" s="47"/>
    </row>
    <row r="58" spans="2:8" ht="15.75" thickBot="1" x14ac:dyDescent="0.3"/>
    <row r="59" spans="2:8" x14ac:dyDescent="0.25">
      <c r="B59" s="60" t="s">
        <v>10</v>
      </c>
      <c r="C59" s="61"/>
      <c r="D59" s="26" t="s">
        <v>48</v>
      </c>
      <c r="F59" s="48" t="s">
        <v>5</v>
      </c>
      <c r="G59" s="49"/>
      <c r="H59" s="27" t="s">
        <v>48</v>
      </c>
    </row>
    <row r="60" spans="2:8" x14ac:dyDescent="0.25">
      <c r="B60" s="11" t="s">
        <v>78</v>
      </c>
      <c r="C60" s="22">
        <v>37</v>
      </c>
      <c r="D60" s="62"/>
      <c r="F60" s="3" t="s">
        <v>55</v>
      </c>
      <c r="G60" s="13" t="s">
        <v>77</v>
      </c>
      <c r="H60" s="50"/>
    </row>
    <row r="61" spans="2:8" x14ac:dyDescent="0.25">
      <c r="B61" s="11" t="s">
        <v>79</v>
      </c>
      <c r="C61" s="22">
        <v>60</v>
      </c>
      <c r="D61" s="63"/>
      <c r="F61" s="3" t="s">
        <v>23</v>
      </c>
      <c r="G61" s="13" t="s">
        <v>25</v>
      </c>
      <c r="H61" s="51"/>
    </row>
    <row r="62" spans="2:8" ht="15.75" thickBot="1" x14ac:dyDescent="0.3">
      <c r="B62" s="12" t="s">
        <v>80</v>
      </c>
      <c r="C62" s="23">
        <v>0</v>
      </c>
      <c r="D62" s="64"/>
      <c r="F62" s="3" t="s">
        <v>39</v>
      </c>
      <c r="G62" s="13" t="s">
        <v>41</v>
      </c>
      <c r="H62" s="51"/>
    </row>
    <row r="63" spans="2:8" ht="15.75" thickBot="1" x14ac:dyDescent="0.3">
      <c r="F63" s="3" t="s">
        <v>64</v>
      </c>
      <c r="G63" s="13">
        <v>100</v>
      </c>
      <c r="H63" s="51"/>
    </row>
    <row r="64" spans="2:8" ht="15.75" thickBot="1" x14ac:dyDescent="0.3">
      <c r="B64" s="53" t="s">
        <v>81</v>
      </c>
      <c r="C64" s="54"/>
      <c r="D64" s="28" t="s">
        <v>48</v>
      </c>
      <c r="F64" s="4" t="s">
        <v>65</v>
      </c>
      <c r="G64" s="14" t="s">
        <v>26</v>
      </c>
      <c r="H64" s="52"/>
    </row>
    <row r="65" spans="2:8" ht="15.75" thickBot="1" x14ac:dyDescent="0.3">
      <c r="B65" s="42"/>
      <c r="C65" s="43"/>
      <c r="D65" s="46"/>
    </row>
    <row r="66" spans="2:8" ht="15.75" thickBot="1" x14ac:dyDescent="0.3">
      <c r="B66" s="44"/>
      <c r="C66" s="45"/>
      <c r="D66" s="47"/>
      <c r="F66" s="53" t="s">
        <v>37</v>
      </c>
      <c r="G66" s="54"/>
      <c r="H66" s="28" t="s">
        <v>48</v>
      </c>
    </row>
    <row r="67" spans="2:8" x14ac:dyDescent="0.25">
      <c r="F67" s="29" t="s">
        <v>49</v>
      </c>
      <c r="G67" s="32" t="s">
        <v>167</v>
      </c>
      <c r="H67" s="46"/>
    </row>
    <row r="68" spans="2:8" ht="15.75" thickBot="1" x14ac:dyDescent="0.3">
      <c r="F68" s="1" t="s">
        <v>52</v>
      </c>
      <c r="G68" s="31" t="s">
        <v>3</v>
      </c>
      <c r="H68" s="47"/>
    </row>
    <row r="69" spans="2:8" ht="15.75" thickBot="1" x14ac:dyDescent="0.3"/>
    <row r="70" spans="2:8" x14ac:dyDescent="0.25">
      <c r="F70" s="58" t="s">
        <v>82</v>
      </c>
      <c r="G70" s="59"/>
      <c r="H70" s="38" t="s">
        <v>48</v>
      </c>
    </row>
    <row r="71" spans="2:8" x14ac:dyDescent="0.25">
      <c r="F71" s="5" t="s">
        <v>168</v>
      </c>
      <c r="G71" s="20" t="str">
        <f>G$56</f>
        <v>Dynabeads</v>
      </c>
      <c r="H71" s="76"/>
    </row>
    <row r="72" spans="2:8" x14ac:dyDescent="0.25">
      <c r="F72" s="5" t="s">
        <v>83</v>
      </c>
      <c r="G72" s="20" t="s">
        <v>84</v>
      </c>
      <c r="H72" s="77"/>
    </row>
    <row r="73" spans="2:8" x14ac:dyDescent="0.25">
      <c r="F73" s="5" t="s">
        <v>169</v>
      </c>
      <c r="G73" s="20">
        <v>150</v>
      </c>
      <c r="H73" s="77"/>
    </row>
    <row r="74" spans="2:8" x14ac:dyDescent="0.25">
      <c r="F74" s="5" t="s">
        <v>85</v>
      </c>
      <c r="G74" s="20">
        <v>2</v>
      </c>
      <c r="H74" s="77"/>
    </row>
    <row r="75" spans="2:8" ht="15.75" thickBot="1" x14ac:dyDescent="0.3">
      <c r="F75" s="6" t="s">
        <v>100</v>
      </c>
      <c r="G75" s="21">
        <v>3</v>
      </c>
      <c r="H75" s="78"/>
    </row>
    <row r="76" spans="2:8" ht="15.75" thickBot="1" x14ac:dyDescent="0.3"/>
    <row r="77" spans="2:8" s="79" customFormat="1" x14ac:dyDescent="0.25">
      <c r="F77" s="58" t="s">
        <v>82</v>
      </c>
      <c r="G77" s="59"/>
      <c r="H77" s="85" t="s">
        <v>48</v>
      </c>
    </row>
    <row r="78" spans="2:8" s="79" customFormat="1" x14ac:dyDescent="0.25">
      <c r="F78" s="81" t="s">
        <v>168</v>
      </c>
      <c r="G78" s="83" t="str">
        <f>G$56</f>
        <v>Dynabeads</v>
      </c>
      <c r="H78" s="76"/>
    </row>
    <row r="79" spans="2:8" s="79" customFormat="1" x14ac:dyDescent="0.25">
      <c r="F79" s="81" t="s">
        <v>83</v>
      </c>
      <c r="G79" s="83" t="s">
        <v>86</v>
      </c>
      <c r="H79" s="77"/>
    </row>
    <row r="80" spans="2:8" s="79" customFormat="1" x14ac:dyDescent="0.25">
      <c r="F80" s="81" t="s">
        <v>169</v>
      </c>
      <c r="G80" s="83">
        <v>150</v>
      </c>
      <c r="H80" s="77"/>
    </row>
    <row r="81" spans="6:8" s="79" customFormat="1" x14ac:dyDescent="0.25">
      <c r="F81" s="81" t="s">
        <v>85</v>
      </c>
      <c r="G81" s="83">
        <v>2</v>
      </c>
      <c r="H81" s="77"/>
    </row>
    <row r="82" spans="6:8" s="79" customFormat="1" ht="15.75" thickBot="1" x14ac:dyDescent="0.3">
      <c r="F82" s="82" t="s">
        <v>100</v>
      </c>
      <c r="G82" s="84">
        <v>2</v>
      </c>
      <c r="H82" s="78"/>
    </row>
    <row r="83" spans="6:8" s="79" customFormat="1" ht="15.75" thickBot="1" x14ac:dyDescent="0.3"/>
    <row r="84" spans="6:8" x14ac:dyDescent="0.25">
      <c r="F84" s="53" t="s">
        <v>81</v>
      </c>
      <c r="G84" s="54"/>
      <c r="H84" s="28" t="s">
        <v>48</v>
      </c>
    </row>
    <row r="85" spans="6:8" x14ac:dyDescent="0.25">
      <c r="F85" s="42"/>
      <c r="G85" s="43"/>
      <c r="H85" s="46"/>
    </row>
    <row r="86" spans="6:8" ht="15.75" thickBot="1" x14ac:dyDescent="0.3">
      <c r="F86" s="44"/>
      <c r="G86" s="45"/>
      <c r="H86" s="47"/>
    </row>
    <row r="87" spans="6:8" ht="15.75" thickBot="1" x14ac:dyDescent="0.3"/>
    <row r="88" spans="6:8" s="79" customFormat="1" x14ac:dyDescent="0.25">
      <c r="F88" s="58" t="s">
        <v>82</v>
      </c>
      <c r="G88" s="59"/>
      <c r="H88" s="85" t="s">
        <v>48</v>
      </c>
    </row>
    <row r="89" spans="6:8" s="79" customFormat="1" x14ac:dyDescent="0.25">
      <c r="F89" s="81" t="s">
        <v>168</v>
      </c>
      <c r="G89" s="83" t="str">
        <f>G$56</f>
        <v>Dynabeads</v>
      </c>
      <c r="H89" s="76"/>
    </row>
    <row r="90" spans="6:8" s="79" customFormat="1" x14ac:dyDescent="0.25">
      <c r="F90" s="81" t="s">
        <v>83</v>
      </c>
      <c r="G90" s="83" t="str">
        <f>C56</f>
        <v>Annealing</v>
      </c>
      <c r="H90" s="77"/>
    </row>
    <row r="91" spans="6:8" s="79" customFormat="1" x14ac:dyDescent="0.25">
      <c r="F91" s="81" t="s">
        <v>169</v>
      </c>
      <c r="G91" s="83">
        <v>100</v>
      </c>
      <c r="H91" s="77"/>
    </row>
    <row r="92" spans="6:8" s="79" customFormat="1" x14ac:dyDescent="0.25">
      <c r="F92" s="81" t="s">
        <v>85</v>
      </c>
      <c r="G92" s="83">
        <v>2</v>
      </c>
      <c r="H92" s="77"/>
    </row>
    <row r="93" spans="6:8" s="79" customFormat="1" ht="15.75" thickBot="1" x14ac:dyDescent="0.3">
      <c r="F93" s="82" t="s">
        <v>100</v>
      </c>
      <c r="G93" s="84">
        <v>1</v>
      </c>
      <c r="H93" s="78"/>
    </row>
    <row r="94" spans="6:8" s="79" customFormat="1" ht="15.75" thickBot="1" x14ac:dyDescent="0.3"/>
    <row r="95" spans="6:8" s="79" customFormat="1" x14ac:dyDescent="0.25">
      <c r="F95" s="60" t="s">
        <v>10</v>
      </c>
      <c r="G95" s="61"/>
      <c r="H95" s="26" t="s">
        <v>48</v>
      </c>
    </row>
    <row r="96" spans="6:8" s="79" customFormat="1" x14ac:dyDescent="0.25">
      <c r="F96" s="11" t="s">
        <v>78</v>
      </c>
      <c r="G96" s="22">
        <v>25</v>
      </c>
      <c r="H96" s="62"/>
    </row>
    <row r="97" spans="6:8" s="79" customFormat="1" x14ac:dyDescent="0.25">
      <c r="F97" s="11" t="s">
        <v>79</v>
      </c>
      <c r="G97" s="22">
        <v>30</v>
      </c>
      <c r="H97" s="63"/>
    </row>
    <row r="98" spans="6:8" s="79" customFormat="1" ht="15.75" thickBot="1" x14ac:dyDescent="0.3">
      <c r="F98" s="12" t="s">
        <v>80</v>
      </c>
      <c r="G98" s="23">
        <v>650</v>
      </c>
      <c r="H98" s="64"/>
    </row>
    <row r="99" spans="6:8" s="79" customFormat="1" ht="15.75" thickBot="1" x14ac:dyDescent="0.3">
      <c r="F99"/>
      <c r="G99"/>
      <c r="H99"/>
    </row>
    <row r="100" spans="6:8" s="79" customFormat="1" x14ac:dyDescent="0.25">
      <c r="F100" s="58" t="s">
        <v>82</v>
      </c>
      <c r="G100" s="59"/>
      <c r="H100" s="85" t="s">
        <v>48</v>
      </c>
    </row>
    <row r="101" spans="6:8" s="79" customFormat="1" x14ac:dyDescent="0.25">
      <c r="F101" s="81" t="s">
        <v>168</v>
      </c>
      <c r="G101" s="83" t="str">
        <f>G$56</f>
        <v>Dynabeads</v>
      </c>
      <c r="H101" s="76"/>
    </row>
    <row r="102" spans="6:8" s="79" customFormat="1" x14ac:dyDescent="0.25">
      <c r="F102" s="81" t="s">
        <v>83</v>
      </c>
      <c r="G102" s="83" t="s">
        <v>84</v>
      </c>
      <c r="H102" s="77"/>
    </row>
    <row r="103" spans="6:8" s="79" customFormat="1" x14ac:dyDescent="0.25">
      <c r="F103" s="81" t="s">
        <v>169</v>
      </c>
      <c r="G103" s="83">
        <v>200</v>
      </c>
      <c r="H103" s="77"/>
    </row>
    <row r="104" spans="6:8" s="79" customFormat="1" x14ac:dyDescent="0.25">
      <c r="F104" s="81" t="s">
        <v>85</v>
      </c>
      <c r="G104" s="83">
        <v>2</v>
      </c>
      <c r="H104" s="77"/>
    </row>
    <row r="105" spans="6:8" s="79" customFormat="1" ht="15.75" thickBot="1" x14ac:dyDescent="0.3">
      <c r="F105" s="82" t="s">
        <v>100</v>
      </c>
      <c r="G105" s="84">
        <v>2</v>
      </c>
      <c r="H105" s="78"/>
    </row>
    <row r="106" spans="6:8" s="79" customFormat="1" ht="15.75" thickBot="1" x14ac:dyDescent="0.3"/>
    <row r="107" spans="6:8" s="79" customFormat="1" x14ac:dyDescent="0.25">
      <c r="F107" s="58" t="s">
        <v>82</v>
      </c>
      <c r="G107" s="59"/>
      <c r="H107" s="85" t="s">
        <v>48</v>
      </c>
    </row>
    <row r="108" spans="6:8" s="79" customFormat="1" x14ac:dyDescent="0.25">
      <c r="F108" s="81" t="s">
        <v>168</v>
      </c>
      <c r="G108" s="83" t="str">
        <f>G$56</f>
        <v>Dynabeads</v>
      </c>
      <c r="H108" s="76"/>
    </row>
    <row r="109" spans="6:8" s="79" customFormat="1" x14ac:dyDescent="0.25">
      <c r="F109" s="81" t="s">
        <v>83</v>
      </c>
      <c r="G109" s="83" t="s">
        <v>57</v>
      </c>
      <c r="H109" s="77"/>
    </row>
    <row r="110" spans="6:8" s="79" customFormat="1" x14ac:dyDescent="0.25">
      <c r="F110" s="81" t="s">
        <v>169</v>
      </c>
      <c r="G110" s="83">
        <v>200</v>
      </c>
      <c r="H110" s="77"/>
    </row>
    <row r="111" spans="6:8" s="79" customFormat="1" x14ac:dyDescent="0.25">
      <c r="F111" s="81" t="s">
        <v>85</v>
      </c>
      <c r="G111" s="83">
        <v>2</v>
      </c>
      <c r="H111" s="77"/>
    </row>
    <row r="112" spans="6:8" s="79" customFormat="1" ht="15.75" thickBot="1" x14ac:dyDescent="0.3">
      <c r="F112" s="82" t="s">
        <v>100</v>
      </c>
      <c r="G112" s="84">
        <v>10</v>
      </c>
      <c r="H112" s="78"/>
    </row>
    <row r="113" spans="6:8" s="79" customFormat="1" ht="15.75" thickBot="1" x14ac:dyDescent="0.3"/>
    <row r="114" spans="6:8" s="79" customFormat="1" x14ac:dyDescent="0.25">
      <c r="F114" s="58" t="s">
        <v>82</v>
      </c>
      <c r="G114" s="59"/>
      <c r="H114" s="85" t="s">
        <v>48</v>
      </c>
    </row>
    <row r="115" spans="6:8" s="79" customFormat="1" x14ac:dyDescent="0.25">
      <c r="F115" s="81" t="s">
        <v>168</v>
      </c>
      <c r="G115" s="83" t="str">
        <f>G$56</f>
        <v>Dynabeads</v>
      </c>
      <c r="H115" s="76"/>
    </row>
    <row r="116" spans="6:8" s="79" customFormat="1" x14ac:dyDescent="0.25">
      <c r="F116" s="81" t="s">
        <v>83</v>
      </c>
      <c r="G116" s="83" t="s">
        <v>87</v>
      </c>
      <c r="H116" s="77"/>
    </row>
    <row r="117" spans="6:8" s="79" customFormat="1" x14ac:dyDescent="0.25">
      <c r="F117" s="81" t="s">
        <v>169</v>
      </c>
      <c r="G117" s="83">
        <v>100</v>
      </c>
      <c r="H117" s="77"/>
    </row>
    <row r="118" spans="6:8" s="79" customFormat="1" x14ac:dyDescent="0.25">
      <c r="F118" s="81" t="s">
        <v>85</v>
      </c>
      <c r="G118" s="83">
        <v>2</v>
      </c>
      <c r="H118" s="77"/>
    </row>
    <row r="119" spans="6:8" s="79" customFormat="1" ht="15.75" thickBot="1" x14ac:dyDescent="0.3">
      <c r="F119" s="82" t="s">
        <v>100</v>
      </c>
      <c r="G119" s="84">
        <v>1</v>
      </c>
      <c r="H119" s="78"/>
    </row>
    <row r="120" spans="6:8" s="79" customFormat="1" ht="15.75" thickBot="1" x14ac:dyDescent="0.3">
      <c r="F120"/>
      <c r="G120"/>
      <c r="H120"/>
    </row>
    <row r="121" spans="6:8" s="79" customFormat="1" x14ac:dyDescent="0.25">
      <c r="F121" s="60" t="s">
        <v>10</v>
      </c>
      <c r="G121" s="61"/>
      <c r="H121" s="26" t="s">
        <v>48</v>
      </c>
    </row>
    <row r="122" spans="6:8" s="79" customFormat="1" x14ac:dyDescent="0.25">
      <c r="F122" s="11" t="s">
        <v>78</v>
      </c>
      <c r="G122" s="22">
        <v>90</v>
      </c>
      <c r="H122" s="62"/>
    </row>
    <row r="123" spans="6:8" s="79" customFormat="1" x14ac:dyDescent="0.25">
      <c r="F123" s="11" t="s">
        <v>79</v>
      </c>
      <c r="G123" s="22">
        <v>5</v>
      </c>
      <c r="H123" s="63"/>
    </row>
    <row r="124" spans="6:8" s="79" customFormat="1" ht="15.75" thickBot="1" x14ac:dyDescent="0.3">
      <c r="F124" s="12" t="s">
        <v>80</v>
      </c>
      <c r="G124" s="23">
        <v>350</v>
      </c>
      <c r="H124" s="64"/>
    </row>
    <row r="125" spans="6:8" s="79" customFormat="1" ht="15.75" thickBot="1" x14ac:dyDescent="0.3">
      <c r="F125"/>
      <c r="G125"/>
      <c r="H125"/>
    </row>
    <row r="126" spans="6:8" s="79" customFormat="1" x14ac:dyDescent="0.25">
      <c r="F126" s="53" t="s">
        <v>37</v>
      </c>
      <c r="G126" s="54"/>
      <c r="H126" s="28" t="s">
        <v>48</v>
      </c>
    </row>
    <row r="127" spans="6:8" s="79" customFormat="1" x14ac:dyDescent="0.25">
      <c r="F127" s="29" t="s">
        <v>49</v>
      </c>
      <c r="G127" s="32" t="s">
        <v>88</v>
      </c>
      <c r="H127" s="46"/>
    </row>
    <row r="128" spans="6:8" s="79" customFormat="1" ht="15.75" thickBot="1" x14ac:dyDescent="0.3">
      <c r="F128" s="1" t="s">
        <v>52</v>
      </c>
      <c r="G128" s="31" t="s">
        <v>22</v>
      </c>
      <c r="H128" s="47"/>
    </row>
    <row r="129" spans="6:8" s="79" customFormat="1" ht="15.75" thickBot="1" x14ac:dyDescent="0.3"/>
    <row r="130" spans="6:8" s="79" customFormat="1" x14ac:dyDescent="0.25">
      <c r="F130" s="58" t="s">
        <v>82</v>
      </c>
      <c r="G130" s="59"/>
      <c r="H130" s="85" t="s">
        <v>48</v>
      </c>
    </row>
    <row r="131" spans="6:8" s="79" customFormat="1" x14ac:dyDescent="0.25">
      <c r="F131" s="81" t="s">
        <v>168</v>
      </c>
      <c r="G131" s="83" t="str">
        <f>G$56</f>
        <v>Dynabeads</v>
      </c>
      <c r="H131" s="76"/>
    </row>
    <row r="132" spans="6:8" s="79" customFormat="1" x14ac:dyDescent="0.25">
      <c r="F132" s="81" t="s">
        <v>83</v>
      </c>
      <c r="G132" s="83" t="s">
        <v>172</v>
      </c>
      <c r="H132" s="77"/>
    </row>
    <row r="133" spans="6:8" s="79" customFormat="1" x14ac:dyDescent="0.25">
      <c r="F133" s="81" t="s">
        <v>169</v>
      </c>
      <c r="G133" s="83">
        <v>0</v>
      </c>
      <c r="H133" s="77"/>
    </row>
    <row r="134" spans="6:8" s="79" customFormat="1" x14ac:dyDescent="0.25">
      <c r="F134" s="81" t="s">
        <v>85</v>
      </c>
      <c r="G134" s="83">
        <v>2</v>
      </c>
      <c r="H134" s="77"/>
    </row>
    <row r="135" spans="6:8" s="79" customFormat="1" ht="15.75" thickBot="1" x14ac:dyDescent="0.3">
      <c r="F135" s="82" t="s">
        <v>100</v>
      </c>
      <c r="G135" s="84">
        <v>1</v>
      </c>
      <c r="H135" s="78"/>
    </row>
    <row r="136" spans="6:8" s="79" customFormat="1" ht="15.75" thickBot="1" x14ac:dyDescent="0.3">
      <c r="F136"/>
      <c r="G136"/>
      <c r="H136"/>
    </row>
    <row r="137" spans="6:8" s="79" customFormat="1" x14ac:dyDescent="0.25">
      <c r="F137" s="53" t="s">
        <v>8</v>
      </c>
      <c r="G137" s="54"/>
      <c r="H137" s="34" t="s">
        <v>48</v>
      </c>
    </row>
    <row r="138" spans="6:8" s="79" customFormat="1" x14ac:dyDescent="0.25">
      <c r="F138" s="29" t="s">
        <v>89</v>
      </c>
      <c r="G138" s="30" t="s">
        <v>28</v>
      </c>
      <c r="H138" s="55"/>
    </row>
    <row r="139" spans="6:8" s="79" customFormat="1" x14ac:dyDescent="0.25">
      <c r="F139" s="29" t="s">
        <v>90</v>
      </c>
      <c r="G139" s="37" t="s">
        <v>91</v>
      </c>
      <c r="H139" s="56"/>
    </row>
    <row r="140" spans="6:8" s="79" customFormat="1" ht="15.75" thickBot="1" x14ac:dyDescent="0.3">
      <c r="F140" s="1" t="s">
        <v>92</v>
      </c>
      <c r="G140" s="36" t="s">
        <v>93</v>
      </c>
      <c r="H140" s="57"/>
    </row>
    <row r="141" spans="6:8" s="79" customFormat="1" ht="15.75" thickBot="1" x14ac:dyDescent="0.3">
      <c r="F141"/>
      <c r="G141"/>
      <c r="H141"/>
    </row>
    <row r="142" spans="6:8" s="79" customFormat="1" x14ac:dyDescent="0.25">
      <c r="F142" s="53" t="s">
        <v>94</v>
      </c>
      <c r="G142" s="54"/>
      <c r="H142" s="28" t="s">
        <v>48</v>
      </c>
    </row>
    <row r="143" spans="6:8" s="79" customFormat="1" x14ac:dyDescent="0.25">
      <c r="F143" s="42"/>
      <c r="G143" s="43"/>
      <c r="H143" s="46"/>
    </row>
    <row r="144" spans="6:8" s="79" customFormat="1" ht="15.75" thickBot="1" x14ac:dyDescent="0.3">
      <c r="F144" s="44"/>
      <c r="G144" s="45"/>
      <c r="H144" s="47"/>
    </row>
    <row r="145" spans="6:8" s="79" customFormat="1" x14ac:dyDescent="0.25">
      <c r="F145"/>
      <c r="G145"/>
      <c r="H145"/>
    </row>
    <row r="146" spans="6:8" s="79" customFormat="1" x14ac:dyDescent="0.25">
      <c r="F146"/>
      <c r="G146"/>
      <c r="H146"/>
    </row>
    <row r="147" spans="6:8" s="79" customFormat="1" x14ac:dyDescent="0.25">
      <c r="F147"/>
      <c r="G147"/>
      <c r="H147"/>
    </row>
    <row r="148" spans="6:8" s="79" customFormat="1" x14ac:dyDescent="0.25">
      <c r="F148"/>
      <c r="G148"/>
      <c r="H148"/>
    </row>
    <row r="149" spans="6:8" s="79" customFormat="1" x14ac:dyDescent="0.25">
      <c r="F149"/>
      <c r="G149"/>
      <c r="H149"/>
    </row>
  </sheetData>
  <mergeCells count="59">
    <mergeCell ref="D38:E38"/>
    <mergeCell ref="F77:G77"/>
    <mergeCell ref="H78:H82"/>
    <mergeCell ref="F88:G88"/>
    <mergeCell ref="H89:H93"/>
    <mergeCell ref="F66:G66"/>
    <mergeCell ref="H67:H68"/>
    <mergeCell ref="H71:H75"/>
    <mergeCell ref="F39:F41"/>
    <mergeCell ref="D8:E8"/>
    <mergeCell ref="F9:F10"/>
    <mergeCell ref="D12:E12"/>
    <mergeCell ref="F13:F18"/>
    <mergeCell ref="D2:E2"/>
    <mergeCell ref="F3:F4"/>
    <mergeCell ref="D6:E6"/>
    <mergeCell ref="D20:E20"/>
    <mergeCell ref="F21:F25"/>
    <mergeCell ref="D27:E27"/>
    <mergeCell ref="F28:F32"/>
    <mergeCell ref="D34:E34"/>
    <mergeCell ref="H56:H57"/>
    <mergeCell ref="D43:E43"/>
    <mergeCell ref="F44:F48"/>
    <mergeCell ref="B59:C59"/>
    <mergeCell ref="D60:D62"/>
    <mergeCell ref="D50:E50"/>
    <mergeCell ref="F51:F53"/>
    <mergeCell ref="B55:C55"/>
    <mergeCell ref="D56:D57"/>
    <mergeCell ref="F55:G55"/>
    <mergeCell ref="F84:G84"/>
    <mergeCell ref="F85:G86"/>
    <mergeCell ref="H85:H86"/>
    <mergeCell ref="F59:G59"/>
    <mergeCell ref="H60:H64"/>
    <mergeCell ref="F70:G70"/>
    <mergeCell ref="B64:C64"/>
    <mergeCell ref="B65:C66"/>
    <mergeCell ref="D65:D66"/>
    <mergeCell ref="F95:G95"/>
    <mergeCell ref="H96:H98"/>
    <mergeCell ref="F100:G100"/>
    <mergeCell ref="H101:H105"/>
    <mergeCell ref="F107:G107"/>
    <mergeCell ref="H108:H112"/>
    <mergeCell ref="F114:G114"/>
    <mergeCell ref="H115:H119"/>
    <mergeCell ref="F121:G121"/>
    <mergeCell ref="H122:H124"/>
    <mergeCell ref="F126:G126"/>
    <mergeCell ref="H127:H128"/>
    <mergeCell ref="F130:G130"/>
    <mergeCell ref="H131:H135"/>
    <mergeCell ref="F143:G144"/>
    <mergeCell ref="H143:H144"/>
    <mergeCell ref="F137:G137"/>
    <mergeCell ref="H138:H140"/>
    <mergeCell ref="F142:G14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"/>
  <sheetViews>
    <sheetView workbookViewId="0">
      <selection activeCell="D2" sqref="D2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1.140625" bestFit="1" customWidth="1"/>
    <col min="4" max="4" width="11.42578125" bestFit="1" customWidth="1"/>
    <col min="5" max="5" width="11.5703125" bestFit="1" customWidth="1"/>
    <col min="6" max="6" width="16.5703125" bestFit="1" customWidth="1"/>
    <col min="7" max="7" width="17.85546875" bestFit="1" customWidth="1"/>
  </cols>
  <sheetData>
    <row r="1" spans="1:5" x14ac:dyDescent="0.25">
      <c r="A1" t="s">
        <v>95</v>
      </c>
      <c r="B1" t="s">
        <v>96</v>
      </c>
      <c r="C1" t="s">
        <v>58</v>
      </c>
      <c r="D1" t="s">
        <v>98</v>
      </c>
      <c r="E1" t="s">
        <v>99</v>
      </c>
    </row>
    <row r="2" spans="1:5" x14ac:dyDescent="0.25">
      <c r="A2">
        <f t="shared" ref="A2:A5" si="0">ROW(A1)</f>
        <v>1</v>
      </c>
      <c r="B2" t="s">
        <v>97</v>
      </c>
      <c r="C2">
        <v>10</v>
      </c>
      <c r="D2">
        <v>5</v>
      </c>
    </row>
    <row r="3" spans="1:5" x14ac:dyDescent="0.25">
      <c r="A3">
        <f t="shared" si="0"/>
        <v>2</v>
      </c>
      <c r="B3" t="s">
        <v>97</v>
      </c>
      <c r="C3">
        <v>15</v>
      </c>
      <c r="D3">
        <v>8</v>
      </c>
    </row>
    <row r="4" spans="1:5" x14ac:dyDescent="0.25">
      <c r="A4">
        <f t="shared" si="0"/>
        <v>3</v>
      </c>
      <c r="B4" t="s">
        <v>97</v>
      </c>
      <c r="C4">
        <v>20</v>
      </c>
      <c r="D4">
        <v>9</v>
      </c>
    </row>
    <row r="5" spans="1:5" x14ac:dyDescent="0.25">
      <c r="A5">
        <f t="shared" si="0"/>
        <v>4</v>
      </c>
      <c r="B5" t="s">
        <v>97</v>
      </c>
      <c r="C5">
        <v>25</v>
      </c>
      <c r="D5">
        <v>10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288B4-6D5D-4BF2-9096-EDA39CD98918}">
  <dimension ref="B3:H175"/>
  <sheetViews>
    <sheetView workbookViewId="0"/>
  </sheetViews>
  <sheetFormatPr defaultRowHeight="15" x14ac:dyDescent="0.25"/>
  <sheetData>
    <row r="3" spans="4:5" x14ac:dyDescent="0.25">
      <c r="D3" t="s">
        <v>101</v>
      </c>
      <c r="E3" t="s">
        <v>102</v>
      </c>
    </row>
    <row r="4" spans="4:5" x14ac:dyDescent="0.25">
      <c r="D4" t="s">
        <v>103</v>
      </c>
      <c r="E4" t="s">
        <v>104</v>
      </c>
    </row>
    <row r="5" spans="4:5" x14ac:dyDescent="0.25">
      <c r="D5" t="s">
        <v>105</v>
      </c>
      <c r="E5" t="s">
        <v>54</v>
      </c>
    </row>
    <row r="6" spans="4:5" x14ac:dyDescent="0.25">
      <c r="D6" t="s">
        <v>106</v>
      </c>
      <c r="E6">
        <v>37</v>
      </c>
    </row>
    <row r="7" spans="4:5" x14ac:dyDescent="0.25">
      <c r="D7" t="s">
        <v>107</v>
      </c>
      <c r="E7">
        <v>0</v>
      </c>
    </row>
    <row r="9" spans="4:5" x14ac:dyDescent="0.25">
      <c r="D9" t="s">
        <v>101</v>
      </c>
      <c r="E9" t="s">
        <v>102</v>
      </c>
    </row>
    <row r="10" spans="4:5" x14ac:dyDescent="0.25">
      <c r="D10" t="s">
        <v>103</v>
      </c>
      <c r="E10" t="s">
        <v>104</v>
      </c>
    </row>
    <row r="11" spans="4:5" x14ac:dyDescent="0.25">
      <c r="D11" t="s">
        <v>105</v>
      </c>
      <c r="E11" t="s">
        <v>77</v>
      </c>
    </row>
    <row r="12" spans="4:5" x14ac:dyDescent="0.25">
      <c r="D12" t="s">
        <v>106</v>
      </c>
      <c r="E12">
        <v>25</v>
      </c>
    </row>
    <row r="13" spans="4:5" x14ac:dyDescent="0.25">
      <c r="D13" t="s">
        <v>107</v>
      </c>
      <c r="E13">
        <v>650</v>
      </c>
    </row>
    <row r="18" spans="2:3" x14ac:dyDescent="0.25">
      <c r="B18" t="s">
        <v>108</v>
      </c>
    </row>
    <row r="19" spans="2:3" x14ac:dyDescent="0.25">
      <c r="B19" t="s">
        <v>109</v>
      </c>
    </row>
    <row r="20" spans="2:3" x14ac:dyDescent="0.25">
      <c r="B20" t="s">
        <v>110</v>
      </c>
    </row>
    <row r="21" spans="2:3" x14ac:dyDescent="0.25">
      <c r="B21" t="s">
        <v>111</v>
      </c>
    </row>
    <row r="23" spans="2:3" x14ac:dyDescent="0.25">
      <c r="C23" t="s">
        <v>112</v>
      </c>
    </row>
    <row r="28" spans="2:3" x14ac:dyDescent="0.25">
      <c r="B28" t="s">
        <v>113</v>
      </c>
    </row>
    <row r="29" spans="2:3" x14ac:dyDescent="0.25">
      <c r="B29" t="s">
        <v>114</v>
      </c>
    </row>
    <row r="30" spans="2:3" x14ac:dyDescent="0.25">
      <c r="B30" t="s">
        <v>115</v>
      </c>
    </row>
    <row r="31" spans="2:3" x14ac:dyDescent="0.25">
      <c r="B31" t="s">
        <v>116</v>
      </c>
    </row>
    <row r="32" spans="2:3" x14ac:dyDescent="0.25">
      <c r="B32" t="s">
        <v>117</v>
      </c>
    </row>
    <row r="33" spans="2:8" x14ac:dyDescent="0.25">
      <c r="B33" t="s">
        <v>118</v>
      </c>
    </row>
    <row r="34" spans="2:8" x14ac:dyDescent="0.25">
      <c r="B34" t="s">
        <v>119</v>
      </c>
    </row>
    <row r="35" spans="2:8" x14ac:dyDescent="0.25">
      <c r="B35" t="s">
        <v>120</v>
      </c>
    </row>
    <row r="37" spans="2:8" x14ac:dyDescent="0.25">
      <c r="C37" t="s">
        <v>112</v>
      </c>
    </row>
    <row r="39" spans="2:8" x14ac:dyDescent="0.25">
      <c r="C39" t="s">
        <v>112</v>
      </c>
    </row>
    <row r="41" spans="2:8" x14ac:dyDescent="0.25">
      <c r="D41" t="s">
        <v>101</v>
      </c>
      <c r="E41" t="s">
        <v>121</v>
      </c>
    </row>
    <row r="42" spans="2:8" x14ac:dyDescent="0.25">
      <c r="D42" t="s">
        <v>103</v>
      </c>
      <c r="E42" t="s">
        <v>122</v>
      </c>
    </row>
    <row r="43" spans="2:8" x14ac:dyDescent="0.25">
      <c r="D43" t="s">
        <v>123</v>
      </c>
      <c r="E43">
        <v>79.445396000000002</v>
      </c>
      <c r="F43">
        <v>81.296930666666597</v>
      </c>
      <c r="G43">
        <v>82.222697999999994</v>
      </c>
      <c r="H43">
        <v>82.778158399999995</v>
      </c>
    </row>
    <row r="44" spans="2:8" x14ac:dyDescent="0.25">
      <c r="D44" t="s">
        <v>124</v>
      </c>
      <c r="E44" t="s">
        <v>125</v>
      </c>
      <c r="F44" t="s">
        <v>125</v>
      </c>
      <c r="G44" t="s">
        <v>125</v>
      </c>
      <c r="H44" t="s">
        <v>126</v>
      </c>
    </row>
    <row r="45" spans="2:8" x14ac:dyDescent="0.25">
      <c r="D45" t="s">
        <v>127</v>
      </c>
    </row>
    <row r="47" spans="2:8" x14ac:dyDescent="0.25">
      <c r="D47" t="s">
        <v>101</v>
      </c>
      <c r="E47" t="s">
        <v>121</v>
      </c>
    </row>
    <row r="48" spans="2:8" x14ac:dyDescent="0.25">
      <c r="D48" t="s">
        <v>103</v>
      </c>
      <c r="E48" t="s">
        <v>128</v>
      </c>
    </row>
    <row r="49" spans="4:8" x14ac:dyDescent="0.25">
      <c r="D49" t="s">
        <v>123</v>
      </c>
      <c r="E49">
        <v>79.445396000000002</v>
      </c>
      <c r="F49">
        <v>81.296930666666597</v>
      </c>
      <c r="G49">
        <v>82.222697999999994</v>
      </c>
      <c r="H49">
        <v>82.778158000000005</v>
      </c>
    </row>
    <row r="50" spans="4:8" x14ac:dyDescent="0.25">
      <c r="D50" t="s">
        <v>129</v>
      </c>
    </row>
    <row r="52" spans="4:8" x14ac:dyDescent="0.25">
      <c r="D52" t="s">
        <v>101</v>
      </c>
      <c r="E52" t="s">
        <v>121</v>
      </c>
    </row>
    <row r="53" spans="4:8" x14ac:dyDescent="0.25">
      <c r="D53" t="s">
        <v>103</v>
      </c>
      <c r="E53" t="s">
        <v>130</v>
      </c>
    </row>
    <row r="54" spans="4:8" x14ac:dyDescent="0.25">
      <c r="D54" t="s">
        <v>131</v>
      </c>
      <c r="E54" t="s">
        <v>54</v>
      </c>
      <c r="F54" t="s">
        <v>54</v>
      </c>
      <c r="G54" t="s">
        <v>54</v>
      </c>
      <c r="H54" t="s">
        <v>54</v>
      </c>
    </row>
    <row r="55" spans="4:8" x14ac:dyDescent="0.25">
      <c r="D55" t="s">
        <v>132</v>
      </c>
      <c r="E55">
        <v>1</v>
      </c>
      <c r="F55">
        <v>2</v>
      </c>
      <c r="G55">
        <v>3</v>
      </c>
      <c r="H55">
        <v>4</v>
      </c>
    </row>
    <row r="56" spans="4:8" x14ac:dyDescent="0.25">
      <c r="D56" t="s">
        <v>133</v>
      </c>
      <c r="E56" t="s">
        <v>57</v>
      </c>
      <c r="F56" t="s">
        <v>57</v>
      </c>
      <c r="G56" t="s">
        <v>57</v>
      </c>
      <c r="H56" t="s">
        <v>57</v>
      </c>
    </row>
    <row r="57" spans="4:8" x14ac:dyDescent="0.25">
      <c r="D57" t="s">
        <v>134</v>
      </c>
      <c r="E57">
        <v>1</v>
      </c>
      <c r="F57">
        <v>2</v>
      </c>
      <c r="G57">
        <v>3</v>
      </c>
      <c r="H57">
        <v>4</v>
      </c>
    </row>
    <row r="58" spans="4:8" x14ac:dyDescent="0.25">
      <c r="D58" t="s">
        <v>123</v>
      </c>
      <c r="E58">
        <v>79.45</v>
      </c>
      <c r="F58">
        <v>81.3</v>
      </c>
      <c r="G58">
        <v>82.22</v>
      </c>
      <c r="H58">
        <v>82.78</v>
      </c>
    </row>
    <row r="59" spans="4:8" x14ac:dyDescent="0.25">
      <c r="D59" t="s">
        <v>135</v>
      </c>
      <c r="E59">
        <v>0</v>
      </c>
      <c r="F59">
        <v>0</v>
      </c>
      <c r="G59">
        <v>0</v>
      </c>
      <c r="H59">
        <v>0</v>
      </c>
    </row>
    <row r="60" spans="4:8" x14ac:dyDescent="0.25">
      <c r="D60" t="s">
        <v>136</v>
      </c>
      <c r="E60" t="s">
        <v>28</v>
      </c>
      <c r="F60" t="s">
        <v>28</v>
      </c>
      <c r="G60" t="s">
        <v>28</v>
      </c>
      <c r="H60" t="s">
        <v>28</v>
      </c>
    </row>
    <row r="61" spans="4:8" x14ac:dyDescent="0.25">
      <c r="D61" t="s">
        <v>137</v>
      </c>
    </row>
    <row r="62" spans="4:8" x14ac:dyDescent="0.25">
      <c r="D62" t="s">
        <v>138</v>
      </c>
    </row>
    <row r="63" spans="4:8" x14ac:dyDescent="0.25">
      <c r="D63" t="s">
        <v>139</v>
      </c>
      <c r="E63" t="s">
        <v>140</v>
      </c>
    </row>
    <row r="64" spans="4:8" x14ac:dyDescent="0.25">
      <c r="D64" t="s">
        <v>141</v>
      </c>
    </row>
    <row r="66" spans="3:8" x14ac:dyDescent="0.25">
      <c r="C66" t="s">
        <v>112</v>
      </c>
    </row>
    <row r="68" spans="3:8" x14ac:dyDescent="0.25">
      <c r="D68" t="s">
        <v>101</v>
      </c>
      <c r="E68" t="s">
        <v>121</v>
      </c>
    </row>
    <row r="69" spans="3:8" x14ac:dyDescent="0.25">
      <c r="D69" t="s">
        <v>103</v>
      </c>
      <c r="E69" t="s">
        <v>122</v>
      </c>
    </row>
    <row r="70" spans="3:8" x14ac:dyDescent="0.25">
      <c r="D70" t="s">
        <v>123</v>
      </c>
      <c r="E70">
        <v>5.5546040000000003</v>
      </c>
      <c r="F70">
        <v>3.70306933333333</v>
      </c>
      <c r="G70">
        <v>2.7773020000000002</v>
      </c>
      <c r="H70">
        <v>2.2218415999999999</v>
      </c>
    </row>
    <row r="71" spans="3:8" x14ac:dyDescent="0.25">
      <c r="D71" t="s">
        <v>124</v>
      </c>
      <c r="E71" t="s">
        <v>125</v>
      </c>
      <c r="F71" t="s">
        <v>125</v>
      </c>
      <c r="G71" t="s">
        <v>125</v>
      </c>
      <c r="H71" t="s">
        <v>126</v>
      </c>
    </row>
    <row r="72" spans="3:8" x14ac:dyDescent="0.25">
      <c r="D72" t="s">
        <v>142</v>
      </c>
    </row>
    <row r="74" spans="3:8" x14ac:dyDescent="0.25">
      <c r="D74" t="s">
        <v>101</v>
      </c>
      <c r="E74" t="s">
        <v>121</v>
      </c>
    </row>
    <row r="75" spans="3:8" x14ac:dyDescent="0.25">
      <c r="D75" t="s">
        <v>103</v>
      </c>
      <c r="E75" t="s">
        <v>128</v>
      </c>
    </row>
    <row r="76" spans="3:8" x14ac:dyDescent="0.25">
      <c r="D76" t="s">
        <v>123</v>
      </c>
      <c r="E76">
        <v>5.5546040000000003</v>
      </c>
      <c r="F76">
        <v>3.70306933333333</v>
      </c>
      <c r="G76">
        <v>2.7773020000000002</v>
      </c>
      <c r="H76">
        <v>2.2218415999999999</v>
      </c>
    </row>
    <row r="77" spans="3:8" x14ac:dyDescent="0.25">
      <c r="D77" t="s">
        <v>143</v>
      </c>
    </row>
    <row r="79" spans="3:8" x14ac:dyDescent="0.25">
      <c r="D79" t="s">
        <v>101</v>
      </c>
      <c r="E79" t="s">
        <v>121</v>
      </c>
    </row>
    <row r="80" spans="3:8" x14ac:dyDescent="0.25">
      <c r="D80" t="s">
        <v>103</v>
      </c>
      <c r="E80" t="s">
        <v>130</v>
      </c>
    </row>
    <row r="81" spans="2:8" x14ac:dyDescent="0.25">
      <c r="D81" t="s">
        <v>131</v>
      </c>
      <c r="E81" t="s">
        <v>54</v>
      </c>
      <c r="F81" t="s">
        <v>54</v>
      </c>
      <c r="G81" t="s">
        <v>54</v>
      </c>
      <c r="H81" t="s">
        <v>54</v>
      </c>
    </row>
    <row r="82" spans="2:8" x14ac:dyDescent="0.25">
      <c r="D82" t="s">
        <v>132</v>
      </c>
      <c r="E82">
        <v>1</v>
      </c>
      <c r="F82">
        <v>2</v>
      </c>
      <c r="G82">
        <v>3</v>
      </c>
      <c r="H82">
        <v>4</v>
      </c>
    </row>
    <row r="83" spans="2:8" x14ac:dyDescent="0.25">
      <c r="D83" t="s">
        <v>133</v>
      </c>
      <c r="E83" t="s">
        <v>50</v>
      </c>
      <c r="F83" t="s">
        <v>50</v>
      </c>
      <c r="G83" t="s">
        <v>50</v>
      </c>
      <c r="H83" t="s">
        <v>50</v>
      </c>
    </row>
    <row r="84" spans="2:8" x14ac:dyDescent="0.25">
      <c r="D84" t="s">
        <v>134</v>
      </c>
      <c r="E84">
        <v>1</v>
      </c>
      <c r="F84">
        <v>2</v>
      </c>
      <c r="G84">
        <v>3</v>
      </c>
      <c r="H84">
        <v>4</v>
      </c>
    </row>
    <row r="85" spans="2:8" x14ac:dyDescent="0.25">
      <c r="D85" t="s">
        <v>123</v>
      </c>
      <c r="E85">
        <v>5.55</v>
      </c>
      <c r="F85">
        <v>3.7</v>
      </c>
      <c r="G85">
        <v>2.78</v>
      </c>
      <c r="H85">
        <v>2.2200000000000002</v>
      </c>
    </row>
    <row r="86" spans="2:8" x14ac:dyDescent="0.25">
      <c r="D86" t="s">
        <v>135</v>
      </c>
      <c r="E86">
        <v>79.45</v>
      </c>
      <c r="F86">
        <v>81.3</v>
      </c>
      <c r="G86">
        <v>82.22</v>
      </c>
      <c r="H86">
        <v>82.78</v>
      </c>
    </row>
    <row r="87" spans="2:8" x14ac:dyDescent="0.25">
      <c r="D87" t="s">
        <v>136</v>
      </c>
      <c r="E87" t="s">
        <v>26</v>
      </c>
      <c r="F87" t="s">
        <v>26</v>
      </c>
      <c r="G87" t="s">
        <v>26</v>
      </c>
      <c r="H87" t="s">
        <v>26</v>
      </c>
    </row>
    <row r="88" spans="2:8" x14ac:dyDescent="0.25">
      <c r="D88" t="s">
        <v>137</v>
      </c>
    </row>
    <row r="89" spans="2:8" x14ac:dyDescent="0.25">
      <c r="D89" t="s">
        <v>138</v>
      </c>
    </row>
    <row r="90" spans="2:8" x14ac:dyDescent="0.25">
      <c r="D90" t="s">
        <v>139</v>
      </c>
      <c r="E90" t="s">
        <v>140</v>
      </c>
    </row>
    <row r="91" spans="2:8" x14ac:dyDescent="0.25">
      <c r="D91" t="s">
        <v>144</v>
      </c>
    </row>
    <row r="96" spans="2:8" x14ac:dyDescent="0.25">
      <c r="B96" t="s">
        <v>145</v>
      </c>
    </row>
    <row r="97" spans="2:8" x14ac:dyDescent="0.25">
      <c r="B97" t="s">
        <v>146</v>
      </c>
    </row>
    <row r="98" spans="2:8" x14ac:dyDescent="0.25">
      <c r="B98" t="s">
        <v>147</v>
      </c>
    </row>
    <row r="99" spans="2:8" x14ac:dyDescent="0.25">
      <c r="B99" t="s">
        <v>148</v>
      </c>
    </row>
    <row r="100" spans="2:8" x14ac:dyDescent="0.25">
      <c r="B100" t="s">
        <v>149</v>
      </c>
    </row>
    <row r="101" spans="2:8" x14ac:dyDescent="0.25">
      <c r="B101" t="s">
        <v>150</v>
      </c>
    </row>
    <row r="102" spans="2:8" x14ac:dyDescent="0.25">
      <c r="B102" t="s">
        <v>151</v>
      </c>
    </row>
    <row r="104" spans="2:8" x14ac:dyDescent="0.25">
      <c r="C104" t="s">
        <v>112</v>
      </c>
    </row>
    <row r="106" spans="2:8" x14ac:dyDescent="0.25">
      <c r="D106" t="s">
        <v>101</v>
      </c>
      <c r="E106" t="s">
        <v>121</v>
      </c>
    </row>
    <row r="107" spans="2:8" x14ac:dyDescent="0.25">
      <c r="D107" t="s">
        <v>103</v>
      </c>
      <c r="E107" t="s">
        <v>122</v>
      </c>
    </row>
    <row r="108" spans="2:8" x14ac:dyDescent="0.25">
      <c r="D108" t="s">
        <v>123</v>
      </c>
      <c r="E108">
        <v>10</v>
      </c>
      <c r="F108">
        <v>10</v>
      </c>
      <c r="G108">
        <v>10</v>
      </c>
      <c r="H108">
        <v>10</v>
      </c>
    </row>
    <row r="109" spans="2:8" x14ac:dyDescent="0.25">
      <c r="D109" t="s">
        <v>124</v>
      </c>
      <c r="E109" t="s">
        <v>125</v>
      </c>
      <c r="F109" t="s">
        <v>125</v>
      </c>
      <c r="G109" t="s">
        <v>125</v>
      </c>
      <c r="H109" t="s">
        <v>126</v>
      </c>
    </row>
    <row r="110" spans="2:8" x14ac:dyDescent="0.25">
      <c r="D110" t="s">
        <v>152</v>
      </c>
    </row>
    <row r="112" spans="2:8" x14ac:dyDescent="0.25">
      <c r="D112" t="s">
        <v>101</v>
      </c>
      <c r="E112" t="s">
        <v>121</v>
      </c>
    </row>
    <row r="113" spans="4:8" x14ac:dyDescent="0.25">
      <c r="D113" t="s">
        <v>103</v>
      </c>
      <c r="E113" t="s">
        <v>128</v>
      </c>
    </row>
    <row r="114" spans="4:8" x14ac:dyDescent="0.25">
      <c r="D114" t="s">
        <v>123</v>
      </c>
      <c r="E114">
        <v>10</v>
      </c>
      <c r="F114">
        <v>10</v>
      </c>
      <c r="G114">
        <v>10</v>
      </c>
      <c r="H114">
        <v>10</v>
      </c>
    </row>
    <row r="115" spans="4:8" x14ac:dyDescent="0.25">
      <c r="D115" t="s">
        <v>153</v>
      </c>
    </row>
    <row r="117" spans="4:8" x14ac:dyDescent="0.25">
      <c r="D117" t="s">
        <v>101</v>
      </c>
      <c r="E117" t="s">
        <v>121</v>
      </c>
    </row>
    <row r="118" spans="4:8" x14ac:dyDescent="0.25">
      <c r="D118" t="s">
        <v>103</v>
      </c>
      <c r="E118" t="s">
        <v>130</v>
      </c>
    </row>
    <row r="119" spans="4:8" x14ac:dyDescent="0.25">
      <c r="D119" t="s">
        <v>131</v>
      </c>
      <c r="E119" t="s">
        <v>54</v>
      </c>
      <c r="F119" t="s">
        <v>54</v>
      </c>
      <c r="G119" t="s">
        <v>54</v>
      </c>
      <c r="H119" t="s">
        <v>54</v>
      </c>
    </row>
    <row r="120" spans="4:8" x14ac:dyDescent="0.25">
      <c r="D120" t="s">
        <v>132</v>
      </c>
      <c r="E120">
        <v>1</v>
      </c>
      <c r="F120">
        <v>2</v>
      </c>
      <c r="G120">
        <v>3</v>
      </c>
      <c r="H120">
        <v>4</v>
      </c>
    </row>
    <row r="121" spans="4:8" x14ac:dyDescent="0.25">
      <c r="D121" t="s">
        <v>133</v>
      </c>
      <c r="E121" t="s">
        <v>63</v>
      </c>
      <c r="F121" t="s">
        <v>63</v>
      </c>
      <c r="G121" t="s">
        <v>63</v>
      </c>
      <c r="H121" t="s">
        <v>63</v>
      </c>
    </row>
    <row r="122" spans="4:8" x14ac:dyDescent="0.25">
      <c r="D122" t="s">
        <v>134</v>
      </c>
      <c r="E122">
        <v>1</v>
      </c>
      <c r="F122">
        <v>2</v>
      </c>
      <c r="G122">
        <v>3</v>
      </c>
      <c r="H122">
        <v>4</v>
      </c>
    </row>
    <row r="123" spans="4:8" x14ac:dyDescent="0.25">
      <c r="D123" t="s">
        <v>123</v>
      </c>
      <c r="E123">
        <v>10</v>
      </c>
      <c r="F123">
        <v>10</v>
      </c>
      <c r="G123">
        <v>10</v>
      </c>
      <c r="H123">
        <v>10</v>
      </c>
    </row>
    <row r="124" spans="4:8" x14ac:dyDescent="0.25">
      <c r="D124" t="s">
        <v>135</v>
      </c>
      <c r="E124">
        <v>85</v>
      </c>
      <c r="F124">
        <v>85</v>
      </c>
      <c r="G124">
        <v>85</v>
      </c>
      <c r="H124">
        <v>85</v>
      </c>
    </row>
    <row r="125" spans="4:8" x14ac:dyDescent="0.25">
      <c r="D125" t="s">
        <v>136</v>
      </c>
      <c r="E125" t="s">
        <v>26</v>
      </c>
      <c r="F125" t="s">
        <v>26</v>
      </c>
      <c r="G125" t="s">
        <v>26</v>
      </c>
      <c r="H125" t="s">
        <v>26</v>
      </c>
    </row>
    <row r="126" spans="4:8" x14ac:dyDescent="0.25">
      <c r="D126" t="s">
        <v>137</v>
      </c>
    </row>
    <row r="127" spans="4:8" x14ac:dyDescent="0.25">
      <c r="D127" t="s">
        <v>138</v>
      </c>
    </row>
    <row r="128" spans="4:8" x14ac:dyDescent="0.25">
      <c r="D128" t="s">
        <v>139</v>
      </c>
      <c r="E128" t="s">
        <v>140</v>
      </c>
    </row>
    <row r="129" spans="2:5" x14ac:dyDescent="0.25">
      <c r="D129" t="s">
        <v>154</v>
      </c>
    </row>
    <row r="134" spans="2:5" x14ac:dyDescent="0.25">
      <c r="B134" t="s">
        <v>145</v>
      </c>
    </row>
    <row r="135" spans="2:5" x14ac:dyDescent="0.25">
      <c r="B135" t="s">
        <v>155</v>
      </c>
    </row>
    <row r="136" spans="2:5" x14ac:dyDescent="0.25">
      <c r="B136" t="s">
        <v>156</v>
      </c>
    </row>
    <row r="137" spans="2:5" x14ac:dyDescent="0.25">
      <c r="B137" t="s">
        <v>157</v>
      </c>
    </row>
    <row r="138" spans="2:5" x14ac:dyDescent="0.25">
      <c r="B138" t="s">
        <v>149</v>
      </c>
    </row>
    <row r="139" spans="2:5" x14ac:dyDescent="0.25">
      <c r="B139" t="s">
        <v>158</v>
      </c>
    </row>
    <row r="140" spans="2:5" x14ac:dyDescent="0.25">
      <c r="B140" t="s">
        <v>151</v>
      </c>
    </row>
    <row r="142" spans="2:5" x14ac:dyDescent="0.25">
      <c r="C142" t="s">
        <v>112</v>
      </c>
    </row>
    <row r="144" spans="2:5" x14ac:dyDescent="0.25">
      <c r="D144" t="s">
        <v>101</v>
      </c>
      <c r="E144" t="s">
        <v>121</v>
      </c>
    </row>
    <row r="145" spans="4:8" x14ac:dyDescent="0.25">
      <c r="D145" t="s">
        <v>103</v>
      </c>
      <c r="E145" t="s">
        <v>122</v>
      </c>
    </row>
    <row r="146" spans="4:8" x14ac:dyDescent="0.25">
      <c r="D146" t="s">
        <v>123</v>
      </c>
      <c r="E146">
        <v>5</v>
      </c>
      <c r="F146">
        <v>5</v>
      </c>
      <c r="G146">
        <v>5</v>
      </c>
      <c r="H146">
        <v>5</v>
      </c>
    </row>
    <row r="147" spans="4:8" x14ac:dyDescent="0.25">
      <c r="D147" t="s">
        <v>124</v>
      </c>
      <c r="E147" t="s">
        <v>125</v>
      </c>
      <c r="F147" t="s">
        <v>125</v>
      </c>
      <c r="G147" t="s">
        <v>125</v>
      </c>
      <c r="H147" t="s">
        <v>126</v>
      </c>
    </row>
    <row r="148" spans="4:8" x14ac:dyDescent="0.25">
      <c r="D148" t="s">
        <v>159</v>
      </c>
    </row>
    <row r="150" spans="4:8" x14ac:dyDescent="0.25">
      <c r="D150" t="s">
        <v>101</v>
      </c>
      <c r="E150" t="s">
        <v>121</v>
      </c>
    </row>
    <row r="151" spans="4:8" x14ac:dyDescent="0.25">
      <c r="D151" t="s">
        <v>103</v>
      </c>
      <c r="E151" t="s">
        <v>128</v>
      </c>
    </row>
    <row r="152" spans="4:8" x14ac:dyDescent="0.25">
      <c r="D152" t="s">
        <v>123</v>
      </c>
      <c r="E152">
        <v>5</v>
      </c>
      <c r="F152">
        <v>5</v>
      </c>
      <c r="G152">
        <v>5</v>
      </c>
      <c r="H152">
        <v>5</v>
      </c>
    </row>
    <row r="153" spans="4:8" x14ac:dyDescent="0.25">
      <c r="D153" t="s">
        <v>160</v>
      </c>
    </row>
    <row r="155" spans="4:8" x14ac:dyDescent="0.25">
      <c r="D155" t="s">
        <v>101</v>
      </c>
      <c r="E155" t="s">
        <v>121</v>
      </c>
    </row>
    <row r="156" spans="4:8" x14ac:dyDescent="0.25">
      <c r="D156" t="s">
        <v>103</v>
      </c>
      <c r="E156" t="s">
        <v>130</v>
      </c>
    </row>
    <row r="157" spans="4:8" x14ac:dyDescent="0.25">
      <c r="D157" t="s">
        <v>131</v>
      </c>
      <c r="E157" t="s">
        <v>54</v>
      </c>
      <c r="F157" t="s">
        <v>54</v>
      </c>
      <c r="G157" t="s">
        <v>54</v>
      </c>
      <c r="H157" t="s">
        <v>54</v>
      </c>
    </row>
    <row r="158" spans="4:8" x14ac:dyDescent="0.25">
      <c r="D158" t="s">
        <v>132</v>
      </c>
      <c r="E158">
        <v>1</v>
      </c>
      <c r="F158">
        <v>2</v>
      </c>
      <c r="G158">
        <v>3</v>
      </c>
      <c r="H158">
        <v>4</v>
      </c>
    </row>
    <row r="159" spans="4:8" x14ac:dyDescent="0.25">
      <c r="D159" t="s">
        <v>133</v>
      </c>
      <c r="E159" t="s">
        <v>66</v>
      </c>
      <c r="F159" t="s">
        <v>66</v>
      </c>
      <c r="G159" t="s">
        <v>66</v>
      </c>
      <c r="H159" t="s">
        <v>66</v>
      </c>
    </row>
    <row r="160" spans="4:8" x14ac:dyDescent="0.25">
      <c r="D160" t="s">
        <v>134</v>
      </c>
      <c r="E160">
        <v>1</v>
      </c>
      <c r="F160">
        <v>2</v>
      </c>
      <c r="G160">
        <v>3</v>
      </c>
      <c r="H160">
        <v>4</v>
      </c>
    </row>
    <row r="161" spans="2:8" x14ac:dyDescent="0.25">
      <c r="D161" t="s">
        <v>123</v>
      </c>
      <c r="E161">
        <v>5</v>
      </c>
      <c r="F161">
        <v>5</v>
      </c>
      <c r="G161">
        <v>5</v>
      </c>
      <c r="H161">
        <v>5</v>
      </c>
    </row>
    <row r="162" spans="2:8" x14ac:dyDescent="0.25">
      <c r="D162" t="s">
        <v>135</v>
      </c>
      <c r="E162">
        <v>95</v>
      </c>
      <c r="F162">
        <v>95</v>
      </c>
      <c r="G162">
        <v>95</v>
      </c>
      <c r="H162">
        <v>95</v>
      </c>
    </row>
    <row r="163" spans="2:8" x14ac:dyDescent="0.25">
      <c r="D163" t="s">
        <v>136</v>
      </c>
      <c r="E163" t="s">
        <v>26</v>
      </c>
      <c r="F163" t="s">
        <v>26</v>
      </c>
      <c r="G163" t="s">
        <v>26</v>
      </c>
      <c r="H163" t="s">
        <v>26</v>
      </c>
    </row>
    <row r="164" spans="2:8" x14ac:dyDescent="0.25">
      <c r="D164" t="s">
        <v>137</v>
      </c>
    </row>
    <row r="165" spans="2:8" x14ac:dyDescent="0.25">
      <c r="D165" t="s">
        <v>138</v>
      </c>
    </row>
    <row r="166" spans="2:8" x14ac:dyDescent="0.25">
      <c r="D166" t="s">
        <v>139</v>
      </c>
      <c r="E166" t="s">
        <v>140</v>
      </c>
    </row>
    <row r="167" spans="2:8" x14ac:dyDescent="0.25">
      <c r="D167" t="s">
        <v>161</v>
      </c>
    </row>
    <row r="172" spans="2:8" x14ac:dyDescent="0.25">
      <c r="B172" t="s">
        <v>162</v>
      </c>
    </row>
    <row r="173" spans="2:8" x14ac:dyDescent="0.25">
      <c r="B173" t="s">
        <v>163</v>
      </c>
    </row>
    <row r="174" spans="2:8" x14ac:dyDescent="0.25">
      <c r="B174" t="s">
        <v>164</v>
      </c>
    </row>
    <row r="175" spans="2:8" x14ac:dyDescent="0.25">
      <c r="B175" t="s">
        <v>165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Method</vt:lpstr>
      <vt:lpstr>Worklist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2022-01-24T21:14:52Z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