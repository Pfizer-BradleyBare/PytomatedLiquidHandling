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Program Files (x86)\HAMILTON\BAREB\Script\HamiltonVisualMethodEditor\"/>
    </mc:Choice>
  </mc:AlternateContent>
  <xr:revisionPtr revIDLastSave="0" documentId="13_ncr:1_{8A928696-51D2-40AA-8C14-93AC48825BCA}" xr6:coauthVersionLast="45" xr6:coauthVersionMax="45" xr10:uidLastSave="{00000000-0000-0000-0000-000000000000}"/>
  <bookViews>
    <workbookView xWindow="-28920" yWindow="-30" windowWidth="29040" windowHeight="15840" firstSheet="1" activeTab="3" xr2:uid="{00000000-000D-0000-FFFF-FFFF00000000}"/>
  </bookViews>
  <sheets>
    <sheet name="___Dropdown values" sheetId="4" state="hidden" r:id="rId1"/>
    <sheet name="Building Blocks" sheetId="1" r:id="rId2"/>
    <sheet name="Method" sheetId="2" r:id="rId3"/>
    <sheet name="Worklist" sheetId="3" r:id="rId4"/>
    <sheet name="TestLog" sheetId="23" r:id="rId5"/>
    <sheet name="PrepList" sheetId="14" r:id="rId6"/>
  </sheets>
  <externalReferences>
    <externalReference r:id="rId7"/>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 i="3" l="1"/>
  <c r="B4" i="3"/>
  <c r="B5" i="3"/>
  <c r="B6" i="3"/>
  <c r="B7" i="3"/>
  <c r="B8" i="3"/>
  <c r="B9" i="3"/>
  <c r="B2" i="3"/>
  <c r="E93" i="2"/>
  <c r="E86" i="2"/>
  <c r="I3" i="3"/>
  <c r="I2" i="3"/>
  <c r="G6" i="3"/>
  <c r="I6" i="3" s="1"/>
  <c r="G7" i="3"/>
  <c r="I7" i="3" s="1"/>
  <c r="G8" i="3"/>
  <c r="I8" i="3" s="1"/>
  <c r="G9" i="3"/>
  <c r="I9" i="3" s="1"/>
  <c r="G3" i="3"/>
  <c r="G4" i="3"/>
  <c r="I4" i="3" s="1"/>
  <c r="G5" i="3"/>
  <c r="I5" i="3" s="1"/>
  <c r="G2" i="3"/>
  <c r="A9" i="3"/>
  <c r="A8" i="3"/>
  <c r="A7" i="3"/>
  <c r="A6" i="3"/>
  <c r="A5" i="3"/>
  <c r="A4" i="3"/>
  <c r="A3" i="3"/>
  <c r="E18" i="2" l="1"/>
  <c r="E77" i="2" l="1"/>
  <c r="E76" i="2"/>
  <c r="E75" i="2"/>
  <c r="E27" i="2"/>
  <c r="E25" i="2"/>
  <c r="E61" i="2" l="1"/>
  <c r="E14" i="2"/>
  <c r="E13" i="2"/>
  <c r="A2" i="3" l="1"/>
  <c r="D2" i="3" l="1"/>
</calcChain>
</file>

<file path=xl/sharedStrings.xml><?xml version="1.0" encoding="utf-8"?>
<sst xmlns="http://schemas.openxmlformats.org/spreadsheetml/2006/main" count="368" uniqueCount="140">
  <si>
    <t>Liquid Transfer</t>
  </si>
  <si>
    <t>Name</t>
  </si>
  <si>
    <t>Plate</t>
  </si>
  <si>
    <t>Diluent</t>
  </si>
  <si>
    <t>Split Plate</t>
  </si>
  <si>
    <t>Desalt</t>
  </si>
  <si>
    <t>Starting Concentration (mg/mL)</t>
  </si>
  <si>
    <t>Target Concentration (mg/mL)</t>
  </si>
  <si>
    <t>Start Method Below</t>
  </si>
  <si>
    <t>Time (min)</t>
  </si>
  <si>
    <t>Target Volume (uL)</t>
  </si>
  <si>
    <t>Volume (uL)</t>
  </si>
  <si>
    <t>Temp (C)</t>
  </si>
  <si>
    <t>Sample</t>
  </si>
  <si>
    <t>Enzyme</t>
  </si>
  <si>
    <t>Comments</t>
  </si>
  <si>
    <t>Dilute</t>
  </si>
  <si>
    <t>Description</t>
  </si>
  <si>
    <t>Concentration</t>
  </si>
  <si>
    <t>Blank</t>
  </si>
  <si>
    <t>Shake (rpm)</t>
  </si>
  <si>
    <t>Notify</t>
  </si>
  <si>
    <t>Subject</t>
  </si>
  <si>
    <t>Message</t>
  </si>
  <si>
    <t>Plate Choice</t>
  </si>
  <si>
    <t>Type</t>
  </si>
  <si>
    <t>Building Block Enable Disable Options</t>
  </si>
  <si>
    <t>DISABLED: Liquid Transfer</t>
  </si>
  <si>
    <t>DISABLED: Dilute</t>
  </si>
  <si>
    <t>DISABLED: Desalt</t>
  </si>
  <si>
    <t>DISABLED: Notify</t>
  </si>
  <si>
    <t>Plate Types</t>
  </si>
  <si>
    <t>Waters TRV 48 Well Rack</t>
  </si>
  <si>
    <t>Sample #</t>
  </si>
  <si>
    <t>96 Well PCR Plate</t>
  </si>
  <si>
    <t>Plate Name 1</t>
  </si>
  <si>
    <t>Plate Name 2</t>
  </si>
  <si>
    <t>Equilibration Buffer</t>
  </si>
  <si>
    <t>Source</t>
  </si>
  <si>
    <t>Incubate</t>
  </si>
  <si>
    <t>DISABLED: Incubate</t>
  </si>
  <si>
    <t>Mix?</t>
  </si>
  <si>
    <t>Yes</t>
  </si>
  <si>
    <t>No</t>
  </si>
  <si>
    <t>Vacuum</t>
  </si>
  <si>
    <t>This plate is always included. Method workflow requires the samples start in a 96well plate (For Now)</t>
  </si>
  <si>
    <t>Cooler Store</t>
  </si>
  <si>
    <t>DISABLED: Cooler Store</t>
  </si>
  <si>
    <t>_SampleSequence</t>
  </si>
  <si>
    <t>Wait On User</t>
  </si>
  <si>
    <t>Yes / No</t>
  </si>
  <si>
    <t>Finish</t>
  </si>
  <si>
    <t>Storage Condition</t>
  </si>
  <si>
    <t>Desalting Volume</t>
  </si>
  <si>
    <t>Liquid Type</t>
  </si>
  <si>
    <t>Wait</t>
  </si>
  <si>
    <t>Starstedt 56 Well Rack 2mL</t>
  </si>
  <si>
    <t>DISABLED: Wait</t>
  </si>
  <si>
    <t>Starstedt 56 Well Rack 500uL</t>
  </si>
  <si>
    <t>Ambient</t>
  </si>
  <si>
    <t>Cold</t>
  </si>
  <si>
    <t>General Reagent</t>
  </si>
  <si>
    <t>Reductant</t>
  </si>
  <si>
    <t>Alkylant</t>
  </si>
  <si>
    <t>Quench</t>
  </si>
  <si>
    <t>Buffer/Diluent</t>
  </si>
  <si>
    <t>Denaturant</t>
  </si>
  <si>
    <t>SizeX:100</t>
  </si>
  <si>
    <t>SizeX:100,SizeX:100</t>
  </si>
  <si>
    <t>Pressure Difference (mTorr)</t>
  </si>
  <si>
    <t>Desalting Concentration</t>
  </si>
  <si>
    <t>``</t>
  </si>
  <si>
    <t>Aliquot</t>
  </si>
  <si>
    <t>Start Position</t>
  </si>
  <si>
    <t>Starting Position</t>
  </si>
  <si>
    <t>Sample Start Position</t>
  </si>
  <si>
    <t>Plate Start Position (A1)</t>
  </si>
  <si>
    <t>Pool</t>
  </si>
  <si>
    <t>Pathways</t>
  </si>
  <si>
    <t>Actions</t>
  </si>
  <si>
    <t>Modifiers</t>
  </si>
  <si>
    <t>Aspirate Location</t>
  </si>
  <si>
    <t>Dispense Location</t>
  </si>
  <si>
    <t>Sample Location</t>
  </si>
  <si>
    <t>Vacuum Plate</t>
  </si>
  <si>
    <t>Normal</t>
  </si>
  <si>
    <t>Vacuum Options</t>
  </si>
  <si>
    <t>Low</t>
  </si>
  <si>
    <t>High</t>
  </si>
  <si>
    <t>Manual (Remove validation then enter custom value)</t>
  </si>
  <si>
    <t>Vacuum Plates</t>
  </si>
  <si>
    <t>0.45um Self Poured ProA Plate</t>
  </si>
  <si>
    <t>Pre Vacuum Wait (min)</t>
  </si>
  <si>
    <t>Vacuum Time (min)</t>
  </si>
  <si>
    <t>Preload Liquid</t>
  </si>
  <si>
    <t>Volume</t>
  </si>
  <si>
    <t>Denaturation</t>
  </si>
  <si>
    <t>7M GnHCl, 100mM Tris pH 8.3, 5mM L-Met</t>
  </si>
  <si>
    <t>This is used to force the Denaturant into the Denaturant loading position. The actual step will be skipped because the pipetting volume is 0uL</t>
  </si>
  <si>
    <t>150mM TCEP in 7M GnHCl, 100mM Tris pH 8.3, 5mM L-Met</t>
  </si>
  <si>
    <t>150mM IAA in 7M GnHCl, 100mM Tris pH 8.3, 5mM L-Met</t>
  </si>
  <si>
    <t>Desalting</t>
  </si>
  <si>
    <t>Digestion</t>
  </si>
  <si>
    <t>50mM Tris pH 7.9</t>
  </si>
  <si>
    <t>Hamilton Desalting Finished</t>
  </si>
  <si>
    <t>Desalting Complete. Please measure concentrations in the Desalting plate then enter the concentrations in the Desalting Concentration column in the worklist. Finally, hit OK after placing the Desalting plate back on deck.</t>
  </si>
  <si>
    <t>10% TFA</t>
  </si>
  <si>
    <t>Hamilton Run Finished</t>
  </si>
  <si>
    <t>Hamilton Run is Finished. Please remove your samples from the Digestion plate.</t>
  </si>
  <si>
    <t>Max Source Volume (uL)</t>
  </si>
  <si>
    <t>0.2mg/mL Trypsin in Water</t>
  </si>
  <si>
    <t>This is a 1:30 Trypsin ratio. TSLP is sensitive to cleavages. 1:30 reduces cleavages while providing a comparable digestion to the INX ratio of 1:10</t>
  </si>
  <si>
    <t>Trypsin Vol</t>
  </si>
  <si>
    <t>Ratio</t>
  </si>
  <si>
    <t>Water</t>
  </si>
  <si>
    <t>WaterVol</t>
  </si>
  <si>
    <t>RM</t>
  </si>
  <si>
    <t>[Heater]</t>
  </si>
  <si>
    <t>[Start Heat]</t>
  </si>
  <si>
    <t>[ID]</t>
  </si>
  <si>
    <t>[Temp]</t>
  </si>
  <si>
    <t>Sample: 200uL Biorad 96 Well PCR Plate</t>
  </si>
  <si>
    <t>15mL Centrifuge Tube</t>
  </si>
  <si>
    <t>Minimum Volume: 1220.0uL</t>
  </si>
  <si>
    <t>Reagent</t>
  </si>
  <si>
    <t>Reagent Lot</t>
  </si>
  <si>
    <t>Reagent Volume</t>
  </si>
  <si>
    <t>Diluent Lot</t>
  </si>
  <si>
    <t>Diluent Volume</t>
  </si>
  <si>
    <t>200mL Reagent Trough</t>
  </si>
  <si>
    <t>Minimum Volume: 14800.0uL</t>
  </si>
  <si>
    <t>Hamilton 1.5mL FlipTube</t>
  </si>
  <si>
    <t>Minimum Volume: 254.17uL</t>
  </si>
  <si>
    <t>Minimum Volume: 166.0uL</t>
  </si>
  <si>
    <t>Minimum Volume: 198.0uL</t>
  </si>
  <si>
    <t>Minimum Volume: 182.0uL</t>
  </si>
  <si>
    <t>60mL Reagent Reservior</t>
  </si>
  <si>
    <t>Minimum Volume: 2595.83uL</t>
  </si>
  <si>
    <t>A1: 50.0uL</t>
  </si>
  <si>
    <t>A2: 50.0uL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</si>
</sst>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sz val="18"/>
      <color rgb="FF000000"/>
      <name val="Calibri"/>
      <family val="2"/>
    </font>
    <font>
      <b/>
      <sz val="20"/>
      <color theme="1"/>
      <name val="Calibri"/>
      <family val="2"/>
      <scheme val="minor"/>
    </font>
    <font>
      <sz val="20"/>
      <color theme="1"/>
      <name val="Calibri"/>
      <family val="2"/>
      <scheme val="minor"/>
    </font>
    <font>
      <sz val="14"/>
      <color theme="1"/>
      <name val="Calibri"/>
      <family val="2"/>
      <scheme val="minor"/>
    </font>
    <font>
      <sz val="12"/>
      <color theme="1"/>
      <name val="Calibri"/>
      <family val="2"/>
      <scheme val="minor"/>
    </font>
  </fonts>
  <fills count="7">
    <fill>
      <patternFill patternType="none"/>
    </fill>
    <fill>
      <patternFill patternType="gray125"/>
    </fill>
    <fill>
      <patternFill patternType="solid">
        <fgColor theme="8"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5" tint="0.39997558519241921"/>
        <bgColor indexed="64"/>
      </patternFill>
    </fill>
  </fills>
  <borders count="28">
    <border>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style="thin">
        <color indexed="64"/>
      </top>
      <bottom/>
      <diagonal/>
    </border>
    <border>
      <left style="medium">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top/>
      <bottom/>
      <diagonal/>
    </border>
    <border>
      <left/>
      <right style="medium">
        <color indexed="64"/>
      </right>
      <top style="medium">
        <color indexed="64"/>
      </top>
      <bottom style="medium">
        <color indexed="64"/>
      </bottom>
      <diagonal/>
    </border>
  </borders>
  <cellStyleXfs count="1">
    <xf numFmtId="0" fontId="0" fillId="0" borderId="0"/>
  </cellStyleXfs>
  <cellXfs count="154">
    <xf numFmtId="0" fontId="0" fillId="0" borderId="0" xfId="0"/>
    <xf numFmtId="0" fontId="0" fillId="0" borderId="5" xfId="0" applyBorder="1"/>
    <xf numFmtId="0" fontId="0" fillId="0" borderId="8" xfId="0" applyBorder="1"/>
    <xf numFmtId="0" fontId="0" fillId="2" borderId="3" xfId="0" applyFill="1" applyBorder="1"/>
    <xf numFmtId="0" fontId="0" fillId="2" borderId="5" xfId="0" applyFill="1" applyBorder="1"/>
    <xf numFmtId="0" fontId="0" fillId="3" borderId="3" xfId="0" applyFill="1" applyBorder="1"/>
    <xf numFmtId="0" fontId="0" fillId="3" borderId="5" xfId="0" applyFill="1" applyBorder="1"/>
    <xf numFmtId="0" fontId="0" fillId="4" borderId="3" xfId="0" applyFill="1" applyBorder="1"/>
    <xf numFmtId="0" fontId="0" fillId="4" borderId="5" xfId="0" applyFill="1" applyBorder="1"/>
    <xf numFmtId="0" fontId="0" fillId="5" borderId="3" xfId="0" applyFill="1" applyBorder="1"/>
    <xf numFmtId="0" fontId="0" fillId="5" borderId="5" xfId="0" applyFill="1" applyBorder="1"/>
    <xf numFmtId="0" fontId="0" fillId="6" borderId="3" xfId="0" applyFill="1" applyBorder="1"/>
    <xf numFmtId="0" fontId="0" fillId="6" borderId="5" xfId="0" applyFill="1" applyBorder="1"/>
    <xf numFmtId="0" fontId="0" fillId="2" borderId="4" xfId="0" applyFill="1" applyBorder="1" applyAlignment="1">
      <alignment horizontal="center"/>
    </xf>
    <xf numFmtId="0" fontId="0" fillId="2" borderId="6" xfId="0" applyFill="1" applyBorder="1" applyAlignment="1">
      <alignment horizontal="center"/>
    </xf>
    <xf numFmtId="0" fontId="0" fillId="4" borderId="4" xfId="0" applyFill="1" applyBorder="1" applyAlignment="1">
      <alignment horizontal="center"/>
    </xf>
    <xf numFmtId="0" fontId="0" fillId="4" borderId="6" xfId="0" applyFill="1" applyBorder="1" applyAlignment="1">
      <alignment horizontal="center"/>
    </xf>
    <xf numFmtId="0" fontId="0" fillId="0" borderId="6" xfId="0" applyBorder="1" applyAlignment="1">
      <alignment horizontal="center"/>
    </xf>
    <xf numFmtId="0" fontId="0" fillId="5" borderId="4" xfId="0" applyFill="1" applyBorder="1" applyAlignment="1">
      <alignment horizontal="center"/>
    </xf>
    <xf numFmtId="0" fontId="0" fillId="5" borderId="6" xfId="0" applyFill="1" applyBorder="1" applyAlignment="1">
      <alignment horizontal="center"/>
    </xf>
    <xf numFmtId="0" fontId="0" fillId="3" borderId="4" xfId="0" applyFill="1" applyBorder="1" applyAlignment="1">
      <alignment horizontal="center"/>
    </xf>
    <xf numFmtId="0" fontId="0" fillId="3" borderId="6" xfId="0" applyFill="1" applyBorder="1" applyAlignment="1">
      <alignment horizontal="center"/>
    </xf>
    <xf numFmtId="0" fontId="0" fillId="6" borderId="4" xfId="0" applyFill="1" applyBorder="1" applyAlignment="1">
      <alignment horizontal="center"/>
    </xf>
    <xf numFmtId="0" fontId="0" fillId="6" borderId="6" xfId="0" applyFill="1" applyBorder="1" applyAlignment="1">
      <alignment horizontal="center"/>
    </xf>
    <xf numFmtId="0" fontId="0" fillId="0" borderId="0" xfId="0" applyBorder="1"/>
    <xf numFmtId="0" fontId="1" fillId="5" borderId="9" xfId="0" applyFont="1" applyFill="1" applyBorder="1" applyAlignment="1">
      <alignment horizontal="center"/>
    </xf>
    <xf numFmtId="0" fontId="1" fillId="4" borderId="9" xfId="0" applyFont="1" applyFill="1" applyBorder="1" applyAlignment="1">
      <alignment horizontal="center"/>
    </xf>
    <xf numFmtId="0" fontId="1" fillId="3" borderId="9" xfId="0" applyFont="1" applyFill="1" applyBorder="1" applyAlignment="1">
      <alignment horizontal="center"/>
    </xf>
    <xf numFmtId="0" fontId="1" fillId="6" borderId="9" xfId="0" applyFont="1" applyFill="1" applyBorder="1" applyAlignment="1">
      <alignment horizontal="center"/>
    </xf>
    <xf numFmtId="0" fontId="1" fillId="2" borderId="9" xfId="0" applyFont="1" applyFill="1" applyBorder="1" applyAlignment="1">
      <alignment horizontal="center"/>
    </xf>
    <xf numFmtId="0" fontId="1" fillId="0" borderId="9" xfId="0" applyFont="1" applyBorder="1" applyAlignment="1">
      <alignment horizontal="center"/>
    </xf>
    <xf numFmtId="0" fontId="0" fillId="0" borderId="3" xfId="0" applyBorder="1"/>
    <xf numFmtId="0" fontId="0" fillId="0" borderId="4" xfId="0" applyBorder="1"/>
    <xf numFmtId="0" fontId="0" fillId="0" borderId="6" xfId="0" applyBorder="1"/>
    <xf numFmtId="0" fontId="0" fillId="0" borderId="4" xfId="0" applyFont="1" applyBorder="1" applyAlignment="1">
      <alignment horizontal="center"/>
    </xf>
    <xf numFmtId="0" fontId="1" fillId="0" borderId="0" xfId="0" applyFont="1" applyBorder="1"/>
    <xf numFmtId="0" fontId="0" fillId="2" borderId="3" xfId="0" applyFill="1" applyBorder="1" applyAlignment="1">
      <alignment horizontal="center" vertical="center"/>
    </xf>
    <xf numFmtId="0" fontId="0" fillId="2" borderId="5" xfId="0" applyFill="1" applyBorder="1" applyAlignment="1">
      <alignment horizontal="center" vertical="center"/>
    </xf>
    <xf numFmtId="0" fontId="1" fillId="0" borderId="0" xfId="0" applyFont="1"/>
    <xf numFmtId="0" fontId="1" fillId="0" borderId="9" xfId="0" applyFont="1" applyBorder="1" applyAlignment="1">
      <alignment horizontal="center"/>
    </xf>
    <xf numFmtId="0" fontId="1" fillId="0" borderId="9" xfId="0" applyFont="1" applyBorder="1" applyAlignment="1">
      <alignment horizontal="center" vertical="center"/>
    </xf>
    <xf numFmtId="0" fontId="0" fillId="0" borderId="0" xfId="0" applyAlignment="1">
      <alignment horizontal="center"/>
    </xf>
    <xf numFmtId="0" fontId="1" fillId="0" borderId="9" xfId="0" applyFont="1" applyBorder="1" applyAlignment="1">
      <alignment horizontal="center"/>
    </xf>
    <xf numFmtId="0" fontId="0" fillId="0" borderId="5" xfId="0" applyFill="1" applyBorder="1"/>
    <xf numFmtId="0" fontId="0" fillId="0" borderId="6" xfId="0" applyBorder="1" applyAlignment="1">
      <alignment wrapText="1"/>
    </xf>
    <xf numFmtId="0" fontId="0" fillId="0" borderId="4" xfId="0" applyBorder="1" applyAlignment="1">
      <alignment wrapText="1"/>
    </xf>
    <xf numFmtId="0" fontId="1" fillId="3" borderId="9" xfId="0" applyFont="1" applyFill="1" applyBorder="1" applyAlignment="1">
      <alignment horizontal="center"/>
    </xf>
    <xf numFmtId="0" fontId="0" fillId="0" borderId="0" xfId="0" applyBorder="1"/>
    <xf numFmtId="0" fontId="1" fillId="2" borderId="9" xfId="0" applyFont="1" applyFill="1" applyBorder="1" applyAlignment="1">
      <alignment horizontal="center" vertical="center"/>
    </xf>
    <xf numFmtId="0" fontId="1" fillId="2" borderId="4" xfId="0" applyFont="1" applyFill="1" applyBorder="1" applyAlignment="1">
      <alignment horizontal="center" vertical="center"/>
    </xf>
    <xf numFmtId="0" fontId="0" fillId="2" borderId="4" xfId="0" applyFill="1" applyBorder="1" applyAlignment="1">
      <alignment horizontal="center" vertical="center"/>
    </xf>
    <xf numFmtId="0" fontId="0" fillId="2" borderId="6" xfId="0" applyFill="1" applyBorder="1" applyAlignment="1">
      <alignment horizontal="center" vertical="center"/>
    </xf>
    <xf numFmtId="0" fontId="0" fillId="3" borderId="21" xfId="0" applyFont="1" applyFill="1" applyBorder="1" applyAlignment="1">
      <alignment vertical="center" wrapText="1"/>
    </xf>
    <xf numFmtId="0" fontId="0" fillId="0" borderId="4" xfId="0" applyBorder="1" applyAlignment="1">
      <alignment horizontal="center"/>
    </xf>
    <xf numFmtId="0" fontId="0" fillId="0" borderId="0" xfId="0" applyAlignment="1">
      <alignment horizontal="center" vertical="center" wrapText="1"/>
    </xf>
    <xf numFmtId="0" fontId="0" fillId="0" borderId="13" xfId="0" applyBorder="1" applyAlignment="1">
      <alignment horizontal="center"/>
    </xf>
    <xf numFmtId="0" fontId="0" fillId="0" borderId="7" xfId="0" applyBorder="1" applyAlignment="1">
      <alignment horizontal="center"/>
    </xf>
    <xf numFmtId="0" fontId="1" fillId="0" borderId="0" xfId="0" applyFont="1" applyAlignment="1">
      <alignment horizont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2" borderId="10" xfId="0" applyFont="1" applyFill="1" applyBorder="1" applyAlignment="1">
      <alignment horizontal="center" vertical="center" wrapText="1"/>
    </xf>
    <xf numFmtId="0" fontId="0" fillId="2" borderId="11" xfId="0" applyFont="1" applyFill="1" applyBorder="1" applyAlignment="1">
      <alignment horizontal="center" vertical="center" wrapText="1"/>
    </xf>
    <xf numFmtId="0" fontId="0" fillId="2" borderId="12" xfId="0" applyFont="1" applyFill="1" applyBorder="1" applyAlignment="1">
      <alignment horizontal="center" vertical="center" wrapText="1"/>
    </xf>
    <xf numFmtId="0" fontId="0" fillId="3" borderId="10" xfId="0" applyFont="1" applyFill="1" applyBorder="1" applyAlignment="1">
      <alignment horizontal="center" vertical="center" wrapText="1"/>
    </xf>
    <xf numFmtId="0" fontId="0" fillId="3" borderId="11" xfId="0" applyFont="1" applyFill="1" applyBorder="1" applyAlignment="1">
      <alignment horizontal="center" vertical="center" wrapText="1"/>
    </xf>
    <xf numFmtId="0" fontId="0" fillId="3" borderId="12" xfId="0" applyFont="1" applyFill="1" applyBorder="1" applyAlignment="1">
      <alignment horizontal="center" vertical="center" wrapText="1"/>
    </xf>
    <xf numFmtId="0" fontId="1" fillId="3" borderId="1" xfId="0" applyFont="1" applyFill="1" applyBorder="1" applyAlignment="1">
      <alignment horizontal="center"/>
    </xf>
    <xf numFmtId="0" fontId="1" fillId="3" borderId="2" xfId="0" applyFont="1" applyFill="1" applyBorder="1" applyAlignment="1">
      <alignment horizontal="center"/>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2" xfId="0" applyFill="1" applyBorder="1" applyAlignment="1">
      <alignment horizontal="center" vertical="center" wrapText="1"/>
    </xf>
    <xf numFmtId="0" fontId="1" fillId="0" borderId="1" xfId="0" applyFont="1" applyBorder="1" applyAlignment="1">
      <alignment horizontal="center"/>
    </xf>
    <xf numFmtId="0" fontId="1" fillId="0" borderId="2" xfId="0" applyFont="1" applyBorder="1" applyAlignment="1">
      <alignment horizontal="center"/>
    </xf>
    <xf numFmtId="0" fontId="0" fillId="0" borderId="15" xfId="0" applyBorder="1" applyAlignment="1">
      <alignment horizontal="center"/>
    </xf>
    <xf numFmtId="0" fontId="0" fillId="0" borderId="14" xfId="0" applyBorder="1" applyAlignment="1">
      <alignment horizontal="center"/>
    </xf>
    <xf numFmtId="0" fontId="0" fillId="0" borderId="13" xfId="0" applyBorder="1" applyAlignment="1">
      <alignment horizontal="center"/>
    </xf>
    <xf numFmtId="0" fontId="0" fillId="0" borderId="7" xfId="0"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0" fillId="6" borderId="10" xfId="0" applyFont="1" applyFill="1" applyBorder="1" applyAlignment="1">
      <alignment horizontal="center" vertical="center" wrapText="1"/>
    </xf>
    <xf numFmtId="0" fontId="0" fillId="6" borderId="11" xfId="0" applyFont="1" applyFill="1" applyBorder="1" applyAlignment="1">
      <alignment horizontal="center" vertical="center" wrapText="1"/>
    </xf>
    <xf numFmtId="0" fontId="0" fillId="6" borderId="12" xfId="0" applyFont="1" applyFill="1" applyBorder="1" applyAlignment="1">
      <alignment horizontal="center" vertical="center" wrapText="1"/>
    </xf>
    <xf numFmtId="0" fontId="0" fillId="0" borderId="10" xfId="0" applyFont="1" applyBorder="1" applyAlignment="1">
      <alignment horizontal="center" vertical="center" wrapText="1"/>
    </xf>
    <xf numFmtId="0" fontId="0" fillId="0" borderId="12" xfId="0" applyFont="1" applyBorder="1" applyAlignment="1">
      <alignment horizontal="center" vertical="center" wrapText="1"/>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0" fontId="3" fillId="0" borderId="1" xfId="0" applyFont="1" applyBorder="1" applyAlignment="1">
      <alignment horizontal="center" vertical="center"/>
    </xf>
    <xf numFmtId="0" fontId="3" fillId="0" borderId="19" xfId="0" applyFont="1" applyBorder="1" applyAlignment="1">
      <alignment horizontal="center" vertical="center"/>
    </xf>
    <xf numFmtId="0" fontId="3" fillId="0" borderId="2" xfId="0" applyFont="1" applyBorder="1" applyAlignment="1">
      <alignment horizontal="center" vertical="center"/>
    </xf>
    <xf numFmtId="0" fontId="3" fillId="0" borderId="5" xfId="0" applyFont="1" applyBorder="1" applyAlignment="1">
      <alignment horizontal="center" vertical="center"/>
    </xf>
    <xf numFmtId="0" fontId="3" fillId="0" borderId="20" xfId="0" applyFont="1" applyBorder="1" applyAlignment="1">
      <alignment horizontal="center" vertical="center"/>
    </xf>
    <xf numFmtId="0" fontId="3" fillId="0" borderId="6" xfId="0" applyFont="1" applyBorder="1" applyAlignment="1">
      <alignment horizontal="center" vertical="center"/>
    </xf>
    <xf numFmtId="0" fontId="3" fillId="0" borderId="16" xfId="0" applyFont="1" applyBorder="1" applyAlignment="1">
      <alignment horizontal="center" vertical="center"/>
    </xf>
    <xf numFmtId="0" fontId="3" fillId="0" borderId="17" xfId="0" applyFont="1" applyBorder="1" applyAlignment="1">
      <alignment horizontal="center" vertical="center"/>
    </xf>
    <xf numFmtId="0" fontId="3" fillId="0" borderId="18" xfId="0" applyFont="1" applyBorder="1" applyAlignment="1">
      <alignment horizontal="center" vertical="center"/>
    </xf>
    <xf numFmtId="0" fontId="3" fillId="0" borderId="13" xfId="0" applyFont="1" applyBorder="1" applyAlignment="1">
      <alignment horizontal="center" vertical="center"/>
    </xf>
    <xf numFmtId="0" fontId="3" fillId="0" borderId="8" xfId="0" applyFont="1" applyBorder="1" applyAlignment="1">
      <alignment horizontal="center" vertical="center"/>
    </xf>
    <xf numFmtId="0" fontId="3" fillId="0" borderId="7" xfId="0" applyFont="1" applyBorder="1" applyAlignment="1">
      <alignment horizontal="center" vertical="center"/>
    </xf>
    <xf numFmtId="0" fontId="1" fillId="4" borderId="22" xfId="0" applyFont="1" applyFill="1" applyBorder="1" applyAlignment="1">
      <alignment horizontal="center"/>
    </xf>
    <xf numFmtId="0" fontId="1" fillId="4" borderId="9" xfId="0" applyFont="1" applyFill="1" applyBorder="1" applyAlignment="1">
      <alignment horizontal="center"/>
    </xf>
    <xf numFmtId="0" fontId="1" fillId="5" borderId="1" xfId="0" applyFont="1" applyFill="1" applyBorder="1" applyAlignment="1">
      <alignment horizontal="center"/>
    </xf>
    <xf numFmtId="0" fontId="1" fillId="5" borderId="2" xfId="0" applyFont="1" applyFill="1" applyBorder="1" applyAlignment="1">
      <alignment horizontal="center"/>
    </xf>
    <xf numFmtId="0" fontId="0" fillId="5" borderId="10" xfId="0" applyFont="1" applyFill="1" applyBorder="1" applyAlignment="1">
      <alignment horizontal="center" vertical="center" wrapText="1"/>
    </xf>
    <xf numFmtId="0" fontId="0" fillId="5" borderId="11" xfId="0" applyFont="1" applyFill="1" applyBorder="1" applyAlignment="1">
      <alignment horizontal="center" vertical="center" wrapText="1"/>
    </xf>
    <xf numFmtId="0" fontId="0" fillId="5" borderId="12" xfId="0" applyFont="1" applyFill="1" applyBorder="1" applyAlignment="1">
      <alignment horizontal="center" vertical="center" wrapText="1"/>
    </xf>
    <xf numFmtId="0" fontId="1" fillId="2" borderId="1" xfId="0" applyFont="1" applyFill="1" applyBorder="1" applyAlignment="1">
      <alignment horizontal="center"/>
    </xf>
    <xf numFmtId="0" fontId="1" fillId="2" borderId="2" xfId="0" applyFont="1" applyFill="1" applyBorder="1" applyAlignment="1">
      <alignment horizontal="center"/>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2" xfId="0" applyFill="1" applyBorder="1" applyAlignment="1">
      <alignment horizontal="center" vertical="center" wrapText="1"/>
    </xf>
    <xf numFmtId="0" fontId="0" fillId="0" borderId="10" xfId="0" applyBorder="1" applyAlignment="1">
      <alignment horizontal="center" vertical="center" wrapText="1"/>
    </xf>
    <xf numFmtId="0" fontId="0" fillId="0" borderId="12" xfId="0" applyBorder="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1" fillId="4" borderId="1" xfId="0" applyFont="1" applyFill="1" applyBorder="1" applyAlignment="1">
      <alignment horizontal="center"/>
    </xf>
    <xf numFmtId="0" fontId="1" fillId="4" borderId="2" xfId="0" applyFont="1" applyFill="1" applyBorder="1" applyAlignment="1">
      <alignment horizontal="center"/>
    </xf>
    <xf numFmtId="0" fontId="0" fillId="4" borderId="14" xfId="0" applyFill="1" applyBorder="1" applyAlignment="1">
      <alignment horizontal="center" vertical="center" wrapText="1"/>
    </xf>
    <xf numFmtId="0" fontId="0" fillId="4" borderId="23" xfId="0" applyFill="1" applyBorder="1" applyAlignment="1">
      <alignment horizontal="center" vertical="center" wrapText="1"/>
    </xf>
    <xf numFmtId="0" fontId="0" fillId="4" borderId="7" xfId="0" applyFill="1" applyBorder="1" applyAlignment="1">
      <alignment horizontal="center" vertical="center" wrapText="1"/>
    </xf>
    <xf numFmtId="0" fontId="0" fillId="3" borderId="10" xfId="0" applyFill="1" applyBorder="1" applyAlignment="1">
      <alignment horizontal="center" vertical="center" wrapText="1"/>
    </xf>
    <xf numFmtId="0" fontId="0" fillId="3" borderId="11" xfId="0" applyFill="1" applyBorder="1" applyAlignment="1">
      <alignment horizontal="center" vertical="center" wrapText="1"/>
    </xf>
    <xf numFmtId="0" fontId="0" fillId="3" borderId="12" xfId="0" applyFill="1" applyBorder="1" applyAlignment="1">
      <alignment horizontal="center" vertical="center" wrapText="1"/>
    </xf>
    <xf numFmtId="0" fontId="1" fillId="0" borderId="8" xfId="0" applyFont="1" applyBorder="1" applyAlignment="1">
      <alignment horizontal="center"/>
    </xf>
    <xf numFmtId="0" fontId="0" fillId="0" borderId="0" xfId="0" applyNumberFormat="1"/>
    <xf numFmtId="0" fontId="0" fillId="0" borderId="16" xfId="0" applyBorder="1"/>
    <xf numFmtId="0" fontId="4" fillId="0" borderId="25" xfId="0" applyFont="1" applyBorder="1" applyAlignment="1">
      <alignment horizontal="center"/>
    </xf>
    <xf numFmtId="0" fontId="4" fillId="0" borderId="24" xfId="0" applyFont="1" applyBorder="1" applyAlignment="1">
      <alignment horizontal="center"/>
    </xf>
    <xf numFmtId="0" fontId="4" fillId="0" borderId="27" xfId="0" applyFont="1"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26" xfId="0" applyBorder="1" applyAlignment="1">
      <alignment horizontal="center"/>
    </xf>
    <xf numFmtId="0" fontId="0" fillId="0" borderId="0" xfId="0" applyBorder="1" applyAlignment="1">
      <alignment horizontal="center"/>
    </xf>
    <xf numFmtId="0" fontId="0" fillId="0" borderId="23" xfId="0" applyBorder="1" applyAlignment="1">
      <alignment horizontal="center"/>
    </xf>
    <xf numFmtId="0" fontId="0" fillId="0" borderId="8" xfId="0" applyBorder="1" applyAlignment="1">
      <alignment horizontal="center"/>
    </xf>
    <xf numFmtId="0" fontId="5" fillId="0" borderId="25" xfId="0" applyFont="1" applyBorder="1" applyAlignment="1">
      <alignment horizontal="center"/>
    </xf>
    <xf numFmtId="0" fontId="5" fillId="0" borderId="24" xfId="0" applyFont="1" applyBorder="1" applyAlignment="1">
      <alignment horizontal="center"/>
    </xf>
    <xf numFmtId="0" fontId="5" fillId="0" borderId="27" xfId="0" applyFont="1" applyBorder="1" applyAlignment="1">
      <alignment horizontal="center"/>
    </xf>
    <xf numFmtId="0" fontId="6" fillId="0" borderId="25" xfId="0" applyFont="1" applyBorder="1" applyAlignment="1">
      <alignment horizontal="center"/>
    </xf>
    <xf numFmtId="0" fontId="6" fillId="0" borderId="24" xfId="0" applyFont="1" applyBorder="1" applyAlignment="1">
      <alignment horizontal="center"/>
    </xf>
    <xf numFmtId="0" fontId="6" fillId="0" borderId="27" xfId="0" applyFont="1" applyBorder="1" applyAlignment="1">
      <alignment horizontal="center"/>
    </xf>
    <xf numFmtId="0" fontId="0" fillId="0" borderId="17" xfId="0" applyBorder="1"/>
    <xf numFmtId="0" fontId="0" fillId="0" borderId="26" xfId="0" applyBorder="1"/>
    <xf numFmtId="0" fontId="0" fillId="0" borderId="0" xfId="0" applyBorder="1"/>
    <xf numFmtId="0" fontId="0" fillId="0" borderId="13" xfId="0" applyBorder="1"/>
    <xf numFmtId="0" fontId="0" fillId="0" borderId="8" xfId="0" applyBorder="1"/>
    <xf numFmtId="0" fontId="0" fillId="0" borderId="18" xfId="0" applyBorder="1"/>
    <xf numFmtId="0" fontId="0" fillId="0" borderId="23" xfId="0" applyBorder="1"/>
    <xf numFmtId="0" fontId="0" fillId="0" borderId="7" xfId="0" applyBorder="1"/>
  </cellXfs>
  <cellStyles count="1">
    <cellStyle name="Normal" xfId="0" builtinId="0"/>
  </cellStyles>
  <dxfs count="0"/>
  <tableStyles count="0" defaultTableStyle="TableStyleMedium2" defaultPivotStyle="PivotStyleLight16"/>
  <colors>
    <mruColors>
      <color rgb="FFFF5050"/>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0</xdr:row>
          <xdr:rowOff>123825</xdr:rowOff>
        </xdr:from>
        <xdr:to>
          <xdr:col>1</xdr:col>
          <xdr:colOff>971550</xdr:colOff>
          <xdr:row>5</xdr:row>
          <xdr:rowOff>76200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cs typeface="Calibri"/>
                </a:rPr>
                <a:t>Test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6</xdr:row>
          <xdr:rowOff>66675</xdr:rowOff>
        </xdr:from>
        <xdr:to>
          <xdr:col>1</xdr:col>
          <xdr:colOff>962025</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cs typeface="Calibri"/>
                </a:rPr>
                <a:t>Generate Prep Sheet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_Methods_VisualMethodEditor\MAM\_BASE_MAM_METHO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_Dropdown values"/>
      <sheetName val="Building Blocks"/>
      <sheetName val="Method"/>
      <sheetName val="Worklist"/>
    </sheetNames>
    <sheetDataSet>
      <sheetData sheetId="0"/>
      <sheetData sheetId="1"/>
      <sheetData sheetId="2"/>
      <sheetData sheetId="3">
        <row r="1">
          <cell r="E1" t="str">
            <v>Concentration</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3:L25"/>
  <sheetViews>
    <sheetView topLeftCell="A10" workbookViewId="0">
      <selection activeCell="D25" sqref="D25"/>
    </sheetView>
  </sheetViews>
  <sheetFormatPr defaultRowHeight="15" x14ac:dyDescent="0.25"/>
  <cols>
    <col min="2" max="2" width="26.42578125" bestFit="1" customWidth="1"/>
    <col min="3" max="3" width="12" customWidth="1"/>
    <col min="4" max="4" width="26.42578125" customWidth="1"/>
    <col min="6" max="6" width="24" bestFit="1" customWidth="1"/>
    <col min="7" max="7" width="16" bestFit="1" customWidth="1"/>
    <col min="8" max="9" width="16.140625" bestFit="1" customWidth="1"/>
    <col min="10" max="10" width="21.85546875" bestFit="1" customWidth="1"/>
    <col min="11" max="11" width="20.5703125" bestFit="1" customWidth="1"/>
    <col min="13" max="13" width="11.7109375" bestFit="1" customWidth="1"/>
  </cols>
  <sheetData>
    <row r="3" spans="2:12" x14ac:dyDescent="0.25">
      <c r="B3" s="38" t="s">
        <v>31</v>
      </c>
      <c r="C3" s="38"/>
      <c r="D3" s="38" t="s">
        <v>53</v>
      </c>
      <c r="F3" s="57" t="s">
        <v>26</v>
      </c>
      <c r="G3" s="57"/>
      <c r="H3" s="57"/>
      <c r="I3" s="57"/>
      <c r="J3" s="57"/>
      <c r="K3" s="57"/>
      <c r="L3" s="57"/>
    </row>
    <row r="4" spans="2:12" x14ac:dyDescent="0.25">
      <c r="B4" t="s">
        <v>34</v>
      </c>
      <c r="D4" s="41" t="s">
        <v>67</v>
      </c>
      <c r="F4" s="38" t="s">
        <v>0</v>
      </c>
      <c r="G4" s="38" t="s">
        <v>16</v>
      </c>
      <c r="H4" s="38" t="s">
        <v>5</v>
      </c>
      <c r="I4" s="38" t="s">
        <v>21</v>
      </c>
      <c r="J4" s="38" t="s">
        <v>46</v>
      </c>
      <c r="K4" s="38" t="s">
        <v>39</v>
      </c>
      <c r="L4" s="38" t="s">
        <v>55</v>
      </c>
    </row>
    <row r="5" spans="2:12" x14ac:dyDescent="0.25">
      <c r="B5" t="s">
        <v>56</v>
      </c>
      <c r="D5" s="41" t="s">
        <v>68</v>
      </c>
      <c r="F5" t="s">
        <v>0</v>
      </c>
      <c r="G5" t="s">
        <v>16</v>
      </c>
      <c r="H5" t="s">
        <v>5</v>
      </c>
      <c r="I5" t="s">
        <v>21</v>
      </c>
      <c r="J5" t="s">
        <v>46</v>
      </c>
      <c r="K5" t="s">
        <v>39</v>
      </c>
      <c r="L5" t="s">
        <v>55</v>
      </c>
    </row>
    <row r="6" spans="2:12" x14ac:dyDescent="0.25">
      <c r="B6" t="s">
        <v>32</v>
      </c>
      <c r="D6" s="41"/>
      <c r="F6" t="s">
        <v>27</v>
      </c>
      <c r="G6" t="s">
        <v>28</v>
      </c>
      <c r="H6" t="s">
        <v>29</v>
      </c>
      <c r="I6" t="s">
        <v>30</v>
      </c>
      <c r="J6" t="s">
        <v>47</v>
      </c>
      <c r="K6" t="s">
        <v>40</v>
      </c>
      <c r="L6" t="s">
        <v>57</v>
      </c>
    </row>
    <row r="7" spans="2:12" x14ac:dyDescent="0.25">
      <c r="B7" t="s">
        <v>58</v>
      </c>
      <c r="D7" s="41"/>
    </row>
    <row r="9" spans="2:12" x14ac:dyDescent="0.25">
      <c r="B9" s="38" t="s">
        <v>54</v>
      </c>
      <c r="D9" s="35" t="s">
        <v>50</v>
      </c>
    </row>
    <row r="10" spans="2:12" x14ac:dyDescent="0.25">
      <c r="B10" t="s">
        <v>61</v>
      </c>
      <c r="D10" s="24" t="s">
        <v>42</v>
      </c>
    </row>
    <row r="11" spans="2:12" x14ac:dyDescent="0.25">
      <c r="B11" t="s">
        <v>62</v>
      </c>
      <c r="D11" s="24" t="s">
        <v>43</v>
      </c>
    </row>
    <row r="12" spans="2:12" x14ac:dyDescent="0.25">
      <c r="B12" t="s">
        <v>63</v>
      </c>
    </row>
    <row r="13" spans="2:12" x14ac:dyDescent="0.25">
      <c r="B13" t="s">
        <v>64</v>
      </c>
      <c r="D13" s="38" t="s">
        <v>74</v>
      </c>
    </row>
    <row r="14" spans="2:12" x14ac:dyDescent="0.25">
      <c r="B14" t="s">
        <v>65</v>
      </c>
      <c r="D14" t="s">
        <v>75</v>
      </c>
    </row>
    <row r="15" spans="2:12" x14ac:dyDescent="0.25">
      <c r="B15" t="s">
        <v>66</v>
      </c>
      <c r="D15" t="s">
        <v>76</v>
      </c>
    </row>
    <row r="16" spans="2:12" x14ac:dyDescent="0.25">
      <c r="B16" t="s">
        <v>14</v>
      </c>
    </row>
    <row r="17" spans="2:4" x14ac:dyDescent="0.25">
      <c r="B17" t="s">
        <v>2</v>
      </c>
    </row>
    <row r="18" spans="2:4" x14ac:dyDescent="0.25">
      <c r="D18" s="38" t="s">
        <v>86</v>
      </c>
    </row>
    <row r="19" spans="2:4" x14ac:dyDescent="0.25">
      <c r="B19" s="38" t="s">
        <v>52</v>
      </c>
      <c r="D19" t="s">
        <v>87</v>
      </c>
    </row>
    <row r="20" spans="2:4" x14ac:dyDescent="0.25">
      <c r="B20" t="s">
        <v>59</v>
      </c>
      <c r="D20" t="s">
        <v>85</v>
      </c>
    </row>
    <row r="21" spans="2:4" x14ac:dyDescent="0.25">
      <c r="B21" t="s">
        <v>60</v>
      </c>
      <c r="D21" t="s">
        <v>88</v>
      </c>
    </row>
    <row r="22" spans="2:4" x14ac:dyDescent="0.25">
      <c r="D22" t="s">
        <v>89</v>
      </c>
    </row>
    <row r="24" spans="2:4" x14ac:dyDescent="0.25">
      <c r="D24" s="38" t="s">
        <v>90</v>
      </c>
    </row>
    <row r="25" spans="2:4" x14ac:dyDescent="0.25">
      <c r="D25" t="s">
        <v>91</v>
      </c>
    </row>
  </sheetData>
  <mergeCells count="1">
    <mergeCell ref="F3:L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C1:M41"/>
  <sheetViews>
    <sheetView topLeftCell="A4" zoomScale="80" zoomScaleNormal="80" workbookViewId="0">
      <selection activeCell="H8" sqref="H8"/>
    </sheetView>
  </sheetViews>
  <sheetFormatPr defaultRowHeight="15" x14ac:dyDescent="0.25"/>
  <cols>
    <col min="2" max="2" width="9.42578125" customWidth="1"/>
    <col min="3" max="3" width="29.42578125" bestFit="1" customWidth="1"/>
    <col min="4" max="4" width="22.140625" customWidth="1"/>
    <col min="5" max="5" width="12.85546875" customWidth="1"/>
    <col min="6" max="6" width="19.28515625" customWidth="1"/>
    <col min="7" max="7" width="32.140625" bestFit="1" customWidth="1"/>
    <col min="8" max="8" width="29.42578125" bestFit="1" customWidth="1"/>
    <col min="9" max="9" width="29.42578125" customWidth="1"/>
    <col min="10" max="10" width="17" customWidth="1"/>
    <col min="11" max="11" width="25.140625" customWidth="1"/>
    <col min="12" max="12" width="22.42578125" bestFit="1" customWidth="1"/>
    <col min="13" max="13" width="13.5703125" customWidth="1"/>
    <col min="15" max="15" width="12.85546875" bestFit="1" customWidth="1"/>
    <col min="16" max="17" width="14.42578125" customWidth="1"/>
    <col min="18" max="18" width="15.5703125" customWidth="1"/>
    <col min="20" max="20" width="14" customWidth="1"/>
    <col min="21" max="21" width="14.140625" customWidth="1"/>
    <col min="23" max="23" width="13" customWidth="1"/>
    <col min="24" max="24" width="11" customWidth="1"/>
  </cols>
  <sheetData>
    <row r="1" spans="3:13" ht="15.75" thickBot="1" x14ac:dyDescent="0.3"/>
    <row r="2" spans="3:13" x14ac:dyDescent="0.25">
      <c r="C2" s="90" t="s">
        <v>78</v>
      </c>
      <c r="D2" s="91"/>
      <c r="E2" s="92"/>
      <c r="G2" s="96" t="s">
        <v>79</v>
      </c>
      <c r="H2" s="97"/>
      <c r="I2" s="98"/>
      <c r="K2" s="96" t="s">
        <v>80</v>
      </c>
      <c r="L2" s="97"/>
      <c r="M2" s="98"/>
    </row>
    <row r="3" spans="3:13" ht="15.75" thickBot="1" x14ac:dyDescent="0.3">
      <c r="C3" s="93"/>
      <c r="D3" s="94"/>
      <c r="E3" s="95"/>
      <c r="G3" s="99"/>
      <c r="H3" s="100"/>
      <c r="I3" s="101"/>
      <c r="K3" s="99"/>
      <c r="L3" s="100"/>
      <c r="M3" s="101"/>
    </row>
    <row r="4" spans="3:13" ht="15.75" thickBot="1" x14ac:dyDescent="0.3"/>
    <row r="5" spans="3:13" x14ac:dyDescent="0.25">
      <c r="C5" s="72" t="s">
        <v>2</v>
      </c>
      <c r="D5" s="73"/>
      <c r="E5" s="42" t="s">
        <v>15</v>
      </c>
      <c r="G5" s="109" t="s">
        <v>0</v>
      </c>
      <c r="H5" s="110"/>
      <c r="I5" s="29" t="s">
        <v>15</v>
      </c>
      <c r="K5" s="67" t="s">
        <v>72</v>
      </c>
      <c r="L5" s="68"/>
      <c r="M5" s="46" t="s">
        <v>15</v>
      </c>
    </row>
    <row r="6" spans="3:13" x14ac:dyDescent="0.25">
      <c r="C6" s="31" t="s">
        <v>1</v>
      </c>
      <c r="D6" s="34"/>
      <c r="E6" s="83"/>
      <c r="G6" s="3" t="s">
        <v>38</v>
      </c>
      <c r="H6" s="13"/>
      <c r="I6" s="61"/>
      <c r="K6" s="5" t="s">
        <v>38</v>
      </c>
      <c r="L6" s="20"/>
      <c r="M6" s="64"/>
    </row>
    <row r="7" spans="3:13" ht="15.75" thickBot="1" x14ac:dyDescent="0.3">
      <c r="C7" s="43" t="s">
        <v>25</v>
      </c>
      <c r="D7" s="33"/>
      <c r="E7" s="84"/>
      <c r="G7" s="3" t="s">
        <v>54</v>
      </c>
      <c r="H7" s="13"/>
      <c r="I7" s="62"/>
      <c r="K7" s="5" t="s">
        <v>81</v>
      </c>
      <c r="L7" s="20"/>
      <c r="M7" s="65"/>
    </row>
    <row r="8" spans="3:13" ht="15.75" thickBot="1" x14ac:dyDescent="0.3">
      <c r="G8" s="3" t="s">
        <v>52</v>
      </c>
      <c r="H8" s="13"/>
      <c r="I8" s="62"/>
      <c r="K8" s="6" t="s">
        <v>73</v>
      </c>
      <c r="L8" s="21" t="s">
        <v>75</v>
      </c>
      <c r="M8" s="66"/>
    </row>
    <row r="9" spans="3:13" ht="15.75" thickBot="1" x14ac:dyDescent="0.3">
      <c r="C9" s="104" t="s">
        <v>4</v>
      </c>
      <c r="D9" s="105"/>
      <c r="E9" s="25" t="s">
        <v>15</v>
      </c>
      <c r="G9" s="3" t="s">
        <v>11</v>
      </c>
      <c r="H9" s="13"/>
      <c r="I9" s="62"/>
    </row>
    <row r="10" spans="3:13" ht="15.75" thickBot="1" x14ac:dyDescent="0.3">
      <c r="C10" s="9" t="s">
        <v>24</v>
      </c>
      <c r="D10" s="18"/>
      <c r="E10" s="106"/>
      <c r="G10" s="4" t="s">
        <v>41</v>
      </c>
      <c r="H10" s="14" t="s">
        <v>42</v>
      </c>
      <c r="I10" s="63"/>
      <c r="K10" s="67" t="s">
        <v>77</v>
      </c>
      <c r="L10" s="68"/>
      <c r="M10" s="46" t="s">
        <v>15</v>
      </c>
    </row>
    <row r="11" spans="3:13" ht="15.75" thickBot="1" x14ac:dyDescent="0.3">
      <c r="C11" s="9" t="s">
        <v>35</v>
      </c>
      <c r="D11" s="18"/>
      <c r="E11" s="107"/>
      <c r="K11" s="5" t="s">
        <v>38</v>
      </c>
      <c r="L11" s="20"/>
      <c r="M11" s="64"/>
    </row>
    <row r="12" spans="3:13" ht="15.75" thickBot="1" x14ac:dyDescent="0.3">
      <c r="C12" s="10" t="s">
        <v>36</v>
      </c>
      <c r="D12" s="19"/>
      <c r="E12" s="108"/>
      <c r="G12" s="102" t="s">
        <v>16</v>
      </c>
      <c r="H12" s="103"/>
      <c r="I12" s="26" t="s">
        <v>15</v>
      </c>
      <c r="K12" s="5" t="s">
        <v>82</v>
      </c>
      <c r="L12" s="20"/>
      <c r="M12" s="65"/>
    </row>
    <row r="13" spans="3:13" ht="15.75" thickBot="1" x14ac:dyDescent="0.3">
      <c r="G13" s="7" t="s">
        <v>38</v>
      </c>
      <c r="H13" s="15"/>
      <c r="I13" s="69"/>
      <c r="K13" s="6" t="s">
        <v>73</v>
      </c>
      <c r="L13" s="21" t="s">
        <v>75</v>
      </c>
      <c r="M13" s="66"/>
    </row>
    <row r="14" spans="3:13" ht="15.75" thickBot="1" x14ac:dyDescent="0.3">
      <c r="C14" s="72" t="s">
        <v>51</v>
      </c>
      <c r="D14" s="73"/>
      <c r="E14" s="39" t="s">
        <v>15</v>
      </c>
      <c r="G14" s="7" t="s">
        <v>3</v>
      </c>
      <c r="H14" s="15"/>
      <c r="I14" s="70"/>
    </row>
    <row r="15" spans="3:13" x14ac:dyDescent="0.25">
      <c r="C15" s="74"/>
      <c r="D15" s="75"/>
      <c r="E15" s="83"/>
      <c r="G15" s="7" t="s">
        <v>6</v>
      </c>
      <c r="H15" s="15"/>
      <c r="I15" s="70"/>
      <c r="K15" s="67" t="s">
        <v>94</v>
      </c>
      <c r="L15" s="68"/>
      <c r="M15" s="46" t="s">
        <v>15</v>
      </c>
    </row>
    <row r="16" spans="3:13" ht="15.75" thickBot="1" x14ac:dyDescent="0.3">
      <c r="C16" s="76"/>
      <c r="D16" s="77"/>
      <c r="E16" s="84"/>
      <c r="G16" s="7" t="s">
        <v>7</v>
      </c>
      <c r="H16" s="15"/>
      <c r="I16" s="70"/>
      <c r="K16" s="6" t="s">
        <v>95</v>
      </c>
      <c r="L16" s="21"/>
      <c r="M16" s="52"/>
    </row>
    <row r="17" spans="7:9" x14ac:dyDescent="0.25">
      <c r="G17" s="7" t="s">
        <v>10</v>
      </c>
      <c r="H17" s="15"/>
      <c r="I17" s="70"/>
    </row>
    <row r="18" spans="7:9" ht="15.75" thickBot="1" x14ac:dyDescent="0.3">
      <c r="G18" s="8" t="s">
        <v>109</v>
      </c>
      <c r="H18" s="16"/>
      <c r="I18" s="71"/>
    </row>
    <row r="19" spans="7:9" ht="15.75" thickBot="1" x14ac:dyDescent="0.3"/>
    <row r="20" spans="7:9" x14ac:dyDescent="0.25">
      <c r="G20" s="78" t="s">
        <v>39</v>
      </c>
      <c r="H20" s="79"/>
      <c r="I20" s="28" t="s">
        <v>15</v>
      </c>
    </row>
    <row r="21" spans="7:9" x14ac:dyDescent="0.25">
      <c r="G21" s="11" t="s">
        <v>12</v>
      </c>
      <c r="H21" s="22"/>
      <c r="I21" s="80"/>
    </row>
    <row r="22" spans="7:9" x14ac:dyDescent="0.25">
      <c r="G22" s="11" t="s">
        <v>9</v>
      </c>
      <c r="H22" s="22"/>
      <c r="I22" s="81"/>
    </row>
    <row r="23" spans="7:9" ht="15.75" thickBot="1" x14ac:dyDescent="0.3">
      <c r="G23" s="12" t="s">
        <v>20</v>
      </c>
      <c r="H23" s="23"/>
      <c r="I23" s="82"/>
    </row>
    <row r="24" spans="7:9" ht="15.75" thickBot="1" x14ac:dyDescent="0.3"/>
    <row r="25" spans="7:9" x14ac:dyDescent="0.25">
      <c r="G25" s="67" t="s">
        <v>5</v>
      </c>
      <c r="H25" s="68"/>
      <c r="I25" s="27" t="s">
        <v>15</v>
      </c>
    </row>
    <row r="26" spans="7:9" x14ac:dyDescent="0.25">
      <c r="G26" s="5" t="s">
        <v>38</v>
      </c>
      <c r="H26" s="20"/>
      <c r="I26" s="64"/>
    </row>
    <row r="27" spans="7:9" x14ac:dyDescent="0.25">
      <c r="G27" s="5" t="s">
        <v>37</v>
      </c>
      <c r="H27" s="20"/>
      <c r="I27" s="65"/>
    </row>
    <row r="28" spans="7:9" ht="15.75" thickBot="1" x14ac:dyDescent="0.3">
      <c r="G28" s="6" t="s">
        <v>25</v>
      </c>
      <c r="H28" s="21"/>
      <c r="I28" s="66"/>
    </row>
    <row r="29" spans="7:9" ht="15.75" thickBot="1" x14ac:dyDescent="0.3">
      <c r="G29" s="38"/>
    </row>
    <row r="30" spans="7:9" x14ac:dyDescent="0.25">
      <c r="G30" s="85" t="s">
        <v>44</v>
      </c>
      <c r="H30" s="86"/>
      <c r="I30" s="48" t="s">
        <v>15</v>
      </c>
    </row>
    <row r="31" spans="7:9" x14ac:dyDescent="0.25">
      <c r="G31" s="36" t="s">
        <v>38</v>
      </c>
      <c r="H31" s="49"/>
      <c r="I31" s="87"/>
    </row>
    <row r="32" spans="7:9" x14ac:dyDescent="0.25">
      <c r="G32" s="36" t="s">
        <v>11</v>
      </c>
      <c r="H32" s="50"/>
      <c r="I32" s="88"/>
    </row>
    <row r="33" spans="7:9" x14ac:dyDescent="0.25">
      <c r="G33" s="36" t="s">
        <v>84</v>
      </c>
      <c r="H33" s="50"/>
      <c r="I33" s="88"/>
    </row>
    <row r="34" spans="7:9" x14ac:dyDescent="0.25">
      <c r="G34" s="36" t="s">
        <v>92</v>
      </c>
      <c r="H34" s="50"/>
      <c r="I34" s="88"/>
    </row>
    <row r="35" spans="7:9" x14ac:dyDescent="0.25">
      <c r="G35" s="36" t="s">
        <v>69</v>
      </c>
      <c r="H35" s="50" t="s">
        <v>85</v>
      </c>
      <c r="I35" s="88"/>
    </row>
    <row r="36" spans="7:9" ht="15.75" thickBot="1" x14ac:dyDescent="0.3">
      <c r="G36" s="37" t="s">
        <v>93</v>
      </c>
      <c r="H36" s="51"/>
      <c r="I36" s="89"/>
    </row>
    <row r="37" spans="7:9" ht="15.75" thickBot="1" x14ac:dyDescent="0.3"/>
    <row r="38" spans="7:9" x14ac:dyDescent="0.25">
      <c r="G38" s="72" t="s">
        <v>21</v>
      </c>
      <c r="H38" s="73"/>
      <c r="I38" s="40" t="s">
        <v>15</v>
      </c>
    </row>
    <row r="39" spans="7:9" x14ac:dyDescent="0.25">
      <c r="G39" s="31" t="s">
        <v>49</v>
      </c>
      <c r="H39" s="32"/>
      <c r="I39" s="58"/>
    </row>
    <row r="40" spans="7:9" x14ac:dyDescent="0.25">
      <c r="G40" s="31" t="s">
        <v>22</v>
      </c>
      <c r="H40" s="45"/>
      <c r="I40" s="59"/>
    </row>
    <row r="41" spans="7:9" ht="15.75" thickBot="1" x14ac:dyDescent="0.3">
      <c r="G41" s="1" t="s">
        <v>23</v>
      </c>
      <c r="H41" s="44"/>
      <c r="I41" s="60"/>
    </row>
  </sheetData>
  <mergeCells count="27">
    <mergeCell ref="K5:L5"/>
    <mergeCell ref="M6:M8"/>
    <mergeCell ref="K10:L10"/>
    <mergeCell ref="M11:M13"/>
    <mergeCell ref="C2:E3"/>
    <mergeCell ref="G2:I3"/>
    <mergeCell ref="K2:M3"/>
    <mergeCell ref="C5:D5"/>
    <mergeCell ref="G12:H12"/>
    <mergeCell ref="C9:D9"/>
    <mergeCell ref="E10:E12"/>
    <mergeCell ref="G5:H5"/>
    <mergeCell ref="E6:E7"/>
    <mergeCell ref="C14:D14"/>
    <mergeCell ref="C15:D16"/>
    <mergeCell ref="G20:H20"/>
    <mergeCell ref="I21:I23"/>
    <mergeCell ref="G38:H38"/>
    <mergeCell ref="E15:E16"/>
    <mergeCell ref="G25:H25"/>
    <mergeCell ref="G30:H30"/>
    <mergeCell ref="I31:I36"/>
    <mergeCell ref="I39:I41"/>
    <mergeCell ref="I6:I10"/>
    <mergeCell ref="I26:I28"/>
    <mergeCell ref="K15:L15"/>
    <mergeCell ref="I13:I18"/>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2">
        <x14:dataValidation type="list" allowBlank="1" showInputMessage="1" showErrorMessage="1" xr:uid="{00000000-0002-0000-0100-000000000000}">
          <x14:formula1>
            <xm:f>'___Dropdown values'!$B$20:$B$21</xm:f>
          </x14:formula1>
          <xm:sqref>H8</xm:sqref>
        </x14:dataValidation>
        <x14:dataValidation type="list" allowBlank="1" showInputMessage="1" showErrorMessage="1" xr:uid="{00000000-0002-0000-0100-000001000000}">
          <x14:formula1>
            <xm:f>'___Dropdown values'!$H$5:$H$6</xm:f>
          </x14:formula1>
          <xm:sqref>G25:H25</xm:sqref>
        </x14:dataValidation>
        <x14:dataValidation type="list" allowBlank="1" showInputMessage="1" showErrorMessage="1" xr:uid="{00000000-0002-0000-0100-000002000000}">
          <x14:formula1>
            <xm:f>'___Dropdown values'!$I$5:$I$6</xm:f>
          </x14:formula1>
          <xm:sqref>G38:H38</xm:sqref>
        </x14:dataValidation>
        <x14:dataValidation type="list" allowBlank="1" showInputMessage="1" showErrorMessage="1" xr:uid="{00000000-0002-0000-0100-000003000000}">
          <x14:formula1>
            <xm:f>'___Dropdown values'!$K$5:$K$6</xm:f>
          </x14:formula1>
          <xm:sqref>G20:H20</xm:sqref>
        </x14:dataValidation>
        <x14:dataValidation type="list" allowBlank="1" showInputMessage="1" showErrorMessage="1" xr:uid="{00000000-0002-0000-0100-000004000000}">
          <x14:formula1>
            <xm:f>'___Dropdown values'!$D$10:$D$11</xm:f>
          </x14:formula1>
          <xm:sqref>H10 H39</xm:sqref>
        </x14:dataValidation>
        <x14:dataValidation type="list" allowBlank="1" showInputMessage="1" showErrorMessage="1" xr:uid="{00000000-0002-0000-0100-000005000000}">
          <x14:formula1>
            <xm:f>'___Dropdown values'!$F$5:$F$6</xm:f>
          </x14:formula1>
          <xm:sqref>G5:H5</xm:sqref>
        </x14:dataValidation>
        <x14:dataValidation type="list" allowBlank="1" showInputMessage="1" showErrorMessage="1" xr:uid="{00000000-0002-0000-0100-000007000000}">
          <x14:formula1>
            <xm:f>'___Dropdown values'!$B$10:$B$17</xm:f>
          </x14:formula1>
          <xm:sqref>H7</xm:sqref>
        </x14:dataValidation>
        <x14:dataValidation type="list" allowBlank="1" showInputMessage="1" showErrorMessage="1" xr:uid="{00000000-0002-0000-0100-000008000000}">
          <x14:formula1>
            <xm:f>'___Dropdown values'!$D$4:$D$5</xm:f>
          </x14:formula1>
          <xm:sqref>H28</xm:sqref>
        </x14:dataValidation>
        <x14:dataValidation type="list" allowBlank="1" showInputMessage="1" showErrorMessage="1" xr:uid="{00000000-0002-0000-0100-000009000000}">
          <x14:formula1>
            <xm:f>'___Dropdown values'!$B$4:$B$7</xm:f>
          </x14:formula1>
          <xm:sqref>D7</xm:sqref>
        </x14:dataValidation>
        <x14:dataValidation type="list" allowBlank="1" showInputMessage="1" showErrorMessage="1" xr:uid="{9C3BFE67-C386-4E42-8BE7-547226269234}">
          <x14:formula1>
            <xm:f>'___Dropdown values'!$D$14:$D$15</xm:f>
          </x14:formula1>
          <xm:sqref>L8 L13</xm:sqref>
        </x14:dataValidation>
        <x14:dataValidation type="list" allowBlank="1" showInputMessage="1" showErrorMessage="1" xr:uid="{F2350576-AF99-416F-8078-E004F22D192A}">
          <x14:formula1>
            <xm:f>'___Dropdown values'!$D$25</xm:f>
          </x14:formula1>
          <xm:sqref>H33:H34</xm:sqref>
        </x14:dataValidation>
        <x14:dataValidation type="list" allowBlank="1" showInputMessage="1" showErrorMessage="1" xr:uid="{3FE4D40D-E396-4437-A6E0-AAE27F6362BE}">
          <x14:formula1>
            <xm:f>'___Dropdown values'!$D$19:$D$22</xm:f>
          </x14:formula1>
          <xm:sqref>H35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125"/>
  <sheetViews>
    <sheetView zoomScale="90" zoomScaleNormal="90" workbookViewId="0">
      <selection activeCell="E106" sqref="E106"/>
    </sheetView>
  </sheetViews>
  <sheetFormatPr defaultRowHeight="15" x14ac:dyDescent="0.25"/>
  <cols>
    <col min="1" max="1" width="19.28515625" customWidth="1"/>
    <col min="2" max="2" width="16.42578125" customWidth="1"/>
    <col min="3" max="3" width="43" bestFit="1" customWidth="1"/>
    <col min="4" max="4" width="31.140625" bestFit="1" customWidth="1"/>
    <col min="5" max="5" width="52.42578125" bestFit="1" customWidth="1"/>
    <col min="6" max="6" width="55.140625" customWidth="1"/>
    <col min="7" max="7" width="43" bestFit="1" customWidth="1"/>
    <col min="8" max="8" width="18.85546875" bestFit="1" customWidth="1"/>
    <col min="9" max="9" width="28" bestFit="1" customWidth="1"/>
    <col min="10" max="10" width="13.42578125" bestFit="1" customWidth="1"/>
    <col min="14" max="14" width="9.5703125" style="24" customWidth="1"/>
    <col min="15" max="15" width="9.140625" style="24"/>
  </cols>
  <sheetData>
    <row r="1" spans="4:15" ht="15.75" thickBot="1" x14ac:dyDescent="0.3"/>
    <row r="2" spans="4:15" x14ac:dyDescent="0.25">
      <c r="D2" s="72" t="s">
        <v>2</v>
      </c>
      <c r="E2" s="73"/>
      <c r="F2" s="30" t="s">
        <v>15</v>
      </c>
    </row>
    <row r="3" spans="4:15" x14ac:dyDescent="0.25">
      <c r="D3" s="31" t="s">
        <v>1</v>
      </c>
      <c r="E3" s="34" t="s">
        <v>13</v>
      </c>
      <c r="F3" s="83" t="s">
        <v>45</v>
      </c>
    </row>
    <row r="4" spans="4:15" ht="15.75" thickBot="1" x14ac:dyDescent="0.3">
      <c r="D4" s="1" t="s">
        <v>25</v>
      </c>
      <c r="E4" s="17" t="s">
        <v>34</v>
      </c>
      <c r="F4" s="84"/>
    </row>
    <row r="6" spans="4:15" s="2" customFormat="1" ht="15.75" thickBot="1" x14ac:dyDescent="0.3">
      <c r="D6" s="127" t="s">
        <v>8</v>
      </c>
      <c r="E6" s="127"/>
    </row>
    <row r="7" spans="4:15" ht="15.75" thickBot="1" x14ac:dyDescent="0.3">
      <c r="D7" s="24"/>
      <c r="E7" s="24"/>
      <c r="N7"/>
      <c r="O7"/>
    </row>
    <row r="8" spans="4:15" x14ac:dyDescent="0.25">
      <c r="D8" s="72" t="s">
        <v>2</v>
      </c>
      <c r="E8" s="73"/>
      <c r="F8" s="42" t="s">
        <v>15</v>
      </c>
      <c r="N8"/>
      <c r="O8"/>
    </row>
    <row r="9" spans="4:15" x14ac:dyDescent="0.25">
      <c r="D9" s="31" t="s">
        <v>1</v>
      </c>
      <c r="E9" s="53" t="s">
        <v>96</v>
      </c>
      <c r="F9" s="114"/>
      <c r="N9"/>
      <c r="O9"/>
    </row>
    <row r="10" spans="4:15" ht="15.75" thickBot="1" x14ac:dyDescent="0.3">
      <c r="D10" s="1" t="s">
        <v>25</v>
      </c>
      <c r="E10" s="17" t="s">
        <v>34</v>
      </c>
      <c r="F10" s="115"/>
      <c r="N10"/>
      <c r="O10"/>
    </row>
    <row r="11" spans="4:15" ht="15.75" thickBot="1" x14ac:dyDescent="0.3">
      <c r="E11" s="41"/>
      <c r="F11" s="54"/>
      <c r="N11"/>
      <c r="O11"/>
    </row>
    <row r="12" spans="4:15" x14ac:dyDescent="0.25">
      <c r="D12" s="67" t="s">
        <v>72</v>
      </c>
      <c r="E12" s="68"/>
      <c r="F12" s="46" t="s">
        <v>15</v>
      </c>
      <c r="N12"/>
      <c r="O12"/>
    </row>
    <row r="13" spans="4:15" x14ac:dyDescent="0.25">
      <c r="D13" s="5" t="s">
        <v>38</v>
      </c>
      <c r="E13" s="20" t="str">
        <f>E3</f>
        <v>Sample</v>
      </c>
      <c r="F13" s="124"/>
      <c r="N13"/>
      <c r="O13"/>
    </row>
    <row r="14" spans="4:15" x14ac:dyDescent="0.25">
      <c r="D14" s="5" t="s">
        <v>81</v>
      </c>
      <c r="E14" s="20" t="str">
        <f>Worklist!D1</f>
        <v>Sample Location</v>
      </c>
      <c r="F14" s="125"/>
      <c r="N14"/>
      <c r="O14"/>
    </row>
    <row r="15" spans="4:15" ht="15.75" thickBot="1" x14ac:dyDescent="0.3">
      <c r="D15" s="6" t="s">
        <v>73</v>
      </c>
      <c r="E15" s="21" t="s">
        <v>75</v>
      </c>
      <c r="F15" s="126"/>
      <c r="N15"/>
      <c r="O15"/>
    </row>
    <row r="16" spans="4:15" ht="15.75" thickBot="1" x14ac:dyDescent="0.3">
      <c r="N16"/>
      <c r="O16"/>
    </row>
    <row r="17" spans="1:15" x14ac:dyDescent="0.25">
      <c r="D17" s="109" t="s">
        <v>0</v>
      </c>
      <c r="E17" s="110"/>
      <c r="F17" s="29" t="s">
        <v>15</v>
      </c>
      <c r="N17"/>
      <c r="O17"/>
    </row>
    <row r="18" spans="1:15" x14ac:dyDescent="0.25">
      <c r="A18" t="s">
        <v>71</v>
      </c>
      <c r="D18" s="3" t="s">
        <v>38</v>
      </c>
      <c r="E18" s="13" t="str">
        <f>E26</f>
        <v>7M GnHCl, 100mM Tris pH 8.3, 5mM L-Met</v>
      </c>
      <c r="F18" s="111" t="s">
        <v>98</v>
      </c>
      <c r="N18"/>
      <c r="O18"/>
    </row>
    <row r="19" spans="1:15" x14ac:dyDescent="0.25">
      <c r="D19" s="3" t="s">
        <v>54</v>
      </c>
      <c r="E19" s="13" t="s">
        <v>66</v>
      </c>
      <c r="F19" s="112"/>
      <c r="N19"/>
      <c r="O19"/>
    </row>
    <row r="20" spans="1:15" x14ac:dyDescent="0.25">
      <c r="D20" s="3" t="s">
        <v>52</v>
      </c>
      <c r="E20" s="13" t="s">
        <v>59</v>
      </c>
      <c r="F20" s="112"/>
      <c r="N20"/>
      <c r="O20"/>
    </row>
    <row r="21" spans="1:15" x14ac:dyDescent="0.25">
      <c r="D21" s="3" t="s">
        <v>11</v>
      </c>
      <c r="E21" s="13">
        <v>0</v>
      </c>
      <c r="F21" s="112"/>
      <c r="N21"/>
      <c r="O21"/>
    </row>
    <row r="22" spans="1:15" ht="15.75" thickBot="1" x14ac:dyDescent="0.3">
      <c r="D22" s="4" t="s">
        <v>41</v>
      </c>
      <c r="E22" s="14" t="s">
        <v>42</v>
      </c>
      <c r="F22" s="113"/>
      <c r="N22"/>
      <c r="O22"/>
    </row>
    <row r="23" spans="1:15" ht="15.75" thickBot="1" x14ac:dyDescent="0.3">
      <c r="N23"/>
      <c r="O23"/>
    </row>
    <row r="24" spans="1:15" x14ac:dyDescent="0.25">
      <c r="D24" s="119" t="s">
        <v>16</v>
      </c>
      <c r="E24" s="120"/>
      <c r="F24" s="26" t="s">
        <v>15</v>
      </c>
      <c r="N24"/>
      <c r="O24"/>
    </row>
    <row r="25" spans="1:15" x14ac:dyDescent="0.25">
      <c r="D25" s="7" t="s">
        <v>38</v>
      </c>
      <c r="E25" s="15" t="str">
        <f>E3</f>
        <v>Sample</v>
      </c>
      <c r="F25" s="121"/>
      <c r="N25"/>
      <c r="O25"/>
    </row>
    <row r="26" spans="1:15" x14ac:dyDescent="0.25">
      <c r="D26" s="7" t="s">
        <v>3</v>
      </c>
      <c r="E26" s="15" t="s">
        <v>97</v>
      </c>
      <c r="F26" s="122"/>
      <c r="N26"/>
      <c r="O26"/>
    </row>
    <row r="27" spans="1:15" x14ac:dyDescent="0.25">
      <c r="D27" s="7" t="s">
        <v>6</v>
      </c>
      <c r="E27" s="15" t="str">
        <f>[1]Worklist!E1</f>
        <v>Concentration</v>
      </c>
      <c r="F27" s="122"/>
      <c r="N27"/>
      <c r="O27"/>
    </row>
    <row r="28" spans="1:15" x14ac:dyDescent="0.25">
      <c r="D28" s="7" t="s">
        <v>7</v>
      </c>
      <c r="E28" s="15">
        <v>1</v>
      </c>
      <c r="F28" s="122"/>
      <c r="N28"/>
      <c r="O28"/>
    </row>
    <row r="29" spans="1:15" x14ac:dyDescent="0.25">
      <c r="D29" s="7" t="s">
        <v>10</v>
      </c>
      <c r="E29" s="15">
        <v>100</v>
      </c>
      <c r="F29" s="122"/>
      <c r="N29"/>
      <c r="O29"/>
    </row>
    <row r="30" spans="1:15" ht="15.75" thickBot="1" x14ac:dyDescent="0.3">
      <c r="D30" s="8" t="s">
        <v>109</v>
      </c>
      <c r="E30" s="16">
        <v>100</v>
      </c>
      <c r="F30" s="123"/>
      <c r="N30"/>
      <c r="O30"/>
    </row>
    <row r="31" spans="1:15" ht="15.75" thickBot="1" x14ac:dyDescent="0.3">
      <c r="D31" s="47"/>
      <c r="E31" s="47"/>
      <c r="N31"/>
      <c r="O31"/>
    </row>
    <row r="32" spans="1:15" x14ac:dyDescent="0.25">
      <c r="D32" s="109" t="s">
        <v>0</v>
      </c>
      <c r="E32" s="110"/>
      <c r="F32" s="29" t="s">
        <v>15</v>
      </c>
      <c r="N32"/>
      <c r="O32"/>
    </row>
    <row r="33" spans="4:15" x14ac:dyDescent="0.25">
      <c r="D33" s="3" t="s">
        <v>38</v>
      </c>
      <c r="E33" s="13" t="s">
        <v>99</v>
      </c>
      <c r="F33" s="111"/>
      <c r="N33"/>
      <c r="O33"/>
    </row>
    <row r="34" spans="4:15" x14ac:dyDescent="0.25">
      <c r="D34" s="3" t="s">
        <v>54</v>
      </c>
      <c r="E34" s="13" t="s">
        <v>62</v>
      </c>
      <c r="F34" s="112"/>
      <c r="N34"/>
      <c r="O34"/>
    </row>
    <row r="35" spans="4:15" x14ac:dyDescent="0.25">
      <c r="D35" s="3" t="s">
        <v>52</v>
      </c>
      <c r="E35" s="13" t="s">
        <v>59</v>
      </c>
      <c r="F35" s="112"/>
      <c r="N35"/>
      <c r="O35"/>
    </row>
    <row r="36" spans="4:15" x14ac:dyDescent="0.25">
      <c r="D36" s="3" t="s">
        <v>11</v>
      </c>
      <c r="E36" s="13">
        <v>4</v>
      </c>
      <c r="F36" s="112"/>
      <c r="N36"/>
      <c r="O36"/>
    </row>
    <row r="37" spans="4:15" ht="15.75" thickBot="1" x14ac:dyDescent="0.3">
      <c r="D37" s="4" t="s">
        <v>41</v>
      </c>
      <c r="E37" s="14" t="s">
        <v>42</v>
      </c>
      <c r="F37" s="113"/>
      <c r="N37"/>
      <c r="O37"/>
    </row>
    <row r="38" spans="4:15" ht="15.75" thickBot="1" x14ac:dyDescent="0.3">
      <c r="N38"/>
      <c r="O38"/>
    </row>
    <row r="39" spans="4:15" x14ac:dyDescent="0.25">
      <c r="D39" s="78" t="s">
        <v>39</v>
      </c>
      <c r="E39" s="79"/>
      <c r="F39" s="28" t="s">
        <v>15</v>
      </c>
      <c r="N39"/>
      <c r="O39"/>
    </row>
    <row r="40" spans="4:15" x14ac:dyDescent="0.25">
      <c r="D40" s="11" t="s">
        <v>12</v>
      </c>
      <c r="E40" s="22">
        <v>30</v>
      </c>
      <c r="F40" s="116"/>
      <c r="N40"/>
      <c r="O40"/>
    </row>
    <row r="41" spans="4:15" x14ac:dyDescent="0.25">
      <c r="D41" s="11" t="s">
        <v>9</v>
      </c>
      <c r="E41" s="22">
        <v>30</v>
      </c>
      <c r="F41" s="117"/>
      <c r="N41"/>
      <c r="O41"/>
    </row>
    <row r="42" spans="4:15" ht="15.75" thickBot="1" x14ac:dyDescent="0.3">
      <c r="D42" s="12" t="s">
        <v>20</v>
      </c>
      <c r="E42" s="23">
        <v>0</v>
      </c>
      <c r="F42" s="118"/>
      <c r="N42"/>
      <c r="O42"/>
    </row>
    <row r="43" spans="4:15" ht="15.75" thickBot="1" x14ac:dyDescent="0.3">
      <c r="N43"/>
      <c r="O43"/>
    </row>
    <row r="44" spans="4:15" x14ac:dyDescent="0.25">
      <c r="D44" s="109" t="s">
        <v>0</v>
      </c>
      <c r="E44" s="110"/>
      <c r="F44" s="29" t="s">
        <v>15</v>
      </c>
      <c r="N44"/>
      <c r="O44"/>
    </row>
    <row r="45" spans="4:15" x14ac:dyDescent="0.25">
      <c r="D45" s="3" t="s">
        <v>38</v>
      </c>
      <c r="E45" s="13" t="s">
        <v>100</v>
      </c>
      <c r="F45" s="111"/>
      <c r="N45"/>
      <c r="O45"/>
    </row>
    <row r="46" spans="4:15" x14ac:dyDescent="0.25">
      <c r="D46" s="3" t="s">
        <v>54</v>
      </c>
      <c r="E46" s="13" t="s">
        <v>63</v>
      </c>
      <c r="F46" s="112"/>
      <c r="N46"/>
      <c r="O46"/>
    </row>
    <row r="47" spans="4:15" x14ac:dyDescent="0.25">
      <c r="D47" s="3" t="s">
        <v>52</v>
      </c>
      <c r="E47" s="13" t="s">
        <v>59</v>
      </c>
      <c r="F47" s="112"/>
      <c r="N47"/>
      <c r="O47"/>
    </row>
    <row r="48" spans="4:15" x14ac:dyDescent="0.25">
      <c r="D48" s="3" t="s">
        <v>11</v>
      </c>
      <c r="E48" s="13">
        <v>6</v>
      </c>
      <c r="F48" s="112"/>
      <c r="N48"/>
      <c r="O48"/>
    </row>
    <row r="49" spans="4:15" ht="15.75" thickBot="1" x14ac:dyDescent="0.3">
      <c r="D49" s="4" t="s">
        <v>41</v>
      </c>
      <c r="E49" s="14" t="s">
        <v>42</v>
      </c>
      <c r="F49" s="113"/>
      <c r="N49"/>
      <c r="O49"/>
    </row>
    <row r="50" spans="4:15" ht="15.75" thickBot="1" x14ac:dyDescent="0.3">
      <c r="N50"/>
      <c r="O50"/>
    </row>
    <row r="51" spans="4:15" x14ac:dyDescent="0.25">
      <c r="D51" s="78" t="s">
        <v>39</v>
      </c>
      <c r="E51" s="79"/>
      <c r="F51" s="28" t="s">
        <v>15</v>
      </c>
      <c r="N51"/>
      <c r="O51"/>
    </row>
    <row r="52" spans="4:15" x14ac:dyDescent="0.25">
      <c r="D52" s="11" t="s">
        <v>12</v>
      </c>
      <c r="E52" s="22">
        <v>25</v>
      </c>
      <c r="F52" s="116"/>
      <c r="N52"/>
      <c r="O52"/>
    </row>
    <row r="53" spans="4:15" x14ac:dyDescent="0.25">
      <c r="D53" s="11" t="s">
        <v>9</v>
      </c>
      <c r="E53" s="22">
        <v>30</v>
      </c>
      <c r="F53" s="117"/>
      <c r="N53"/>
      <c r="O53"/>
    </row>
    <row r="54" spans="4:15" ht="15.75" thickBot="1" x14ac:dyDescent="0.3">
      <c r="D54" s="12" t="s">
        <v>20</v>
      </c>
      <c r="E54" s="23">
        <v>0</v>
      </c>
      <c r="F54" s="118"/>
      <c r="N54"/>
      <c r="O54"/>
    </row>
    <row r="55" spans="4:15" ht="15.75" thickBot="1" x14ac:dyDescent="0.3">
      <c r="D55" s="24"/>
      <c r="E55" s="24"/>
      <c r="N55"/>
      <c r="O55"/>
    </row>
    <row r="56" spans="4:15" x14ac:dyDescent="0.25">
      <c r="D56" s="72" t="s">
        <v>2</v>
      </c>
      <c r="E56" s="73"/>
      <c r="F56" s="42" t="s">
        <v>15</v>
      </c>
      <c r="N56"/>
      <c r="O56"/>
    </row>
    <row r="57" spans="4:15" x14ac:dyDescent="0.25">
      <c r="D57" s="31" t="s">
        <v>1</v>
      </c>
      <c r="E57" s="53" t="s">
        <v>101</v>
      </c>
      <c r="F57" s="114"/>
      <c r="N57"/>
      <c r="O57"/>
    </row>
    <row r="58" spans="4:15" ht="15.75" thickBot="1" x14ac:dyDescent="0.3">
      <c r="D58" s="1" t="s">
        <v>25</v>
      </c>
      <c r="E58" s="33" t="s">
        <v>34</v>
      </c>
      <c r="F58" s="115"/>
      <c r="N58"/>
      <c r="O58"/>
    </row>
    <row r="59" spans="4:15" ht="15.75" thickBot="1" x14ac:dyDescent="0.3">
      <c r="N59"/>
      <c r="O59"/>
    </row>
    <row r="60" spans="4:15" x14ac:dyDescent="0.25">
      <c r="D60" s="67" t="s">
        <v>5</v>
      </c>
      <c r="E60" s="68"/>
      <c r="F60" s="46" t="s">
        <v>15</v>
      </c>
      <c r="N60"/>
      <c r="O60"/>
    </row>
    <row r="61" spans="4:15" x14ac:dyDescent="0.25">
      <c r="D61" s="5" t="s">
        <v>38</v>
      </c>
      <c r="E61" s="20" t="str">
        <f>E9</f>
        <v>Denaturation</v>
      </c>
      <c r="F61" s="124"/>
      <c r="N61"/>
      <c r="O61"/>
    </row>
    <row r="62" spans="4:15" x14ac:dyDescent="0.25">
      <c r="D62" s="5" t="s">
        <v>37</v>
      </c>
      <c r="E62" s="20" t="s">
        <v>103</v>
      </c>
      <c r="F62" s="125"/>
      <c r="N62"/>
      <c r="O62"/>
    </row>
    <row r="63" spans="4:15" ht="15.75" thickBot="1" x14ac:dyDescent="0.3">
      <c r="D63" s="6" t="s">
        <v>25</v>
      </c>
      <c r="E63" s="21" t="s">
        <v>67</v>
      </c>
      <c r="F63" s="126"/>
      <c r="N63"/>
      <c r="O63"/>
    </row>
    <row r="64" spans="4:15" ht="15.75" thickBot="1" x14ac:dyDescent="0.3">
      <c r="N64"/>
      <c r="O64"/>
    </row>
    <row r="65" spans="4:15" x14ac:dyDescent="0.25">
      <c r="D65" s="72" t="s">
        <v>2</v>
      </c>
      <c r="E65" s="73"/>
      <c r="F65" s="42" t="s">
        <v>15</v>
      </c>
      <c r="N65"/>
      <c r="O65"/>
    </row>
    <row r="66" spans="4:15" x14ac:dyDescent="0.25">
      <c r="D66" s="31" t="s">
        <v>1</v>
      </c>
      <c r="E66" s="53" t="s">
        <v>102</v>
      </c>
      <c r="F66" s="114"/>
      <c r="N66"/>
      <c r="O66"/>
    </row>
    <row r="67" spans="4:15" ht="15.75" thickBot="1" x14ac:dyDescent="0.3">
      <c r="D67" s="1" t="s">
        <v>25</v>
      </c>
      <c r="E67" s="33" t="s">
        <v>34</v>
      </c>
      <c r="F67" s="115"/>
      <c r="N67"/>
      <c r="O67"/>
    </row>
    <row r="68" spans="4:15" ht="15.75" thickBot="1" x14ac:dyDescent="0.3">
      <c r="D68" s="24"/>
      <c r="E68" s="24"/>
      <c r="N68"/>
      <c r="O68"/>
    </row>
    <row r="69" spans="4:15" x14ac:dyDescent="0.25">
      <c r="D69" s="72" t="s">
        <v>21</v>
      </c>
      <c r="E69" s="73"/>
      <c r="F69" s="40" t="s">
        <v>15</v>
      </c>
      <c r="N69"/>
      <c r="O69"/>
    </row>
    <row r="70" spans="4:15" x14ac:dyDescent="0.25">
      <c r="D70" s="31" t="s">
        <v>49</v>
      </c>
      <c r="E70" s="32" t="s">
        <v>42</v>
      </c>
      <c r="F70" s="58"/>
      <c r="N70"/>
      <c r="O70"/>
    </row>
    <row r="71" spans="4:15" x14ac:dyDescent="0.25">
      <c r="D71" s="31" t="s">
        <v>22</v>
      </c>
      <c r="E71" s="45" t="s">
        <v>104</v>
      </c>
      <c r="F71" s="59"/>
      <c r="N71"/>
      <c r="O71"/>
    </row>
    <row r="72" spans="4:15" ht="60.75" thickBot="1" x14ac:dyDescent="0.3">
      <c r="D72" s="1" t="s">
        <v>23</v>
      </c>
      <c r="E72" s="44" t="s">
        <v>105</v>
      </c>
      <c r="F72" s="60"/>
      <c r="N72"/>
      <c r="O72"/>
    </row>
    <row r="73" spans="4:15" ht="15.75" thickBot="1" x14ac:dyDescent="0.3">
      <c r="D73" s="24"/>
      <c r="E73" s="24"/>
      <c r="N73"/>
      <c r="O73"/>
    </row>
    <row r="74" spans="4:15" x14ac:dyDescent="0.25">
      <c r="D74" s="119" t="s">
        <v>16</v>
      </c>
      <c r="E74" s="120"/>
      <c r="F74" s="26" t="s">
        <v>15</v>
      </c>
      <c r="N74"/>
      <c r="O74"/>
    </row>
    <row r="75" spans="4:15" x14ac:dyDescent="0.25">
      <c r="D75" s="7" t="s">
        <v>38</v>
      </c>
      <c r="E75" s="15" t="str">
        <f>E57</f>
        <v>Desalting</v>
      </c>
      <c r="F75" s="121"/>
      <c r="N75"/>
      <c r="O75"/>
    </row>
    <row r="76" spans="4:15" x14ac:dyDescent="0.25">
      <c r="D76" s="7" t="s">
        <v>3</v>
      </c>
      <c r="E76" s="15" t="str">
        <f>E62</f>
        <v>50mM Tris pH 7.9</v>
      </c>
      <c r="F76" s="122"/>
      <c r="N76"/>
      <c r="O76"/>
    </row>
    <row r="77" spans="4:15" x14ac:dyDescent="0.25">
      <c r="D77" s="7" t="s">
        <v>6</v>
      </c>
      <c r="E77" s="15" t="str">
        <f>Worklist!F1</f>
        <v>Desalting Concentration</v>
      </c>
      <c r="F77" s="122"/>
      <c r="N77"/>
      <c r="O77"/>
    </row>
    <row r="78" spans="4:15" x14ac:dyDescent="0.25">
      <c r="D78" s="7" t="s">
        <v>7</v>
      </c>
      <c r="E78" s="15">
        <v>0.5</v>
      </c>
      <c r="F78" s="122"/>
      <c r="N78"/>
      <c r="O78"/>
    </row>
    <row r="79" spans="4:15" x14ac:dyDescent="0.25">
      <c r="D79" s="7" t="s">
        <v>10</v>
      </c>
      <c r="E79" s="15">
        <v>100</v>
      </c>
      <c r="F79" s="122"/>
      <c r="N79"/>
      <c r="O79"/>
    </row>
    <row r="80" spans="4:15" ht="15.75" thickBot="1" x14ac:dyDescent="0.3">
      <c r="D80" s="8" t="s">
        <v>109</v>
      </c>
      <c r="E80" s="16">
        <v>70</v>
      </c>
      <c r="F80" s="123"/>
      <c r="N80"/>
      <c r="O80"/>
    </row>
    <row r="81" spans="4:15" ht="15.75" thickBot="1" x14ac:dyDescent="0.3">
      <c r="N81"/>
      <c r="O81"/>
    </row>
    <row r="82" spans="4:15" x14ac:dyDescent="0.25">
      <c r="D82" s="109" t="s">
        <v>0</v>
      </c>
      <c r="E82" s="110"/>
      <c r="F82" s="29" t="s">
        <v>15</v>
      </c>
      <c r="N82"/>
      <c r="O82"/>
    </row>
    <row r="83" spans="4:15" x14ac:dyDescent="0.25">
      <c r="D83" s="3" t="s">
        <v>38</v>
      </c>
      <c r="E83" s="13" t="s">
        <v>110</v>
      </c>
      <c r="F83" s="111" t="s">
        <v>111</v>
      </c>
      <c r="N83"/>
      <c r="O83"/>
    </row>
    <row r="84" spans="4:15" x14ac:dyDescent="0.25">
      <c r="D84" s="3" t="s">
        <v>54</v>
      </c>
      <c r="E84" s="13" t="s">
        <v>14</v>
      </c>
      <c r="F84" s="112"/>
      <c r="N84"/>
      <c r="O84"/>
    </row>
    <row r="85" spans="4:15" x14ac:dyDescent="0.25">
      <c r="D85" s="3" t="s">
        <v>52</v>
      </c>
      <c r="E85" s="13" t="s">
        <v>60</v>
      </c>
      <c r="F85" s="112"/>
      <c r="N85"/>
      <c r="O85"/>
    </row>
    <row r="86" spans="4:15" x14ac:dyDescent="0.25">
      <c r="D86" s="3" t="s">
        <v>11</v>
      </c>
      <c r="E86" s="13" t="str">
        <f>Worklist!G1</f>
        <v>Trypsin Vol</v>
      </c>
      <c r="F86" s="112"/>
      <c r="N86"/>
      <c r="O86"/>
    </row>
    <row r="87" spans="4:15" ht="15.75" thickBot="1" x14ac:dyDescent="0.3">
      <c r="D87" s="4" t="s">
        <v>41</v>
      </c>
      <c r="E87" s="14" t="s">
        <v>42</v>
      </c>
      <c r="F87" s="113"/>
      <c r="N87"/>
      <c r="O87"/>
    </row>
    <row r="88" spans="4:15" ht="15.75" thickBot="1" x14ac:dyDescent="0.3">
      <c r="D88" s="24"/>
      <c r="E88" s="24"/>
      <c r="N88"/>
      <c r="O88"/>
    </row>
    <row r="89" spans="4:15" x14ac:dyDescent="0.25">
      <c r="D89" s="109" t="s">
        <v>0</v>
      </c>
      <c r="E89" s="110"/>
      <c r="F89" s="29" t="s">
        <v>15</v>
      </c>
      <c r="N89"/>
      <c r="O89"/>
    </row>
    <row r="90" spans="4:15" x14ac:dyDescent="0.25">
      <c r="D90" s="3" t="s">
        <v>38</v>
      </c>
      <c r="E90" s="13" t="s">
        <v>114</v>
      </c>
      <c r="F90" s="111"/>
      <c r="N90"/>
      <c r="O90"/>
    </row>
    <row r="91" spans="4:15" x14ac:dyDescent="0.25">
      <c r="D91" s="3" t="s">
        <v>54</v>
      </c>
      <c r="E91" s="13" t="s">
        <v>65</v>
      </c>
      <c r="F91" s="112"/>
      <c r="N91"/>
      <c r="O91"/>
    </row>
    <row r="92" spans="4:15" x14ac:dyDescent="0.25">
      <c r="D92" s="3" t="s">
        <v>52</v>
      </c>
      <c r="E92" s="13" t="s">
        <v>59</v>
      </c>
      <c r="F92" s="112"/>
      <c r="N92"/>
      <c r="O92"/>
    </row>
    <row r="93" spans="4:15" x14ac:dyDescent="0.25">
      <c r="D93" s="3" t="s">
        <v>11</v>
      </c>
      <c r="E93" s="13" t="str">
        <f>Worklist!I1</f>
        <v>WaterVol</v>
      </c>
      <c r="F93" s="112"/>
      <c r="N93"/>
      <c r="O93"/>
    </row>
    <row r="94" spans="4:15" ht="15.75" thickBot="1" x14ac:dyDescent="0.3">
      <c r="D94" s="4" t="s">
        <v>41</v>
      </c>
      <c r="E94" s="14" t="s">
        <v>42</v>
      </c>
      <c r="F94" s="113"/>
      <c r="N94"/>
      <c r="O94"/>
    </row>
    <row r="95" spans="4:15" ht="15.75" thickBot="1" x14ac:dyDescent="0.3">
      <c r="D95" s="47"/>
      <c r="E95" s="47"/>
      <c r="N95"/>
      <c r="O95"/>
    </row>
    <row r="96" spans="4:15" x14ac:dyDescent="0.25">
      <c r="D96" s="78" t="s">
        <v>39</v>
      </c>
      <c r="E96" s="79"/>
      <c r="F96" s="28" t="s">
        <v>15</v>
      </c>
      <c r="N96"/>
      <c r="O96"/>
    </row>
    <row r="97" spans="4:15" x14ac:dyDescent="0.25">
      <c r="D97" s="11" t="s">
        <v>12</v>
      </c>
      <c r="E97" s="22">
        <v>37</v>
      </c>
      <c r="F97" s="116"/>
      <c r="N97"/>
      <c r="O97"/>
    </row>
    <row r="98" spans="4:15" x14ac:dyDescent="0.25">
      <c r="D98" s="11" t="s">
        <v>9</v>
      </c>
      <c r="E98" s="22">
        <v>60</v>
      </c>
      <c r="F98" s="117"/>
      <c r="N98"/>
      <c r="O98"/>
    </row>
    <row r="99" spans="4:15" ht="15.75" thickBot="1" x14ac:dyDescent="0.3">
      <c r="D99" s="12" t="s">
        <v>20</v>
      </c>
      <c r="E99" s="23">
        <v>0</v>
      </c>
      <c r="F99" s="118"/>
      <c r="N99"/>
      <c r="O99"/>
    </row>
    <row r="100" spans="4:15" ht="15.75" thickBot="1" x14ac:dyDescent="0.3">
      <c r="N100"/>
      <c r="O100"/>
    </row>
    <row r="101" spans="4:15" x14ac:dyDescent="0.25">
      <c r="D101" s="109" t="s">
        <v>0</v>
      </c>
      <c r="E101" s="110"/>
      <c r="F101" s="29" t="s">
        <v>15</v>
      </c>
      <c r="N101"/>
      <c r="O101"/>
    </row>
    <row r="102" spans="4:15" x14ac:dyDescent="0.25">
      <c r="D102" s="3" t="s">
        <v>38</v>
      </c>
      <c r="E102" s="13" t="s">
        <v>106</v>
      </c>
      <c r="F102" s="111"/>
      <c r="N102"/>
      <c r="O102"/>
    </row>
    <row r="103" spans="4:15" x14ac:dyDescent="0.25">
      <c r="D103" s="3" t="s">
        <v>54</v>
      </c>
      <c r="E103" s="13" t="s">
        <v>64</v>
      </c>
      <c r="F103" s="112"/>
      <c r="N103"/>
      <c r="O103"/>
    </row>
    <row r="104" spans="4:15" x14ac:dyDescent="0.25">
      <c r="D104" s="3" t="s">
        <v>52</v>
      </c>
      <c r="E104" s="13" t="s">
        <v>59</v>
      </c>
      <c r="F104" s="112"/>
      <c r="N104"/>
      <c r="O104"/>
    </row>
    <row r="105" spans="4:15" x14ac:dyDescent="0.25">
      <c r="D105" s="3" t="s">
        <v>11</v>
      </c>
      <c r="E105" s="13">
        <v>2</v>
      </c>
      <c r="F105" s="112"/>
      <c r="N105"/>
      <c r="O105"/>
    </row>
    <row r="106" spans="4:15" ht="15.75" thickBot="1" x14ac:dyDescent="0.3">
      <c r="D106" s="4" t="s">
        <v>41</v>
      </c>
      <c r="E106" s="14" t="s">
        <v>42</v>
      </c>
      <c r="F106" s="113"/>
      <c r="N106"/>
      <c r="O106"/>
    </row>
    <row r="107" spans="4:15" ht="15.75" thickBot="1" x14ac:dyDescent="0.3">
      <c r="N107"/>
      <c r="O107"/>
    </row>
    <row r="108" spans="4:15" x14ac:dyDescent="0.25">
      <c r="D108" s="72" t="s">
        <v>21</v>
      </c>
      <c r="E108" s="73"/>
      <c r="F108" s="40" t="s">
        <v>15</v>
      </c>
      <c r="N108"/>
      <c r="O108"/>
    </row>
    <row r="109" spans="4:15" x14ac:dyDescent="0.25">
      <c r="D109" s="31" t="s">
        <v>49</v>
      </c>
      <c r="E109" s="32" t="s">
        <v>42</v>
      </c>
      <c r="F109" s="58"/>
      <c r="N109"/>
      <c r="O109"/>
    </row>
    <row r="110" spans="4:15" x14ac:dyDescent="0.25">
      <c r="D110" s="31" t="s">
        <v>22</v>
      </c>
      <c r="E110" s="45" t="s">
        <v>107</v>
      </c>
      <c r="F110" s="59"/>
      <c r="N110"/>
      <c r="O110"/>
    </row>
    <row r="111" spans="4:15" ht="30.75" thickBot="1" x14ac:dyDescent="0.3">
      <c r="D111" s="1" t="s">
        <v>23</v>
      </c>
      <c r="E111" s="44" t="s">
        <v>108</v>
      </c>
      <c r="F111" s="60"/>
      <c r="N111"/>
      <c r="O111"/>
    </row>
    <row r="112" spans="4:15" ht="15.75" thickBot="1" x14ac:dyDescent="0.3">
      <c r="N112"/>
      <c r="O112"/>
    </row>
    <row r="113" spans="4:15" x14ac:dyDescent="0.25">
      <c r="D113" s="72" t="s">
        <v>51</v>
      </c>
      <c r="E113" s="73"/>
      <c r="F113" s="42" t="s">
        <v>15</v>
      </c>
      <c r="N113"/>
      <c r="O113"/>
    </row>
    <row r="114" spans="4:15" x14ac:dyDescent="0.25">
      <c r="D114" s="74"/>
      <c r="E114" s="75"/>
      <c r="F114" s="114"/>
      <c r="N114"/>
      <c r="O114"/>
    </row>
    <row r="115" spans="4:15" ht="15.75" thickBot="1" x14ac:dyDescent="0.3">
      <c r="D115" s="76"/>
      <c r="E115" s="77"/>
      <c r="F115" s="115"/>
      <c r="N115"/>
      <c r="O115"/>
    </row>
    <row r="116" spans="4:15" x14ac:dyDescent="0.25">
      <c r="D116" s="47"/>
      <c r="E116" s="47"/>
      <c r="N116"/>
      <c r="O116"/>
    </row>
    <row r="117" spans="4:15" x14ac:dyDescent="0.25">
      <c r="D117" s="47"/>
      <c r="E117" s="47"/>
      <c r="N117"/>
      <c r="O117"/>
    </row>
    <row r="118" spans="4:15" x14ac:dyDescent="0.25">
      <c r="D118" s="47"/>
      <c r="E118" s="47"/>
      <c r="N118"/>
      <c r="O118"/>
    </row>
    <row r="119" spans="4:15" x14ac:dyDescent="0.25">
      <c r="D119" s="47"/>
      <c r="E119" s="47"/>
      <c r="N119"/>
      <c r="O119"/>
    </row>
    <row r="120" spans="4:15" x14ac:dyDescent="0.25">
      <c r="D120" s="24"/>
      <c r="E120" s="24"/>
      <c r="N120"/>
      <c r="O120"/>
    </row>
    <row r="121" spans="4:15" x14ac:dyDescent="0.25">
      <c r="D121" s="24"/>
      <c r="E121" s="24"/>
      <c r="N121"/>
      <c r="O121"/>
    </row>
    <row r="122" spans="4:15" x14ac:dyDescent="0.25">
      <c r="D122" s="24"/>
      <c r="E122" s="24"/>
      <c r="N122"/>
      <c r="O122"/>
    </row>
    <row r="123" spans="4:15" x14ac:dyDescent="0.25">
      <c r="D123" s="24"/>
      <c r="E123" s="24"/>
      <c r="N123"/>
      <c r="O123"/>
    </row>
    <row r="124" spans="4:15" x14ac:dyDescent="0.25">
      <c r="I124" s="24"/>
      <c r="J124" s="24"/>
      <c r="N124"/>
      <c r="O124"/>
    </row>
    <row r="125" spans="4:15" x14ac:dyDescent="0.25">
      <c r="I125" s="24"/>
      <c r="J125" s="24"/>
      <c r="N125"/>
      <c r="O125"/>
    </row>
  </sheetData>
  <mergeCells count="42">
    <mergeCell ref="D12:E12"/>
    <mergeCell ref="F13:F15"/>
    <mergeCell ref="D17:E17"/>
    <mergeCell ref="F18:F22"/>
    <mergeCell ref="D2:E2"/>
    <mergeCell ref="F3:F4"/>
    <mergeCell ref="D6:E6"/>
    <mergeCell ref="D8:E8"/>
    <mergeCell ref="F9:F10"/>
    <mergeCell ref="D24:E24"/>
    <mergeCell ref="D32:E32"/>
    <mergeCell ref="F33:F37"/>
    <mergeCell ref="D39:E39"/>
    <mergeCell ref="F25:F30"/>
    <mergeCell ref="F40:F42"/>
    <mergeCell ref="D44:E44"/>
    <mergeCell ref="F45:F49"/>
    <mergeCell ref="D51:E51"/>
    <mergeCell ref="F52:F54"/>
    <mergeCell ref="D56:E56"/>
    <mergeCell ref="F57:F58"/>
    <mergeCell ref="D60:E60"/>
    <mergeCell ref="F61:F63"/>
    <mergeCell ref="D65:E65"/>
    <mergeCell ref="F66:F67"/>
    <mergeCell ref="D69:E69"/>
    <mergeCell ref="F70:F72"/>
    <mergeCell ref="D74:E74"/>
    <mergeCell ref="F75:F80"/>
    <mergeCell ref="D82:E82"/>
    <mergeCell ref="F83:F87"/>
    <mergeCell ref="D96:E96"/>
    <mergeCell ref="F97:F99"/>
    <mergeCell ref="D101:E101"/>
    <mergeCell ref="D89:E89"/>
    <mergeCell ref="F90:F94"/>
    <mergeCell ref="F102:F106"/>
    <mergeCell ref="D108:E108"/>
    <mergeCell ref="F109:F111"/>
    <mergeCell ref="D113:E113"/>
    <mergeCell ref="D114:E115"/>
    <mergeCell ref="F114:F11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estMethod">
                <anchor moveWithCells="1">
                  <from>
                    <xdr:col>0</xdr:col>
                    <xdr:colOff>104775</xdr:colOff>
                    <xdr:row>0</xdr:row>
                    <xdr:rowOff>123825</xdr:rowOff>
                  </from>
                  <to>
                    <xdr:col>1</xdr:col>
                    <xdr:colOff>971550</xdr:colOff>
                    <xdr:row>5</xdr:row>
                    <xdr:rowOff>76200</xdr:rowOff>
                  </to>
                </anchor>
              </controlPr>
            </control>
          </mc:Choice>
        </mc:AlternateContent>
        <mc:AlternateContent xmlns:mc="http://schemas.openxmlformats.org/markup-compatibility/2006">
          <mc:Choice Requires="x14">
            <control shapeId="4098" r:id="rId5" name="Button 2">
              <controlPr defaultSize="0" print="0" autoFill="0" autoPict="0" macro="[0]!GeneratePrepSheet">
                <anchor moveWithCells="1">
                  <from>
                    <xdr:col>0</xdr:col>
                    <xdr:colOff>85725</xdr:colOff>
                    <xdr:row>6</xdr:row>
                    <xdr:rowOff>66675</xdr:rowOff>
                  </from>
                  <to>
                    <xdr:col>1</xdr:col>
                    <xdr:colOff>962025</xdr:colOff>
                    <xdr:row>11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0000000}">
          <x14:formula1>
            <xm:f>'___Dropdown values'!$B$4:$B$6</xm:f>
          </x14:formula1>
          <xm:sqref>E4</xm:sqref>
        </x14:dataValidation>
        <x14:dataValidation type="list" allowBlank="1" showInputMessage="1" showErrorMessage="1" xr:uid="{ED0C318E-8584-44F1-9A2B-04EAD6BFD6E9}">
          <x14:formula1>
            <xm:f>'___Dropdown values'!$B$10:$B$17</xm:f>
          </x14:formula1>
          <xm:sqref>E91</xm:sqref>
        </x14:dataValidation>
        <x14:dataValidation type="list" allowBlank="1" showInputMessage="1" showErrorMessage="1" xr:uid="{66333730-EC1A-4BB5-85ED-076B92FF9FF5}">
          <x14:formula1>
            <xm:f>'___Dropdown values'!$B$20:$B$21</xm:f>
          </x14:formula1>
          <xm:sqref>E92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I10"/>
  <sheetViews>
    <sheetView tabSelected="1" workbookViewId="0">
      <selection activeCell="D10" sqref="D10"/>
    </sheetView>
  </sheetViews>
  <sheetFormatPr defaultRowHeight="15" x14ac:dyDescent="0.25"/>
  <cols>
    <col min="1" max="1" width="9" bestFit="1" customWidth="1"/>
    <col min="2" max="2" width="20.42578125" customWidth="1"/>
    <col min="3" max="3" width="11.140625" bestFit="1" customWidth="1"/>
    <col min="4" max="4" width="17" bestFit="1" customWidth="1"/>
    <col min="5" max="5" width="14.5703125" customWidth="1"/>
    <col min="6" max="6" width="22.7109375" bestFit="1" customWidth="1"/>
    <col min="7" max="7" width="11" bestFit="1" customWidth="1"/>
    <col min="8" max="8" width="11.42578125" bestFit="1" customWidth="1"/>
    <col min="9" max="9" width="11.5703125" bestFit="1" customWidth="1"/>
    <col min="10" max="10" width="17.85546875" bestFit="1" customWidth="1"/>
  </cols>
  <sheetData>
    <row r="1" spans="1:9" x14ac:dyDescent="0.25">
      <c r="A1" t="s">
        <v>33</v>
      </c>
      <c r="B1" t="s">
        <v>48</v>
      </c>
      <c r="C1" t="s">
        <v>17</v>
      </c>
      <c r="D1" t="s">
        <v>83</v>
      </c>
      <c r="E1" t="s">
        <v>18</v>
      </c>
      <c r="F1" t="s">
        <v>70</v>
      </c>
      <c r="G1" t="s">
        <v>112</v>
      </c>
      <c r="H1" t="s">
        <v>113</v>
      </c>
      <c r="I1" t="s">
        <v>115</v>
      </c>
    </row>
    <row r="2" spans="1:9" x14ac:dyDescent="0.25">
      <c r="A2">
        <f t="shared" ref="A2:A9" si="0">ROW(A1)</f>
        <v>1</v>
      </c>
      <c r="B2">
        <f>A2</f>
        <v>1</v>
      </c>
      <c r="C2" t="s">
        <v>19</v>
      </c>
      <c r="D2">
        <f>A2</f>
        <v>1</v>
      </c>
      <c r="E2">
        <v>10</v>
      </c>
      <c r="F2">
        <v>0</v>
      </c>
      <c r="G2">
        <f>50/H2/0.2</f>
        <v>25</v>
      </c>
      <c r="H2" s="128">
        <v>10</v>
      </c>
      <c r="I2">
        <f>25-G2</f>
        <v>0</v>
      </c>
    </row>
    <row r="3" spans="1:9" x14ac:dyDescent="0.25">
      <c r="A3">
        <f t="shared" si="0"/>
        <v>2</v>
      </c>
      <c r="B3">
        <f t="shared" ref="B3:B9" si="1">A3</f>
        <v>2</v>
      </c>
      <c r="C3" t="s">
        <v>19</v>
      </c>
      <c r="D3">
        <v>1</v>
      </c>
      <c r="E3">
        <v>10</v>
      </c>
      <c r="F3">
        <v>0</v>
      </c>
      <c r="G3">
        <f t="shared" ref="G3:G9" si="2">50/H3/0.2</f>
        <v>12.5</v>
      </c>
      <c r="H3" s="128">
        <v>20</v>
      </c>
      <c r="I3">
        <f t="shared" ref="I3:I9" si="3">25-G3</f>
        <v>12.5</v>
      </c>
    </row>
    <row r="4" spans="1:9" x14ac:dyDescent="0.25">
      <c r="A4">
        <f t="shared" si="0"/>
        <v>3</v>
      </c>
      <c r="B4">
        <f t="shared" si="1"/>
        <v>3</v>
      </c>
      <c r="C4" t="s">
        <v>19</v>
      </c>
      <c r="D4">
        <v>1</v>
      </c>
      <c r="E4">
        <v>10</v>
      </c>
      <c r="F4">
        <v>0</v>
      </c>
      <c r="G4">
        <f t="shared" si="2"/>
        <v>8.3333333333333339</v>
      </c>
      <c r="H4" s="128">
        <v>30</v>
      </c>
      <c r="I4">
        <f t="shared" si="3"/>
        <v>16.666666666666664</v>
      </c>
    </row>
    <row r="5" spans="1:9" x14ac:dyDescent="0.25">
      <c r="A5">
        <f t="shared" si="0"/>
        <v>4</v>
      </c>
      <c r="B5">
        <f t="shared" si="1"/>
        <v>4</v>
      </c>
      <c r="C5" t="s">
        <v>19</v>
      </c>
      <c r="D5">
        <v>1</v>
      </c>
      <c r="E5">
        <v>10</v>
      </c>
      <c r="F5">
        <v>0</v>
      </c>
      <c r="G5">
        <f t="shared" si="2"/>
        <v>6.25</v>
      </c>
      <c r="H5" s="128">
        <v>40</v>
      </c>
      <c r="I5">
        <f t="shared" si="3"/>
        <v>18.75</v>
      </c>
    </row>
    <row r="6" spans="1:9" x14ac:dyDescent="0.25">
      <c r="A6">
        <f t="shared" si="0"/>
        <v>5</v>
      </c>
      <c r="B6">
        <f t="shared" si="1"/>
        <v>5</v>
      </c>
      <c r="C6" t="s">
        <v>116</v>
      </c>
      <c r="D6">
        <v>2</v>
      </c>
      <c r="E6">
        <v>10</v>
      </c>
      <c r="F6">
        <v>0</v>
      </c>
      <c r="G6">
        <f>50/H6/0.2</f>
        <v>25</v>
      </c>
      <c r="H6" s="128">
        <v>10</v>
      </c>
      <c r="I6">
        <f t="shared" si="3"/>
        <v>0</v>
      </c>
    </row>
    <row r="7" spans="1:9" x14ac:dyDescent="0.25">
      <c r="A7">
        <f t="shared" si="0"/>
        <v>6</v>
      </c>
      <c r="B7">
        <f t="shared" si="1"/>
        <v>6</v>
      </c>
      <c r="C7" t="s">
        <v>116</v>
      </c>
      <c r="D7">
        <v>2</v>
      </c>
      <c r="E7">
        <v>10</v>
      </c>
      <c r="F7">
        <v>0</v>
      </c>
      <c r="G7">
        <f t="shared" si="2"/>
        <v>12.5</v>
      </c>
      <c r="H7" s="128">
        <v>20</v>
      </c>
      <c r="I7">
        <f t="shared" si="3"/>
        <v>12.5</v>
      </c>
    </row>
    <row r="8" spans="1:9" x14ac:dyDescent="0.25">
      <c r="A8">
        <f t="shared" si="0"/>
        <v>7</v>
      </c>
      <c r="B8">
        <f t="shared" si="1"/>
        <v>7</v>
      </c>
      <c r="C8" t="s">
        <v>116</v>
      </c>
      <c r="D8">
        <v>2</v>
      </c>
      <c r="E8">
        <v>10</v>
      </c>
      <c r="F8">
        <v>0</v>
      </c>
      <c r="G8">
        <f t="shared" si="2"/>
        <v>8.3333333333333339</v>
      </c>
      <c r="H8" s="128">
        <v>30</v>
      </c>
      <c r="I8">
        <f t="shared" si="3"/>
        <v>16.666666666666664</v>
      </c>
    </row>
    <row r="9" spans="1:9" x14ac:dyDescent="0.25">
      <c r="A9">
        <f t="shared" si="0"/>
        <v>8</v>
      </c>
      <c r="B9">
        <f t="shared" si="1"/>
        <v>8</v>
      </c>
      <c r="C9" t="s">
        <v>116</v>
      </c>
      <c r="D9">
        <v>2</v>
      </c>
      <c r="E9">
        <v>10</v>
      </c>
      <c r="F9">
        <v>0</v>
      </c>
      <c r="G9">
        <f t="shared" si="2"/>
        <v>6.25</v>
      </c>
      <c r="H9" s="128">
        <v>40</v>
      </c>
      <c r="I9">
        <f t="shared" si="3"/>
        <v>18.75</v>
      </c>
    </row>
    <row r="10" spans="1:9" x14ac:dyDescent="0.25">
      <c r="H10" s="128"/>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88638A-29DE-40BB-907C-4313F6744F9A}">
  <dimension ref="D3:E6"/>
  <sheetViews>
    <sheetView workbookViewId="0"/>
  </sheetViews>
  <sheetFormatPr defaultRowHeight="15" x14ac:dyDescent="0.25"/>
  <sheetData>
    <row r="3" spans="4:5" x14ac:dyDescent="0.25">
      <c r="D3" t="s">
        <v>117</v>
      </c>
    </row>
    <row r="4" spans="4:5" x14ac:dyDescent="0.25">
      <c r="D4" t="s">
        <v>118</v>
      </c>
    </row>
    <row r="5" spans="4:5" x14ac:dyDescent="0.25">
      <c r="D5" t="s">
        <v>119</v>
      </c>
      <c r="E5">
        <v>1</v>
      </c>
    </row>
    <row r="6" spans="4:5" x14ac:dyDescent="0.25">
      <c r="D6" t="s">
        <v>120</v>
      </c>
      <c r="E6">
        <v>30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5536C8-28A0-4788-B6ED-022B9E6A61D0}">
  <dimension ref="B1:M59"/>
  <sheetViews>
    <sheetView workbookViewId="0"/>
  </sheetViews>
  <sheetFormatPr defaultRowHeight="15" x14ac:dyDescent="0.25"/>
  <cols>
    <col min="2" max="2" width="9.85546875" bestFit="1" customWidth="1"/>
  </cols>
  <sheetData>
    <row r="1" spans="2:13" ht="15.75" thickBot="1" x14ac:dyDescent="0.3"/>
    <row r="2" spans="2:13" ht="27" thickBot="1" x14ac:dyDescent="0.45">
      <c r="B2" s="130" t="s">
        <v>121</v>
      </c>
      <c r="C2" s="131"/>
      <c r="D2" s="131"/>
      <c r="E2" s="131"/>
      <c r="F2" s="131"/>
      <c r="G2" s="131"/>
      <c r="H2" s="131"/>
      <c r="I2" s="131"/>
      <c r="J2" s="131"/>
      <c r="K2" s="131"/>
      <c r="L2" s="131"/>
      <c r="M2" s="132"/>
    </row>
    <row r="3" spans="2:13" x14ac:dyDescent="0.25">
      <c r="B3" s="133" t="s">
        <v>138</v>
      </c>
      <c r="C3" s="134"/>
      <c r="D3" s="134"/>
      <c r="E3" s="134"/>
      <c r="F3" s="134"/>
      <c r="G3" s="134"/>
      <c r="H3" s="134"/>
      <c r="I3" s="134"/>
      <c r="J3" s="134"/>
      <c r="K3" s="134"/>
      <c r="L3" s="134"/>
      <c r="M3" s="135"/>
    </row>
    <row r="4" spans="2:13" x14ac:dyDescent="0.25">
      <c r="B4" s="136" t="s">
        <v>139</v>
      </c>
      <c r="C4" s="137"/>
      <c r="D4" s="137"/>
      <c r="E4" s="137"/>
      <c r="F4" s="137"/>
      <c r="G4" s="137"/>
      <c r="H4" s="137"/>
      <c r="I4" s="137"/>
      <c r="J4" s="137"/>
      <c r="K4" s="137"/>
      <c r="L4" s="137"/>
      <c r="M4" s="138"/>
    </row>
    <row r="5" spans="2:13" x14ac:dyDescent="0.25">
      <c r="B5" s="136"/>
      <c r="C5" s="137"/>
      <c r="D5" s="137"/>
      <c r="E5" s="137"/>
      <c r="F5" s="137"/>
      <c r="G5" s="137"/>
      <c r="H5" s="137"/>
      <c r="I5" s="137"/>
      <c r="J5" s="137"/>
      <c r="K5" s="137"/>
      <c r="L5" s="137"/>
      <c r="M5" s="138"/>
    </row>
    <row r="6" spans="2:13" x14ac:dyDescent="0.25">
      <c r="B6" s="136"/>
      <c r="C6" s="137"/>
      <c r="D6" s="137"/>
      <c r="E6" s="137"/>
      <c r="F6" s="137"/>
      <c r="G6" s="137"/>
      <c r="H6" s="137"/>
      <c r="I6" s="137"/>
      <c r="J6" s="137"/>
      <c r="K6" s="137"/>
      <c r="L6" s="137"/>
      <c r="M6" s="138"/>
    </row>
    <row r="7" spans="2:13" x14ac:dyDescent="0.25">
      <c r="B7" s="136"/>
      <c r="C7" s="137"/>
      <c r="D7" s="137"/>
      <c r="E7" s="137"/>
      <c r="F7" s="137"/>
      <c r="G7" s="137"/>
      <c r="H7" s="137"/>
      <c r="I7" s="137"/>
      <c r="J7" s="137"/>
      <c r="K7" s="137"/>
      <c r="L7" s="137"/>
      <c r="M7" s="138"/>
    </row>
    <row r="8" spans="2:13" x14ac:dyDescent="0.25">
      <c r="B8" s="136"/>
      <c r="C8" s="137"/>
      <c r="D8" s="137"/>
      <c r="E8" s="137"/>
      <c r="F8" s="137"/>
      <c r="G8" s="137"/>
      <c r="H8" s="137"/>
      <c r="I8" s="137"/>
      <c r="J8" s="137"/>
      <c r="K8" s="137"/>
      <c r="L8" s="137"/>
      <c r="M8" s="138"/>
    </row>
    <row r="9" spans="2:13" x14ac:dyDescent="0.25">
      <c r="B9" s="136"/>
      <c r="C9" s="137"/>
      <c r="D9" s="137"/>
      <c r="E9" s="137"/>
      <c r="F9" s="137"/>
      <c r="G9" s="137"/>
      <c r="H9" s="137"/>
      <c r="I9" s="137"/>
      <c r="J9" s="137"/>
      <c r="K9" s="137"/>
      <c r="L9" s="137"/>
      <c r="M9" s="138"/>
    </row>
    <row r="10" spans="2:13" ht="15.75" thickBot="1" x14ac:dyDescent="0.3">
      <c r="B10" s="55"/>
      <c r="C10" s="139"/>
      <c r="D10" s="139"/>
      <c r="E10" s="139"/>
      <c r="F10" s="139"/>
      <c r="G10" s="139"/>
      <c r="H10" s="139"/>
      <c r="I10" s="139"/>
      <c r="J10" s="139"/>
      <c r="K10" s="139"/>
      <c r="L10" s="139"/>
      <c r="M10" s="56"/>
    </row>
    <row r="14" spans="2:13" ht="15.75" thickBot="1" x14ac:dyDescent="0.3"/>
    <row r="15" spans="2:13" ht="19.5" thickBot="1" x14ac:dyDescent="0.35">
      <c r="B15" s="140" t="s">
        <v>97</v>
      </c>
      <c r="C15" s="141"/>
      <c r="D15" s="141"/>
      <c r="E15" s="141"/>
      <c r="F15" s="142"/>
      <c r="I15" s="140" t="s">
        <v>103</v>
      </c>
      <c r="J15" s="141"/>
      <c r="K15" s="141"/>
      <c r="L15" s="141"/>
      <c r="M15" s="142"/>
    </row>
    <row r="16" spans="2:13" ht="16.5" thickBot="1" x14ac:dyDescent="0.3">
      <c r="B16" s="143" t="s">
        <v>122</v>
      </c>
      <c r="C16" s="144"/>
      <c r="D16" s="144"/>
      <c r="E16" s="144"/>
      <c r="F16" s="145"/>
      <c r="I16" s="143" t="s">
        <v>129</v>
      </c>
      <c r="J16" s="144"/>
      <c r="K16" s="144"/>
      <c r="L16" s="144"/>
      <c r="M16" s="145"/>
    </row>
    <row r="17" spans="2:13" ht="16.5" thickBot="1" x14ac:dyDescent="0.3">
      <c r="B17" s="143" t="s">
        <v>123</v>
      </c>
      <c r="C17" s="144"/>
      <c r="D17" s="144"/>
      <c r="E17" s="144"/>
      <c r="F17" s="145"/>
      <c r="I17" s="143" t="s">
        <v>130</v>
      </c>
      <c r="J17" s="144"/>
      <c r="K17" s="144"/>
      <c r="L17" s="144"/>
      <c r="M17" s="145"/>
    </row>
    <row r="18" spans="2:13" x14ac:dyDescent="0.25">
      <c r="B18" s="129" t="s">
        <v>124</v>
      </c>
      <c r="C18" s="146"/>
      <c r="D18" s="146"/>
      <c r="E18" s="146"/>
      <c r="F18" s="151"/>
      <c r="I18" s="129" t="s">
        <v>124</v>
      </c>
      <c r="J18" s="146"/>
      <c r="K18" s="146"/>
      <c r="L18" s="146"/>
      <c r="M18" s="151"/>
    </row>
    <row r="19" spans="2:13" x14ac:dyDescent="0.25">
      <c r="B19" s="147" t="s">
        <v>125</v>
      </c>
      <c r="C19" s="148"/>
      <c r="D19" s="148"/>
      <c r="E19" s="148"/>
      <c r="F19" s="152"/>
      <c r="I19" s="147" t="s">
        <v>125</v>
      </c>
      <c r="J19" s="148"/>
      <c r="K19" s="148"/>
      <c r="L19" s="148"/>
      <c r="M19" s="152"/>
    </row>
    <row r="20" spans="2:13" x14ac:dyDescent="0.25">
      <c r="B20" s="147" t="s">
        <v>126</v>
      </c>
      <c r="C20" s="148"/>
      <c r="D20" s="148"/>
      <c r="E20" s="148"/>
      <c r="F20" s="152"/>
      <c r="I20" s="147" t="s">
        <v>126</v>
      </c>
      <c r="J20" s="148"/>
      <c r="K20" s="148"/>
      <c r="L20" s="148"/>
      <c r="M20" s="152"/>
    </row>
    <row r="21" spans="2:13" x14ac:dyDescent="0.25">
      <c r="B21" s="147" t="s">
        <v>3</v>
      </c>
      <c r="C21" s="148"/>
      <c r="D21" s="148"/>
      <c r="E21" s="148"/>
      <c r="F21" s="152"/>
      <c r="I21" s="147" t="s">
        <v>3</v>
      </c>
      <c r="J21" s="148"/>
      <c r="K21" s="148"/>
      <c r="L21" s="148"/>
      <c r="M21" s="152"/>
    </row>
    <row r="22" spans="2:13" x14ac:dyDescent="0.25">
      <c r="B22" s="147" t="s">
        <v>127</v>
      </c>
      <c r="C22" s="148"/>
      <c r="D22" s="148"/>
      <c r="E22" s="148"/>
      <c r="F22" s="152"/>
      <c r="I22" s="147" t="s">
        <v>127</v>
      </c>
      <c r="J22" s="148"/>
      <c r="K22" s="148"/>
      <c r="L22" s="148"/>
      <c r="M22" s="152"/>
    </row>
    <row r="23" spans="2:13" ht="15.75" thickBot="1" x14ac:dyDescent="0.3">
      <c r="B23" s="149" t="s">
        <v>128</v>
      </c>
      <c r="C23" s="150"/>
      <c r="D23" s="150"/>
      <c r="E23" s="150"/>
      <c r="F23" s="153"/>
      <c r="I23" s="149" t="s">
        <v>128</v>
      </c>
      <c r="J23" s="150"/>
      <c r="K23" s="150"/>
      <c r="L23" s="150"/>
      <c r="M23" s="153"/>
    </row>
    <row r="26" spans="2:13" ht="15.75" thickBot="1" x14ac:dyDescent="0.3"/>
    <row r="27" spans="2:13" ht="19.5" thickBot="1" x14ac:dyDescent="0.35">
      <c r="B27" s="140" t="s">
        <v>110</v>
      </c>
      <c r="C27" s="141"/>
      <c r="D27" s="141"/>
      <c r="E27" s="141"/>
      <c r="F27" s="142"/>
      <c r="I27" s="140" t="s">
        <v>106</v>
      </c>
      <c r="J27" s="141"/>
      <c r="K27" s="141"/>
      <c r="L27" s="141"/>
      <c r="M27" s="142"/>
    </row>
    <row r="28" spans="2:13" ht="16.5" thickBot="1" x14ac:dyDescent="0.3">
      <c r="B28" s="143" t="s">
        <v>131</v>
      </c>
      <c r="C28" s="144"/>
      <c r="D28" s="144"/>
      <c r="E28" s="144"/>
      <c r="F28" s="145"/>
      <c r="I28" s="143" t="s">
        <v>131</v>
      </c>
      <c r="J28" s="144"/>
      <c r="K28" s="144"/>
      <c r="L28" s="144"/>
      <c r="M28" s="145"/>
    </row>
    <row r="29" spans="2:13" ht="16.5" thickBot="1" x14ac:dyDescent="0.3">
      <c r="B29" s="143" t="s">
        <v>132</v>
      </c>
      <c r="C29" s="144"/>
      <c r="D29" s="144"/>
      <c r="E29" s="144"/>
      <c r="F29" s="145"/>
      <c r="I29" s="143" t="s">
        <v>133</v>
      </c>
      <c r="J29" s="144"/>
      <c r="K29" s="144"/>
      <c r="L29" s="144"/>
      <c r="M29" s="145"/>
    </row>
    <row r="30" spans="2:13" x14ac:dyDescent="0.25">
      <c r="B30" s="129" t="s">
        <v>124</v>
      </c>
      <c r="C30" s="146"/>
      <c r="D30" s="146"/>
      <c r="E30" s="146"/>
      <c r="F30" s="151"/>
      <c r="I30" s="129" t="s">
        <v>124</v>
      </c>
      <c r="J30" s="146"/>
      <c r="K30" s="146"/>
      <c r="L30" s="146"/>
      <c r="M30" s="151"/>
    </row>
    <row r="31" spans="2:13" x14ac:dyDescent="0.25">
      <c r="B31" s="147" t="s">
        <v>125</v>
      </c>
      <c r="C31" s="148"/>
      <c r="D31" s="148"/>
      <c r="E31" s="148"/>
      <c r="F31" s="152"/>
      <c r="I31" s="147" t="s">
        <v>125</v>
      </c>
      <c r="J31" s="148"/>
      <c r="K31" s="148"/>
      <c r="L31" s="148"/>
      <c r="M31" s="152"/>
    </row>
    <row r="32" spans="2:13" x14ac:dyDescent="0.25">
      <c r="B32" s="147" t="s">
        <v>126</v>
      </c>
      <c r="C32" s="148"/>
      <c r="D32" s="148"/>
      <c r="E32" s="148"/>
      <c r="F32" s="152"/>
      <c r="I32" s="147" t="s">
        <v>126</v>
      </c>
      <c r="J32" s="148"/>
      <c r="K32" s="148"/>
      <c r="L32" s="148"/>
      <c r="M32" s="152"/>
    </row>
    <row r="33" spans="2:13" x14ac:dyDescent="0.25">
      <c r="B33" s="147" t="s">
        <v>3</v>
      </c>
      <c r="C33" s="148"/>
      <c r="D33" s="148"/>
      <c r="E33" s="148"/>
      <c r="F33" s="152"/>
      <c r="I33" s="147" t="s">
        <v>3</v>
      </c>
      <c r="J33" s="148"/>
      <c r="K33" s="148"/>
      <c r="L33" s="148"/>
      <c r="M33" s="152"/>
    </row>
    <row r="34" spans="2:13" x14ac:dyDescent="0.25">
      <c r="B34" s="147" t="s">
        <v>127</v>
      </c>
      <c r="C34" s="148"/>
      <c r="D34" s="148"/>
      <c r="E34" s="148"/>
      <c r="F34" s="152"/>
      <c r="I34" s="147" t="s">
        <v>127</v>
      </c>
      <c r="J34" s="148"/>
      <c r="K34" s="148"/>
      <c r="L34" s="148"/>
      <c r="M34" s="152"/>
    </row>
    <row r="35" spans="2:13" ht="15.75" thickBot="1" x14ac:dyDescent="0.3">
      <c r="B35" s="149" t="s">
        <v>128</v>
      </c>
      <c r="C35" s="150"/>
      <c r="D35" s="150"/>
      <c r="E35" s="150"/>
      <c r="F35" s="153"/>
      <c r="I35" s="149" t="s">
        <v>128</v>
      </c>
      <c r="J35" s="150"/>
      <c r="K35" s="150"/>
      <c r="L35" s="150"/>
      <c r="M35" s="153"/>
    </row>
    <row r="38" spans="2:13" ht="15.75" thickBot="1" x14ac:dyDescent="0.3"/>
    <row r="39" spans="2:13" ht="19.5" thickBot="1" x14ac:dyDescent="0.35">
      <c r="B39" s="140" t="s">
        <v>100</v>
      </c>
      <c r="C39" s="141"/>
      <c r="D39" s="141"/>
      <c r="E39" s="141"/>
      <c r="F39" s="142"/>
      <c r="I39" s="140" t="s">
        <v>99</v>
      </c>
      <c r="J39" s="141"/>
      <c r="K39" s="141"/>
      <c r="L39" s="141"/>
      <c r="M39" s="142"/>
    </row>
    <row r="40" spans="2:13" ht="16.5" thickBot="1" x14ac:dyDescent="0.3">
      <c r="B40" s="143" t="s">
        <v>131</v>
      </c>
      <c r="C40" s="144"/>
      <c r="D40" s="144"/>
      <c r="E40" s="144"/>
      <c r="F40" s="145"/>
      <c r="I40" s="143" t="s">
        <v>131</v>
      </c>
      <c r="J40" s="144"/>
      <c r="K40" s="144"/>
      <c r="L40" s="144"/>
      <c r="M40" s="145"/>
    </row>
    <row r="41" spans="2:13" ht="16.5" thickBot="1" x14ac:dyDescent="0.3">
      <c r="B41" s="143" t="s">
        <v>134</v>
      </c>
      <c r="C41" s="144"/>
      <c r="D41" s="144"/>
      <c r="E41" s="144"/>
      <c r="F41" s="145"/>
      <c r="I41" s="143" t="s">
        <v>135</v>
      </c>
      <c r="J41" s="144"/>
      <c r="K41" s="144"/>
      <c r="L41" s="144"/>
      <c r="M41" s="145"/>
    </row>
    <row r="42" spans="2:13" x14ac:dyDescent="0.25">
      <c r="B42" s="129" t="s">
        <v>124</v>
      </c>
      <c r="C42" s="146"/>
      <c r="D42" s="146"/>
      <c r="E42" s="146"/>
      <c r="F42" s="151"/>
      <c r="I42" s="129" t="s">
        <v>124</v>
      </c>
      <c r="J42" s="146"/>
      <c r="K42" s="146"/>
      <c r="L42" s="146"/>
      <c r="M42" s="151"/>
    </row>
    <row r="43" spans="2:13" x14ac:dyDescent="0.25">
      <c r="B43" s="147" t="s">
        <v>125</v>
      </c>
      <c r="C43" s="148"/>
      <c r="D43" s="148"/>
      <c r="E43" s="148"/>
      <c r="F43" s="152"/>
      <c r="I43" s="147" t="s">
        <v>125</v>
      </c>
      <c r="J43" s="148"/>
      <c r="K43" s="148"/>
      <c r="L43" s="148"/>
      <c r="M43" s="152"/>
    </row>
    <row r="44" spans="2:13" x14ac:dyDescent="0.25">
      <c r="B44" s="147" t="s">
        <v>126</v>
      </c>
      <c r="C44" s="148"/>
      <c r="D44" s="148"/>
      <c r="E44" s="148"/>
      <c r="F44" s="152"/>
      <c r="I44" s="147" t="s">
        <v>126</v>
      </c>
      <c r="J44" s="148"/>
      <c r="K44" s="148"/>
      <c r="L44" s="148"/>
      <c r="M44" s="152"/>
    </row>
    <row r="45" spans="2:13" x14ac:dyDescent="0.25">
      <c r="B45" s="147" t="s">
        <v>3</v>
      </c>
      <c r="C45" s="148"/>
      <c r="D45" s="148"/>
      <c r="E45" s="148"/>
      <c r="F45" s="152"/>
      <c r="I45" s="147" t="s">
        <v>3</v>
      </c>
      <c r="J45" s="148"/>
      <c r="K45" s="148"/>
      <c r="L45" s="148"/>
      <c r="M45" s="152"/>
    </row>
    <row r="46" spans="2:13" x14ac:dyDescent="0.25">
      <c r="B46" s="147" t="s">
        <v>127</v>
      </c>
      <c r="C46" s="148"/>
      <c r="D46" s="148"/>
      <c r="E46" s="148"/>
      <c r="F46" s="152"/>
      <c r="I46" s="147" t="s">
        <v>127</v>
      </c>
      <c r="J46" s="148"/>
      <c r="K46" s="148"/>
      <c r="L46" s="148"/>
      <c r="M46" s="152"/>
    </row>
    <row r="47" spans="2:13" ht="15.75" thickBot="1" x14ac:dyDescent="0.3">
      <c r="B47" s="149" t="s">
        <v>128</v>
      </c>
      <c r="C47" s="150"/>
      <c r="D47" s="150"/>
      <c r="E47" s="150"/>
      <c r="F47" s="153"/>
      <c r="I47" s="149" t="s">
        <v>128</v>
      </c>
      <c r="J47" s="150"/>
      <c r="K47" s="150"/>
      <c r="L47" s="150"/>
      <c r="M47" s="153"/>
    </row>
    <row r="50" spans="2:6" ht="15.75" thickBot="1" x14ac:dyDescent="0.3"/>
    <row r="51" spans="2:6" ht="19.5" thickBot="1" x14ac:dyDescent="0.35">
      <c r="B51" s="140" t="s">
        <v>114</v>
      </c>
      <c r="C51" s="141"/>
      <c r="D51" s="141"/>
      <c r="E51" s="141"/>
      <c r="F51" s="142"/>
    </row>
    <row r="52" spans="2:6" ht="16.5" thickBot="1" x14ac:dyDescent="0.3">
      <c r="B52" s="143" t="s">
        <v>136</v>
      </c>
      <c r="C52" s="144"/>
      <c r="D52" s="144"/>
      <c r="E52" s="144"/>
      <c r="F52" s="145"/>
    </row>
    <row r="53" spans="2:6" ht="16.5" thickBot="1" x14ac:dyDescent="0.3">
      <c r="B53" s="143" t="s">
        <v>137</v>
      </c>
      <c r="C53" s="144"/>
      <c r="D53" s="144"/>
      <c r="E53" s="144"/>
      <c r="F53" s="145"/>
    </row>
    <row r="54" spans="2:6" x14ac:dyDescent="0.25">
      <c r="B54" s="129" t="s">
        <v>124</v>
      </c>
      <c r="C54" s="146"/>
      <c r="D54" s="146"/>
      <c r="E54" s="146"/>
      <c r="F54" s="151"/>
    </row>
    <row r="55" spans="2:6" x14ac:dyDescent="0.25">
      <c r="B55" s="147" t="s">
        <v>125</v>
      </c>
      <c r="C55" s="148"/>
      <c r="D55" s="148"/>
      <c r="E55" s="148"/>
      <c r="F55" s="152"/>
    </row>
    <row r="56" spans="2:6" x14ac:dyDescent="0.25">
      <c r="B56" s="147" t="s">
        <v>126</v>
      </c>
      <c r="C56" s="148"/>
      <c r="D56" s="148"/>
      <c r="E56" s="148"/>
      <c r="F56" s="152"/>
    </row>
    <row r="57" spans="2:6" x14ac:dyDescent="0.25">
      <c r="B57" s="147" t="s">
        <v>3</v>
      </c>
      <c r="C57" s="148"/>
      <c r="D57" s="148"/>
      <c r="E57" s="148"/>
      <c r="F57" s="152"/>
    </row>
    <row r="58" spans="2:6" x14ac:dyDescent="0.25">
      <c r="B58" s="147" t="s">
        <v>127</v>
      </c>
      <c r="C58" s="148"/>
      <c r="D58" s="148"/>
      <c r="E58" s="148"/>
      <c r="F58" s="152"/>
    </row>
    <row r="59" spans="2:6" ht="15.75" thickBot="1" x14ac:dyDescent="0.3">
      <c r="B59" s="149" t="s">
        <v>128</v>
      </c>
      <c r="C59" s="150"/>
      <c r="D59" s="150"/>
      <c r="E59" s="150"/>
      <c r="F59" s="153"/>
    </row>
  </sheetData>
  <mergeCells count="106">
    <mergeCell ref="B56:C56"/>
    <mergeCell ref="B57:C57"/>
    <mergeCell ref="B58:C58"/>
    <mergeCell ref="B59:C59"/>
    <mergeCell ref="D54:F54"/>
    <mergeCell ref="D55:F55"/>
    <mergeCell ref="D56:F56"/>
    <mergeCell ref="D57:F57"/>
    <mergeCell ref="D58:F58"/>
    <mergeCell ref="D59:F59"/>
    <mergeCell ref="K47:M47"/>
    <mergeCell ref="B51:F51"/>
    <mergeCell ref="B52:F52"/>
    <mergeCell ref="B53:F53"/>
    <mergeCell ref="B54:C54"/>
    <mergeCell ref="B55:C55"/>
    <mergeCell ref="I43:J43"/>
    <mergeCell ref="I44:J44"/>
    <mergeCell ref="I45:J45"/>
    <mergeCell ref="I46:J46"/>
    <mergeCell ref="I47:J47"/>
    <mergeCell ref="K42:M42"/>
    <mergeCell ref="K43:M43"/>
    <mergeCell ref="K44:M44"/>
    <mergeCell ref="K45:M45"/>
    <mergeCell ref="K46:M46"/>
    <mergeCell ref="B44:C44"/>
    <mergeCell ref="B45:C45"/>
    <mergeCell ref="B46:C46"/>
    <mergeCell ref="B47:C47"/>
    <mergeCell ref="D42:F42"/>
    <mergeCell ref="D43:F43"/>
    <mergeCell ref="D44:F44"/>
    <mergeCell ref="D45:F45"/>
    <mergeCell ref="D46:F46"/>
    <mergeCell ref="D47:F47"/>
    <mergeCell ref="K35:M35"/>
    <mergeCell ref="B39:F39"/>
    <mergeCell ref="B40:F40"/>
    <mergeCell ref="B41:F41"/>
    <mergeCell ref="B42:C42"/>
    <mergeCell ref="B43:C43"/>
    <mergeCell ref="I39:M39"/>
    <mergeCell ref="I40:M40"/>
    <mergeCell ref="I41:M41"/>
    <mergeCell ref="I42:J42"/>
    <mergeCell ref="I31:J31"/>
    <mergeCell ref="I32:J32"/>
    <mergeCell ref="I33:J33"/>
    <mergeCell ref="I34:J34"/>
    <mergeCell ref="I35:J35"/>
    <mergeCell ref="K30:M30"/>
    <mergeCell ref="K31:M31"/>
    <mergeCell ref="K32:M32"/>
    <mergeCell ref="K33:M33"/>
    <mergeCell ref="K34:M34"/>
    <mergeCell ref="B32:C32"/>
    <mergeCell ref="B33:C33"/>
    <mergeCell ref="B34:C34"/>
    <mergeCell ref="B35:C35"/>
    <mergeCell ref="D30:F30"/>
    <mergeCell ref="D31:F31"/>
    <mergeCell ref="D32:F32"/>
    <mergeCell ref="D33:F33"/>
    <mergeCell ref="D34:F34"/>
    <mergeCell ref="D35:F35"/>
    <mergeCell ref="K23:M23"/>
    <mergeCell ref="B27:F27"/>
    <mergeCell ref="B28:F28"/>
    <mergeCell ref="B29:F29"/>
    <mergeCell ref="B30:C30"/>
    <mergeCell ref="B31:C31"/>
    <mergeCell ref="I27:M27"/>
    <mergeCell ref="I28:M28"/>
    <mergeCell ref="I29:M29"/>
    <mergeCell ref="I30:J30"/>
    <mergeCell ref="I19:J19"/>
    <mergeCell ref="I20:J20"/>
    <mergeCell ref="I21:J21"/>
    <mergeCell ref="I22:J22"/>
    <mergeCell ref="I23:J23"/>
    <mergeCell ref="K18:M18"/>
    <mergeCell ref="K19:M19"/>
    <mergeCell ref="K20:M20"/>
    <mergeCell ref="K21:M21"/>
    <mergeCell ref="K22:M22"/>
    <mergeCell ref="B20:C20"/>
    <mergeCell ref="B21:C21"/>
    <mergeCell ref="B22:C22"/>
    <mergeCell ref="B23:C23"/>
    <mergeCell ref="D18:F18"/>
    <mergeCell ref="D19:F19"/>
    <mergeCell ref="D20:F20"/>
    <mergeCell ref="D21:F21"/>
    <mergeCell ref="D22:F22"/>
    <mergeCell ref="D23:F23"/>
    <mergeCell ref="B2:M2"/>
    <mergeCell ref="B15:F15"/>
    <mergeCell ref="B16:F16"/>
    <mergeCell ref="B17:F17"/>
    <mergeCell ref="B18:C18"/>
    <mergeCell ref="B19:C19"/>
    <mergeCell ref="I15:M15"/>
    <mergeCell ref="I16:M16"/>
    <mergeCell ref="I17:M17"/>
    <mergeCell ref="I18:J18"/>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39749BD52AF23479DD5AF25DB4F56EF" ma:contentTypeVersion="13" ma:contentTypeDescription="Create a new document." ma:contentTypeScope="" ma:versionID="45cf4642010c53f1c946689d4b1cdb6e">
  <xsd:schema xmlns:xsd="http://www.w3.org/2001/XMLSchema" xmlns:xs="http://www.w3.org/2001/XMLSchema" xmlns:p="http://schemas.microsoft.com/office/2006/metadata/properties" xmlns:ns3="4c8e7f9b-eac5-4ae2-b2ae-e40caed85104" xmlns:ns4="cc16eacc-26c8-4df3-9d75-d6f43556ca3d" targetNamespace="http://schemas.microsoft.com/office/2006/metadata/properties" ma:root="true" ma:fieldsID="2698faf2b9548e1178d17a0e23dd2c9c" ns3:_="" ns4:_="">
    <xsd:import namespace="4c8e7f9b-eac5-4ae2-b2ae-e40caed85104"/>
    <xsd:import namespace="cc16eacc-26c8-4df3-9d75-d6f43556ca3d"/>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GenerationTime" minOccurs="0"/>
                <xsd:element ref="ns4:MediaServiceEventHashCode" minOccurs="0"/>
                <xsd:element ref="ns4:MediaServiceOCR"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c8e7f9b-eac5-4ae2-b2ae-e40caed8510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c16eacc-26c8-4df3-9d75-d6f43556ca3d"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792D2-13D9-445F-AE7B-CF179A33399C}">
  <ds:schemaRefs>
    <ds:schemaRef ds:uri="4c8e7f9b-eac5-4ae2-b2ae-e40caed85104"/>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cc16eacc-26c8-4df3-9d75-d6f43556ca3d"/>
    <ds:schemaRef ds:uri="http://www.w3.org/XML/1998/namespace"/>
    <ds:schemaRef ds:uri="http://purl.org/dc/dcmitype/"/>
  </ds:schemaRefs>
</ds:datastoreItem>
</file>

<file path=customXml/itemProps2.xml><?xml version="1.0" encoding="utf-8"?>
<ds:datastoreItem xmlns:ds="http://schemas.openxmlformats.org/officeDocument/2006/customXml" ds:itemID="{FF168E1E-40C9-4746-B4C5-F49E190D7F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c8e7f9b-eac5-4ae2-b2ae-e40caed85104"/>
    <ds:schemaRef ds:uri="cc16eacc-26c8-4df3-9d75-d6f43556ca3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58388FD-FCB9-4D40-8807-AFB22AE8C17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___Dropdown values</vt:lpstr>
      <vt:lpstr>Building Blocks</vt:lpstr>
      <vt:lpstr>Method</vt:lpstr>
      <vt:lpstr>Worklist</vt:lpstr>
      <vt:lpstr>TestLog</vt:lpstr>
      <vt:lpstr>PrepList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Bare, Bradley</dc:creator>
  <cp:lastModifiedBy>Bare, Bradley</cp:lastModifiedBy>
  <cp:lastPrinted>2021-08-04T13:49:13Z</cp:lastPrinted>
  <dcterms:created xsi:type="dcterms:W3CDTF">2021-02-05T21:39:59Z</dcterms:created>
  <dcterms:modified xsi:type="dcterms:W3CDTF">2021-09-03T16:58:02Z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0x010100E39749BD52AF23479DD5AF25DB4F56EF</vt:lpwstr>
  </property>
</Properties>
</file>