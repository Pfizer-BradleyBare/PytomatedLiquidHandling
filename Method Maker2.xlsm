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1E215469-FEC7-4CAC-96F6-E5FCB53D5866}" xr6:coauthVersionLast="46" xr6:coauthVersionMax="46" xr10:uidLastSave="{00000000-0000-0000-0000-000000000000}"/>
  <bookViews>
    <workbookView xWindow="28680" yWindow="-120" windowWidth="29040" windowHeight="15840" firstSheet="1" activeTab="2" xr2:uid="{00000000-000D-0000-FFFF-FFFF00000000}"/>
  </bookViews>
  <sheets>
    <sheet name="___Dropdown values" sheetId="4" state="hidden" r:id="rId1"/>
    <sheet name="Building Blocks" sheetId="1" r:id="rId2"/>
    <sheet name="Method" sheetId="2" r:id="rId3"/>
    <sheet name="Worklist" sheetId="3" r:id="rId4"/>
    <sheet name="PrepList" sheetId="33" r:id="rId5"/>
    <sheet name="TestLog" sheetId="32"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3" l="1"/>
  <c r="H2" i="3"/>
  <c r="A3" i="3"/>
  <c r="B3" i="3" s="1"/>
  <c r="E102" i="2"/>
  <c r="E27" i="2"/>
  <c r="D3" i="3" l="1"/>
  <c r="E77" i="2"/>
  <c r="E76" i="2"/>
  <c r="E75" i="2"/>
  <c r="E25" i="2"/>
  <c r="E61" i="2" l="1"/>
  <c r="E14" i="2"/>
  <c r="E18" i="2"/>
  <c r="E13" i="2"/>
  <c r="A2" i="3" l="1"/>
  <c r="D2" i="3" l="1"/>
  <c r="B2" i="3"/>
</calcChain>
</file>

<file path=xl/sharedStrings.xml><?xml version="1.0" encoding="utf-8"?>
<sst xmlns="http://schemas.openxmlformats.org/spreadsheetml/2006/main" count="911" uniqueCount="314">
  <si>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</si>
  <si>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</si>
  <si>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</si>
  <si>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</si>
  <si>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</si>
  <si>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</si>
  <si>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</si>
  <si>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</si>
  <si>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</si>
  <si>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</si>
  <si>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</si>
  <si>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</si>
  <si>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</si>
  <si>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</si>
  <si>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</si>
  <si>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</si>
  <si>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</si>
  <si>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</si>
  <si>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</si>
  <si>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Blank</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</si>
  <si>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</si>
  <si>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</si>
  <si>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</si>
  <si>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</si>
  <si>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</si>
  <si>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</si>
  <si>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</si>
  <si>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</si>
  <si>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</si>
  <si>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</si>
  <si>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</si>
  <si>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</si>
  <si>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</si>
  <si>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</si>
  <si>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</si>
  <si>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</si>
  <si>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</si>
  <si>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</si>
  <si>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</si>
  <si>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</si>
  <si>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</si>
  <si>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</si>
  <si>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</si>
  <si>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</si>
  <si>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</si>
  <si>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</si>
  <si>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</si>
  <si>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</si>
  <si>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</si>
  <si>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</si>
  <si>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</si>
  <si>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</si>
  <si>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</si>
  <si>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</si>
  <si>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</si>
  <si>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</si>
  <si>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</si>
  <si>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</si>
  <si>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</si>
  <si>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</si>
  <si>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</si>
  <si>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</si>
  <si>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</si>
  <si>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</si>
  <si>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</si>
  <si>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</si>
  <si>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</si>
  <si>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SizeX:100</t>
  </si>
  <si>
    <t>SizeX:100,SizeX:100</t>
  </si>
  <si>
    <t>Pressure Difference (mTorr)</t>
  </si>
  <si>
    <t>Desalting Concentration</t>
  </si>
  <si>
    <t>``</t>
  </si>
  <si>
    <t>Aliquot</t>
  </si>
  <si>
    <t>Start Position</t>
  </si>
  <si>
    <t>Starting Position</t>
  </si>
  <si>
    <t>Sample Start Position</t>
  </si>
  <si>
    <t>Plate Start Position (A1)</t>
  </si>
  <si>
    <t>Pool</t>
  </si>
  <si>
    <t>Pathways</t>
  </si>
  <si>
    <t>Actions</t>
  </si>
  <si>
    <t>Modifiers</t>
  </si>
  <si>
    <t>Aspirate Location</t>
  </si>
  <si>
    <t>Dispense Location</t>
  </si>
  <si>
    <t>Sample Location</t>
  </si>
  <si>
    <t>Vacuum Plate</t>
  </si>
  <si>
    <t>Normal</t>
  </si>
  <si>
    <t>Vacuum Options</t>
  </si>
  <si>
    <t>Low</t>
  </si>
  <si>
    <t>High</t>
  </si>
  <si>
    <t>Manual (Remove validation then enter custom value)</t>
  </si>
  <si>
    <t>Vacuum Plates</t>
  </si>
  <si>
    <t>0.45um Self Poured ProA Plate</t>
  </si>
  <si>
    <t>Pre Vacuum Wait (min)</t>
  </si>
  <si>
    <t>Vacuum Time (min)</t>
  </si>
  <si>
    <t>Preload Liquid</t>
  </si>
  <si>
    <t>Volume</t>
  </si>
  <si>
    <t>Denaturation</t>
  </si>
  <si>
    <t>7M GnHCl, 100mM Tris pH 8.3, 5mM L-Met</t>
  </si>
  <si>
    <t>This is used to force the Denaturant into the Denaturant loading position. The actual step will be skipped because the pipetting volume is 0uL</t>
  </si>
  <si>
    <t>150mM TCEP in 7M GnHCl, 100mM Tris pH 8.3, 5mM L-Met</t>
  </si>
  <si>
    <t>150mM IAA in 7M GnHCl, 100mM Tris pH 8.3, 5mM L-Met</t>
  </si>
  <si>
    <t>Desalting</t>
  </si>
  <si>
    <t>Digestion</t>
  </si>
  <si>
    <t>50mM Tris pH 7.9</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</si>
  <si>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</si>
  <si>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</si>
  <si>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</si>
  <si>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</si>
  <si>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8M GnHCl</t>
  </si>
  <si>
    <t>Max Source Volume (uL)</t>
  </si>
  <si>
    <t>1mg/mL LysC in water</t>
  </si>
  <si>
    <t>Final</t>
  </si>
  <si>
    <t>50% TFA</t>
  </si>
  <si>
    <t>_55min</t>
  </si>
  <si>
    <t>Do 55 minute incubation?</t>
  </si>
  <si>
    <t xml:space="preserve">This set of samples will be a 55 minute digestion. </t>
  </si>
  <si>
    <t>This set of samples will be a 65 minute digestion</t>
  </si>
  <si>
    <t>[Heater]</t>
  </si>
  <si>
    <t>[Start Heat]</t>
  </si>
  <si>
    <t>[ID]</t>
  </si>
  <si>
    <t>[Temp]</t>
  </si>
  <si>
    <t>Step Title: Plate</t>
  </si>
  <si>
    <t>Excel Location (Row,Col): (7,3)</t>
  </si>
  <si>
    <t>Name: Denaturation</t>
  </si>
  <si>
    <t>Type: 96 Well PCR Plate</t>
  </si>
  <si>
    <t>Test</t>
  </si>
  <si>
    <t>Step Title: Aliquot</t>
  </si>
  <si>
    <t>Excel Location (Row,Col): (11,3)</t>
  </si>
  <si>
    <t>Source: Sample</t>
  </si>
  <si>
    <t xml:space="preserve">Aspirate Location: Sample Location (Worklist Column) </t>
  </si>
  <si>
    <t>Start Position: Sample Start Position</t>
  </si>
  <si>
    <t>Step Title: Liquid Transfer</t>
  </si>
  <si>
    <t>Excel Location (Row,Col): (16,3)</t>
  </si>
  <si>
    <t>Source: 7M GnHCl, 100mM Tris pH 8.3, 5mM L-Met</t>
  </si>
  <si>
    <t>Liquid Type: Denaturant</t>
  </si>
  <si>
    <t>Storage Condition: Ambient</t>
  </si>
  <si>
    <t>Volume (uL): 0.0</t>
  </si>
  <si>
    <t>Mix?: Yes</t>
  </si>
  <si>
    <t>[StatusUpdate]</t>
  </si>
  <si>
    <t>[AppendText]</t>
  </si>
  <si>
    <t>[Message]</t>
  </si>
  <si>
    <t xml:space="preserve">Transfering 0.0 uL of Denaturant to Denaturation plate </t>
  </si>
  <si>
    <t>##4.0##</t>
  </si>
  <si>
    <t>Number of sequences is zero so no liquid transfer will actually occur.</t>
  </si>
  <si>
    <t>Step Title: Dilute</t>
  </si>
  <si>
    <t>Excel Location (Row,Col): (23,3)</t>
  </si>
  <si>
    <t>Diluent: 7M GnHCl, 100mM Tris pH 8.3, 5mM L-Met</t>
  </si>
  <si>
    <t xml:space="preserve">Starting Concentration (mg/mL): Concentration (Worklist Column) </t>
  </si>
  <si>
    <t>Target Concentration (mg/mL): 1.0</t>
  </si>
  <si>
    <t>Target Volume (uL): 100.0</t>
  </si>
  <si>
    <t>Max Source Volume (uL): 100.0</t>
  </si>
  <si>
    <t>Transfering 100.0 uL of sample to Denaturation plate</t>
  </si>
  <si>
    <t>##5.0##</t>
  </si>
  <si>
    <t xml:space="preserve">Transfering </t>
  </si>
  <si>
    <t>[90.0, 90.0]</t>
  </si>
  <si>
    <t xml:space="preserve"> uL of General Reagent to Denaturation plate </t>
  </si>
  <si>
    <t>[Pipette]</t>
  </si>
  <si>
    <t>[Transfer]</t>
  </si>
  <si>
    <t>[Destination]</t>
  </si>
  <si>
    <t>[DestinationPosition]</t>
  </si>
  <si>
    <t>[Source]</t>
  </si>
  <si>
    <t>[SourcePosition]</t>
  </si>
  <si>
    <t>[TransferVolume]</t>
  </si>
  <si>
    <t>[DestinationHeight]</t>
  </si>
  <si>
    <t>[Total]</t>
  </si>
  <si>
    <t>[Mix]</t>
  </si>
  <si>
    <t>##5.1##</t>
  </si>
  <si>
    <t>[10.0, 10.0]</t>
  </si>
  <si>
    <t>##5.2##</t>
  </si>
  <si>
    <t>Excel Location (Row,Col): (31,3)</t>
  </si>
  <si>
    <t>Source: 150mM TCEP in 7M GnHCl, 100mM Tris pH 8.3, 5mM L-Met</t>
  </si>
  <si>
    <t>Liquid Type: Reductant</t>
  </si>
  <si>
    <t>Volume (uL): 4.0</t>
  </si>
  <si>
    <t xml:space="preserve">Transfering 4.0 uL of Reductant to Denaturation plate </t>
  </si>
  <si>
    <t>##6.0##</t>
  </si>
  <si>
    <t>##6.1##</t>
  </si>
  <si>
    <t>Step Title: Incubate</t>
  </si>
  <si>
    <t>Excel Location (Row,Col): (38,3)</t>
  </si>
  <si>
    <t>Temp (C): 30.0</t>
  </si>
  <si>
    <t>Time (min): 30.0</t>
  </si>
  <si>
    <t>Shake (rpm): 0.0</t>
  </si>
  <si>
    <t>Incubate at 30.0 C for 30.0 min</t>
  </si>
  <si>
    <t>##7.0##</t>
  </si>
  <si>
    <t>[Timer]</t>
  </si>
  <si>
    <t>[Start]</t>
  </si>
  <si>
    <t>[Time]</t>
  </si>
  <si>
    <t>##7.1##</t>
  </si>
  <si>
    <t>[Wait]</t>
  </si>
  <si>
    <t>##7.2##</t>
  </si>
  <si>
    <t>[Stop Heat]</t>
  </si>
  <si>
    <t>Excel Location (Row,Col): (43,3)</t>
  </si>
  <si>
    <t>Source: 150mM IAA in 7M GnHCl, 100mM Tris pH 8.3, 5mM L-Met</t>
  </si>
  <si>
    <t>Liquid Type: Alkylant</t>
  </si>
  <si>
    <t>Volume (uL): 6.0</t>
  </si>
  <si>
    <t xml:space="preserve">Transfering 6.0 uL of Alkylant to Denaturation plate </t>
  </si>
  <si>
    <t>##8.0##</t>
  </si>
  <si>
    <t>##8.1##</t>
  </si>
  <si>
    <t>Excel Location (Row,Col): (50,3)</t>
  </si>
  <si>
    <t>Temp (C): 25.0</t>
  </si>
  <si>
    <t>Incubate at 25.0 C for 30.0 min</t>
  </si>
  <si>
    <t>##9.0##</t>
  </si>
  <si>
    <t>Performing Desalting Equilibration</t>
  </si>
  <si>
    <t>[Desalt]</t>
  </si>
  <si>
    <t>[Equilibrate]</t>
  </si>
  <si>
    <t>##9.1##</t>
  </si>
  <si>
    <t>Performing Desalting Equilibration and Desalting Samples</t>
  </si>
  <si>
    <t>##9.2##</t>
  </si>
  <si>
    <t>##9.3##</t>
  </si>
  <si>
    <t>Excel Location (Row,Col): (55,3)</t>
  </si>
  <si>
    <t>Name: Desalting</t>
  </si>
  <si>
    <t>Step Title: Desalt</t>
  </si>
  <si>
    <t>Excel Location (Row,Col): (59,3)</t>
  </si>
  <si>
    <t>Source: Denaturation</t>
  </si>
  <si>
    <t>Equilibration Buffer: 50mM Tris pH 7.9</t>
  </si>
  <si>
    <t>Type: SizeX:100</t>
  </si>
  <si>
    <t>Equilibration already performed. Skipping Equilibration</t>
  </si>
  <si>
    <t>##11.0##</t>
  </si>
  <si>
    <t>[Process]</t>
  </si>
  <si>
    <t>##11.1##</t>
  </si>
  <si>
    <t>Excel Location (Row,Col): (64,3)</t>
  </si>
  <si>
    <t>Name: Digestion</t>
  </si>
  <si>
    <t>Step Title: Notify</t>
  </si>
  <si>
    <t>Excel Location (Row,Col): (68,3)</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</si>
  <si>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</si>
  <si>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</si>
  <si>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</si>
  <si>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[Notify]</t>
  </si>
  <si>
    <t>[SendMessage]</t>
  </si>
  <si>
    <t>[Subject]</t>
  </si>
  <si>
    <t>##13.1##</t>
  </si>
  <si>
    <t>Excel Location (Row,Col): (73,3)</t>
  </si>
  <si>
    <t>Source: Desalting</t>
  </si>
  <si>
    <t>Diluent: 50mM Tris pH 7.9</t>
  </si>
  <si>
    <t xml:space="preserve">Starting Concentration (mg/mL): Desalting Concentration (Worklist Column) </t>
  </si>
  <si>
    <t>Target Concentration (mg/mL): 0.5</t>
  </si>
  <si>
    <t>Max Source Volume (uL): 70.0</t>
  </si>
  <si>
    <t>Transfering 100.0 uL of sample to Digestion plate</t>
  </si>
  <si>
    <t>##14.0##</t>
  </si>
  <si>
    <t>[100.0, 100.0]</t>
  </si>
  <si>
    <t xml:space="preserve"> uL of General Reagent to Digestion plate </t>
  </si>
  <si>
    <t>##14.1##</t>
  </si>
  <si>
    <t>[0, 0]</t>
  </si>
  <si>
    <t>Excel Location (Row,Col): (81,3)</t>
  </si>
  <si>
    <t>Source: 8M GnHCl</t>
  </si>
  <si>
    <t>Volume (uL): 15.4</t>
  </si>
  <si>
    <t xml:space="preserve">Transfering 15.4 uL of Denaturant to Digestion plate </t>
  </si>
  <si>
    <t>##15.0##</t>
  </si>
  <si>
    <t>##15.1##</t>
  </si>
  <si>
    <t>Excel Location (Row,Col): (88,3)</t>
  </si>
  <si>
    <t>Source: 1mg/mL LysC in water</t>
  </si>
  <si>
    <t>Liquid Type: Enzyme</t>
  </si>
  <si>
    <t>Storage Condition: Cold</t>
  </si>
  <si>
    <t>Volume (uL): 5.0</t>
  </si>
  <si>
    <t xml:space="preserve">Transfering 5.0 uL of Enzyme to Digestion plate </t>
  </si>
  <si>
    <t>##16.0##</t>
  </si>
  <si>
    <t>##16.1##</t>
  </si>
  <si>
    <t>Excel Location (Row,Col): (95,3)</t>
  </si>
  <si>
    <t>Temp (C): 37.0</t>
  </si>
  <si>
    <t>Time (min): 55.0</t>
  </si>
  <si>
    <t>Incubate at 37.0 C for 55.0 min</t>
  </si>
  <si>
    <t>##17.0##</t>
  </si>
  <si>
    <t>##17.1##</t>
  </si>
  <si>
    <t>##17.2##</t>
  </si>
  <si>
    <t>Step Title: Split Plate</t>
  </si>
  <si>
    <t>Excel Location (Row,Col): (100,3)</t>
  </si>
  <si>
    <t xml:space="preserve">Plate Choice: _55min (Worklist Column) </t>
  </si>
  <si>
    <t>Plate Name 1: Final</t>
  </si>
  <si>
    <t>Plate Name 2: Digestion</t>
  </si>
  <si>
    <t>Excel Location (Row,Col): (109,5)</t>
  </si>
  <si>
    <t>Source: Digestion</t>
  </si>
  <si>
    <t>Liquid Type: Plate</t>
  </si>
  <si>
    <t>Volume (uL): 120.0</t>
  </si>
  <si>
    <t>Mix?: No</t>
  </si>
  <si>
    <t xml:space="preserve">Transfering 120.0 uL of Plate to Final plate </t>
  </si>
  <si>
    <t>##19.0##</t>
  </si>
  <si>
    <t>##19.1##</t>
  </si>
  <si>
    <t>Excel Location (Row,Col): (109,1)</t>
  </si>
  <si>
    <t>Time (min): 10.0</t>
  </si>
  <si>
    <t>Incubate at 37.0 C for 10.0 min</t>
  </si>
  <si>
    <t>##20.0##</t>
  </si>
  <si>
    <t>Excel Location (Row,Col): (116,5)</t>
  </si>
  <si>
    <t>Source: 50% TFA</t>
  </si>
  <si>
    <t>Liquid Type: Quench</t>
  </si>
  <si>
    <t>Volume (uL): 2.0</t>
  </si>
  <si>
    <t xml:space="preserve">Transfering 2.0 uL of Quench to Final plate </t>
  </si>
  <si>
    <t>##21.0##</t>
  </si>
  <si>
    <t>##21.1##</t>
  </si>
  <si>
    <t>Step Title: Finish</t>
  </si>
  <si>
    <t>Excel Location (Row,Col): (123,5)</t>
  </si>
  <si>
    <t>Final plate deactivated</t>
  </si>
  <si>
    <t>##22.1##</t>
  </si>
  <si>
    <t>##22.2##</t>
  </si>
  <si>
    <t>Excel Location (Row,Col): (114,1)</t>
  </si>
  <si>
    <t>Plate Choice: Final</t>
  </si>
  <si>
    <t>Sample: 200uL Biorad 96 Well PCR Plate</t>
  </si>
  <si>
    <t>15mL Centrifuge Tube</t>
  </si>
  <si>
    <t>Minimum Volume: 680.0uL</t>
  </si>
  <si>
    <t>Reagent</t>
  </si>
  <si>
    <t>Reagent Lot</t>
  </si>
  <si>
    <t>Reagent Volume</t>
  </si>
  <si>
    <t>Diluent Lot</t>
  </si>
  <si>
    <t>Diluent Volume</t>
  </si>
  <si>
    <t>Minimum Volume: 530.8uL</t>
  </si>
  <si>
    <t>200mL Reagent Trough</t>
  </si>
  <si>
    <t>Minimum Volume: 8200.0uL</t>
  </si>
  <si>
    <t>Hamilton 1.5mL FlipTube</t>
  </si>
  <si>
    <t>Minimum Volume: 160.0uL</t>
  </si>
  <si>
    <t>Minimum Volume: 152.0uL</t>
  </si>
  <si>
    <t>Minimum Volume: 162.0uL</t>
  </si>
  <si>
    <t>Minimum Volume: 158.0uL</t>
  </si>
  <si>
    <t>A1: 20.0uL</t>
  </si>
  <si>
    <t>A2: 20.0uL</t>
  </si>
  <si>
    <t>fDigestion</t>
  </si>
  <si>
    <t>Plate Name 2: fDigestion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</si>
</sst>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
      <sz val="20"/>
      <color theme="1"/>
      <name val="Calibri"/>
      <family val="2"/>
      <scheme val="minor"/>
    </font>
    <font>
      <sz val="14"/>
      <color theme="1"/>
      <name val="Calibri"/>
      <family val="2"/>
      <scheme val="minor"/>
    </font>
    <font>
      <sz val="12"/>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style="medium">
        <color indexed="64"/>
      </top>
      <bottom style="medium">
        <color indexed="64"/>
      </bottom>
      <diagonal/>
    </border>
  </borders>
  <cellStyleXfs count="1">
    <xf numFmtId="0" fontId="0" fillId="0" borderId="0"/>
  </cellStyleXfs>
  <cellXfs count="154">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4"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0" fillId="2" borderId="3" xfId="0" applyFill="1" applyBorder="1" applyAlignment="1">
      <alignment horizontal="center" vertical="center"/>
    </xf>
    <xf numFmtId="0" fontId="0" fillId="2" borderId="5"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0" borderId="6" xfId="0" applyBorder="1" applyAlignment="1">
      <alignment wrapText="1"/>
    </xf>
    <xf numFmtId="0" fontId="0" fillId="0" borderId="4" xfId="0" applyBorder="1" applyAlignment="1">
      <alignment wrapText="1"/>
    </xf>
    <xf numFmtId="0" fontId="1" fillId="3" borderId="9" xfId="0" applyFont="1" applyFill="1" applyBorder="1" applyAlignment="1">
      <alignment horizontal="center"/>
    </xf>
    <xf numFmtId="0" fontId="0" fillId="0" borderId="0" xfId="0" applyBorder="1"/>
    <xf numFmtId="0" fontId="1" fillId="2" borderId="9"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4" xfId="0" applyFill="1" applyBorder="1" applyAlignment="1">
      <alignment horizontal="center" vertical="center"/>
    </xf>
    <xf numFmtId="0" fontId="0" fillId="2" borderId="6" xfId="0" applyFill="1" applyBorder="1" applyAlignment="1">
      <alignment horizontal="center" vertical="center"/>
    </xf>
    <xf numFmtId="0" fontId="0" fillId="3" borderId="21" xfId="0" applyFont="1" applyFill="1" applyBorder="1" applyAlignment="1">
      <alignment vertical="center" wrapText="1"/>
    </xf>
    <xf numFmtId="0" fontId="0" fillId="0" borderId="4" xfId="0" applyBorder="1" applyAlignment="1">
      <alignment horizontal="center"/>
    </xf>
    <xf numFmtId="0" fontId="0" fillId="0" borderId="0" xfId="0" applyAlignment="1">
      <alignment horizontal="center" vertical="center" wrapText="1"/>
    </xf>
    <xf numFmtId="0" fontId="0" fillId="0" borderId="13" xfId="0" applyBorder="1" applyAlignment="1">
      <alignment horizontal="center"/>
    </xf>
    <xf numFmtId="0" fontId="0" fillId="0" borderId="7" xfId="0" applyBorder="1" applyAlignment="1">
      <alignment horizontal="center"/>
    </xf>
    <xf numFmtId="0" fontId="0" fillId="0" borderId="0" xfId="0" applyFill="1" applyBorder="1"/>
    <xf numFmtId="0" fontId="0" fillId="0" borderId="0" xfId="0" applyFont="1" applyBorder="1" applyAlignment="1">
      <alignment horizontal="center" vertical="center" wrapText="1"/>
    </xf>
    <xf numFmtId="0" fontId="1" fillId="0" borderId="0" xfId="0" applyFont="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3" fillId="0" borderId="1" xfId="0" applyFont="1" applyBorder="1" applyAlignment="1">
      <alignment horizontal="center" vertical="center"/>
    </xf>
    <xf numFmtId="0" fontId="3" fillId="0" borderId="19"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0" xfId="0" applyFont="1" applyBorder="1" applyAlignment="1">
      <alignment horizontal="center" vertical="center"/>
    </xf>
    <xf numFmtId="0" fontId="3" fillId="0" borderId="6" xfId="0" applyFont="1" applyBorder="1" applyAlignment="1">
      <alignment horizontal="center" vertical="center"/>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2" xfId="0" applyFill="1"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4" borderId="14" xfId="0" applyFill="1" applyBorder="1" applyAlignment="1">
      <alignment horizontal="center" vertical="center" wrapText="1"/>
    </xf>
    <xf numFmtId="0" fontId="0" fillId="4" borderId="22" xfId="0" applyFill="1" applyBorder="1" applyAlignment="1">
      <alignment horizontal="center" vertical="center" wrapText="1"/>
    </xf>
    <xf numFmtId="0" fontId="0" fillId="4" borderId="7"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1" fillId="0" borderId="8" xfId="0" applyFont="1" applyBorder="1" applyAlignment="1">
      <alignment horizontal="center"/>
    </xf>
    <xf numFmtId="0" fontId="0" fillId="0" borderId="16" xfId="0" applyBorder="1"/>
    <xf numFmtId="0" fontId="4" fillId="0" borderId="24" xfId="0" applyFont="1" applyBorder="1" applyAlignment="1">
      <alignment horizontal="center"/>
    </xf>
    <xf numFmtId="0" fontId="4" fillId="0" borderId="23" xfId="0" applyFont="1" applyBorder="1" applyAlignment="1">
      <alignment horizontal="center"/>
    </xf>
    <xf numFmtId="0" fontId="4" fillId="0" borderId="26" xfId="0" applyFont="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25"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0" fillId="0" borderId="8" xfId="0" applyBorder="1" applyAlignment="1">
      <alignment horizontal="center"/>
    </xf>
    <xf numFmtId="0" fontId="5" fillId="0" borderId="24" xfId="0" applyFont="1" applyBorder="1" applyAlignment="1">
      <alignment horizontal="center"/>
    </xf>
    <xf numFmtId="0" fontId="5" fillId="0" borderId="23" xfId="0" applyFont="1" applyBorder="1" applyAlignment="1">
      <alignment horizontal="center"/>
    </xf>
    <xf numFmtId="0" fontId="5" fillId="0" borderId="26" xfId="0" applyFont="1" applyBorder="1" applyAlignment="1">
      <alignment horizontal="center"/>
    </xf>
    <xf numFmtId="0" fontId="6" fillId="0" borderId="24" xfId="0" applyFont="1" applyBorder="1" applyAlignment="1">
      <alignment horizontal="center"/>
    </xf>
    <xf numFmtId="0" fontId="6" fillId="0" borderId="23" xfId="0" applyFont="1" applyBorder="1" applyAlignment="1">
      <alignment horizontal="center"/>
    </xf>
    <xf numFmtId="0" fontId="6" fillId="0" borderId="26" xfId="0" applyFont="1" applyBorder="1" applyAlignment="1">
      <alignment horizontal="center"/>
    </xf>
    <xf numFmtId="0" fontId="0" fillId="0" borderId="17" xfId="0" applyBorder="1"/>
    <xf numFmtId="0" fontId="0" fillId="0" borderId="25" xfId="0" applyBorder="1"/>
    <xf numFmtId="0" fontId="0" fillId="0" borderId="0" xfId="0" applyBorder="1"/>
    <xf numFmtId="0" fontId="0" fillId="0" borderId="13" xfId="0" applyBorder="1"/>
    <xf numFmtId="0" fontId="0" fillId="0" borderId="8" xfId="0" applyBorder="1"/>
    <xf numFmtId="0" fontId="0" fillId="0" borderId="18" xfId="0" applyBorder="1"/>
    <xf numFmtId="0" fontId="0" fillId="0" borderId="22" xfId="0" applyBorder="1"/>
    <xf numFmtId="0" fontId="0" fillId="0" borderId="7" xfId="0" applyBorder="1"/>
    <xf numFmtId="0" fontId="1" fillId="5" borderId="4"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5"/>
  <sheetViews>
    <sheetView topLeftCell="A10" workbookViewId="0">
      <selection activeCell="D25" sqref="D25"/>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38" t="s">
        <v>31</v>
      </c>
      <c r="C3" s="38"/>
      <c r="D3" s="38" t="s">
        <v>53</v>
      </c>
      <c r="F3" s="59" t="s">
        <v>26</v>
      </c>
      <c r="G3" s="59"/>
      <c r="H3" s="59"/>
      <c r="I3" s="59"/>
      <c r="J3" s="59"/>
      <c r="K3" s="59"/>
      <c r="L3" s="59"/>
    </row>
    <row r="4" spans="2:12" x14ac:dyDescent="0.25">
      <c r="B4" t="s">
        <v>34</v>
      </c>
      <c r="D4" s="41" t="s">
        <v>67</v>
      </c>
      <c r="F4" s="38" t="s">
        <v>0</v>
      </c>
      <c r="G4" s="38" t="s">
        <v>16</v>
      </c>
      <c r="H4" s="38" t="s">
        <v>5</v>
      </c>
      <c r="I4" s="38" t="s">
        <v>21</v>
      </c>
      <c r="J4" s="38" t="s">
        <v>46</v>
      </c>
      <c r="K4" s="38" t="s">
        <v>39</v>
      </c>
      <c r="L4" s="38" t="s">
        <v>55</v>
      </c>
    </row>
    <row r="5" spans="2:12" x14ac:dyDescent="0.25">
      <c r="B5" t="s">
        <v>56</v>
      </c>
      <c r="D5" s="41" t="s">
        <v>68</v>
      </c>
      <c r="F5" t="s">
        <v>0</v>
      </c>
      <c r="G5" t="s">
        <v>16</v>
      </c>
      <c r="H5" t="s">
        <v>5</v>
      </c>
      <c r="I5" t="s">
        <v>21</v>
      </c>
      <c r="J5" t="s">
        <v>46</v>
      </c>
      <c r="K5" t="s">
        <v>39</v>
      </c>
      <c r="L5" t="s">
        <v>55</v>
      </c>
    </row>
    <row r="6" spans="2:12" x14ac:dyDescent="0.25">
      <c r="B6" t="s">
        <v>32</v>
      </c>
      <c r="D6" s="41"/>
      <c r="F6" t="s">
        <v>27</v>
      </c>
      <c r="G6" t="s">
        <v>28</v>
      </c>
      <c r="H6" t="s">
        <v>29</v>
      </c>
      <c r="I6" t="s">
        <v>30</v>
      </c>
      <c r="J6" t="s">
        <v>47</v>
      </c>
      <c r="K6" t="s">
        <v>40</v>
      </c>
      <c r="L6" t="s">
        <v>57</v>
      </c>
    </row>
    <row r="7" spans="2:12" x14ac:dyDescent="0.25">
      <c r="B7" t="s">
        <v>58</v>
      </c>
      <c r="D7" s="41"/>
    </row>
    <row r="9" spans="2:12" x14ac:dyDescent="0.25">
      <c r="B9" s="38" t="s">
        <v>54</v>
      </c>
      <c r="D9" s="35" t="s">
        <v>50</v>
      </c>
    </row>
    <row r="10" spans="2:12" x14ac:dyDescent="0.25">
      <c r="B10" t="s">
        <v>61</v>
      </c>
      <c r="D10" s="24" t="s">
        <v>42</v>
      </c>
    </row>
    <row r="11" spans="2:12" x14ac:dyDescent="0.25">
      <c r="B11" t="s">
        <v>62</v>
      </c>
      <c r="D11" s="24" t="s">
        <v>43</v>
      </c>
    </row>
    <row r="12" spans="2:12" x14ac:dyDescent="0.25">
      <c r="B12" t="s">
        <v>63</v>
      </c>
    </row>
    <row r="13" spans="2:12" x14ac:dyDescent="0.25">
      <c r="B13" t="s">
        <v>64</v>
      </c>
      <c r="D13" s="38" t="s">
        <v>74</v>
      </c>
    </row>
    <row r="14" spans="2:12" x14ac:dyDescent="0.25">
      <c r="B14" t="s">
        <v>65</v>
      </c>
      <c r="D14" t="s">
        <v>75</v>
      </c>
    </row>
    <row r="15" spans="2:12" x14ac:dyDescent="0.25">
      <c r="B15" t="s">
        <v>66</v>
      </c>
      <c r="D15" t="s">
        <v>76</v>
      </c>
    </row>
    <row r="16" spans="2:12" x14ac:dyDescent="0.25">
      <c r="B16" t="s">
        <v>14</v>
      </c>
    </row>
    <row r="17" spans="2:4" x14ac:dyDescent="0.25">
      <c r="B17" t="s">
        <v>2</v>
      </c>
    </row>
    <row r="18" spans="2:4" x14ac:dyDescent="0.25">
      <c r="D18" s="38" t="s">
        <v>86</v>
      </c>
    </row>
    <row r="19" spans="2:4" x14ac:dyDescent="0.25">
      <c r="B19" s="38" t="s">
        <v>52</v>
      </c>
      <c r="D19" t="s">
        <v>87</v>
      </c>
    </row>
    <row r="20" spans="2:4" x14ac:dyDescent="0.25">
      <c r="B20" t="s">
        <v>59</v>
      </c>
      <c r="D20" t="s">
        <v>85</v>
      </c>
    </row>
    <row r="21" spans="2:4" x14ac:dyDescent="0.25">
      <c r="B21" t="s">
        <v>60</v>
      </c>
      <c r="D21" t="s">
        <v>88</v>
      </c>
    </row>
    <row r="22" spans="2:4" x14ac:dyDescent="0.25">
      <c r="D22" t="s">
        <v>89</v>
      </c>
    </row>
    <row r="24" spans="2:4" x14ac:dyDescent="0.25">
      <c r="D24" s="38" t="s">
        <v>90</v>
      </c>
    </row>
    <row r="25" spans="2:4" x14ac:dyDescent="0.25">
      <c r="D25" t="s">
        <v>91</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40"/>
  <sheetViews>
    <sheetView zoomScale="80" zoomScaleNormal="80" workbookViewId="0">
      <selection activeCell="H7" sqref="H7"/>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92" t="s">
        <v>78</v>
      </c>
      <c r="D2" s="93"/>
      <c r="E2" s="94"/>
      <c r="G2" s="98" t="s">
        <v>79</v>
      </c>
      <c r="H2" s="99"/>
      <c r="I2" s="100"/>
      <c r="K2" s="98" t="s">
        <v>80</v>
      </c>
      <c r="L2" s="99"/>
      <c r="M2" s="100"/>
    </row>
    <row r="3" spans="3:13" ht="15.75" thickBot="1" x14ac:dyDescent="0.3">
      <c r="C3" s="95"/>
      <c r="D3" s="96"/>
      <c r="E3" s="97"/>
      <c r="G3" s="101"/>
      <c r="H3" s="102"/>
      <c r="I3" s="103"/>
      <c r="K3" s="101"/>
      <c r="L3" s="102"/>
      <c r="M3" s="103"/>
    </row>
    <row r="4" spans="3:13" ht="15.75" thickBot="1" x14ac:dyDescent="0.3"/>
    <row r="5" spans="3:13" x14ac:dyDescent="0.25">
      <c r="C5" s="74" t="s">
        <v>2</v>
      </c>
      <c r="D5" s="75"/>
      <c r="E5" s="42" t="s">
        <v>15</v>
      </c>
      <c r="G5" s="111" t="s">
        <v>0</v>
      </c>
      <c r="H5" s="112"/>
      <c r="I5" s="29" t="s">
        <v>15</v>
      </c>
      <c r="K5" s="72" t="s">
        <v>72</v>
      </c>
      <c r="L5" s="73"/>
      <c r="M5" s="46" t="s">
        <v>15</v>
      </c>
    </row>
    <row r="6" spans="3:13" x14ac:dyDescent="0.25">
      <c r="C6" s="31" t="s">
        <v>1</v>
      </c>
      <c r="D6" s="34"/>
      <c r="E6" s="85"/>
      <c r="G6" s="3" t="s">
        <v>38</v>
      </c>
      <c r="H6" s="13"/>
      <c r="I6" s="63"/>
      <c r="K6" s="5" t="s">
        <v>38</v>
      </c>
      <c r="L6" s="20"/>
      <c r="M6" s="69"/>
    </row>
    <row r="7" spans="3:13" ht="15.75" thickBot="1" x14ac:dyDescent="0.3">
      <c r="C7" s="43" t="s">
        <v>25</v>
      </c>
      <c r="D7" s="33"/>
      <c r="E7" s="86"/>
      <c r="G7" s="3" t="s">
        <v>54</v>
      </c>
      <c r="H7" s="13"/>
      <c r="I7" s="64"/>
      <c r="K7" s="5" t="s">
        <v>81</v>
      </c>
      <c r="L7" s="20"/>
      <c r="M7" s="70"/>
    </row>
    <row r="8" spans="3:13" ht="15.75" thickBot="1" x14ac:dyDescent="0.3">
      <c r="G8" s="3" t="s">
        <v>52</v>
      </c>
      <c r="H8" s="13"/>
      <c r="I8" s="64"/>
      <c r="K8" s="6" t="s">
        <v>73</v>
      </c>
      <c r="L8" s="21" t="s">
        <v>75</v>
      </c>
      <c r="M8" s="71"/>
    </row>
    <row r="9" spans="3:13" ht="15.75" thickBot="1" x14ac:dyDescent="0.3">
      <c r="C9" s="106" t="s">
        <v>4</v>
      </c>
      <c r="D9" s="107"/>
      <c r="E9" s="25" t="s">
        <v>15</v>
      </c>
      <c r="G9" s="3" t="s">
        <v>11</v>
      </c>
      <c r="H9" s="13"/>
      <c r="I9" s="64"/>
    </row>
    <row r="10" spans="3:13" ht="15.75" thickBot="1" x14ac:dyDescent="0.3">
      <c r="C10" s="9" t="s">
        <v>24</v>
      </c>
      <c r="D10" s="18"/>
      <c r="E10" s="108"/>
      <c r="G10" s="4" t="s">
        <v>41</v>
      </c>
      <c r="H10" s="14" t="s">
        <v>42</v>
      </c>
      <c r="I10" s="65"/>
      <c r="K10" s="72" t="s">
        <v>77</v>
      </c>
      <c r="L10" s="73"/>
      <c r="M10" s="46" t="s">
        <v>15</v>
      </c>
    </row>
    <row r="11" spans="3:13" ht="15.75" thickBot="1" x14ac:dyDescent="0.3">
      <c r="C11" s="9" t="s">
        <v>35</v>
      </c>
      <c r="D11" s="18"/>
      <c r="E11" s="109"/>
      <c r="K11" s="5" t="s">
        <v>38</v>
      </c>
      <c r="L11" s="20"/>
      <c r="M11" s="69"/>
    </row>
    <row r="12" spans="3:13" ht="15.75" thickBot="1" x14ac:dyDescent="0.3">
      <c r="C12" s="10" t="s">
        <v>36</v>
      </c>
      <c r="D12" s="19"/>
      <c r="E12" s="110"/>
      <c r="G12" s="104" t="s">
        <v>16</v>
      </c>
      <c r="H12" s="105"/>
      <c r="I12" s="26" t="s">
        <v>15</v>
      </c>
      <c r="K12" s="5" t="s">
        <v>82</v>
      </c>
      <c r="L12" s="20"/>
      <c r="M12" s="70"/>
    </row>
    <row r="13" spans="3:13" ht="15.75" thickBot="1" x14ac:dyDescent="0.3">
      <c r="G13" s="7" t="s">
        <v>38</v>
      </c>
      <c r="H13" s="15"/>
      <c r="I13" s="66"/>
      <c r="K13" s="6" t="s">
        <v>73</v>
      </c>
      <c r="L13" s="21" t="s">
        <v>75</v>
      </c>
      <c r="M13" s="71"/>
    </row>
    <row r="14" spans="3:13" ht="15.75" thickBot="1" x14ac:dyDescent="0.3">
      <c r="C14" s="74" t="s">
        <v>51</v>
      </c>
      <c r="D14" s="75"/>
      <c r="E14" s="39" t="s">
        <v>15</v>
      </c>
      <c r="G14" s="7" t="s">
        <v>3</v>
      </c>
      <c r="H14" s="15"/>
      <c r="I14" s="67"/>
    </row>
    <row r="15" spans="3:13" x14ac:dyDescent="0.25">
      <c r="C15" s="76"/>
      <c r="D15" s="77"/>
      <c r="E15" s="85"/>
      <c r="G15" s="7" t="s">
        <v>6</v>
      </c>
      <c r="H15" s="15"/>
      <c r="I15" s="67"/>
      <c r="K15" s="72" t="s">
        <v>94</v>
      </c>
      <c r="L15" s="73"/>
      <c r="M15" s="46" t="s">
        <v>15</v>
      </c>
    </row>
    <row r="16" spans="3:13" ht="15.75" thickBot="1" x14ac:dyDescent="0.3">
      <c r="C16" s="78"/>
      <c r="D16" s="79"/>
      <c r="E16" s="86"/>
      <c r="G16" s="7" t="s">
        <v>7</v>
      </c>
      <c r="H16" s="15"/>
      <c r="I16" s="67"/>
      <c r="K16" s="6" t="s">
        <v>95</v>
      </c>
      <c r="L16" s="21"/>
      <c r="M16" s="52"/>
    </row>
    <row r="17" spans="7:9" ht="15.75" thickBot="1" x14ac:dyDescent="0.3">
      <c r="G17" s="8" t="s">
        <v>10</v>
      </c>
      <c r="H17" s="16"/>
      <c r="I17" s="68"/>
    </row>
    <row r="18" spans="7:9" ht="15.75" thickBot="1" x14ac:dyDescent="0.3"/>
    <row r="19" spans="7:9" x14ac:dyDescent="0.25">
      <c r="G19" s="80" t="s">
        <v>39</v>
      </c>
      <c r="H19" s="81"/>
      <c r="I19" s="28" t="s">
        <v>15</v>
      </c>
    </row>
    <row r="20" spans="7:9" x14ac:dyDescent="0.25">
      <c r="G20" s="11" t="s">
        <v>12</v>
      </c>
      <c r="H20" s="22"/>
      <c r="I20" s="82"/>
    </row>
    <row r="21" spans="7:9" x14ac:dyDescent="0.25">
      <c r="G21" s="11" t="s">
        <v>9</v>
      </c>
      <c r="H21" s="22"/>
      <c r="I21" s="83"/>
    </row>
    <row r="22" spans="7:9" ht="15.75" thickBot="1" x14ac:dyDescent="0.3">
      <c r="G22" s="12" t="s">
        <v>20</v>
      </c>
      <c r="H22" s="23"/>
      <c r="I22" s="84"/>
    </row>
    <row r="23" spans="7:9" ht="15.75" thickBot="1" x14ac:dyDescent="0.3"/>
    <row r="24" spans="7:9" x14ac:dyDescent="0.25">
      <c r="G24" s="72" t="s">
        <v>5</v>
      </c>
      <c r="H24" s="73"/>
      <c r="I24" s="27" t="s">
        <v>15</v>
      </c>
    </row>
    <row r="25" spans="7:9" x14ac:dyDescent="0.25">
      <c r="G25" s="5" t="s">
        <v>38</v>
      </c>
      <c r="H25" s="20"/>
      <c r="I25" s="69"/>
    </row>
    <row r="26" spans="7:9" x14ac:dyDescent="0.25">
      <c r="G26" s="5" t="s">
        <v>37</v>
      </c>
      <c r="H26" s="20"/>
      <c r="I26" s="70"/>
    </row>
    <row r="27" spans="7:9" ht="15.75" thickBot="1" x14ac:dyDescent="0.3">
      <c r="G27" s="6" t="s">
        <v>25</v>
      </c>
      <c r="H27" s="21"/>
      <c r="I27" s="71"/>
    </row>
    <row r="28" spans="7:9" ht="15.75" thickBot="1" x14ac:dyDescent="0.3">
      <c r="G28" s="38"/>
    </row>
    <row r="29" spans="7:9" x14ac:dyDescent="0.25">
      <c r="G29" s="87" t="s">
        <v>44</v>
      </c>
      <c r="H29" s="88"/>
      <c r="I29" s="48" t="s">
        <v>15</v>
      </c>
    </row>
    <row r="30" spans="7:9" x14ac:dyDescent="0.25">
      <c r="G30" s="36" t="s">
        <v>38</v>
      </c>
      <c r="H30" s="49"/>
      <c r="I30" s="89"/>
    </row>
    <row r="31" spans="7:9" x14ac:dyDescent="0.25">
      <c r="G31" s="36" t="s">
        <v>11</v>
      </c>
      <c r="H31" s="50"/>
      <c r="I31" s="90"/>
    </row>
    <row r="32" spans="7:9" x14ac:dyDescent="0.25">
      <c r="G32" s="36" t="s">
        <v>84</v>
      </c>
      <c r="H32" s="50"/>
      <c r="I32" s="90"/>
    </row>
    <row r="33" spans="7:9" x14ac:dyDescent="0.25">
      <c r="G33" s="36" t="s">
        <v>92</v>
      </c>
      <c r="H33" s="50"/>
      <c r="I33" s="90"/>
    </row>
    <row r="34" spans="7:9" x14ac:dyDescent="0.25">
      <c r="G34" s="36" t="s">
        <v>69</v>
      </c>
      <c r="H34" s="50" t="s">
        <v>85</v>
      </c>
      <c r="I34" s="90"/>
    </row>
    <row r="35" spans="7:9" ht="15.75" thickBot="1" x14ac:dyDescent="0.3">
      <c r="G35" s="37" t="s">
        <v>93</v>
      </c>
      <c r="H35" s="51"/>
      <c r="I35" s="91"/>
    </row>
    <row r="36" spans="7:9" ht="15.75" thickBot="1" x14ac:dyDescent="0.3"/>
    <row r="37" spans="7:9" x14ac:dyDescent="0.25">
      <c r="G37" s="74" t="s">
        <v>21</v>
      </c>
      <c r="H37" s="75"/>
      <c r="I37" s="40" t="s">
        <v>15</v>
      </c>
    </row>
    <row r="38" spans="7:9" x14ac:dyDescent="0.25">
      <c r="G38" s="31" t="s">
        <v>49</v>
      </c>
      <c r="H38" s="32"/>
      <c r="I38" s="60"/>
    </row>
    <row r="39" spans="7:9" x14ac:dyDescent="0.25">
      <c r="G39" s="31" t="s">
        <v>22</v>
      </c>
      <c r="H39" s="45"/>
      <c r="I39" s="61"/>
    </row>
    <row r="40" spans="7:9" ht="15.75" thickBot="1" x14ac:dyDescent="0.3">
      <c r="G40" s="1" t="s">
        <v>23</v>
      </c>
      <c r="H40" s="44"/>
      <c r="I40" s="62"/>
    </row>
  </sheetData>
  <mergeCells count="27">
    <mergeCell ref="K5:L5"/>
    <mergeCell ref="M6:M8"/>
    <mergeCell ref="K10:L10"/>
    <mergeCell ref="M11:M13"/>
    <mergeCell ref="C2:E3"/>
    <mergeCell ref="G2:I3"/>
    <mergeCell ref="K2:M3"/>
    <mergeCell ref="C5:D5"/>
    <mergeCell ref="G12:H12"/>
    <mergeCell ref="C9:D9"/>
    <mergeCell ref="E10:E12"/>
    <mergeCell ref="G5:H5"/>
    <mergeCell ref="E6:E7"/>
    <mergeCell ref="C14:D14"/>
    <mergeCell ref="C15:D16"/>
    <mergeCell ref="G19:H19"/>
    <mergeCell ref="I20:I22"/>
    <mergeCell ref="G37:H37"/>
    <mergeCell ref="E15:E16"/>
    <mergeCell ref="G24:H24"/>
    <mergeCell ref="G29:H29"/>
    <mergeCell ref="I30:I35"/>
    <mergeCell ref="I38:I40"/>
    <mergeCell ref="I6:I10"/>
    <mergeCell ref="I13:I17"/>
    <mergeCell ref="I25:I27"/>
    <mergeCell ref="K15:L15"/>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G24:H24</xm:sqref>
        </x14:dataValidation>
        <x14:dataValidation type="list" allowBlank="1" showInputMessage="1" showErrorMessage="1" xr:uid="{00000000-0002-0000-0100-000002000000}">
          <x14:formula1>
            <xm:f>'___Dropdown values'!$I$5:$I$6</xm:f>
          </x14:formula1>
          <xm:sqref>G37:H37</xm:sqref>
        </x14:dataValidation>
        <x14:dataValidation type="list" allowBlank="1" showInputMessage="1" showErrorMessage="1" xr:uid="{00000000-0002-0000-0100-000003000000}">
          <x14:formula1>
            <xm:f>'___Dropdown values'!$K$5:$K$6</xm:f>
          </x14:formula1>
          <xm:sqref>G19:H19</xm:sqref>
        </x14:dataValidation>
        <x14:dataValidation type="list" allowBlank="1" showInputMessage="1" showErrorMessage="1" xr:uid="{00000000-0002-0000-0100-000004000000}">
          <x14:formula1>
            <xm:f>'___Dropdown values'!$D$10:$D$11</xm:f>
          </x14:formula1>
          <xm:sqref>H10 H38</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values'!$G$5:$G$6</xm:f>
          </x14:formula1>
          <xm:sqref>G12:H12</xm:sqref>
        </x14:dataValidation>
        <x14:dataValidation type="list" allowBlank="1" showInputMessage="1" showErrorMessage="1" xr:uid="{00000000-0002-0000-0100-000007000000}">
          <x14:formula1>
            <xm:f>'___Dropdown values'!$B$10:$B$17</xm:f>
          </x14:formula1>
          <xm:sqref>H7</xm:sqref>
        </x14:dataValidation>
        <x14:dataValidation type="list" allowBlank="1" showInputMessage="1" showErrorMessage="1" xr:uid="{00000000-0002-0000-0100-000008000000}">
          <x14:formula1>
            <xm:f>'___Dropdown values'!$D$4:$D$5</xm:f>
          </x14:formula1>
          <xm:sqref>H27</xm:sqref>
        </x14:dataValidation>
        <x14:dataValidation type="list" allowBlank="1" showInputMessage="1" showErrorMessage="1" xr:uid="{00000000-0002-0000-0100-000009000000}">
          <x14:formula1>
            <xm:f>'___Dropdown values'!$B$4:$B$7</xm:f>
          </x14:formula1>
          <xm:sqref>D7</xm:sqref>
        </x14:dataValidation>
        <x14:dataValidation type="list" allowBlank="1" showInputMessage="1" showErrorMessage="1" xr:uid="{00000000-0002-0000-0100-00000A000000}">
          <x14:formula1>
            <xm:f>'___Dropdown values'!$D$14:$D$15</xm:f>
          </x14:formula1>
          <xm:sqref>L8 L13</xm:sqref>
        </x14:dataValidation>
        <x14:dataValidation type="list" allowBlank="1" showInputMessage="1" showErrorMessage="1" xr:uid="{00000000-0002-0000-0100-00000B000000}">
          <x14:formula1>
            <xm:f>'___Dropdown values'!$D$25</xm:f>
          </x14:formula1>
          <xm:sqref>H32:H33</xm:sqref>
        </x14:dataValidation>
        <x14:dataValidation type="list" allowBlank="1" showInputMessage="1" showErrorMessage="1" xr:uid="{00000000-0002-0000-0100-00000C000000}">
          <x14:formula1>
            <xm:f>'___Dropdown values'!$D$19:$D$22</xm:f>
          </x14:formula1>
          <xm:sqref>H34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69"/>
  <sheetViews>
    <sheetView tabSelected="1" topLeftCell="A91" zoomScale="90" zoomScaleNormal="90" workbookViewId="0">
      <selection activeCell="B110" sqref="B110:C110"/>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4" t="s">
        <v>2</v>
      </c>
      <c r="E2" s="75"/>
      <c r="F2" s="30" t="s">
        <v>15</v>
      </c>
    </row>
    <row r="3" spans="4:15" x14ac:dyDescent="0.25">
      <c r="D3" s="31" t="s">
        <v>1</v>
      </c>
      <c r="E3" s="34" t="s">
        <v>13</v>
      </c>
      <c r="F3" s="85" t="s">
        <v>45</v>
      </c>
    </row>
    <row r="4" spans="4:15" ht="15.75" thickBot="1" x14ac:dyDescent="0.3">
      <c r="D4" s="1" t="s">
        <v>25</v>
      </c>
      <c r="E4" s="17" t="s">
        <v>34</v>
      </c>
      <c r="F4" s="86"/>
    </row>
    <row r="6" spans="4:15" s="2" customFormat="1" ht="15.75" thickBot="1" x14ac:dyDescent="0.3">
      <c r="D6" s="127" t="s">
        <v>8</v>
      </c>
      <c r="E6" s="127"/>
    </row>
    <row r="7" spans="4:15" ht="15.75" thickBot="1" x14ac:dyDescent="0.3">
      <c r="D7" s="24"/>
      <c r="E7" s="24"/>
      <c r="N7"/>
      <c r="O7"/>
    </row>
    <row r="8" spans="4:15" x14ac:dyDescent="0.25">
      <c r="D8" s="74" t="s">
        <v>2</v>
      </c>
      <c r="E8" s="75"/>
      <c r="F8" s="42" t="s">
        <v>15</v>
      </c>
      <c r="N8"/>
      <c r="O8"/>
    </row>
    <row r="9" spans="4:15" x14ac:dyDescent="0.25">
      <c r="D9" s="31" t="s">
        <v>1</v>
      </c>
      <c r="E9" s="53" t="s">
        <v>96</v>
      </c>
      <c r="F9" s="116"/>
      <c r="N9"/>
      <c r="O9"/>
    </row>
    <row r="10" spans="4:15" ht="15.75" thickBot="1" x14ac:dyDescent="0.3">
      <c r="D10" s="1" t="s">
        <v>25</v>
      </c>
      <c r="E10" s="17" t="s">
        <v>34</v>
      </c>
      <c r="F10" s="117"/>
      <c r="N10"/>
      <c r="O10"/>
    </row>
    <row r="11" spans="4:15" ht="15.75" thickBot="1" x14ac:dyDescent="0.3">
      <c r="E11" s="41"/>
      <c r="F11" s="54"/>
      <c r="N11"/>
      <c r="O11"/>
    </row>
    <row r="12" spans="4:15" x14ac:dyDescent="0.25">
      <c r="D12" s="72" t="s">
        <v>72</v>
      </c>
      <c r="E12" s="73"/>
      <c r="F12" s="46" t="s">
        <v>15</v>
      </c>
      <c r="N12"/>
      <c r="O12"/>
    </row>
    <row r="13" spans="4:15" x14ac:dyDescent="0.25">
      <c r="D13" s="5" t="s">
        <v>38</v>
      </c>
      <c r="E13" s="20" t="str">
        <f>E3</f>
        <v>Sample</v>
      </c>
      <c r="F13" s="124"/>
      <c r="N13"/>
      <c r="O13"/>
    </row>
    <row r="14" spans="4:15" x14ac:dyDescent="0.25">
      <c r="D14" s="5" t="s">
        <v>81</v>
      </c>
      <c r="E14" s="20" t="str">
        <f>Worklist!D1</f>
        <v>Sample Location</v>
      </c>
      <c r="F14" s="125"/>
      <c r="N14"/>
      <c r="O14"/>
    </row>
    <row r="15" spans="4:15" ht="15.75" thickBot="1" x14ac:dyDescent="0.3">
      <c r="D15" s="6" t="s">
        <v>73</v>
      </c>
      <c r="E15" s="21" t="s">
        <v>75</v>
      </c>
      <c r="F15" s="126"/>
      <c r="N15"/>
      <c r="O15"/>
    </row>
    <row r="16" spans="4:15" ht="15.75" thickBot="1" x14ac:dyDescent="0.3">
      <c r="N16"/>
      <c r="O16"/>
    </row>
    <row r="17" spans="1:15" x14ac:dyDescent="0.25">
      <c r="D17" s="111" t="s">
        <v>0</v>
      </c>
      <c r="E17" s="112"/>
      <c r="F17" s="29" t="s">
        <v>15</v>
      </c>
      <c r="N17"/>
      <c r="O17"/>
    </row>
    <row r="18" spans="1:15" x14ac:dyDescent="0.25">
      <c r="A18" t="s">
        <v>71</v>
      </c>
      <c r="D18" s="3" t="s">
        <v>38</v>
      </c>
      <c r="E18" s="13" t="str">
        <f>E26</f>
        <v>7M GnHCl, 100mM Tris pH 8.3, 5mM L-Met</v>
      </c>
      <c r="F18" s="113" t="s">
        <v>98</v>
      </c>
      <c r="N18"/>
      <c r="O18"/>
    </row>
    <row r="19" spans="1:15" x14ac:dyDescent="0.25">
      <c r="D19" s="3" t="s">
        <v>54</v>
      </c>
      <c r="E19" s="13" t="s">
        <v>66</v>
      </c>
      <c r="F19" s="114"/>
      <c r="N19"/>
      <c r="O19"/>
    </row>
    <row r="20" spans="1:15" x14ac:dyDescent="0.25">
      <c r="D20" s="3" t="s">
        <v>52</v>
      </c>
      <c r="E20" s="13" t="s">
        <v>59</v>
      </c>
      <c r="F20" s="114"/>
      <c r="N20"/>
      <c r="O20"/>
    </row>
    <row r="21" spans="1:15" x14ac:dyDescent="0.25">
      <c r="D21" s="3" t="s">
        <v>11</v>
      </c>
      <c r="E21" s="13">
        <v>0</v>
      </c>
      <c r="F21" s="114"/>
      <c r="N21"/>
      <c r="O21"/>
    </row>
    <row r="22" spans="1:15" ht="15.75" thickBot="1" x14ac:dyDescent="0.3">
      <c r="D22" s="4" t="s">
        <v>41</v>
      </c>
      <c r="E22" s="14" t="s">
        <v>42</v>
      </c>
      <c r="F22" s="115"/>
      <c r="N22"/>
      <c r="O22"/>
    </row>
    <row r="23" spans="1:15" ht="15.75" thickBot="1" x14ac:dyDescent="0.3">
      <c r="N23"/>
      <c r="O23"/>
    </row>
    <row r="24" spans="1:15" x14ac:dyDescent="0.25">
      <c r="D24" s="104" t="s">
        <v>16</v>
      </c>
      <c r="E24" s="105"/>
      <c r="F24" s="26" t="s">
        <v>15</v>
      </c>
      <c r="N24"/>
      <c r="O24"/>
    </row>
    <row r="25" spans="1:15" x14ac:dyDescent="0.25">
      <c r="D25" s="7" t="s">
        <v>38</v>
      </c>
      <c r="E25" s="15" t="str">
        <f>E3</f>
        <v>Sample</v>
      </c>
      <c r="F25" s="121"/>
      <c r="N25"/>
      <c r="O25"/>
    </row>
    <row r="26" spans="1:15" x14ac:dyDescent="0.25">
      <c r="D26" s="7" t="s">
        <v>3</v>
      </c>
      <c r="E26" s="15" t="s">
        <v>97</v>
      </c>
      <c r="F26" s="122"/>
      <c r="N26"/>
      <c r="O26"/>
    </row>
    <row r="27" spans="1:15" x14ac:dyDescent="0.25">
      <c r="D27" s="7" t="s">
        <v>6</v>
      </c>
      <c r="E27" s="15" t="str">
        <f>Worklist!E1</f>
        <v>Concentration</v>
      </c>
      <c r="F27" s="122"/>
      <c r="N27"/>
      <c r="O27"/>
    </row>
    <row r="28" spans="1:15" x14ac:dyDescent="0.25">
      <c r="D28" s="7" t="s">
        <v>7</v>
      </c>
      <c r="E28" s="15">
        <v>1</v>
      </c>
      <c r="F28" s="122"/>
      <c r="N28"/>
      <c r="O28"/>
    </row>
    <row r="29" spans="1:15" x14ac:dyDescent="0.25">
      <c r="D29" s="7" t="s">
        <v>10</v>
      </c>
      <c r="E29" s="15">
        <v>100</v>
      </c>
      <c r="F29" s="122"/>
      <c r="N29"/>
      <c r="O29"/>
    </row>
    <row r="30" spans="1:15" ht="15.75" thickBot="1" x14ac:dyDescent="0.3">
      <c r="D30" s="8" t="s">
        <v>109</v>
      </c>
      <c r="E30" s="16">
        <v>100</v>
      </c>
      <c r="F30" s="123"/>
      <c r="N30"/>
      <c r="O30"/>
    </row>
    <row r="31" spans="1:15" ht="15.75" thickBot="1" x14ac:dyDescent="0.3">
      <c r="D31" s="47"/>
      <c r="E31" s="47"/>
      <c r="N31"/>
      <c r="O31"/>
    </row>
    <row r="32" spans="1:15" x14ac:dyDescent="0.25">
      <c r="D32" s="111" t="s">
        <v>0</v>
      </c>
      <c r="E32" s="112"/>
      <c r="F32" s="29" t="s">
        <v>15</v>
      </c>
      <c r="N32"/>
      <c r="O32"/>
    </row>
    <row r="33" spans="4:15" x14ac:dyDescent="0.25">
      <c r="D33" s="3" t="s">
        <v>38</v>
      </c>
      <c r="E33" s="13" t="s">
        <v>99</v>
      </c>
      <c r="F33" s="113"/>
      <c r="N33"/>
      <c r="O33"/>
    </row>
    <row r="34" spans="4:15" x14ac:dyDescent="0.25">
      <c r="D34" s="3" t="s">
        <v>54</v>
      </c>
      <c r="E34" s="13" t="s">
        <v>62</v>
      </c>
      <c r="F34" s="114"/>
      <c r="N34"/>
      <c r="O34"/>
    </row>
    <row r="35" spans="4:15" x14ac:dyDescent="0.25">
      <c r="D35" s="3" t="s">
        <v>52</v>
      </c>
      <c r="E35" s="13" t="s">
        <v>59</v>
      </c>
      <c r="F35" s="114"/>
      <c r="N35"/>
      <c r="O35"/>
    </row>
    <row r="36" spans="4:15" x14ac:dyDescent="0.25">
      <c r="D36" s="3" t="s">
        <v>11</v>
      </c>
      <c r="E36" s="13">
        <v>4</v>
      </c>
      <c r="F36" s="114"/>
      <c r="N36"/>
      <c r="O36"/>
    </row>
    <row r="37" spans="4:15" ht="15.75" thickBot="1" x14ac:dyDescent="0.3">
      <c r="D37" s="4" t="s">
        <v>41</v>
      </c>
      <c r="E37" s="14" t="s">
        <v>42</v>
      </c>
      <c r="F37" s="115"/>
      <c r="N37"/>
      <c r="O37"/>
    </row>
    <row r="38" spans="4:15" ht="15.75" thickBot="1" x14ac:dyDescent="0.3">
      <c r="N38"/>
      <c r="O38"/>
    </row>
    <row r="39" spans="4:15" x14ac:dyDescent="0.25">
      <c r="D39" s="80" t="s">
        <v>39</v>
      </c>
      <c r="E39" s="81"/>
      <c r="F39" s="28" t="s">
        <v>15</v>
      </c>
      <c r="N39"/>
      <c r="O39"/>
    </row>
    <row r="40" spans="4:15" x14ac:dyDescent="0.25">
      <c r="D40" s="11" t="s">
        <v>12</v>
      </c>
      <c r="E40" s="22">
        <v>30</v>
      </c>
      <c r="F40" s="118"/>
      <c r="N40"/>
      <c r="O40"/>
    </row>
    <row r="41" spans="4:15" x14ac:dyDescent="0.25">
      <c r="D41" s="11" t="s">
        <v>9</v>
      </c>
      <c r="E41" s="22">
        <v>30</v>
      </c>
      <c r="F41" s="119"/>
      <c r="N41"/>
      <c r="O41"/>
    </row>
    <row r="42" spans="4:15" ht="15.75" thickBot="1" x14ac:dyDescent="0.3">
      <c r="D42" s="12" t="s">
        <v>20</v>
      </c>
      <c r="E42" s="23">
        <v>0</v>
      </c>
      <c r="F42" s="120"/>
      <c r="N42"/>
      <c r="O42"/>
    </row>
    <row r="43" spans="4:15" ht="15.75" thickBot="1" x14ac:dyDescent="0.3">
      <c r="N43"/>
      <c r="O43"/>
    </row>
    <row r="44" spans="4:15" x14ac:dyDescent="0.25">
      <c r="D44" s="111" t="s">
        <v>0</v>
      </c>
      <c r="E44" s="112"/>
      <c r="F44" s="29" t="s">
        <v>15</v>
      </c>
      <c r="N44"/>
      <c r="O44"/>
    </row>
    <row r="45" spans="4:15" x14ac:dyDescent="0.25">
      <c r="D45" s="3" t="s">
        <v>38</v>
      </c>
      <c r="E45" s="13" t="s">
        <v>100</v>
      </c>
      <c r="F45" s="113"/>
      <c r="N45"/>
      <c r="O45"/>
    </row>
    <row r="46" spans="4:15" x14ac:dyDescent="0.25">
      <c r="D46" s="3" t="s">
        <v>54</v>
      </c>
      <c r="E46" s="13" t="s">
        <v>63</v>
      </c>
      <c r="F46" s="114"/>
      <c r="N46"/>
      <c r="O46"/>
    </row>
    <row r="47" spans="4:15" x14ac:dyDescent="0.25">
      <c r="D47" s="3" t="s">
        <v>52</v>
      </c>
      <c r="E47" s="13" t="s">
        <v>59</v>
      </c>
      <c r="F47" s="114"/>
      <c r="N47"/>
      <c r="O47"/>
    </row>
    <row r="48" spans="4:15" x14ac:dyDescent="0.25">
      <c r="D48" s="3" t="s">
        <v>11</v>
      </c>
      <c r="E48" s="13">
        <v>6</v>
      </c>
      <c r="F48" s="114"/>
      <c r="N48"/>
      <c r="O48"/>
    </row>
    <row r="49" spans="4:15" ht="15.75" thickBot="1" x14ac:dyDescent="0.3">
      <c r="D49" s="4" t="s">
        <v>41</v>
      </c>
      <c r="E49" s="14" t="s">
        <v>42</v>
      </c>
      <c r="F49" s="115"/>
      <c r="N49"/>
      <c r="O49"/>
    </row>
    <row r="50" spans="4:15" ht="15.75" thickBot="1" x14ac:dyDescent="0.3">
      <c r="N50"/>
      <c r="O50"/>
    </row>
    <row r="51" spans="4:15" x14ac:dyDescent="0.25">
      <c r="D51" s="80" t="s">
        <v>39</v>
      </c>
      <c r="E51" s="81"/>
      <c r="F51" s="28" t="s">
        <v>15</v>
      </c>
      <c r="N51"/>
      <c r="O51"/>
    </row>
    <row r="52" spans="4:15" x14ac:dyDescent="0.25">
      <c r="D52" s="11" t="s">
        <v>12</v>
      </c>
      <c r="E52" s="22">
        <v>25</v>
      </c>
      <c r="F52" s="118"/>
      <c r="N52"/>
      <c r="O52"/>
    </row>
    <row r="53" spans="4:15" x14ac:dyDescent="0.25">
      <c r="D53" s="11" t="s">
        <v>9</v>
      </c>
      <c r="E53" s="22">
        <v>30</v>
      </c>
      <c r="F53" s="119"/>
      <c r="N53"/>
      <c r="O53"/>
    </row>
    <row r="54" spans="4:15" ht="15.75" thickBot="1" x14ac:dyDescent="0.3">
      <c r="D54" s="12" t="s">
        <v>20</v>
      </c>
      <c r="E54" s="23">
        <v>0</v>
      </c>
      <c r="F54" s="120"/>
      <c r="N54"/>
      <c r="O54"/>
    </row>
    <row r="55" spans="4:15" ht="15.75" thickBot="1" x14ac:dyDescent="0.3">
      <c r="D55" s="24"/>
      <c r="E55" s="24"/>
      <c r="N55"/>
      <c r="O55"/>
    </row>
    <row r="56" spans="4:15" x14ac:dyDescent="0.25">
      <c r="D56" s="74" t="s">
        <v>2</v>
      </c>
      <c r="E56" s="75"/>
      <c r="F56" s="42" t="s">
        <v>15</v>
      </c>
      <c r="N56"/>
      <c r="O56"/>
    </row>
    <row r="57" spans="4:15" x14ac:dyDescent="0.25">
      <c r="D57" s="31" t="s">
        <v>1</v>
      </c>
      <c r="E57" s="53" t="s">
        <v>101</v>
      </c>
      <c r="F57" s="116"/>
      <c r="N57"/>
      <c r="O57"/>
    </row>
    <row r="58" spans="4:15" ht="15.75" thickBot="1" x14ac:dyDescent="0.3">
      <c r="D58" s="1" t="s">
        <v>25</v>
      </c>
      <c r="E58" s="33" t="s">
        <v>34</v>
      </c>
      <c r="F58" s="117"/>
      <c r="N58"/>
      <c r="O58"/>
    </row>
    <row r="59" spans="4:15" ht="15.75" thickBot="1" x14ac:dyDescent="0.3">
      <c r="N59"/>
      <c r="O59"/>
    </row>
    <row r="60" spans="4:15" x14ac:dyDescent="0.25">
      <c r="D60" s="72" t="s">
        <v>5</v>
      </c>
      <c r="E60" s="73"/>
      <c r="F60" s="46" t="s">
        <v>15</v>
      </c>
      <c r="N60"/>
      <c r="O60"/>
    </row>
    <row r="61" spans="4:15" x14ac:dyDescent="0.25">
      <c r="D61" s="5" t="s">
        <v>38</v>
      </c>
      <c r="E61" s="20" t="str">
        <f>E9</f>
        <v>Denaturation</v>
      </c>
      <c r="F61" s="124"/>
      <c r="N61"/>
      <c r="O61"/>
    </row>
    <row r="62" spans="4:15" x14ac:dyDescent="0.25">
      <c r="D62" s="5" t="s">
        <v>37</v>
      </c>
      <c r="E62" s="20" t="s">
        <v>103</v>
      </c>
      <c r="F62" s="125"/>
      <c r="N62"/>
      <c r="O62"/>
    </row>
    <row r="63" spans="4:15" ht="15.75" thickBot="1" x14ac:dyDescent="0.3">
      <c r="D63" s="6" t="s">
        <v>25</v>
      </c>
      <c r="E63" s="21" t="s">
        <v>67</v>
      </c>
      <c r="F63" s="126"/>
      <c r="N63"/>
      <c r="O63"/>
    </row>
    <row r="64" spans="4:15" ht="15.75" thickBot="1" x14ac:dyDescent="0.3">
      <c r="N64"/>
      <c r="O64"/>
    </row>
    <row r="65" spans="4:15" x14ac:dyDescent="0.25">
      <c r="D65" s="74" t="s">
        <v>2</v>
      </c>
      <c r="E65" s="75"/>
      <c r="F65" s="42" t="s">
        <v>15</v>
      </c>
      <c r="N65"/>
      <c r="O65"/>
    </row>
    <row r="66" spans="4:15" x14ac:dyDescent="0.25">
      <c r="D66" s="31" t="s">
        <v>1</v>
      </c>
      <c r="E66" s="53" t="s">
        <v>102</v>
      </c>
      <c r="F66" s="116"/>
      <c r="N66"/>
      <c r="O66"/>
    </row>
    <row r="67" spans="4:15" ht="15.75" thickBot="1" x14ac:dyDescent="0.3">
      <c r="D67" s="1" t="s">
        <v>25</v>
      </c>
      <c r="E67" s="33" t="s">
        <v>34</v>
      </c>
      <c r="F67" s="117"/>
      <c r="N67"/>
      <c r="O67"/>
    </row>
    <row r="68" spans="4:15" ht="15.75" thickBot="1" x14ac:dyDescent="0.3">
      <c r="D68" s="24"/>
      <c r="E68" s="24"/>
      <c r="N68"/>
      <c r="O68"/>
    </row>
    <row r="69" spans="4:15" x14ac:dyDescent="0.25">
      <c r="D69" s="74" t="s">
        <v>21</v>
      </c>
      <c r="E69" s="75"/>
      <c r="F69" s="40" t="s">
        <v>15</v>
      </c>
      <c r="N69"/>
      <c r="O69"/>
    </row>
    <row r="70" spans="4:15" x14ac:dyDescent="0.25">
      <c r="D70" s="31" t="s">
        <v>49</v>
      </c>
      <c r="E70" s="32" t="s">
        <v>42</v>
      </c>
      <c r="F70" s="60"/>
      <c r="N70"/>
      <c r="O70"/>
    </row>
    <row r="71" spans="4:15" x14ac:dyDescent="0.25">
      <c r="D71" s="31" t="s">
        <v>22</v>
      </c>
      <c r="E71" s="45" t="s">
        <v>104</v>
      </c>
      <c r="F71" s="61"/>
      <c r="N71"/>
      <c r="O71"/>
    </row>
    <row r="72" spans="4:15" ht="60.75" thickBot="1" x14ac:dyDescent="0.3">
      <c r="D72" s="1" t="s">
        <v>23</v>
      </c>
      <c r="E72" s="44" t="s">
        <v>105</v>
      </c>
      <c r="F72" s="62"/>
      <c r="N72"/>
      <c r="O72"/>
    </row>
    <row r="73" spans="4:15" ht="15.75" thickBot="1" x14ac:dyDescent="0.3">
      <c r="D73" s="24"/>
      <c r="E73" s="24"/>
      <c r="N73"/>
      <c r="O73"/>
    </row>
    <row r="74" spans="4:15" x14ac:dyDescent="0.25">
      <c r="D74" s="104" t="s">
        <v>16</v>
      </c>
      <c r="E74" s="105"/>
      <c r="F74" s="26" t="s">
        <v>15</v>
      </c>
      <c r="N74"/>
      <c r="O74"/>
    </row>
    <row r="75" spans="4:15" x14ac:dyDescent="0.25">
      <c r="D75" s="7" t="s">
        <v>38</v>
      </c>
      <c r="E75" s="15" t="str">
        <f>E57</f>
        <v>Desalting</v>
      </c>
      <c r="F75" s="121"/>
      <c r="N75"/>
      <c r="O75"/>
    </row>
    <row r="76" spans="4:15" x14ac:dyDescent="0.25">
      <c r="D76" s="7" t="s">
        <v>3</v>
      </c>
      <c r="E76" s="15" t="str">
        <f>E62</f>
        <v>50mM Tris pH 7.9</v>
      </c>
      <c r="F76" s="122"/>
      <c r="N76"/>
      <c r="O76"/>
    </row>
    <row r="77" spans="4:15" x14ac:dyDescent="0.25">
      <c r="D77" s="7" t="s">
        <v>6</v>
      </c>
      <c r="E77" s="15" t="str">
        <f>Worklist!F1</f>
        <v>Desalting Concentration</v>
      </c>
      <c r="F77" s="122"/>
      <c r="N77"/>
      <c r="O77"/>
    </row>
    <row r="78" spans="4:15" x14ac:dyDescent="0.25">
      <c r="D78" s="7" t="s">
        <v>7</v>
      </c>
      <c r="E78" s="15">
        <v>0.5</v>
      </c>
      <c r="F78" s="122"/>
      <c r="N78"/>
      <c r="O78"/>
    </row>
    <row r="79" spans="4:15" x14ac:dyDescent="0.25">
      <c r="D79" s="7" t="s">
        <v>10</v>
      </c>
      <c r="E79" s="15">
        <v>100</v>
      </c>
      <c r="F79" s="122"/>
      <c r="N79"/>
      <c r="O79"/>
    </row>
    <row r="80" spans="4:15" ht="15.75" thickBot="1" x14ac:dyDescent="0.3">
      <c r="D80" s="8" t="s">
        <v>109</v>
      </c>
      <c r="E80" s="16">
        <v>70</v>
      </c>
      <c r="F80" s="123"/>
      <c r="N80"/>
      <c r="O80"/>
    </row>
    <row r="81" spans="4:15" ht="15.75" thickBot="1" x14ac:dyDescent="0.3">
      <c r="N81"/>
      <c r="O81"/>
    </row>
    <row r="82" spans="4:15" x14ac:dyDescent="0.25">
      <c r="D82" s="111" t="s">
        <v>0</v>
      </c>
      <c r="E82" s="112"/>
      <c r="F82" s="29" t="s">
        <v>15</v>
      </c>
      <c r="N82"/>
      <c r="O82"/>
    </row>
    <row r="83" spans="4:15" x14ac:dyDescent="0.25">
      <c r="D83" s="3" t="s">
        <v>38</v>
      </c>
      <c r="E83" s="13" t="s">
        <v>108</v>
      </c>
      <c r="F83" s="113"/>
      <c r="N83"/>
      <c r="O83"/>
    </row>
    <row r="84" spans="4:15" x14ac:dyDescent="0.25">
      <c r="D84" s="3" t="s">
        <v>54</v>
      </c>
      <c r="E84" s="13" t="s">
        <v>66</v>
      </c>
      <c r="F84" s="114"/>
      <c r="N84"/>
      <c r="O84"/>
    </row>
    <row r="85" spans="4:15" x14ac:dyDescent="0.25">
      <c r="D85" s="3" t="s">
        <v>52</v>
      </c>
      <c r="E85" s="13" t="s">
        <v>59</v>
      </c>
      <c r="F85" s="114"/>
      <c r="N85"/>
      <c r="O85"/>
    </row>
    <row r="86" spans="4:15" x14ac:dyDescent="0.25">
      <c r="D86" s="3" t="s">
        <v>11</v>
      </c>
      <c r="E86" s="13">
        <v>15.4</v>
      </c>
      <c r="F86" s="114"/>
      <c r="N86"/>
      <c r="O86"/>
    </row>
    <row r="87" spans="4:15" ht="15.75" thickBot="1" x14ac:dyDescent="0.3">
      <c r="D87" s="4" t="s">
        <v>41</v>
      </c>
      <c r="E87" s="14" t="s">
        <v>42</v>
      </c>
      <c r="F87" s="115"/>
      <c r="N87"/>
      <c r="O87"/>
    </row>
    <row r="88" spans="4:15" ht="15.75" thickBot="1" x14ac:dyDescent="0.3">
      <c r="N88"/>
      <c r="O88"/>
    </row>
    <row r="89" spans="4:15" x14ac:dyDescent="0.25">
      <c r="D89" s="111" t="s">
        <v>0</v>
      </c>
      <c r="E89" s="112"/>
      <c r="F89" s="29" t="s">
        <v>15</v>
      </c>
      <c r="N89"/>
      <c r="O89"/>
    </row>
    <row r="90" spans="4:15" x14ac:dyDescent="0.25">
      <c r="D90" s="3" t="s">
        <v>38</v>
      </c>
      <c r="E90" s="13" t="s">
        <v>110</v>
      </c>
      <c r="F90" s="113"/>
      <c r="N90"/>
      <c r="O90"/>
    </row>
    <row r="91" spans="4:15" x14ac:dyDescent="0.25">
      <c r="D91" s="3" t="s">
        <v>54</v>
      </c>
      <c r="E91" s="13" t="s">
        <v>14</v>
      </c>
      <c r="F91" s="114"/>
      <c r="N91"/>
      <c r="O91"/>
    </row>
    <row r="92" spans="4:15" x14ac:dyDescent="0.25">
      <c r="D92" s="3" t="s">
        <v>52</v>
      </c>
      <c r="E92" s="13" t="s">
        <v>60</v>
      </c>
      <c r="F92" s="114"/>
      <c r="N92"/>
      <c r="O92"/>
    </row>
    <row r="93" spans="4:15" x14ac:dyDescent="0.25">
      <c r="D93" s="3" t="s">
        <v>11</v>
      </c>
      <c r="E93" s="13">
        <v>5</v>
      </c>
      <c r="F93" s="114"/>
      <c r="N93"/>
      <c r="O93"/>
    </row>
    <row r="94" spans="4:15" ht="15.75" thickBot="1" x14ac:dyDescent="0.3">
      <c r="D94" s="4" t="s">
        <v>41</v>
      </c>
      <c r="E94" s="14" t="s">
        <v>42</v>
      </c>
      <c r="F94" s="115"/>
      <c r="N94"/>
      <c r="O94"/>
    </row>
    <row r="95" spans="4:15" ht="15.75" thickBot="1" x14ac:dyDescent="0.3">
      <c r="D95" s="24"/>
      <c r="E95" s="24"/>
      <c r="N95"/>
      <c r="O95"/>
    </row>
    <row r="96" spans="4:15" x14ac:dyDescent="0.25">
      <c r="D96" s="80" t="s">
        <v>39</v>
      </c>
      <c r="E96" s="81"/>
      <c r="F96" s="28" t="s">
        <v>15</v>
      </c>
      <c r="N96"/>
      <c r="O96"/>
    </row>
    <row r="97" spans="2:15" x14ac:dyDescent="0.25">
      <c r="D97" s="11" t="s">
        <v>12</v>
      </c>
      <c r="E97" s="22">
        <v>37</v>
      </c>
      <c r="F97" s="118"/>
      <c r="N97"/>
      <c r="O97"/>
    </row>
    <row r="98" spans="2:15" x14ac:dyDescent="0.25">
      <c r="D98" s="11" t="s">
        <v>9</v>
      </c>
      <c r="E98" s="22">
        <v>55</v>
      </c>
      <c r="F98" s="119"/>
      <c r="N98"/>
      <c r="O98"/>
    </row>
    <row r="99" spans="2:15" ht="15.75" thickBot="1" x14ac:dyDescent="0.3">
      <c r="D99" s="12" t="s">
        <v>20</v>
      </c>
      <c r="E99" s="23">
        <v>0</v>
      </c>
      <c r="F99" s="120"/>
      <c r="N99"/>
      <c r="O99"/>
    </row>
    <row r="100" spans="2:15" ht="24.75" customHeight="1" thickBot="1" x14ac:dyDescent="0.3">
      <c r="N100"/>
      <c r="O100"/>
    </row>
    <row r="101" spans="2:15" ht="15.75" customHeight="1" x14ac:dyDescent="0.25">
      <c r="D101" s="106" t="s">
        <v>4</v>
      </c>
      <c r="E101" s="107"/>
      <c r="F101" s="25" t="s">
        <v>15</v>
      </c>
      <c r="N101"/>
      <c r="O101"/>
    </row>
    <row r="102" spans="2:15" ht="15.75" customHeight="1" x14ac:dyDescent="0.25">
      <c r="D102" s="9" t="s">
        <v>24</v>
      </c>
      <c r="E102" s="18" t="str">
        <f>Worklist!H1</f>
        <v>_55min</v>
      </c>
      <c r="F102" s="108"/>
      <c r="N102"/>
      <c r="O102"/>
    </row>
    <row r="103" spans="2:15" ht="15.75" customHeight="1" x14ac:dyDescent="0.25">
      <c r="D103" s="9" t="s">
        <v>35</v>
      </c>
      <c r="E103" s="18" t="s">
        <v>111</v>
      </c>
      <c r="F103" s="109"/>
      <c r="N103"/>
      <c r="O103"/>
    </row>
    <row r="104" spans="2:15" ht="15.75" customHeight="1" thickBot="1" x14ac:dyDescent="0.3">
      <c r="D104" s="10" t="s">
        <v>36</v>
      </c>
      <c r="E104" s="19" t="s">
        <v>102</v>
      </c>
      <c r="F104" s="110"/>
      <c r="N104"/>
      <c r="O104"/>
    </row>
    <row r="105" spans="2:15" ht="15.75" customHeight="1" thickBot="1" x14ac:dyDescent="0.3">
      <c r="N105"/>
      <c r="O105"/>
    </row>
    <row r="106" spans="2:15" ht="24.75" customHeight="1" x14ac:dyDescent="0.25">
      <c r="B106" s="74" t="s">
        <v>2</v>
      </c>
      <c r="C106" s="75"/>
      <c r="D106" s="42" t="s">
        <v>15</v>
      </c>
      <c r="F106" s="74" t="s">
        <v>2</v>
      </c>
      <c r="G106" s="75"/>
      <c r="H106" s="42" t="s">
        <v>15</v>
      </c>
      <c r="N106"/>
      <c r="O106"/>
    </row>
    <row r="107" spans="2:15" ht="24.75" customHeight="1" thickBot="1" x14ac:dyDescent="0.3">
      <c r="B107" s="31" t="s">
        <v>1</v>
      </c>
      <c r="C107" s="19" t="s">
        <v>102</v>
      </c>
      <c r="D107" s="85"/>
      <c r="F107" s="31" t="s">
        <v>1</v>
      </c>
      <c r="G107" s="18" t="s">
        <v>111</v>
      </c>
      <c r="H107" s="85" t="s">
        <v>115</v>
      </c>
      <c r="N107"/>
      <c r="O107"/>
    </row>
    <row r="108" spans="2:15" ht="15.75" thickBot="1" x14ac:dyDescent="0.3">
      <c r="B108" s="43" t="s">
        <v>25</v>
      </c>
      <c r="C108" s="33" t="s">
        <v>34</v>
      </c>
      <c r="D108" s="86"/>
      <c r="F108" s="43" t="s">
        <v>25</v>
      </c>
      <c r="G108" s="33" t="s">
        <v>34</v>
      </c>
      <c r="H108" s="86"/>
      <c r="N108"/>
      <c r="O108"/>
    </row>
    <row r="109" spans="2:15" ht="15.75" thickBot="1" x14ac:dyDescent="0.3">
      <c r="F109" s="57"/>
      <c r="G109" s="47"/>
      <c r="H109" s="58"/>
      <c r="N109"/>
      <c r="O109"/>
    </row>
    <row r="110" spans="2:15" x14ac:dyDescent="0.25">
      <c r="B110" s="80" t="s">
        <v>39</v>
      </c>
      <c r="C110" s="81"/>
      <c r="D110" s="28" t="s">
        <v>15</v>
      </c>
      <c r="F110" s="111" t="s">
        <v>0</v>
      </c>
      <c r="G110" s="112"/>
      <c r="H110" s="29" t="s">
        <v>15</v>
      </c>
      <c r="N110"/>
      <c r="O110"/>
    </row>
    <row r="111" spans="2:15" x14ac:dyDescent="0.25">
      <c r="B111" s="11" t="s">
        <v>12</v>
      </c>
      <c r="C111" s="22">
        <v>37</v>
      </c>
      <c r="D111" s="118"/>
      <c r="F111" s="3" t="s">
        <v>38</v>
      </c>
      <c r="G111" s="13" t="s">
        <v>102</v>
      </c>
      <c r="H111" s="113"/>
      <c r="N111"/>
      <c r="O111"/>
    </row>
    <row r="112" spans="2:15" x14ac:dyDescent="0.25">
      <c r="B112" s="11" t="s">
        <v>9</v>
      </c>
      <c r="C112" s="22">
        <v>10</v>
      </c>
      <c r="D112" s="119"/>
      <c r="F112" s="3" t="s">
        <v>54</v>
      </c>
      <c r="G112" s="13" t="s">
        <v>2</v>
      </c>
      <c r="H112" s="114"/>
      <c r="N112"/>
      <c r="O112"/>
    </row>
    <row r="113" spans="1:15" ht="15.75" thickBot="1" x14ac:dyDescent="0.3">
      <c r="B113" s="12" t="s">
        <v>20</v>
      </c>
      <c r="C113" s="23">
        <v>0</v>
      </c>
      <c r="D113" s="120"/>
      <c r="F113" s="3" t="s">
        <v>52</v>
      </c>
      <c r="G113" s="13" t="s">
        <v>59</v>
      </c>
      <c r="H113" s="114"/>
      <c r="N113"/>
      <c r="O113"/>
    </row>
    <row r="114" spans="1:15" ht="15.75" thickBot="1" x14ac:dyDescent="0.3">
      <c r="F114" s="3" t="s">
        <v>11</v>
      </c>
      <c r="G114" s="13">
        <v>120</v>
      </c>
      <c r="H114" s="114"/>
      <c r="N114"/>
      <c r="O114"/>
    </row>
    <row r="115" spans="1:15" ht="15.75" thickBot="1" x14ac:dyDescent="0.3">
      <c r="B115" s="106" t="s">
        <v>4</v>
      </c>
      <c r="C115" s="107"/>
      <c r="D115" s="25" t="s">
        <v>15</v>
      </c>
      <c r="F115" s="4" t="s">
        <v>41</v>
      </c>
      <c r="G115" s="14" t="s">
        <v>43</v>
      </c>
      <c r="H115" s="115"/>
      <c r="N115"/>
      <c r="O115"/>
    </row>
    <row r="116" spans="1:15" ht="15.75" thickBot="1" x14ac:dyDescent="0.3">
      <c r="B116" s="9" t="s">
        <v>24</v>
      </c>
      <c r="C116" s="18" t="s">
        <v>111</v>
      </c>
      <c r="D116" s="108"/>
      <c r="N116"/>
      <c r="O116"/>
    </row>
    <row r="117" spans="1:15" x14ac:dyDescent="0.25">
      <c r="B117" s="9" t="s">
        <v>35</v>
      </c>
      <c r="C117" s="18" t="s">
        <v>111</v>
      </c>
      <c r="D117" s="109"/>
      <c r="F117" s="111" t="s">
        <v>0</v>
      </c>
      <c r="G117" s="112"/>
      <c r="H117" s="29" t="s">
        <v>15</v>
      </c>
      <c r="N117"/>
      <c r="O117"/>
    </row>
    <row r="118" spans="1:15" ht="15.75" thickBot="1" x14ac:dyDescent="0.3">
      <c r="B118" s="10" t="s">
        <v>36</v>
      </c>
      <c r="C118" s="19" t="s">
        <v>312</v>
      </c>
      <c r="D118" s="110"/>
      <c r="F118" s="3" t="s">
        <v>38</v>
      </c>
      <c r="G118" s="13" t="s">
        <v>112</v>
      </c>
      <c r="H118" s="113"/>
      <c r="N118"/>
      <c r="O118"/>
    </row>
    <row r="119" spans="1:15" x14ac:dyDescent="0.25">
      <c r="F119" s="3" t="s">
        <v>54</v>
      </c>
      <c r="G119" s="13" t="s">
        <v>64</v>
      </c>
      <c r="H119" s="114"/>
      <c r="N119"/>
      <c r="O119"/>
    </row>
    <row r="120" spans="1:15" x14ac:dyDescent="0.25">
      <c r="F120" s="3" t="s">
        <v>52</v>
      </c>
      <c r="G120" s="13" t="s">
        <v>59</v>
      </c>
      <c r="H120" s="114"/>
      <c r="N120"/>
      <c r="O120"/>
    </row>
    <row r="121" spans="1:15" x14ac:dyDescent="0.25">
      <c r="F121" s="3" t="s">
        <v>11</v>
      </c>
      <c r="G121" s="13">
        <v>2</v>
      </c>
      <c r="H121" s="114"/>
      <c r="N121"/>
      <c r="O121"/>
    </row>
    <row r="122" spans="1:15" ht="15.75" thickBot="1" x14ac:dyDescent="0.3">
      <c r="F122" s="4" t="s">
        <v>41</v>
      </c>
      <c r="G122" s="14" t="s">
        <v>42</v>
      </c>
      <c r="H122" s="115"/>
      <c r="N122"/>
      <c r="O122"/>
    </row>
    <row r="123" spans="1:15" ht="15.75" thickBot="1" x14ac:dyDescent="0.3">
      <c r="N123"/>
      <c r="O123"/>
    </row>
    <row r="124" spans="1:15" x14ac:dyDescent="0.25">
      <c r="F124" s="74" t="s">
        <v>51</v>
      </c>
      <c r="G124" s="75"/>
      <c r="H124" s="42" t="s">
        <v>15</v>
      </c>
      <c r="N124"/>
      <c r="O124"/>
    </row>
    <row r="125" spans="1:15" x14ac:dyDescent="0.25">
      <c r="F125" s="76"/>
      <c r="G125" s="77"/>
      <c r="H125" s="85"/>
      <c r="N125"/>
      <c r="O125"/>
    </row>
    <row r="126" spans="1:15" ht="15.75" thickBot="1" x14ac:dyDescent="0.3">
      <c r="F126" s="78"/>
      <c r="G126" s="79"/>
      <c r="H126" s="86"/>
      <c r="N126"/>
      <c r="O126"/>
    </row>
    <row r="127" spans="1:15" ht="15.75" thickBot="1" x14ac:dyDescent="0.3">
      <c r="N127"/>
      <c r="O127"/>
    </row>
    <row r="128" spans="1:15" x14ac:dyDescent="0.25">
      <c r="A128" s="74" t="s">
        <v>2</v>
      </c>
      <c r="B128" s="75"/>
      <c r="C128" s="42" t="s">
        <v>15</v>
      </c>
      <c r="E128" s="74" t="s">
        <v>2</v>
      </c>
      <c r="F128" s="75"/>
      <c r="G128" s="42" t="s">
        <v>15</v>
      </c>
      <c r="N128"/>
      <c r="O128"/>
    </row>
    <row r="129" spans="1:15" ht="15.75" thickBot="1" x14ac:dyDescent="0.3">
      <c r="A129" s="31" t="s">
        <v>1</v>
      </c>
      <c r="B129" s="19" t="s">
        <v>312</v>
      </c>
      <c r="C129" s="85"/>
      <c r="E129" s="31" t="s">
        <v>1</v>
      </c>
      <c r="F129" s="153" t="s">
        <v>111</v>
      </c>
      <c r="G129" s="85" t="s">
        <v>116</v>
      </c>
      <c r="N129"/>
      <c r="O129"/>
    </row>
    <row r="130" spans="1:15" ht="15.75" thickBot="1" x14ac:dyDescent="0.3">
      <c r="A130" s="43" t="s">
        <v>25</v>
      </c>
      <c r="B130" s="33" t="s">
        <v>34</v>
      </c>
      <c r="C130" s="86"/>
      <c r="E130" s="43" t="s">
        <v>25</v>
      </c>
      <c r="F130" s="33" t="s">
        <v>34</v>
      </c>
      <c r="G130" s="86"/>
      <c r="N130"/>
      <c r="O130"/>
    </row>
    <row r="131" spans="1:15" ht="15.75" thickBot="1" x14ac:dyDescent="0.3">
      <c r="J131" s="24"/>
      <c r="N131"/>
      <c r="O131"/>
    </row>
    <row r="132" spans="1:15" x14ac:dyDescent="0.25">
      <c r="A132" s="74" t="s">
        <v>51</v>
      </c>
      <c r="B132" s="75"/>
      <c r="C132" s="42" t="s">
        <v>15</v>
      </c>
      <c r="E132" s="111" t="s">
        <v>0</v>
      </c>
      <c r="F132" s="112"/>
      <c r="G132" s="29" t="s">
        <v>15</v>
      </c>
      <c r="J132" s="24"/>
      <c r="N132"/>
      <c r="O132"/>
    </row>
    <row r="133" spans="1:15" x14ac:dyDescent="0.25">
      <c r="A133" s="76"/>
      <c r="B133" s="77"/>
      <c r="C133" s="85"/>
      <c r="E133" s="3" t="s">
        <v>38</v>
      </c>
      <c r="F133" s="13" t="s">
        <v>102</v>
      </c>
      <c r="G133" s="113"/>
    </row>
    <row r="134" spans="1:15" ht="15.75" thickBot="1" x14ac:dyDescent="0.3">
      <c r="A134" s="78"/>
      <c r="B134" s="79"/>
      <c r="C134" s="86"/>
      <c r="E134" s="3" t="s">
        <v>54</v>
      </c>
      <c r="F134" s="13" t="s">
        <v>2</v>
      </c>
      <c r="G134" s="114"/>
    </row>
    <row r="135" spans="1:15" x14ac:dyDescent="0.25">
      <c r="E135" s="3" t="s">
        <v>52</v>
      </c>
      <c r="F135" s="13" t="s">
        <v>59</v>
      </c>
      <c r="G135" s="114"/>
    </row>
    <row r="136" spans="1:15" x14ac:dyDescent="0.25">
      <c r="E136" s="3" t="s">
        <v>11</v>
      </c>
      <c r="F136" s="13">
        <v>120</v>
      </c>
      <c r="G136" s="114"/>
    </row>
    <row r="137" spans="1:15" ht="15.75" thickBot="1" x14ac:dyDescent="0.3">
      <c r="E137" s="4" t="s">
        <v>41</v>
      </c>
      <c r="F137" s="14" t="s">
        <v>42</v>
      </c>
      <c r="G137" s="115"/>
    </row>
    <row r="138" spans="1:15" ht="15.75" thickBot="1" x14ac:dyDescent="0.3">
      <c r="I138" s="24"/>
      <c r="K138" s="24"/>
      <c r="L138" s="24"/>
      <c r="N138"/>
      <c r="O138"/>
    </row>
    <row r="139" spans="1:15" x14ac:dyDescent="0.25">
      <c r="E139" s="111" t="s">
        <v>0</v>
      </c>
      <c r="F139" s="112"/>
      <c r="G139" s="29" t="s">
        <v>15</v>
      </c>
      <c r="I139" s="24"/>
      <c r="K139" s="24"/>
      <c r="L139" s="24"/>
      <c r="N139"/>
      <c r="O139"/>
    </row>
    <row r="140" spans="1:15" x14ac:dyDescent="0.25">
      <c r="E140" s="3" t="s">
        <v>38</v>
      </c>
      <c r="F140" s="13" t="s">
        <v>112</v>
      </c>
      <c r="G140" s="113"/>
      <c r="K140" s="24"/>
      <c r="L140" s="24"/>
      <c r="N140"/>
      <c r="O140"/>
    </row>
    <row r="141" spans="1:15" x14ac:dyDescent="0.25">
      <c r="E141" s="3" t="s">
        <v>54</v>
      </c>
      <c r="F141" s="13" t="s">
        <v>64</v>
      </c>
      <c r="G141" s="114"/>
      <c r="K141" s="24"/>
      <c r="L141" s="24"/>
      <c r="N141"/>
      <c r="O141"/>
    </row>
    <row r="142" spans="1:15" x14ac:dyDescent="0.25">
      <c r="E142" s="3" t="s">
        <v>52</v>
      </c>
      <c r="F142" s="13" t="s">
        <v>59</v>
      </c>
      <c r="G142" s="114"/>
      <c r="K142" s="24"/>
      <c r="L142" s="24"/>
      <c r="N142"/>
      <c r="O142"/>
    </row>
    <row r="143" spans="1:15" x14ac:dyDescent="0.25">
      <c r="E143" s="3" t="s">
        <v>11</v>
      </c>
      <c r="F143" s="13">
        <v>2</v>
      </c>
      <c r="G143" s="114"/>
      <c r="K143" s="24"/>
      <c r="L143" s="24"/>
      <c r="N143"/>
      <c r="O143"/>
    </row>
    <row r="144" spans="1:15" ht="15.75" thickBot="1" x14ac:dyDescent="0.3">
      <c r="E144" s="4" t="s">
        <v>41</v>
      </c>
      <c r="F144" s="14" t="s">
        <v>42</v>
      </c>
      <c r="G144" s="115"/>
      <c r="K144" s="24"/>
      <c r="L144" s="24"/>
      <c r="N144"/>
      <c r="O144"/>
    </row>
    <row r="145" spans="4:15" ht="15.75" thickBot="1" x14ac:dyDescent="0.3">
      <c r="K145" s="24"/>
      <c r="L145" s="24"/>
      <c r="N145"/>
      <c r="O145"/>
    </row>
    <row r="146" spans="4:15" x14ac:dyDescent="0.25">
      <c r="E146" s="74" t="s">
        <v>21</v>
      </c>
      <c r="F146" s="75"/>
      <c r="G146" s="40" t="s">
        <v>15</v>
      </c>
      <c r="K146" s="24"/>
      <c r="L146" s="24"/>
      <c r="N146"/>
      <c r="O146"/>
    </row>
    <row r="147" spans="4:15" x14ac:dyDescent="0.25">
      <c r="E147" s="31" t="s">
        <v>49</v>
      </c>
      <c r="F147" s="32" t="s">
        <v>42</v>
      </c>
      <c r="G147" s="60"/>
      <c r="K147" s="24"/>
      <c r="L147" s="24"/>
      <c r="N147"/>
      <c r="O147"/>
    </row>
    <row r="148" spans="4:15" x14ac:dyDescent="0.25">
      <c r="E148" s="31" t="s">
        <v>22</v>
      </c>
      <c r="F148" s="45" t="s">
        <v>106</v>
      </c>
      <c r="G148" s="61"/>
      <c r="K148" s="24"/>
      <c r="L148" s="24"/>
      <c r="N148"/>
      <c r="O148"/>
    </row>
    <row r="149" spans="4:15" ht="30.75" thickBot="1" x14ac:dyDescent="0.3">
      <c r="E149" s="1" t="s">
        <v>23</v>
      </c>
      <c r="F149" s="44" t="s">
        <v>107</v>
      </c>
      <c r="G149" s="62"/>
      <c r="K149" s="24"/>
      <c r="L149" s="24"/>
      <c r="N149"/>
      <c r="O149"/>
    </row>
    <row r="150" spans="4:15" ht="15.75" thickBot="1" x14ac:dyDescent="0.3">
      <c r="K150" s="24"/>
      <c r="L150" s="24"/>
      <c r="N150"/>
      <c r="O150"/>
    </row>
    <row r="151" spans="4:15" x14ac:dyDescent="0.25">
      <c r="E151" s="74" t="s">
        <v>51</v>
      </c>
      <c r="F151" s="75"/>
      <c r="G151" s="42" t="s">
        <v>15</v>
      </c>
      <c r="K151" s="24"/>
      <c r="L151" s="24"/>
      <c r="N151"/>
      <c r="O151"/>
    </row>
    <row r="152" spans="4:15" x14ac:dyDescent="0.25">
      <c r="E152" s="76"/>
      <c r="F152" s="77"/>
      <c r="G152" s="116"/>
      <c r="K152" s="24"/>
      <c r="L152" s="24"/>
      <c r="N152"/>
      <c r="O152"/>
    </row>
    <row r="153" spans="4:15" ht="15.75" thickBot="1" x14ac:dyDescent="0.3">
      <c r="D153" s="47"/>
      <c r="E153" s="78"/>
      <c r="F153" s="79"/>
      <c r="G153" s="117"/>
    </row>
    <row r="154" spans="4:15" x14ac:dyDescent="0.25">
      <c r="D154" s="47"/>
    </row>
    <row r="155" spans="4:15" x14ac:dyDescent="0.25">
      <c r="D155" s="47"/>
    </row>
    <row r="167" spans="5:5" x14ac:dyDescent="0.25">
      <c r="E167" s="47"/>
    </row>
    <row r="168" spans="5:5" x14ac:dyDescent="0.25">
      <c r="E168" s="47"/>
    </row>
    <row r="169" spans="5:5" x14ac:dyDescent="0.25">
      <c r="E169" s="47"/>
    </row>
  </sheetData>
  <mergeCells count="68">
    <mergeCell ref="D39:E39"/>
    <mergeCell ref="F40:F42"/>
    <mergeCell ref="D44:E44"/>
    <mergeCell ref="D12:E12"/>
    <mergeCell ref="F13:F15"/>
    <mergeCell ref="D17:E17"/>
    <mergeCell ref="F18:F22"/>
    <mergeCell ref="D24:E24"/>
    <mergeCell ref="D2:E2"/>
    <mergeCell ref="F3:F4"/>
    <mergeCell ref="D6:E6"/>
    <mergeCell ref="D8:E8"/>
    <mergeCell ref="F9:F10"/>
    <mergeCell ref="F97:F99"/>
    <mergeCell ref="D101:E101"/>
    <mergeCell ref="F102:F104"/>
    <mergeCell ref="E139:F139"/>
    <mergeCell ref="E132:F132"/>
    <mergeCell ref="D82:E82"/>
    <mergeCell ref="F83:F87"/>
    <mergeCell ref="D89:E89"/>
    <mergeCell ref="F90:F94"/>
    <mergeCell ref="D96:E96"/>
    <mergeCell ref="F25:F30"/>
    <mergeCell ref="F75:F80"/>
    <mergeCell ref="F66:F67"/>
    <mergeCell ref="D69:E69"/>
    <mergeCell ref="F70:F72"/>
    <mergeCell ref="D74:E74"/>
    <mergeCell ref="D56:E56"/>
    <mergeCell ref="F57:F58"/>
    <mergeCell ref="D60:E60"/>
    <mergeCell ref="F61:F63"/>
    <mergeCell ref="D65:E65"/>
    <mergeCell ref="F45:F49"/>
    <mergeCell ref="D51:E51"/>
    <mergeCell ref="F52:F54"/>
    <mergeCell ref="D32:E32"/>
    <mergeCell ref="F33:F37"/>
    <mergeCell ref="B106:C106"/>
    <mergeCell ref="D107:D108"/>
    <mergeCell ref="F106:G106"/>
    <mergeCell ref="H107:H108"/>
    <mergeCell ref="B110:C110"/>
    <mergeCell ref="F110:G110"/>
    <mergeCell ref="D111:D113"/>
    <mergeCell ref="B115:C115"/>
    <mergeCell ref="D116:D118"/>
    <mergeCell ref="H125:H126"/>
    <mergeCell ref="H111:H115"/>
    <mergeCell ref="F117:G117"/>
    <mergeCell ref="F124:G124"/>
    <mergeCell ref="F125:G126"/>
    <mergeCell ref="E128:F128"/>
    <mergeCell ref="G129:G130"/>
    <mergeCell ref="H118:H122"/>
    <mergeCell ref="E152:F153"/>
    <mergeCell ref="G152:G153"/>
    <mergeCell ref="A128:B128"/>
    <mergeCell ref="C129:C130"/>
    <mergeCell ref="A132:B132"/>
    <mergeCell ref="A133:B134"/>
    <mergeCell ref="C133:C134"/>
    <mergeCell ref="G133:G137"/>
    <mergeCell ref="G140:G144"/>
    <mergeCell ref="E146:F146"/>
    <mergeCell ref="G147:G149"/>
    <mergeCell ref="E151:F15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0000000}">
          <x14:formula1>
            <xm:f>'___Dropdown values'!$B$4:$B$6</xm:f>
          </x14:formula1>
          <xm:sqref>E4</xm:sqref>
        </x14:dataValidation>
        <x14:dataValidation type="list" allowBlank="1" showInputMessage="1" showErrorMessage="1" xr:uid="{00000000-0002-0000-0200-000001000000}">
          <x14:formula1>
            <xm:f>'___Dropdown values'!$B$10:$B$17</xm:f>
          </x14:formula1>
          <xm:sqref>E84 G112 F134</xm:sqref>
        </x14:dataValidation>
        <x14:dataValidation type="list" allowBlank="1" showInputMessage="1" showErrorMessage="1" xr:uid="{00000000-0002-0000-0200-000002000000}">
          <x14:formula1>
            <xm:f>'___Dropdown values'!$B$20:$B$21</xm:f>
          </x14:formula1>
          <xm:sqref>E85</xm:sqref>
        </x14:dataValidation>
        <x14:dataValidation type="list" allowBlank="1" showInputMessage="1" showErrorMessage="1" xr:uid="{D134BD7C-A6D8-4E73-BADE-11DA45EDF476}">
          <x14:formula1>
            <xm:f>'___Dropdown values'!$B$4:$B$7</xm:f>
          </x14:formula1>
          <xm:sqref>C108 F130 B130 G108:G109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3"/>
  <sheetViews>
    <sheetView workbookViewId="0">
      <selection activeCell="C39" sqref="C39"/>
    </sheetView>
  </sheetViews>
  <sheetFormatPr defaultRowHeight="15" x14ac:dyDescent="0.25"/>
  <cols>
    <col min="1" max="1" width="9" bestFit="1" customWidth="1"/>
    <col min="2" max="2" width="20.42578125" customWidth="1"/>
    <col min="3" max="3" width="11.140625" bestFit="1" customWidth="1"/>
    <col min="4" max="4" width="17" bestFit="1" customWidth="1"/>
    <col min="5" max="5" width="14.5703125" customWidth="1"/>
    <col min="6" max="6" width="22.7109375" bestFit="1" customWidth="1"/>
    <col min="7" max="7" width="24" bestFit="1" customWidth="1"/>
    <col min="8" max="8" width="11.42578125" bestFit="1" customWidth="1"/>
    <col min="9" max="9" width="11.5703125" bestFit="1" customWidth="1"/>
    <col min="10" max="10" width="16.5703125" bestFit="1" customWidth="1"/>
    <col min="11" max="11" width="17.85546875" bestFit="1" customWidth="1"/>
  </cols>
  <sheetData>
    <row r="1" spans="1:8" x14ac:dyDescent="0.25">
      <c r="A1" t="s">
        <v>33</v>
      </c>
      <c r="B1" t="s">
        <v>48</v>
      </c>
      <c r="C1" t="s">
        <v>17</v>
      </c>
      <c r="D1" t="s">
        <v>83</v>
      </c>
      <c r="E1" t="s">
        <v>18</v>
      </c>
      <c r="F1" t="s">
        <v>70</v>
      </c>
      <c r="G1" t="s">
        <v>114</v>
      </c>
      <c r="H1" t="s">
        <v>113</v>
      </c>
    </row>
    <row r="2" spans="1:8" x14ac:dyDescent="0.25">
      <c r="A2">
        <f t="shared" ref="A2:A3" si="0">ROW(A1)</f>
        <v>1</v>
      </c>
      <c r="B2">
        <f t="shared" ref="B2" si="1">A2</f>
        <v>1</v>
      </c>
      <c r="C2" t="s">
        <v>19</v>
      </c>
      <c r="D2">
        <f>A2</f>
        <v>1</v>
      </c>
      <c r="E2">
        <v>10</v>
      </c>
      <c r="F2">
        <v>0</v>
      </c>
      <c r="G2" t="s">
        <v>42</v>
      </c>
      <c r="H2" t="str">
        <f>IF(G2="Yes",Method!E$103,Method!E$104)</f>
        <v>Final</v>
      </c>
    </row>
    <row r="3" spans="1:8" x14ac:dyDescent="0.25">
      <c r="A3">
        <f t="shared" si="0"/>
        <v>2</v>
      </c>
      <c r="B3">
        <f t="shared" ref="B3" si="2">A3</f>
        <v>2</v>
      </c>
      <c r="C3" t="s">
        <v>19</v>
      </c>
      <c r="D3">
        <f>A3</f>
        <v>2</v>
      </c>
      <c r="E3">
        <v>10</v>
      </c>
      <c r="F3">
        <v>0</v>
      </c>
      <c r="G3" t="s">
        <v>43</v>
      </c>
      <c r="H3" t="str">
        <f>IF(G3="Yes",Method!E$103,Method!E$104)</f>
        <v>Digestion</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8AF65-F105-41BC-9A36-B7C396B54C6D}">
  <dimension ref="B1:M59"/>
  <sheetViews>
    <sheetView workbookViewId="0"/>
  </sheetViews>
  <sheetFormatPr defaultRowHeight="15" x14ac:dyDescent="0.25"/>
  <cols>
    <col min="2" max="2" width="9.85546875" bestFit="1" customWidth="1"/>
  </cols>
  <sheetData>
    <row r="1" spans="2:13" ht="15.75" thickBot="1" x14ac:dyDescent="0.3"/>
    <row r="2" spans="2:13" ht="27" thickBot="1" x14ac:dyDescent="0.45">
      <c r="B2" s="129" t="s">
        <v>294</v>
      </c>
      <c r="C2" s="130"/>
      <c r="D2" s="130"/>
      <c r="E2" s="130"/>
      <c r="F2" s="130"/>
      <c r="G2" s="130"/>
      <c r="H2" s="130"/>
      <c r="I2" s="130"/>
      <c r="J2" s="130"/>
      <c r="K2" s="130"/>
      <c r="L2" s="130"/>
      <c r="M2" s="131"/>
    </row>
    <row r="3" spans="2:13" x14ac:dyDescent="0.25">
      <c r="B3" s="132" t="s">
        <v>310</v>
      </c>
      <c r="C3" s="133"/>
      <c r="D3" s="133"/>
      <c r="E3" s="133"/>
      <c r="F3" s="133"/>
      <c r="G3" s="133"/>
      <c r="H3" s="133"/>
      <c r="I3" s="133"/>
      <c r="J3" s="133"/>
      <c r="K3" s="133"/>
      <c r="L3" s="133"/>
      <c r="M3" s="134"/>
    </row>
    <row r="4" spans="2:13" x14ac:dyDescent="0.25">
      <c r="B4" s="135" t="s">
        <v>311</v>
      </c>
      <c r="C4" s="136"/>
      <c r="D4" s="136"/>
      <c r="E4" s="136"/>
      <c r="F4" s="136"/>
      <c r="G4" s="136"/>
      <c r="H4" s="136"/>
      <c r="I4" s="136"/>
      <c r="J4" s="136"/>
      <c r="K4" s="136"/>
      <c r="L4" s="136"/>
      <c r="M4" s="137"/>
    </row>
    <row r="5" spans="2:13" x14ac:dyDescent="0.25">
      <c r="B5" s="135"/>
      <c r="C5" s="136"/>
      <c r="D5" s="136"/>
      <c r="E5" s="136"/>
      <c r="F5" s="136"/>
      <c r="G5" s="136"/>
      <c r="H5" s="136"/>
      <c r="I5" s="136"/>
      <c r="J5" s="136"/>
      <c r="K5" s="136"/>
      <c r="L5" s="136"/>
      <c r="M5" s="137"/>
    </row>
    <row r="6" spans="2:13" x14ac:dyDescent="0.25">
      <c r="B6" s="135"/>
      <c r="C6" s="136"/>
      <c r="D6" s="136"/>
      <c r="E6" s="136"/>
      <c r="F6" s="136"/>
      <c r="G6" s="136"/>
      <c r="H6" s="136"/>
      <c r="I6" s="136"/>
      <c r="J6" s="136"/>
      <c r="K6" s="136"/>
      <c r="L6" s="136"/>
      <c r="M6" s="137"/>
    </row>
    <row r="7" spans="2:13" x14ac:dyDescent="0.25">
      <c r="B7" s="135"/>
      <c r="C7" s="136"/>
      <c r="D7" s="136"/>
      <c r="E7" s="136"/>
      <c r="F7" s="136"/>
      <c r="G7" s="136"/>
      <c r="H7" s="136"/>
      <c r="I7" s="136"/>
      <c r="J7" s="136"/>
      <c r="K7" s="136"/>
      <c r="L7" s="136"/>
      <c r="M7" s="137"/>
    </row>
    <row r="8" spans="2:13" x14ac:dyDescent="0.25">
      <c r="B8" s="135"/>
      <c r="C8" s="136"/>
      <c r="D8" s="136"/>
      <c r="E8" s="136"/>
      <c r="F8" s="136"/>
      <c r="G8" s="136"/>
      <c r="H8" s="136"/>
      <c r="I8" s="136"/>
      <c r="J8" s="136"/>
      <c r="K8" s="136"/>
      <c r="L8" s="136"/>
      <c r="M8" s="137"/>
    </row>
    <row r="9" spans="2:13" x14ac:dyDescent="0.25">
      <c r="B9" s="135"/>
      <c r="C9" s="136"/>
      <c r="D9" s="136"/>
      <c r="E9" s="136"/>
      <c r="F9" s="136"/>
      <c r="G9" s="136"/>
      <c r="H9" s="136"/>
      <c r="I9" s="136"/>
      <c r="J9" s="136"/>
      <c r="K9" s="136"/>
      <c r="L9" s="136"/>
      <c r="M9" s="137"/>
    </row>
    <row r="10" spans="2:13" ht="15.75" thickBot="1" x14ac:dyDescent="0.3">
      <c r="B10" s="55"/>
      <c r="C10" s="138"/>
      <c r="D10" s="138"/>
      <c r="E10" s="138"/>
      <c r="F10" s="138"/>
      <c r="G10" s="138"/>
      <c r="H10" s="138"/>
      <c r="I10" s="138"/>
      <c r="J10" s="138"/>
      <c r="K10" s="138"/>
      <c r="L10" s="138"/>
      <c r="M10" s="56"/>
    </row>
    <row r="14" spans="2:13" ht="15.75" thickBot="1" x14ac:dyDescent="0.3"/>
    <row r="15" spans="2:13" ht="19.5" thickBot="1" x14ac:dyDescent="0.35">
      <c r="B15" s="139" t="s">
        <v>97</v>
      </c>
      <c r="C15" s="140"/>
      <c r="D15" s="140"/>
      <c r="E15" s="140"/>
      <c r="F15" s="141"/>
      <c r="I15" s="139" t="s">
        <v>108</v>
      </c>
      <c r="J15" s="140"/>
      <c r="K15" s="140"/>
      <c r="L15" s="140"/>
      <c r="M15" s="141"/>
    </row>
    <row r="16" spans="2:13" ht="16.5" thickBot="1" x14ac:dyDescent="0.3">
      <c r="B16" s="142" t="s">
        <v>295</v>
      </c>
      <c r="C16" s="143"/>
      <c r="D16" s="143"/>
      <c r="E16" s="143"/>
      <c r="F16" s="144"/>
      <c r="I16" s="142" t="s">
        <v>295</v>
      </c>
      <c r="J16" s="143"/>
      <c r="K16" s="143"/>
      <c r="L16" s="143"/>
      <c r="M16" s="144"/>
    </row>
    <row r="17" spans="2:13" ht="16.5" thickBot="1" x14ac:dyDescent="0.3">
      <c r="B17" s="142" t="s">
        <v>296</v>
      </c>
      <c r="C17" s="143"/>
      <c r="D17" s="143"/>
      <c r="E17" s="143"/>
      <c r="F17" s="144"/>
      <c r="I17" s="142" t="s">
        <v>302</v>
      </c>
      <c r="J17" s="143"/>
      <c r="K17" s="143"/>
      <c r="L17" s="143"/>
      <c r="M17" s="144"/>
    </row>
    <row r="18" spans="2:13" x14ac:dyDescent="0.25">
      <c r="B18" s="128" t="s">
        <v>297</v>
      </c>
      <c r="C18" s="145"/>
      <c r="D18" s="145"/>
      <c r="E18" s="145"/>
      <c r="F18" s="150"/>
      <c r="I18" s="128" t="s">
        <v>297</v>
      </c>
      <c r="J18" s="145"/>
      <c r="K18" s="145"/>
      <c r="L18" s="145"/>
      <c r="M18" s="150"/>
    </row>
    <row r="19" spans="2:13" x14ac:dyDescent="0.25">
      <c r="B19" s="146" t="s">
        <v>298</v>
      </c>
      <c r="C19" s="147"/>
      <c r="D19" s="147"/>
      <c r="E19" s="147"/>
      <c r="F19" s="151"/>
      <c r="I19" s="146" t="s">
        <v>298</v>
      </c>
      <c r="J19" s="147"/>
      <c r="K19" s="147"/>
      <c r="L19" s="147"/>
      <c r="M19" s="151"/>
    </row>
    <row r="20" spans="2:13" x14ac:dyDescent="0.25">
      <c r="B20" s="146" t="s">
        <v>299</v>
      </c>
      <c r="C20" s="147"/>
      <c r="D20" s="147"/>
      <c r="E20" s="147"/>
      <c r="F20" s="151"/>
      <c r="I20" s="146" t="s">
        <v>299</v>
      </c>
      <c r="J20" s="147"/>
      <c r="K20" s="147"/>
      <c r="L20" s="147"/>
      <c r="M20" s="151"/>
    </row>
    <row r="21" spans="2:13" x14ac:dyDescent="0.25">
      <c r="B21" s="146" t="s">
        <v>3</v>
      </c>
      <c r="C21" s="147"/>
      <c r="D21" s="147"/>
      <c r="E21" s="147"/>
      <c r="F21" s="151"/>
      <c r="I21" s="146" t="s">
        <v>3</v>
      </c>
      <c r="J21" s="147"/>
      <c r="K21" s="147"/>
      <c r="L21" s="147"/>
      <c r="M21" s="151"/>
    </row>
    <row r="22" spans="2:13" x14ac:dyDescent="0.25">
      <c r="B22" s="146" t="s">
        <v>300</v>
      </c>
      <c r="C22" s="147"/>
      <c r="D22" s="147"/>
      <c r="E22" s="147"/>
      <c r="F22" s="151"/>
      <c r="I22" s="146" t="s">
        <v>300</v>
      </c>
      <c r="J22" s="147"/>
      <c r="K22" s="147"/>
      <c r="L22" s="147"/>
      <c r="M22" s="151"/>
    </row>
    <row r="23" spans="2:13" ht="15.75" thickBot="1" x14ac:dyDescent="0.3">
      <c r="B23" s="148" t="s">
        <v>301</v>
      </c>
      <c r="C23" s="149"/>
      <c r="D23" s="149"/>
      <c r="E23" s="149"/>
      <c r="F23" s="152"/>
      <c r="I23" s="148" t="s">
        <v>301</v>
      </c>
      <c r="J23" s="149"/>
      <c r="K23" s="149"/>
      <c r="L23" s="149"/>
      <c r="M23" s="152"/>
    </row>
    <row r="26" spans="2:13" ht="15.75" thickBot="1" x14ac:dyDescent="0.3"/>
    <row r="27" spans="2:13" ht="19.5" thickBot="1" x14ac:dyDescent="0.35">
      <c r="B27" s="139" t="s">
        <v>103</v>
      </c>
      <c r="C27" s="140"/>
      <c r="D27" s="140"/>
      <c r="E27" s="140"/>
      <c r="F27" s="141"/>
      <c r="I27" s="139" t="s">
        <v>110</v>
      </c>
      <c r="J27" s="140"/>
      <c r="K27" s="140"/>
      <c r="L27" s="140"/>
      <c r="M27" s="141"/>
    </row>
    <row r="28" spans="2:13" ht="16.5" thickBot="1" x14ac:dyDescent="0.3">
      <c r="B28" s="142" t="s">
        <v>303</v>
      </c>
      <c r="C28" s="143"/>
      <c r="D28" s="143"/>
      <c r="E28" s="143"/>
      <c r="F28" s="144"/>
      <c r="I28" s="142" t="s">
        <v>305</v>
      </c>
      <c r="J28" s="143"/>
      <c r="K28" s="143"/>
      <c r="L28" s="143"/>
      <c r="M28" s="144"/>
    </row>
    <row r="29" spans="2:13" ht="16.5" thickBot="1" x14ac:dyDescent="0.3">
      <c r="B29" s="142" t="s">
        <v>304</v>
      </c>
      <c r="C29" s="143"/>
      <c r="D29" s="143"/>
      <c r="E29" s="143"/>
      <c r="F29" s="144"/>
      <c r="I29" s="142" t="s">
        <v>306</v>
      </c>
      <c r="J29" s="143"/>
      <c r="K29" s="143"/>
      <c r="L29" s="143"/>
      <c r="M29" s="144"/>
    </row>
    <row r="30" spans="2:13" x14ac:dyDescent="0.25">
      <c r="B30" s="128" t="s">
        <v>297</v>
      </c>
      <c r="C30" s="145"/>
      <c r="D30" s="145"/>
      <c r="E30" s="145"/>
      <c r="F30" s="150"/>
      <c r="I30" s="128" t="s">
        <v>297</v>
      </c>
      <c r="J30" s="145"/>
      <c r="K30" s="145"/>
      <c r="L30" s="145"/>
      <c r="M30" s="150"/>
    </row>
    <row r="31" spans="2:13" x14ac:dyDescent="0.25">
      <c r="B31" s="146" t="s">
        <v>298</v>
      </c>
      <c r="C31" s="147"/>
      <c r="D31" s="147"/>
      <c r="E31" s="147"/>
      <c r="F31" s="151"/>
      <c r="I31" s="146" t="s">
        <v>298</v>
      </c>
      <c r="J31" s="147"/>
      <c r="K31" s="147"/>
      <c r="L31" s="147"/>
      <c r="M31" s="151"/>
    </row>
    <row r="32" spans="2:13" x14ac:dyDescent="0.25">
      <c r="B32" s="146" t="s">
        <v>299</v>
      </c>
      <c r="C32" s="147"/>
      <c r="D32" s="147"/>
      <c r="E32" s="147"/>
      <c r="F32" s="151"/>
      <c r="I32" s="146" t="s">
        <v>299</v>
      </c>
      <c r="J32" s="147"/>
      <c r="K32" s="147"/>
      <c r="L32" s="147"/>
      <c r="M32" s="151"/>
    </row>
    <row r="33" spans="2:13" x14ac:dyDescent="0.25">
      <c r="B33" s="146" t="s">
        <v>3</v>
      </c>
      <c r="C33" s="147"/>
      <c r="D33" s="147"/>
      <c r="E33" s="147"/>
      <c r="F33" s="151"/>
      <c r="I33" s="146" t="s">
        <v>3</v>
      </c>
      <c r="J33" s="147"/>
      <c r="K33" s="147"/>
      <c r="L33" s="147"/>
      <c r="M33" s="151"/>
    </row>
    <row r="34" spans="2:13" x14ac:dyDescent="0.25">
      <c r="B34" s="146" t="s">
        <v>300</v>
      </c>
      <c r="C34" s="147"/>
      <c r="D34" s="147"/>
      <c r="E34" s="147"/>
      <c r="F34" s="151"/>
      <c r="I34" s="146" t="s">
        <v>300</v>
      </c>
      <c r="J34" s="147"/>
      <c r="K34" s="147"/>
      <c r="L34" s="147"/>
      <c r="M34" s="151"/>
    </row>
    <row r="35" spans="2:13" ht="15.75" thickBot="1" x14ac:dyDescent="0.3">
      <c r="B35" s="148" t="s">
        <v>301</v>
      </c>
      <c r="C35" s="149"/>
      <c r="D35" s="149"/>
      <c r="E35" s="149"/>
      <c r="F35" s="152"/>
      <c r="I35" s="148" t="s">
        <v>301</v>
      </c>
      <c r="J35" s="149"/>
      <c r="K35" s="149"/>
      <c r="L35" s="149"/>
      <c r="M35" s="152"/>
    </row>
    <row r="38" spans="2:13" ht="15.75" thickBot="1" x14ac:dyDescent="0.3"/>
    <row r="39" spans="2:13" ht="19.5" thickBot="1" x14ac:dyDescent="0.35">
      <c r="B39" s="139" t="s">
        <v>112</v>
      </c>
      <c r="C39" s="140"/>
      <c r="D39" s="140"/>
      <c r="E39" s="140"/>
      <c r="F39" s="141"/>
      <c r="I39" s="139" t="s">
        <v>100</v>
      </c>
      <c r="J39" s="140"/>
      <c r="K39" s="140"/>
      <c r="L39" s="140"/>
      <c r="M39" s="141"/>
    </row>
    <row r="40" spans="2:13" ht="16.5" thickBot="1" x14ac:dyDescent="0.3">
      <c r="B40" s="142" t="s">
        <v>305</v>
      </c>
      <c r="C40" s="143"/>
      <c r="D40" s="143"/>
      <c r="E40" s="143"/>
      <c r="F40" s="144"/>
      <c r="I40" s="142" t="s">
        <v>305</v>
      </c>
      <c r="J40" s="143"/>
      <c r="K40" s="143"/>
      <c r="L40" s="143"/>
      <c r="M40" s="144"/>
    </row>
    <row r="41" spans="2:13" ht="16.5" thickBot="1" x14ac:dyDescent="0.3">
      <c r="B41" s="142" t="s">
        <v>307</v>
      </c>
      <c r="C41" s="143"/>
      <c r="D41" s="143"/>
      <c r="E41" s="143"/>
      <c r="F41" s="144"/>
      <c r="I41" s="142" t="s">
        <v>308</v>
      </c>
      <c r="J41" s="143"/>
      <c r="K41" s="143"/>
      <c r="L41" s="143"/>
      <c r="M41" s="144"/>
    </row>
    <row r="42" spans="2:13" x14ac:dyDescent="0.25">
      <c r="B42" s="128" t="s">
        <v>297</v>
      </c>
      <c r="C42" s="145"/>
      <c r="D42" s="145"/>
      <c r="E42" s="145"/>
      <c r="F42" s="150"/>
      <c r="I42" s="128" t="s">
        <v>297</v>
      </c>
      <c r="J42" s="145"/>
      <c r="K42" s="145"/>
      <c r="L42" s="145"/>
      <c r="M42" s="150"/>
    </row>
    <row r="43" spans="2:13" x14ac:dyDescent="0.25">
      <c r="B43" s="146" t="s">
        <v>298</v>
      </c>
      <c r="C43" s="147"/>
      <c r="D43" s="147"/>
      <c r="E43" s="147"/>
      <c r="F43" s="151"/>
      <c r="I43" s="146" t="s">
        <v>298</v>
      </c>
      <c r="J43" s="147"/>
      <c r="K43" s="147"/>
      <c r="L43" s="147"/>
      <c r="M43" s="151"/>
    </row>
    <row r="44" spans="2:13" x14ac:dyDescent="0.25">
      <c r="B44" s="146" t="s">
        <v>299</v>
      </c>
      <c r="C44" s="147"/>
      <c r="D44" s="147"/>
      <c r="E44" s="147"/>
      <c r="F44" s="151"/>
      <c r="I44" s="146" t="s">
        <v>299</v>
      </c>
      <c r="J44" s="147"/>
      <c r="K44" s="147"/>
      <c r="L44" s="147"/>
      <c r="M44" s="151"/>
    </row>
    <row r="45" spans="2:13" x14ac:dyDescent="0.25">
      <c r="B45" s="146" t="s">
        <v>3</v>
      </c>
      <c r="C45" s="147"/>
      <c r="D45" s="147"/>
      <c r="E45" s="147"/>
      <c r="F45" s="151"/>
      <c r="I45" s="146" t="s">
        <v>3</v>
      </c>
      <c r="J45" s="147"/>
      <c r="K45" s="147"/>
      <c r="L45" s="147"/>
      <c r="M45" s="151"/>
    </row>
    <row r="46" spans="2:13" x14ac:dyDescent="0.25">
      <c r="B46" s="146" t="s">
        <v>300</v>
      </c>
      <c r="C46" s="147"/>
      <c r="D46" s="147"/>
      <c r="E46" s="147"/>
      <c r="F46" s="151"/>
      <c r="I46" s="146" t="s">
        <v>300</v>
      </c>
      <c r="J46" s="147"/>
      <c r="K46" s="147"/>
      <c r="L46" s="147"/>
      <c r="M46" s="151"/>
    </row>
    <row r="47" spans="2:13" ht="15.75" thickBot="1" x14ac:dyDescent="0.3">
      <c r="B47" s="148" t="s">
        <v>301</v>
      </c>
      <c r="C47" s="149"/>
      <c r="D47" s="149"/>
      <c r="E47" s="149"/>
      <c r="F47" s="152"/>
      <c r="I47" s="148" t="s">
        <v>301</v>
      </c>
      <c r="J47" s="149"/>
      <c r="K47" s="149"/>
      <c r="L47" s="149"/>
      <c r="M47" s="152"/>
    </row>
    <row r="50" spans="2:6" ht="15.75" thickBot="1" x14ac:dyDescent="0.3"/>
    <row r="51" spans="2:6" ht="19.5" thickBot="1" x14ac:dyDescent="0.35">
      <c r="B51" s="139" t="s">
        <v>99</v>
      </c>
      <c r="C51" s="140"/>
      <c r="D51" s="140"/>
      <c r="E51" s="140"/>
      <c r="F51" s="141"/>
    </row>
    <row r="52" spans="2:6" ht="16.5" thickBot="1" x14ac:dyDescent="0.3">
      <c r="B52" s="142" t="s">
        <v>305</v>
      </c>
      <c r="C52" s="143"/>
      <c r="D52" s="143"/>
      <c r="E52" s="143"/>
      <c r="F52" s="144"/>
    </row>
    <row r="53" spans="2:6" ht="16.5" thickBot="1" x14ac:dyDescent="0.3">
      <c r="B53" s="142" t="s">
        <v>309</v>
      </c>
      <c r="C53" s="143"/>
      <c r="D53" s="143"/>
      <c r="E53" s="143"/>
      <c r="F53" s="144"/>
    </row>
    <row r="54" spans="2:6" x14ac:dyDescent="0.25">
      <c r="B54" s="128" t="s">
        <v>297</v>
      </c>
      <c r="C54" s="145"/>
      <c r="D54" s="145"/>
      <c r="E54" s="145"/>
      <c r="F54" s="150"/>
    </row>
    <row r="55" spans="2:6" x14ac:dyDescent="0.25">
      <c r="B55" s="146" t="s">
        <v>298</v>
      </c>
      <c r="C55" s="147"/>
      <c r="D55" s="147"/>
      <c r="E55" s="147"/>
      <c r="F55" s="151"/>
    </row>
    <row r="56" spans="2:6" x14ac:dyDescent="0.25">
      <c r="B56" s="146" t="s">
        <v>299</v>
      </c>
      <c r="C56" s="147"/>
      <c r="D56" s="147"/>
      <c r="E56" s="147"/>
      <c r="F56" s="151"/>
    </row>
    <row r="57" spans="2:6" x14ac:dyDescent="0.25">
      <c r="B57" s="146" t="s">
        <v>3</v>
      </c>
      <c r="C57" s="147"/>
      <c r="D57" s="147"/>
      <c r="E57" s="147"/>
      <c r="F57" s="151"/>
    </row>
    <row r="58" spans="2:6" x14ac:dyDescent="0.25">
      <c r="B58" s="146" t="s">
        <v>300</v>
      </c>
      <c r="C58" s="147"/>
      <c r="D58" s="147"/>
      <c r="E58" s="147"/>
      <c r="F58" s="151"/>
    </row>
    <row r="59" spans="2:6" ht="15.75" thickBot="1" x14ac:dyDescent="0.3">
      <c r="B59" s="148" t="s">
        <v>301</v>
      </c>
      <c r="C59" s="149"/>
      <c r="D59" s="149"/>
      <c r="E59" s="149"/>
      <c r="F59" s="152"/>
    </row>
  </sheetData>
  <mergeCells count="106">
    <mergeCell ref="B56:C56"/>
    <mergeCell ref="B57:C57"/>
    <mergeCell ref="B58:C58"/>
    <mergeCell ref="B59:C59"/>
    <mergeCell ref="D54:F54"/>
    <mergeCell ref="D55:F55"/>
    <mergeCell ref="D56:F56"/>
    <mergeCell ref="D57:F57"/>
    <mergeCell ref="D58:F58"/>
    <mergeCell ref="D59:F59"/>
    <mergeCell ref="K47:M47"/>
    <mergeCell ref="B51:F51"/>
    <mergeCell ref="B52:F52"/>
    <mergeCell ref="B53:F53"/>
    <mergeCell ref="B54:C54"/>
    <mergeCell ref="B55:C55"/>
    <mergeCell ref="I43:J43"/>
    <mergeCell ref="I44:J44"/>
    <mergeCell ref="I45:J45"/>
    <mergeCell ref="I46:J46"/>
    <mergeCell ref="I47:J47"/>
    <mergeCell ref="K42:M42"/>
    <mergeCell ref="K43:M43"/>
    <mergeCell ref="K44:M44"/>
    <mergeCell ref="K45:M45"/>
    <mergeCell ref="K46:M46"/>
    <mergeCell ref="B44:C44"/>
    <mergeCell ref="B45:C45"/>
    <mergeCell ref="B46:C46"/>
    <mergeCell ref="B47:C47"/>
    <mergeCell ref="D42:F42"/>
    <mergeCell ref="D43:F43"/>
    <mergeCell ref="D44:F44"/>
    <mergeCell ref="D45:F45"/>
    <mergeCell ref="D46:F46"/>
    <mergeCell ref="D47:F47"/>
    <mergeCell ref="K35:M35"/>
    <mergeCell ref="B39:F39"/>
    <mergeCell ref="B40:F40"/>
    <mergeCell ref="B41:F41"/>
    <mergeCell ref="B42:C42"/>
    <mergeCell ref="B43:C43"/>
    <mergeCell ref="I39:M39"/>
    <mergeCell ref="I40:M40"/>
    <mergeCell ref="I41:M41"/>
    <mergeCell ref="I42:J42"/>
    <mergeCell ref="I31:J31"/>
    <mergeCell ref="I32:J32"/>
    <mergeCell ref="I33:J33"/>
    <mergeCell ref="I34:J34"/>
    <mergeCell ref="I35:J35"/>
    <mergeCell ref="K30:M30"/>
    <mergeCell ref="K31:M31"/>
    <mergeCell ref="K32:M32"/>
    <mergeCell ref="K33:M33"/>
    <mergeCell ref="K34:M34"/>
    <mergeCell ref="B32:C32"/>
    <mergeCell ref="B33:C33"/>
    <mergeCell ref="B34:C34"/>
    <mergeCell ref="B35:C35"/>
    <mergeCell ref="D30:F30"/>
    <mergeCell ref="D31:F31"/>
    <mergeCell ref="D32:F32"/>
    <mergeCell ref="D33:F33"/>
    <mergeCell ref="D34:F34"/>
    <mergeCell ref="D35:F35"/>
    <mergeCell ref="K23:M23"/>
    <mergeCell ref="B27:F27"/>
    <mergeCell ref="B28:F28"/>
    <mergeCell ref="B29:F29"/>
    <mergeCell ref="B30:C30"/>
    <mergeCell ref="B31:C31"/>
    <mergeCell ref="I27:M27"/>
    <mergeCell ref="I28:M28"/>
    <mergeCell ref="I29:M29"/>
    <mergeCell ref="I30:J30"/>
    <mergeCell ref="I19:J19"/>
    <mergeCell ref="I20:J20"/>
    <mergeCell ref="I21:J21"/>
    <mergeCell ref="I22:J22"/>
    <mergeCell ref="I23:J23"/>
    <mergeCell ref="K18:M18"/>
    <mergeCell ref="K19:M19"/>
    <mergeCell ref="K20:M20"/>
    <mergeCell ref="K21:M21"/>
    <mergeCell ref="K22:M22"/>
    <mergeCell ref="B20:C20"/>
    <mergeCell ref="B21:C21"/>
    <mergeCell ref="B22:C22"/>
    <mergeCell ref="B23:C23"/>
    <mergeCell ref="D18:F18"/>
    <mergeCell ref="D19:F19"/>
    <mergeCell ref="D20:F20"/>
    <mergeCell ref="D21:F21"/>
    <mergeCell ref="D22:F22"/>
    <mergeCell ref="D23:F23"/>
    <mergeCell ref="B2:M2"/>
    <mergeCell ref="B15:F15"/>
    <mergeCell ref="B16:F16"/>
    <mergeCell ref="B17:F17"/>
    <mergeCell ref="B18:C18"/>
    <mergeCell ref="B19:C19"/>
    <mergeCell ref="I15:M15"/>
    <mergeCell ref="I16:M16"/>
    <mergeCell ref="I17:M17"/>
    <mergeCell ref="I18:J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5B8CA-2033-4F53-915E-04425AAC6FEF}">
  <dimension ref="B3:F542"/>
  <sheetViews>
    <sheetView workbookViewId="0"/>
  </sheetViews>
  <sheetFormatPr defaultRowHeight="15" x14ac:dyDescent="0.25"/>
  <sheetData>
    <row r="3" spans="2:5" x14ac:dyDescent="0.25">
      <c r="D3" t="s">
        <v>117</v>
      </c>
    </row>
    <row r="4" spans="2:5" x14ac:dyDescent="0.25">
      <c r="D4" t="s">
        <v>118</v>
      </c>
    </row>
    <row r="5" spans="2:5" x14ac:dyDescent="0.25">
      <c r="D5" t="s">
        <v>119</v>
      </c>
      <c r="E5">
        <v>1</v>
      </c>
    </row>
    <row r="6" spans="2:5" x14ac:dyDescent="0.25">
      <c r="D6" t="s">
        <v>120</v>
      </c>
      <c r="E6">
        <v>30</v>
      </c>
    </row>
    <row r="11" spans="2:5" x14ac:dyDescent="0.25">
      <c r="B11" t="s">
        <v>121</v>
      </c>
    </row>
    <row r="12" spans="2:5" x14ac:dyDescent="0.25">
      <c r="B12" t="s">
        <v>122</v>
      </c>
    </row>
    <row r="13" spans="2:5" x14ac:dyDescent="0.25">
      <c r="B13" t="s">
        <v>123</v>
      </c>
    </row>
    <row r="14" spans="2:5" x14ac:dyDescent="0.25">
      <c r="B14" t="s">
        <v>124</v>
      </c>
    </row>
    <row r="16" spans="2:5" x14ac:dyDescent="0.25">
      <c r="C16" t="s">
        <v>125</v>
      </c>
    </row>
    <row r="21" spans="2:2" x14ac:dyDescent="0.25">
      <c r="B21" t="s">
        <v>126</v>
      </c>
    </row>
    <row r="22" spans="2:2" x14ac:dyDescent="0.25">
      <c r="B22" t="s">
        <v>127</v>
      </c>
    </row>
    <row r="23" spans="2:2" x14ac:dyDescent="0.25">
      <c r="B23" t="s">
        <v>128</v>
      </c>
    </row>
    <row r="24" spans="2:2" x14ac:dyDescent="0.25">
      <c r="B24" t="s">
        <v>129</v>
      </c>
    </row>
    <row r="25" spans="2:2" x14ac:dyDescent="0.25">
      <c r="B25" t="s">
        <v>130</v>
      </c>
    </row>
    <row r="30" spans="2:2" x14ac:dyDescent="0.25">
      <c r="B30" t="s">
        <v>131</v>
      </c>
    </row>
    <row r="31" spans="2:2" x14ac:dyDescent="0.25">
      <c r="B31" t="s">
        <v>132</v>
      </c>
    </row>
    <row r="32" spans="2:2" x14ac:dyDescent="0.25">
      <c r="B32" t="s">
        <v>133</v>
      </c>
    </row>
    <row r="33" spans="2:5" x14ac:dyDescent="0.25">
      <c r="B33" t="s">
        <v>134</v>
      </c>
    </row>
    <row r="34" spans="2:5" x14ac:dyDescent="0.25">
      <c r="B34" t="s">
        <v>135</v>
      </c>
    </row>
    <row r="35" spans="2:5" x14ac:dyDescent="0.25">
      <c r="B35" t="s">
        <v>136</v>
      </c>
    </row>
    <row r="36" spans="2:5" x14ac:dyDescent="0.25">
      <c r="B36" t="s">
        <v>137</v>
      </c>
    </row>
    <row r="38" spans="2:5" x14ac:dyDescent="0.25">
      <c r="D38" t="s">
        <v>138</v>
      </c>
    </row>
    <row r="39" spans="2:5" x14ac:dyDescent="0.25">
      <c r="D39" t="s">
        <v>139</v>
      </c>
    </row>
    <row r="40" spans="2:5" x14ac:dyDescent="0.25">
      <c r="D40" t="s">
        <v>140</v>
      </c>
      <c r="E40" t="s">
        <v>141</v>
      </c>
    </row>
    <row r="41" spans="2:5" x14ac:dyDescent="0.25">
      <c r="D41" t="s">
        <v>142</v>
      </c>
    </row>
    <row r="42" spans="2:5" x14ac:dyDescent="0.25">
      <c r="C42" t="s">
        <v>143</v>
      </c>
    </row>
    <row r="48" spans="2:5" x14ac:dyDescent="0.25">
      <c r="B48" t="s">
        <v>144</v>
      </c>
    </row>
    <row r="49" spans="2:5" x14ac:dyDescent="0.25">
      <c r="B49" t="s">
        <v>145</v>
      </c>
    </row>
    <row r="50" spans="2:5" x14ac:dyDescent="0.25">
      <c r="B50" t="s">
        <v>128</v>
      </c>
    </row>
    <row r="51" spans="2:5" x14ac:dyDescent="0.25">
      <c r="B51" t="s">
        <v>146</v>
      </c>
    </row>
    <row r="52" spans="2:5" x14ac:dyDescent="0.25">
      <c r="B52" t="s">
        <v>147</v>
      </c>
    </row>
    <row r="53" spans="2:5" x14ac:dyDescent="0.25">
      <c r="B53" t="s">
        <v>148</v>
      </c>
    </row>
    <row r="54" spans="2:5" x14ac:dyDescent="0.25">
      <c r="B54" t="s">
        <v>149</v>
      </c>
    </row>
    <row r="55" spans="2:5" x14ac:dyDescent="0.25">
      <c r="B55" t="s">
        <v>150</v>
      </c>
    </row>
    <row r="57" spans="2:5" x14ac:dyDescent="0.25">
      <c r="D57" t="s">
        <v>138</v>
      </c>
    </row>
    <row r="58" spans="2:5" x14ac:dyDescent="0.25">
      <c r="D58" t="s">
        <v>139</v>
      </c>
    </row>
    <row r="59" spans="2:5" x14ac:dyDescent="0.25">
      <c r="D59" t="s">
        <v>140</v>
      </c>
      <c r="E59" t="s">
        <v>151</v>
      </c>
    </row>
    <row r="60" spans="2:5" x14ac:dyDescent="0.25">
      <c r="D60" t="s">
        <v>152</v>
      </c>
    </row>
    <row r="61" spans="2:5" x14ac:dyDescent="0.25">
      <c r="C61" t="s">
        <v>125</v>
      </c>
    </row>
    <row r="63" spans="2:5" x14ac:dyDescent="0.25">
      <c r="D63" t="s">
        <v>138</v>
      </c>
    </row>
    <row r="64" spans="2:5" x14ac:dyDescent="0.25">
      <c r="D64" t="s">
        <v>139</v>
      </c>
    </row>
    <row r="65" spans="3:6" x14ac:dyDescent="0.25">
      <c r="D65" t="s">
        <v>140</v>
      </c>
      <c r="E65" t="s">
        <v>153</v>
      </c>
    </row>
    <row r="66" spans="3:6" x14ac:dyDescent="0.25">
      <c r="D66" t="s">
        <v>154</v>
      </c>
      <c r="E66" t="s">
        <v>155</v>
      </c>
    </row>
    <row r="67" spans="3:6" x14ac:dyDescent="0.25">
      <c r="D67" t="s">
        <v>152</v>
      </c>
    </row>
    <row r="68" spans="3:6" x14ac:dyDescent="0.25">
      <c r="C68" t="s">
        <v>125</v>
      </c>
    </row>
    <row r="70" spans="3:6" x14ac:dyDescent="0.25">
      <c r="D70" t="s">
        <v>156</v>
      </c>
    </row>
    <row r="71" spans="3:6" x14ac:dyDescent="0.25">
      <c r="D71" t="s">
        <v>157</v>
      </c>
    </row>
    <row r="72" spans="3:6" x14ac:dyDescent="0.25">
      <c r="D72" t="s">
        <v>158</v>
      </c>
      <c r="E72" t="s">
        <v>96</v>
      </c>
      <c r="F72" t="s">
        <v>96</v>
      </c>
    </row>
    <row r="73" spans="3:6" x14ac:dyDescent="0.25">
      <c r="D73" t="s">
        <v>159</v>
      </c>
      <c r="E73">
        <v>1</v>
      </c>
      <c r="F73">
        <v>2</v>
      </c>
    </row>
    <row r="74" spans="3:6" x14ac:dyDescent="0.25">
      <c r="D74" t="s">
        <v>160</v>
      </c>
      <c r="E74" t="s">
        <v>97</v>
      </c>
      <c r="F74" t="s">
        <v>97</v>
      </c>
    </row>
    <row r="75" spans="3:6" x14ac:dyDescent="0.25">
      <c r="D75" t="s">
        <v>161</v>
      </c>
      <c r="E75">
        <v>1</v>
      </c>
      <c r="F75">
        <v>2</v>
      </c>
    </row>
    <row r="76" spans="3:6" x14ac:dyDescent="0.25">
      <c r="D76" t="s">
        <v>162</v>
      </c>
      <c r="E76">
        <v>90</v>
      </c>
      <c r="F76">
        <v>90</v>
      </c>
    </row>
    <row r="77" spans="3:6" x14ac:dyDescent="0.25">
      <c r="D77" t="s">
        <v>163</v>
      </c>
      <c r="E77">
        <v>0</v>
      </c>
      <c r="F77">
        <v>0</v>
      </c>
    </row>
    <row r="78" spans="3:6" x14ac:dyDescent="0.25">
      <c r="D78" t="s">
        <v>164</v>
      </c>
      <c r="E78">
        <v>0</v>
      </c>
      <c r="F78">
        <v>0</v>
      </c>
    </row>
    <row r="79" spans="3:6" x14ac:dyDescent="0.25">
      <c r="D79" t="s">
        <v>165</v>
      </c>
      <c r="E79" t="s">
        <v>43</v>
      </c>
      <c r="F79" t="s">
        <v>43</v>
      </c>
    </row>
    <row r="80" spans="3:6" x14ac:dyDescent="0.25">
      <c r="D80" t="s">
        <v>166</v>
      </c>
    </row>
    <row r="82" spans="3:6" x14ac:dyDescent="0.25">
      <c r="D82" t="s">
        <v>138</v>
      </c>
    </row>
    <row r="83" spans="3:6" x14ac:dyDescent="0.25">
      <c r="D83" t="s">
        <v>139</v>
      </c>
    </row>
    <row r="84" spans="3:6" x14ac:dyDescent="0.25">
      <c r="D84" t="s">
        <v>140</v>
      </c>
      <c r="E84" t="s">
        <v>153</v>
      </c>
    </row>
    <row r="85" spans="3:6" x14ac:dyDescent="0.25">
      <c r="D85" t="s">
        <v>167</v>
      </c>
      <c r="E85" t="s">
        <v>155</v>
      </c>
    </row>
    <row r="86" spans="3:6" x14ac:dyDescent="0.25">
      <c r="D86" t="s">
        <v>166</v>
      </c>
    </row>
    <row r="87" spans="3:6" x14ac:dyDescent="0.25">
      <c r="C87" t="s">
        <v>125</v>
      </c>
    </row>
    <row r="89" spans="3:6" x14ac:dyDescent="0.25">
      <c r="D89" t="s">
        <v>156</v>
      </c>
    </row>
    <row r="90" spans="3:6" x14ac:dyDescent="0.25">
      <c r="D90" t="s">
        <v>157</v>
      </c>
    </row>
    <row r="91" spans="3:6" x14ac:dyDescent="0.25">
      <c r="D91" t="s">
        <v>158</v>
      </c>
      <c r="E91" t="s">
        <v>96</v>
      </c>
      <c r="F91" t="s">
        <v>96</v>
      </c>
    </row>
    <row r="92" spans="3:6" x14ac:dyDescent="0.25">
      <c r="D92" t="s">
        <v>159</v>
      </c>
      <c r="E92">
        <v>1</v>
      </c>
      <c r="F92">
        <v>2</v>
      </c>
    </row>
    <row r="93" spans="3:6" x14ac:dyDescent="0.25">
      <c r="D93" t="s">
        <v>160</v>
      </c>
      <c r="E93" t="s">
        <v>13</v>
      </c>
      <c r="F93" t="s">
        <v>13</v>
      </c>
    </row>
    <row r="94" spans="3:6" x14ac:dyDescent="0.25">
      <c r="D94" t="s">
        <v>161</v>
      </c>
      <c r="E94">
        <v>1</v>
      </c>
      <c r="F94">
        <v>2</v>
      </c>
    </row>
    <row r="95" spans="3:6" x14ac:dyDescent="0.25">
      <c r="D95" t="s">
        <v>162</v>
      </c>
      <c r="E95">
        <v>10</v>
      </c>
      <c r="F95">
        <v>10</v>
      </c>
    </row>
    <row r="96" spans="3:6" x14ac:dyDescent="0.25">
      <c r="D96" t="s">
        <v>163</v>
      </c>
      <c r="E96">
        <v>0</v>
      </c>
      <c r="F96">
        <v>0</v>
      </c>
    </row>
    <row r="97" spans="2:6" x14ac:dyDescent="0.25">
      <c r="D97" t="s">
        <v>164</v>
      </c>
      <c r="E97">
        <v>90</v>
      </c>
      <c r="F97">
        <v>90</v>
      </c>
    </row>
    <row r="98" spans="2:6" x14ac:dyDescent="0.25">
      <c r="D98" t="s">
        <v>165</v>
      </c>
      <c r="E98" t="s">
        <v>42</v>
      </c>
      <c r="F98" t="s">
        <v>42</v>
      </c>
    </row>
    <row r="99" spans="2:6" x14ac:dyDescent="0.25">
      <c r="D99" t="s">
        <v>168</v>
      </c>
    </row>
    <row r="104" spans="2:6" x14ac:dyDescent="0.25">
      <c r="B104" t="s">
        <v>131</v>
      </c>
    </row>
    <row r="105" spans="2:6" x14ac:dyDescent="0.25">
      <c r="B105" t="s">
        <v>169</v>
      </c>
    </row>
    <row r="106" spans="2:6" x14ac:dyDescent="0.25">
      <c r="B106" t="s">
        <v>170</v>
      </c>
    </row>
    <row r="107" spans="2:6" x14ac:dyDescent="0.25">
      <c r="B107" t="s">
        <v>171</v>
      </c>
    </row>
    <row r="108" spans="2:6" x14ac:dyDescent="0.25">
      <c r="B108" t="s">
        <v>135</v>
      </c>
    </row>
    <row r="109" spans="2:6" x14ac:dyDescent="0.25">
      <c r="B109" t="s">
        <v>172</v>
      </c>
    </row>
    <row r="110" spans="2:6" x14ac:dyDescent="0.25">
      <c r="B110" t="s">
        <v>137</v>
      </c>
    </row>
    <row r="112" spans="2:6" x14ac:dyDescent="0.25">
      <c r="D112" t="s">
        <v>138</v>
      </c>
    </row>
    <row r="113" spans="3:6" x14ac:dyDescent="0.25">
      <c r="D113" t="s">
        <v>139</v>
      </c>
    </row>
    <row r="114" spans="3:6" x14ac:dyDescent="0.25">
      <c r="D114" t="s">
        <v>140</v>
      </c>
      <c r="E114" t="s">
        <v>173</v>
      </c>
    </row>
    <row r="115" spans="3:6" x14ac:dyDescent="0.25">
      <c r="D115" t="s">
        <v>174</v>
      </c>
    </row>
    <row r="116" spans="3:6" x14ac:dyDescent="0.25">
      <c r="C116" t="s">
        <v>125</v>
      </c>
    </row>
    <row r="118" spans="3:6" x14ac:dyDescent="0.25">
      <c r="D118" t="s">
        <v>156</v>
      </c>
    </row>
    <row r="119" spans="3:6" x14ac:dyDescent="0.25">
      <c r="D119" t="s">
        <v>157</v>
      </c>
    </row>
    <row r="120" spans="3:6" x14ac:dyDescent="0.25">
      <c r="D120" t="s">
        <v>158</v>
      </c>
      <c r="E120" t="s">
        <v>96</v>
      </c>
      <c r="F120" t="s">
        <v>96</v>
      </c>
    </row>
    <row r="121" spans="3:6" x14ac:dyDescent="0.25">
      <c r="D121" t="s">
        <v>159</v>
      </c>
      <c r="E121">
        <v>1</v>
      </c>
      <c r="F121">
        <v>2</v>
      </c>
    </row>
    <row r="122" spans="3:6" x14ac:dyDescent="0.25">
      <c r="D122" t="s">
        <v>160</v>
      </c>
      <c r="E122" t="s">
        <v>99</v>
      </c>
      <c r="F122" t="s">
        <v>99</v>
      </c>
    </row>
    <row r="123" spans="3:6" x14ac:dyDescent="0.25">
      <c r="D123" t="s">
        <v>161</v>
      </c>
      <c r="E123">
        <v>1</v>
      </c>
      <c r="F123">
        <v>2</v>
      </c>
    </row>
    <row r="124" spans="3:6" x14ac:dyDescent="0.25">
      <c r="D124" t="s">
        <v>162</v>
      </c>
      <c r="E124">
        <v>4</v>
      </c>
      <c r="F124">
        <v>4</v>
      </c>
    </row>
    <row r="125" spans="3:6" x14ac:dyDescent="0.25">
      <c r="D125" t="s">
        <v>163</v>
      </c>
      <c r="E125">
        <v>0</v>
      </c>
      <c r="F125">
        <v>0</v>
      </c>
    </row>
    <row r="126" spans="3:6" x14ac:dyDescent="0.25">
      <c r="D126" t="s">
        <v>164</v>
      </c>
      <c r="E126">
        <v>100</v>
      </c>
      <c r="F126">
        <v>100</v>
      </c>
    </row>
    <row r="127" spans="3:6" x14ac:dyDescent="0.25">
      <c r="D127" t="s">
        <v>165</v>
      </c>
      <c r="E127" t="s">
        <v>42</v>
      </c>
      <c r="F127" t="s">
        <v>42</v>
      </c>
    </row>
    <row r="128" spans="3:6" x14ac:dyDescent="0.25">
      <c r="D128" t="s">
        <v>175</v>
      </c>
    </row>
    <row r="133" spans="2:5" x14ac:dyDescent="0.25">
      <c r="B133" t="s">
        <v>176</v>
      </c>
    </row>
    <row r="134" spans="2:5" x14ac:dyDescent="0.25">
      <c r="B134" t="s">
        <v>177</v>
      </c>
    </row>
    <row r="135" spans="2:5" x14ac:dyDescent="0.25">
      <c r="B135" t="s">
        <v>178</v>
      </c>
    </row>
    <row r="136" spans="2:5" x14ac:dyDescent="0.25">
      <c r="B136" t="s">
        <v>179</v>
      </c>
    </row>
    <row r="137" spans="2:5" x14ac:dyDescent="0.25">
      <c r="B137" t="s">
        <v>180</v>
      </c>
    </row>
    <row r="139" spans="2:5" x14ac:dyDescent="0.25">
      <c r="C139" t="s">
        <v>125</v>
      </c>
    </row>
    <row r="140" spans="2:5" x14ac:dyDescent="0.25">
      <c r="D140" t="s">
        <v>138</v>
      </c>
    </row>
    <row r="141" spans="2:5" x14ac:dyDescent="0.25">
      <c r="D141" t="s">
        <v>139</v>
      </c>
    </row>
    <row r="142" spans="2:5" x14ac:dyDescent="0.25">
      <c r="D142" t="s">
        <v>140</v>
      </c>
      <c r="E142" t="s">
        <v>181</v>
      </c>
    </row>
    <row r="143" spans="2:5" x14ac:dyDescent="0.25">
      <c r="D143" t="s">
        <v>182</v>
      </c>
    </row>
    <row r="145" spans="4:5" x14ac:dyDescent="0.25">
      <c r="D145" t="s">
        <v>183</v>
      </c>
    </row>
    <row r="146" spans="4:5" x14ac:dyDescent="0.25">
      <c r="D146" t="s">
        <v>184</v>
      </c>
    </row>
    <row r="147" spans="4:5" x14ac:dyDescent="0.25">
      <c r="D147" t="s">
        <v>185</v>
      </c>
      <c r="E147">
        <v>1800</v>
      </c>
    </row>
    <row r="148" spans="4:5" x14ac:dyDescent="0.25">
      <c r="D148" t="s">
        <v>186</v>
      </c>
    </row>
    <row r="150" spans="4:5" x14ac:dyDescent="0.25">
      <c r="D150" t="s">
        <v>183</v>
      </c>
    </row>
    <row r="151" spans="4:5" x14ac:dyDescent="0.25">
      <c r="D151" t="s">
        <v>187</v>
      </c>
    </row>
    <row r="152" spans="4:5" x14ac:dyDescent="0.25">
      <c r="D152" t="s">
        <v>188</v>
      </c>
    </row>
    <row r="154" spans="4:5" x14ac:dyDescent="0.25">
      <c r="D154" t="s">
        <v>117</v>
      </c>
    </row>
    <row r="155" spans="4:5" x14ac:dyDescent="0.25">
      <c r="D155" t="s">
        <v>189</v>
      </c>
    </row>
    <row r="156" spans="4:5" x14ac:dyDescent="0.25">
      <c r="D156" t="s">
        <v>119</v>
      </c>
      <c r="E156">
        <v>1</v>
      </c>
    </row>
    <row r="158" spans="4:5" x14ac:dyDescent="0.25">
      <c r="D158" t="s">
        <v>117</v>
      </c>
    </row>
    <row r="159" spans="4:5" x14ac:dyDescent="0.25">
      <c r="D159" t="s">
        <v>118</v>
      </c>
    </row>
    <row r="160" spans="4:5" x14ac:dyDescent="0.25">
      <c r="D160" t="s">
        <v>119</v>
      </c>
      <c r="E160">
        <v>2</v>
      </c>
    </row>
    <row r="161" spans="2:5" x14ac:dyDescent="0.25">
      <c r="D161" t="s">
        <v>120</v>
      </c>
      <c r="E161">
        <v>25</v>
      </c>
    </row>
    <row r="166" spans="2:5" x14ac:dyDescent="0.25">
      <c r="B166" t="s">
        <v>131</v>
      </c>
    </row>
    <row r="167" spans="2:5" x14ac:dyDescent="0.25">
      <c r="B167" t="s">
        <v>190</v>
      </c>
    </row>
    <row r="168" spans="2:5" x14ac:dyDescent="0.25">
      <c r="B168" t="s">
        <v>191</v>
      </c>
    </row>
    <row r="169" spans="2:5" x14ac:dyDescent="0.25">
      <c r="B169" t="s">
        <v>192</v>
      </c>
    </row>
    <row r="170" spans="2:5" x14ac:dyDescent="0.25">
      <c r="B170" t="s">
        <v>135</v>
      </c>
    </row>
    <row r="171" spans="2:5" x14ac:dyDescent="0.25">
      <c r="B171" t="s">
        <v>193</v>
      </c>
    </row>
    <row r="172" spans="2:5" x14ac:dyDescent="0.25">
      <c r="B172" t="s">
        <v>137</v>
      </c>
    </row>
    <row r="174" spans="2:5" x14ac:dyDescent="0.25">
      <c r="D174" t="s">
        <v>138</v>
      </c>
    </row>
    <row r="175" spans="2:5" x14ac:dyDescent="0.25">
      <c r="D175" t="s">
        <v>139</v>
      </c>
    </row>
    <row r="176" spans="2:5" x14ac:dyDescent="0.25">
      <c r="D176" t="s">
        <v>140</v>
      </c>
      <c r="E176" t="s">
        <v>194</v>
      </c>
    </row>
    <row r="177" spans="3:6" x14ac:dyDescent="0.25">
      <c r="D177" t="s">
        <v>195</v>
      </c>
    </row>
    <row r="178" spans="3:6" x14ac:dyDescent="0.25">
      <c r="C178" t="s">
        <v>125</v>
      </c>
    </row>
    <row r="180" spans="3:6" x14ac:dyDescent="0.25">
      <c r="D180" t="s">
        <v>156</v>
      </c>
    </row>
    <row r="181" spans="3:6" x14ac:dyDescent="0.25">
      <c r="D181" t="s">
        <v>157</v>
      </c>
    </row>
    <row r="182" spans="3:6" x14ac:dyDescent="0.25">
      <c r="D182" t="s">
        <v>158</v>
      </c>
      <c r="E182" t="s">
        <v>96</v>
      </c>
      <c r="F182" t="s">
        <v>96</v>
      </c>
    </row>
    <row r="183" spans="3:6" x14ac:dyDescent="0.25">
      <c r="D183" t="s">
        <v>159</v>
      </c>
      <c r="E183">
        <v>1</v>
      </c>
      <c r="F183">
        <v>2</v>
      </c>
    </row>
    <row r="184" spans="3:6" x14ac:dyDescent="0.25">
      <c r="D184" t="s">
        <v>160</v>
      </c>
      <c r="E184" t="s">
        <v>100</v>
      </c>
      <c r="F184" t="s">
        <v>100</v>
      </c>
    </row>
    <row r="185" spans="3:6" x14ac:dyDescent="0.25">
      <c r="D185" t="s">
        <v>161</v>
      </c>
      <c r="E185">
        <v>1</v>
      </c>
      <c r="F185">
        <v>2</v>
      </c>
    </row>
    <row r="186" spans="3:6" x14ac:dyDescent="0.25">
      <c r="D186" t="s">
        <v>162</v>
      </c>
      <c r="E186">
        <v>6</v>
      </c>
      <c r="F186">
        <v>6</v>
      </c>
    </row>
    <row r="187" spans="3:6" x14ac:dyDescent="0.25">
      <c r="D187" t="s">
        <v>163</v>
      </c>
      <c r="E187">
        <v>0</v>
      </c>
      <c r="F187">
        <v>0</v>
      </c>
    </row>
    <row r="188" spans="3:6" x14ac:dyDescent="0.25">
      <c r="D188" t="s">
        <v>164</v>
      </c>
      <c r="E188">
        <v>104</v>
      </c>
      <c r="F188">
        <v>104</v>
      </c>
    </row>
    <row r="189" spans="3:6" x14ac:dyDescent="0.25">
      <c r="D189" t="s">
        <v>165</v>
      </c>
      <c r="E189" t="s">
        <v>42</v>
      </c>
      <c r="F189" t="s">
        <v>42</v>
      </c>
    </row>
    <row r="190" spans="3:6" x14ac:dyDescent="0.25">
      <c r="D190" t="s">
        <v>196</v>
      </c>
    </row>
    <row r="195" spans="2:5" x14ac:dyDescent="0.25">
      <c r="B195" t="s">
        <v>176</v>
      </c>
    </row>
    <row r="196" spans="2:5" x14ac:dyDescent="0.25">
      <c r="B196" t="s">
        <v>197</v>
      </c>
    </row>
    <row r="197" spans="2:5" x14ac:dyDescent="0.25">
      <c r="B197" t="s">
        <v>198</v>
      </c>
    </row>
    <row r="198" spans="2:5" x14ac:dyDescent="0.25">
      <c r="B198" t="s">
        <v>179</v>
      </c>
    </row>
    <row r="199" spans="2:5" x14ac:dyDescent="0.25">
      <c r="B199" t="s">
        <v>180</v>
      </c>
    </row>
    <row r="201" spans="2:5" x14ac:dyDescent="0.25">
      <c r="C201" t="s">
        <v>125</v>
      </c>
    </row>
    <row r="202" spans="2:5" x14ac:dyDescent="0.25">
      <c r="D202" t="s">
        <v>138</v>
      </c>
    </row>
    <row r="203" spans="2:5" x14ac:dyDescent="0.25">
      <c r="D203" t="s">
        <v>139</v>
      </c>
    </row>
    <row r="204" spans="2:5" x14ac:dyDescent="0.25">
      <c r="D204" t="s">
        <v>140</v>
      </c>
      <c r="E204" t="s">
        <v>199</v>
      </c>
    </row>
    <row r="205" spans="2:5" x14ac:dyDescent="0.25">
      <c r="D205" t="s">
        <v>200</v>
      </c>
    </row>
    <row r="206" spans="2:5" x14ac:dyDescent="0.25">
      <c r="C206" t="s">
        <v>201</v>
      </c>
    </row>
    <row r="208" spans="2:5" x14ac:dyDescent="0.25">
      <c r="D208" t="s">
        <v>202</v>
      </c>
    </row>
    <row r="209" spans="4:5" x14ac:dyDescent="0.25">
      <c r="D209" t="s">
        <v>203</v>
      </c>
    </row>
    <row r="210" spans="4:5" x14ac:dyDescent="0.25">
      <c r="D210" t="s">
        <v>204</v>
      </c>
    </row>
    <row r="211" spans="4:5" x14ac:dyDescent="0.25">
      <c r="D211" t="s">
        <v>138</v>
      </c>
    </row>
    <row r="212" spans="4:5" x14ac:dyDescent="0.25">
      <c r="D212" t="s">
        <v>139</v>
      </c>
    </row>
    <row r="213" spans="4:5" x14ac:dyDescent="0.25">
      <c r="D213" t="s">
        <v>140</v>
      </c>
      <c r="E213" t="s">
        <v>205</v>
      </c>
    </row>
    <row r="214" spans="4:5" x14ac:dyDescent="0.25">
      <c r="D214" t="s">
        <v>204</v>
      </c>
    </row>
    <row r="216" spans="4:5" x14ac:dyDescent="0.25">
      <c r="D216" t="s">
        <v>183</v>
      </c>
    </row>
    <row r="217" spans="4:5" x14ac:dyDescent="0.25">
      <c r="D217" t="s">
        <v>184</v>
      </c>
    </row>
    <row r="218" spans="4:5" x14ac:dyDescent="0.25">
      <c r="D218" t="s">
        <v>185</v>
      </c>
      <c r="E218">
        <v>1799.75</v>
      </c>
    </row>
    <row r="219" spans="4:5" x14ac:dyDescent="0.25">
      <c r="D219" t="s">
        <v>206</v>
      </c>
    </row>
    <row r="221" spans="4:5" x14ac:dyDescent="0.25">
      <c r="D221" t="s">
        <v>183</v>
      </c>
    </row>
    <row r="222" spans="4:5" x14ac:dyDescent="0.25">
      <c r="D222" t="s">
        <v>187</v>
      </c>
    </row>
    <row r="223" spans="4:5" x14ac:dyDescent="0.25">
      <c r="D223" t="s">
        <v>207</v>
      </c>
    </row>
    <row r="225" spans="4:5" x14ac:dyDescent="0.25">
      <c r="D225" t="s">
        <v>117</v>
      </c>
    </row>
    <row r="226" spans="4:5" x14ac:dyDescent="0.25">
      <c r="D226" t="s">
        <v>189</v>
      </c>
    </row>
    <row r="227" spans="4:5" x14ac:dyDescent="0.25">
      <c r="D227" t="s">
        <v>119</v>
      </c>
      <c r="E227">
        <v>2</v>
      </c>
    </row>
    <row r="229" spans="4:5" x14ac:dyDescent="0.25">
      <c r="D229" t="s">
        <v>117</v>
      </c>
    </row>
    <row r="230" spans="4:5" x14ac:dyDescent="0.25">
      <c r="D230" t="s">
        <v>118</v>
      </c>
    </row>
    <row r="231" spans="4:5" x14ac:dyDescent="0.25">
      <c r="D231" t="s">
        <v>119</v>
      </c>
      <c r="E231">
        <v>1</v>
      </c>
    </row>
    <row r="232" spans="4:5" x14ac:dyDescent="0.25">
      <c r="D232" t="s">
        <v>120</v>
      </c>
      <c r="E232">
        <v>37</v>
      </c>
    </row>
    <row r="234" spans="4:5" x14ac:dyDescent="0.25">
      <c r="D234" t="s">
        <v>117</v>
      </c>
    </row>
    <row r="235" spans="4:5" x14ac:dyDescent="0.25">
      <c r="D235" t="s">
        <v>118</v>
      </c>
    </row>
    <row r="236" spans="4:5" x14ac:dyDescent="0.25">
      <c r="D236" t="s">
        <v>119</v>
      </c>
      <c r="E236">
        <v>2</v>
      </c>
    </row>
    <row r="237" spans="4:5" x14ac:dyDescent="0.25">
      <c r="D237" t="s">
        <v>120</v>
      </c>
      <c r="E237">
        <v>37</v>
      </c>
    </row>
    <row r="242" spans="2:2" x14ac:dyDescent="0.25">
      <c r="B242" t="s">
        <v>121</v>
      </c>
    </row>
    <row r="243" spans="2:2" x14ac:dyDescent="0.25">
      <c r="B243" t="s">
        <v>208</v>
      </c>
    </row>
    <row r="244" spans="2:2" x14ac:dyDescent="0.25">
      <c r="B244" t="s">
        <v>209</v>
      </c>
    </row>
    <row r="245" spans="2:2" x14ac:dyDescent="0.25">
      <c r="B245" t="s">
        <v>124</v>
      </c>
    </row>
    <row r="251" spans="2:2" x14ac:dyDescent="0.25">
      <c r="B251" t="s">
        <v>210</v>
      </c>
    </row>
    <row r="252" spans="2:2" x14ac:dyDescent="0.25">
      <c r="B252" t="s">
        <v>211</v>
      </c>
    </row>
    <row r="253" spans="2:2" x14ac:dyDescent="0.25">
      <c r="B253" t="s">
        <v>212</v>
      </c>
    </row>
    <row r="254" spans="2:2" x14ac:dyDescent="0.25">
      <c r="B254" t="s">
        <v>213</v>
      </c>
    </row>
    <row r="255" spans="2:2" x14ac:dyDescent="0.25">
      <c r="B255" t="s">
        <v>214</v>
      </c>
    </row>
    <row r="257" spans="2:5" x14ac:dyDescent="0.25">
      <c r="C257" t="s">
        <v>215</v>
      </c>
    </row>
    <row r="258" spans="2:5" x14ac:dyDescent="0.25">
      <c r="D258" t="s">
        <v>138</v>
      </c>
    </row>
    <row r="259" spans="2:5" x14ac:dyDescent="0.25">
      <c r="D259" t="s">
        <v>139</v>
      </c>
    </row>
    <row r="260" spans="2:5" x14ac:dyDescent="0.25">
      <c r="D260" t="s">
        <v>140</v>
      </c>
      <c r="E260" t="s">
        <v>205</v>
      </c>
    </row>
    <row r="261" spans="2:5" x14ac:dyDescent="0.25">
      <c r="D261" t="s">
        <v>216</v>
      </c>
    </row>
    <row r="264" spans="2:5" x14ac:dyDescent="0.25">
      <c r="D264" t="s">
        <v>202</v>
      </c>
    </row>
    <row r="265" spans="2:5" x14ac:dyDescent="0.25">
      <c r="D265" t="s">
        <v>217</v>
      </c>
    </row>
    <row r="266" spans="2:5" x14ac:dyDescent="0.25">
      <c r="D266" t="s">
        <v>218</v>
      </c>
    </row>
    <row r="267" spans="2:5" x14ac:dyDescent="0.25">
      <c r="C267" t="s">
        <v>125</v>
      </c>
    </row>
    <row r="272" spans="2:5" x14ac:dyDescent="0.25">
      <c r="B272" t="s">
        <v>121</v>
      </c>
    </row>
    <row r="273" spans="2:3" x14ac:dyDescent="0.25">
      <c r="B273" t="s">
        <v>219</v>
      </c>
    </row>
    <row r="274" spans="2:3" x14ac:dyDescent="0.25">
      <c r="B274" t="s">
        <v>220</v>
      </c>
    </row>
    <row r="275" spans="2:3" x14ac:dyDescent="0.25">
      <c r="B275" t="s">
        <v>124</v>
      </c>
    </row>
    <row r="277" spans="2:3" x14ac:dyDescent="0.25">
      <c r="C277" t="s">
        <v>125</v>
      </c>
    </row>
    <row r="282" spans="2:3" x14ac:dyDescent="0.25">
      <c r="B282" t="s">
        <v>221</v>
      </c>
    </row>
    <row r="283" spans="2:3" x14ac:dyDescent="0.25">
      <c r="B283" t="s">
        <v>222</v>
      </c>
    </row>
    <row r="284" spans="2:3" x14ac:dyDescent="0.25">
      <c r="B284" t="s">
        <v>223</v>
      </c>
    </row>
    <row r="285" spans="2:3" x14ac:dyDescent="0.25">
      <c r="B285" t="s">
        <v>224</v>
      </c>
    </row>
    <row r="286" spans="2:3" x14ac:dyDescent="0.25">
      <c r="B286" t="s">
        <v>225</v>
      </c>
    </row>
    <row r="288" spans="2:3" x14ac:dyDescent="0.25">
      <c r="C288" t="s">
        <v>125</v>
      </c>
    </row>
    <row r="290" spans="2:5" x14ac:dyDescent="0.25">
      <c r="D290" t="s">
        <v>226</v>
      </c>
    </row>
    <row r="291" spans="2:5" x14ac:dyDescent="0.25">
      <c r="D291" t="s">
        <v>227</v>
      </c>
    </row>
    <row r="292" spans="2:5" x14ac:dyDescent="0.25">
      <c r="D292" t="s">
        <v>187</v>
      </c>
      <c r="E292" t="s">
        <v>42</v>
      </c>
    </row>
    <row r="293" spans="2:5" x14ac:dyDescent="0.25">
      <c r="D293" t="s">
        <v>228</v>
      </c>
      <c r="E293" t="s">
        <v>104</v>
      </c>
    </row>
    <row r="294" spans="2:5" x14ac:dyDescent="0.25">
      <c r="D294" t="s">
        <v>140</v>
      </c>
      <c r="E294" t="s">
        <v>105</v>
      </c>
    </row>
    <row r="295" spans="2:5" x14ac:dyDescent="0.25">
      <c r="D295" t="s">
        <v>229</v>
      </c>
    </row>
    <row r="300" spans="2:5" x14ac:dyDescent="0.25">
      <c r="B300" t="s">
        <v>144</v>
      </c>
    </row>
    <row r="301" spans="2:5" x14ac:dyDescent="0.25">
      <c r="B301" t="s">
        <v>230</v>
      </c>
    </row>
    <row r="302" spans="2:5" x14ac:dyDescent="0.25">
      <c r="B302" t="s">
        <v>231</v>
      </c>
    </row>
    <row r="303" spans="2:5" x14ac:dyDescent="0.25">
      <c r="B303" t="s">
        <v>232</v>
      </c>
    </row>
    <row r="304" spans="2:5" x14ac:dyDescent="0.25">
      <c r="B304" t="s">
        <v>233</v>
      </c>
    </row>
    <row r="305" spans="2:5" x14ac:dyDescent="0.25">
      <c r="B305" t="s">
        <v>234</v>
      </c>
    </row>
    <row r="306" spans="2:5" x14ac:dyDescent="0.25">
      <c r="B306" t="s">
        <v>149</v>
      </c>
    </row>
    <row r="307" spans="2:5" x14ac:dyDescent="0.25">
      <c r="B307" t="s">
        <v>235</v>
      </c>
    </row>
    <row r="309" spans="2:5" x14ac:dyDescent="0.25">
      <c r="D309" t="s">
        <v>138</v>
      </c>
    </row>
    <row r="310" spans="2:5" x14ac:dyDescent="0.25">
      <c r="D310" t="s">
        <v>139</v>
      </c>
    </row>
    <row r="311" spans="2:5" x14ac:dyDescent="0.25">
      <c r="D311" t="s">
        <v>140</v>
      </c>
      <c r="E311" t="s">
        <v>236</v>
      </c>
    </row>
    <row r="312" spans="2:5" x14ac:dyDescent="0.25">
      <c r="D312" t="s">
        <v>237</v>
      </c>
    </row>
    <row r="313" spans="2:5" x14ac:dyDescent="0.25">
      <c r="C313" t="s">
        <v>125</v>
      </c>
    </row>
    <row r="315" spans="2:5" x14ac:dyDescent="0.25">
      <c r="D315" t="s">
        <v>138</v>
      </c>
    </row>
    <row r="316" spans="2:5" x14ac:dyDescent="0.25">
      <c r="D316" t="s">
        <v>139</v>
      </c>
    </row>
    <row r="317" spans="2:5" x14ac:dyDescent="0.25">
      <c r="D317" t="s">
        <v>140</v>
      </c>
      <c r="E317" t="s">
        <v>153</v>
      </c>
    </row>
    <row r="318" spans="2:5" x14ac:dyDescent="0.25">
      <c r="D318" t="s">
        <v>238</v>
      </c>
      <c r="E318" t="s">
        <v>239</v>
      </c>
    </row>
    <row r="319" spans="2:5" x14ac:dyDescent="0.25">
      <c r="D319" t="s">
        <v>237</v>
      </c>
    </row>
    <row r="320" spans="2:5" x14ac:dyDescent="0.25">
      <c r="C320" t="s">
        <v>125</v>
      </c>
    </row>
    <row r="322" spans="4:6" x14ac:dyDescent="0.25">
      <c r="D322" t="s">
        <v>156</v>
      </c>
    </row>
    <row r="323" spans="4:6" x14ac:dyDescent="0.25">
      <c r="D323" t="s">
        <v>157</v>
      </c>
    </row>
    <row r="324" spans="4:6" x14ac:dyDescent="0.25">
      <c r="D324" t="s">
        <v>158</v>
      </c>
      <c r="E324" t="s">
        <v>102</v>
      </c>
      <c r="F324" t="s">
        <v>102</v>
      </c>
    </row>
    <row r="325" spans="4:6" x14ac:dyDescent="0.25">
      <c r="D325" t="s">
        <v>159</v>
      </c>
      <c r="E325">
        <v>1</v>
      </c>
      <c r="F325">
        <v>2</v>
      </c>
    </row>
    <row r="326" spans="4:6" x14ac:dyDescent="0.25">
      <c r="D326" t="s">
        <v>160</v>
      </c>
      <c r="E326" t="s">
        <v>103</v>
      </c>
      <c r="F326" t="s">
        <v>103</v>
      </c>
    </row>
    <row r="327" spans="4:6" x14ac:dyDescent="0.25">
      <c r="D327" t="s">
        <v>161</v>
      </c>
      <c r="E327">
        <v>1</v>
      </c>
      <c r="F327">
        <v>2</v>
      </c>
    </row>
    <row r="328" spans="4:6" x14ac:dyDescent="0.25">
      <c r="D328" t="s">
        <v>162</v>
      </c>
      <c r="E328">
        <v>100</v>
      </c>
      <c r="F328">
        <v>100</v>
      </c>
    </row>
    <row r="329" spans="4:6" x14ac:dyDescent="0.25">
      <c r="D329" t="s">
        <v>163</v>
      </c>
      <c r="E329">
        <v>0</v>
      </c>
      <c r="F329">
        <v>0</v>
      </c>
    </row>
    <row r="330" spans="4:6" x14ac:dyDescent="0.25">
      <c r="D330" t="s">
        <v>164</v>
      </c>
      <c r="E330">
        <v>0</v>
      </c>
      <c r="F330">
        <v>0</v>
      </c>
    </row>
    <row r="331" spans="4:6" x14ac:dyDescent="0.25">
      <c r="D331" t="s">
        <v>165</v>
      </c>
      <c r="E331" t="s">
        <v>43</v>
      </c>
      <c r="F331" t="s">
        <v>43</v>
      </c>
    </row>
    <row r="332" spans="4:6" x14ac:dyDescent="0.25">
      <c r="D332" t="s">
        <v>240</v>
      </c>
    </row>
    <row r="334" spans="4:6" x14ac:dyDescent="0.25">
      <c r="D334" t="s">
        <v>138</v>
      </c>
    </row>
    <row r="335" spans="4:6" x14ac:dyDescent="0.25">
      <c r="D335" t="s">
        <v>139</v>
      </c>
    </row>
    <row r="336" spans="4:6" x14ac:dyDescent="0.25">
      <c r="D336" t="s">
        <v>140</v>
      </c>
      <c r="E336" t="s">
        <v>153</v>
      </c>
    </row>
    <row r="337" spans="2:5" x14ac:dyDescent="0.25">
      <c r="D337" t="s">
        <v>241</v>
      </c>
      <c r="E337" t="s">
        <v>239</v>
      </c>
    </row>
    <row r="338" spans="2:5" x14ac:dyDescent="0.25">
      <c r="D338" t="s">
        <v>240</v>
      </c>
    </row>
    <row r="339" spans="2:5" x14ac:dyDescent="0.25">
      <c r="C339" t="s">
        <v>143</v>
      </c>
    </row>
    <row r="345" spans="2:5" x14ac:dyDescent="0.25">
      <c r="B345" t="s">
        <v>131</v>
      </c>
    </row>
    <row r="346" spans="2:5" x14ac:dyDescent="0.25">
      <c r="B346" t="s">
        <v>242</v>
      </c>
    </row>
    <row r="347" spans="2:5" x14ac:dyDescent="0.25">
      <c r="B347" t="s">
        <v>243</v>
      </c>
    </row>
    <row r="348" spans="2:5" x14ac:dyDescent="0.25">
      <c r="B348" t="s">
        <v>134</v>
      </c>
    </row>
    <row r="349" spans="2:5" x14ac:dyDescent="0.25">
      <c r="B349" t="s">
        <v>135</v>
      </c>
    </row>
    <row r="350" spans="2:5" x14ac:dyDescent="0.25">
      <c r="B350" t="s">
        <v>244</v>
      </c>
    </row>
    <row r="351" spans="2:5" x14ac:dyDescent="0.25">
      <c r="B351" t="s">
        <v>137</v>
      </c>
    </row>
    <row r="353" spans="3:6" x14ac:dyDescent="0.25">
      <c r="D353" t="s">
        <v>138</v>
      </c>
    </row>
    <row r="354" spans="3:6" x14ac:dyDescent="0.25">
      <c r="D354" t="s">
        <v>139</v>
      </c>
    </row>
    <row r="355" spans="3:6" x14ac:dyDescent="0.25">
      <c r="D355" t="s">
        <v>140</v>
      </c>
      <c r="E355" t="s">
        <v>245</v>
      </c>
    </row>
    <row r="356" spans="3:6" x14ac:dyDescent="0.25">
      <c r="D356" t="s">
        <v>246</v>
      </c>
    </row>
    <row r="357" spans="3:6" x14ac:dyDescent="0.25">
      <c r="C357" t="s">
        <v>125</v>
      </c>
    </row>
    <row r="359" spans="3:6" x14ac:dyDescent="0.25">
      <c r="D359" t="s">
        <v>156</v>
      </c>
    </row>
    <row r="360" spans="3:6" x14ac:dyDescent="0.25">
      <c r="D360" t="s">
        <v>157</v>
      </c>
    </row>
    <row r="361" spans="3:6" x14ac:dyDescent="0.25">
      <c r="D361" t="s">
        <v>158</v>
      </c>
      <c r="E361" t="s">
        <v>102</v>
      </c>
      <c r="F361" t="s">
        <v>102</v>
      </c>
    </row>
    <row r="362" spans="3:6" x14ac:dyDescent="0.25">
      <c r="D362" t="s">
        <v>159</v>
      </c>
      <c r="E362">
        <v>1</v>
      </c>
      <c r="F362">
        <v>2</v>
      </c>
    </row>
    <row r="363" spans="3:6" x14ac:dyDescent="0.25">
      <c r="D363" t="s">
        <v>160</v>
      </c>
      <c r="E363" t="s">
        <v>108</v>
      </c>
      <c r="F363" t="s">
        <v>108</v>
      </c>
    </row>
    <row r="364" spans="3:6" x14ac:dyDescent="0.25">
      <c r="D364" t="s">
        <v>161</v>
      </c>
      <c r="E364">
        <v>1</v>
      </c>
      <c r="F364">
        <v>2</v>
      </c>
    </row>
    <row r="365" spans="3:6" x14ac:dyDescent="0.25">
      <c r="D365" t="s">
        <v>162</v>
      </c>
      <c r="E365">
        <v>15.4</v>
      </c>
      <c r="F365">
        <v>15.4</v>
      </c>
    </row>
    <row r="366" spans="3:6" x14ac:dyDescent="0.25">
      <c r="D366" t="s">
        <v>163</v>
      </c>
      <c r="E366">
        <v>0</v>
      </c>
      <c r="F366">
        <v>0</v>
      </c>
    </row>
    <row r="367" spans="3:6" x14ac:dyDescent="0.25">
      <c r="D367" t="s">
        <v>164</v>
      </c>
      <c r="E367">
        <v>100</v>
      </c>
      <c r="F367">
        <v>100</v>
      </c>
    </row>
    <row r="368" spans="3:6" x14ac:dyDescent="0.25">
      <c r="D368" t="s">
        <v>165</v>
      </c>
      <c r="E368" t="s">
        <v>42</v>
      </c>
      <c r="F368" t="s">
        <v>42</v>
      </c>
    </row>
    <row r="369" spans="2:5" x14ac:dyDescent="0.25">
      <c r="D369" t="s">
        <v>247</v>
      </c>
    </row>
    <row r="374" spans="2:5" x14ac:dyDescent="0.25">
      <c r="B374" t="s">
        <v>131</v>
      </c>
    </row>
    <row r="375" spans="2:5" x14ac:dyDescent="0.25">
      <c r="B375" t="s">
        <v>248</v>
      </c>
    </row>
    <row r="376" spans="2:5" x14ac:dyDescent="0.25">
      <c r="B376" t="s">
        <v>249</v>
      </c>
    </row>
    <row r="377" spans="2:5" x14ac:dyDescent="0.25">
      <c r="B377" t="s">
        <v>250</v>
      </c>
    </row>
    <row r="378" spans="2:5" x14ac:dyDescent="0.25">
      <c r="B378" t="s">
        <v>251</v>
      </c>
    </row>
    <row r="379" spans="2:5" x14ac:dyDescent="0.25">
      <c r="B379" t="s">
        <v>252</v>
      </c>
    </row>
    <row r="380" spans="2:5" x14ac:dyDescent="0.25">
      <c r="B380" t="s">
        <v>137</v>
      </c>
    </row>
    <row r="382" spans="2:5" x14ac:dyDescent="0.25">
      <c r="D382" t="s">
        <v>138</v>
      </c>
    </row>
    <row r="383" spans="2:5" x14ac:dyDescent="0.25">
      <c r="D383" t="s">
        <v>139</v>
      </c>
    </row>
    <row r="384" spans="2:5" x14ac:dyDescent="0.25">
      <c r="D384" t="s">
        <v>140</v>
      </c>
      <c r="E384" t="s">
        <v>253</v>
      </c>
    </row>
    <row r="385" spans="3:6" x14ac:dyDescent="0.25">
      <c r="D385" t="s">
        <v>254</v>
      </c>
    </row>
    <row r="386" spans="3:6" x14ac:dyDescent="0.25">
      <c r="C386" t="s">
        <v>125</v>
      </c>
    </row>
    <row r="388" spans="3:6" x14ac:dyDescent="0.25">
      <c r="D388" t="s">
        <v>156</v>
      </c>
    </row>
    <row r="389" spans="3:6" x14ac:dyDescent="0.25">
      <c r="D389" t="s">
        <v>157</v>
      </c>
    </row>
    <row r="390" spans="3:6" x14ac:dyDescent="0.25">
      <c r="D390" t="s">
        <v>158</v>
      </c>
      <c r="E390" t="s">
        <v>102</v>
      </c>
      <c r="F390" t="s">
        <v>102</v>
      </c>
    </row>
    <row r="391" spans="3:6" x14ac:dyDescent="0.25">
      <c r="D391" t="s">
        <v>159</v>
      </c>
      <c r="E391">
        <v>1</v>
      </c>
      <c r="F391">
        <v>2</v>
      </c>
    </row>
    <row r="392" spans="3:6" x14ac:dyDescent="0.25">
      <c r="D392" t="s">
        <v>160</v>
      </c>
      <c r="E392" t="s">
        <v>110</v>
      </c>
      <c r="F392" t="s">
        <v>110</v>
      </c>
    </row>
    <row r="393" spans="3:6" x14ac:dyDescent="0.25">
      <c r="D393" t="s">
        <v>161</v>
      </c>
      <c r="E393">
        <v>1</v>
      </c>
      <c r="F393">
        <v>2</v>
      </c>
    </row>
    <row r="394" spans="3:6" x14ac:dyDescent="0.25">
      <c r="D394" t="s">
        <v>162</v>
      </c>
      <c r="E394">
        <v>5</v>
      </c>
      <c r="F394">
        <v>5</v>
      </c>
    </row>
    <row r="395" spans="3:6" x14ac:dyDescent="0.25">
      <c r="D395" t="s">
        <v>163</v>
      </c>
      <c r="E395">
        <v>0</v>
      </c>
      <c r="F395">
        <v>0</v>
      </c>
    </row>
    <row r="396" spans="3:6" x14ac:dyDescent="0.25">
      <c r="D396" t="s">
        <v>164</v>
      </c>
      <c r="E396">
        <v>115.4</v>
      </c>
      <c r="F396">
        <v>115.4</v>
      </c>
    </row>
    <row r="397" spans="3:6" x14ac:dyDescent="0.25">
      <c r="D397" t="s">
        <v>165</v>
      </c>
      <c r="E397" t="s">
        <v>42</v>
      </c>
      <c r="F397" t="s">
        <v>42</v>
      </c>
    </row>
    <row r="398" spans="3:6" x14ac:dyDescent="0.25">
      <c r="D398" t="s">
        <v>255</v>
      </c>
    </row>
    <row r="403" spans="2:5" x14ac:dyDescent="0.25">
      <c r="B403" t="s">
        <v>176</v>
      </c>
    </row>
    <row r="404" spans="2:5" x14ac:dyDescent="0.25">
      <c r="B404" t="s">
        <v>256</v>
      </c>
    </row>
    <row r="405" spans="2:5" x14ac:dyDescent="0.25">
      <c r="B405" t="s">
        <v>257</v>
      </c>
    </row>
    <row r="406" spans="2:5" x14ac:dyDescent="0.25">
      <c r="B406" t="s">
        <v>258</v>
      </c>
    </row>
    <row r="407" spans="2:5" x14ac:dyDescent="0.25">
      <c r="B407" t="s">
        <v>180</v>
      </c>
    </row>
    <row r="409" spans="2:5" x14ac:dyDescent="0.25">
      <c r="C409" t="s">
        <v>125</v>
      </c>
    </row>
    <row r="410" spans="2:5" x14ac:dyDescent="0.25">
      <c r="D410" t="s">
        <v>138</v>
      </c>
    </row>
    <row r="411" spans="2:5" x14ac:dyDescent="0.25">
      <c r="D411" t="s">
        <v>139</v>
      </c>
    </row>
    <row r="412" spans="2:5" x14ac:dyDescent="0.25">
      <c r="D412" t="s">
        <v>140</v>
      </c>
      <c r="E412" t="s">
        <v>259</v>
      </c>
    </row>
    <row r="413" spans="2:5" x14ac:dyDescent="0.25">
      <c r="D413" t="s">
        <v>260</v>
      </c>
    </row>
    <row r="415" spans="2:5" x14ac:dyDescent="0.25">
      <c r="D415" t="s">
        <v>183</v>
      </c>
    </row>
    <row r="416" spans="2:5" x14ac:dyDescent="0.25">
      <c r="D416" t="s">
        <v>184</v>
      </c>
    </row>
    <row r="417" spans="2:5" x14ac:dyDescent="0.25">
      <c r="D417" t="s">
        <v>185</v>
      </c>
      <c r="E417">
        <v>3300</v>
      </c>
    </row>
    <row r="418" spans="2:5" x14ac:dyDescent="0.25">
      <c r="D418" t="s">
        <v>261</v>
      </c>
    </row>
    <row r="420" spans="2:5" x14ac:dyDescent="0.25">
      <c r="D420" t="s">
        <v>183</v>
      </c>
    </row>
    <row r="421" spans="2:5" x14ac:dyDescent="0.25">
      <c r="D421" t="s">
        <v>187</v>
      </c>
    </row>
    <row r="422" spans="2:5" x14ac:dyDescent="0.25">
      <c r="D422" t="s">
        <v>262</v>
      </c>
    </row>
    <row r="424" spans="2:5" x14ac:dyDescent="0.25">
      <c r="D424" t="s">
        <v>117</v>
      </c>
    </row>
    <row r="425" spans="2:5" x14ac:dyDescent="0.25">
      <c r="D425" t="s">
        <v>189</v>
      </c>
    </row>
    <row r="426" spans="2:5" x14ac:dyDescent="0.25">
      <c r="D426" t="s">
        <v>119</v>
      </c>
      <c r="E426">
        <v>1</v>
      </c>
    </row>
    <row r="431" spans="2:5" x14ac:dyDescent="0.25">
      <c r="B431" t="s">
        <v>263</v>
      </c>
    </row>
    <row r="432" spans="2:5" x14ac:dyDescent="0.25">
      <c r="B432" t="s">
        <v>264</v>
      </c>
    </row>
    <row r="433" spans="2:3" x14ac:dyDescent="0.25">
      <c r="B433" t="s">
        <v>265</v>
      </c>
    </row>
    <row r="434" spans="2:3" x14ac:dyDescent="0.25">
      <c r="B434" t="s">
        <v>266</v>
      </c>
    </row>
    <row r="435" spans="2:3" x14ac:dyDescent="0.25">
      <c r="B435" t="s">
        <v>267</v>
      </c>
    </row>
    <row r="437" spans="2:3" x14ac:dyDescent="0.25">
      <c r="C437" t="s">
        <v>125</v>
      </c>
    </row>
    <row r="442" spans="2:3" x14ac:dyDescent="0.25">
      <c r="B442" t="s">
        <v>131</v>
      </c>
    </row>
    <row r="443" spans="2:3" x14ac:dyDescent="0.25">
      <c r="B443" t="s">
        <v>268</v>
      </c>
    </row>
    <row r="444" spans="2:3" x14ac:dyDescent="0.25">
      <c r="B444" t="s">
        <v>269</v>
      </c>
    </row>
    <row r="445" spans="2:3" x14ac:dyDescent="0.25">
      <c r="B445" t="s">
        <v>270</v>
      </c>
    </row>
    <row r="446" spans="2:3" x14ac:dyDescent="0.25">
      <c r="B446" t="s">
        <v>135</v>
      </c>
    </row>
    <row r="447" spans="2:3" x14ac:dyDescent="0.25">
      <c r="B447" t="s">
        <v>271</v>
      </c>
    </row>
    <row r="448" spans="2:3" x14ac:dyDescent="0.25">
      <c r="B448" t="s">
        <v>272</v>
      </c>
    </row>
    <row r="450" spans="3:5" x14ac:dyDescent="0.25">
      <c r="D450" t="s">
        <v>138</v>
      </c>
    </row>
    <row r="451" spans="3:5" x14ac:dyDescent="0.25">
      <c r="D451" t="s">
        <v>139</v>
      </c>
    </row>
    <row r="452" spans="3:5" x14ac:dyDescent="0.25">
      <c r="D452" t="s">
        <v>140</v>
      </c>
      <c r="E452" t="s">
        <v>273</v>
      </c>
    </row>
    <row r="453" spans="3:5" x14ac:dyDescent="0.25">
      <c r="D453" t="s">
        <v>274</v>
      </c>
    </row>
    <row r="454" spans="3:5" x14ac:dyDescent="0.25">
      <c r="C454" t="s">
        <v>125</v>
      </c>
    </row>
    <row r="456" spans="3:5" x14ac:dyDescent="0.25">
      <c r="D456" t="s">
        <v>156</v>
      </c>
    </row>
    <row r="457" spans="3:5" x14ac:dyDescent="0.25">
      <c r="D457" t="s">
        <v>157</v>
      </c>
    </row>
    <row r="458" spans="3:5" x14ac:dyDescent="0.25">
      <c r="D458" t="s">
        <v>158</v>
      </c>
      <c r="E458" t="s">
        <v>111</v>
      </c>
    </row>
    <row r="459" spans="3:5" x14ac:dyDescent="0.25">
      <c r="D459" t="s">
        <v>159</v>
      </c>
      <c r="E459">
        <v>2</v>
      </c>
    </row>
    <row r="460" spans="3:5" x14ac:dyDescent="0.25">
      <c r="D460" t="s">
        <v>160</v>
      </c>
      <c r="E460" t="s">
        <v>102</v>
      </c>
    </row>
    <row r="461" spans="3:5" x14ac:dyDescent="0.25">
      <c r="D461" t="s">
        <v>161</v>
      </c>
      <c r="E461">
        <v>2</v>
      </c>
    </row>
    <row r="462" spans="3:5" x14ac:dyDescent="0.25">
      <c r="D462" t="s">
        <v>162</v>
      </c>
      <c r="E462">
        <v>120</v>
      </c>
    </row>
    <row r="463" spans="3:5" x14ac:dyDescent="0.25">
      <c r="D463" t="s">
        <v>163</v>
      </c>
      <c r="E463">
        <v>0</v>
      </c>
    </row>
    <row r="464" spans="3:5" x14ac:dyDescent="0.25">
      <c r="D464" t="s">
        <v>164</v>
      </c>
      <c r="E464">
        <v>0</v>
      </c>
    </row>
    <row r="465" spans="2:5" x14ac:dyDescent="0.25">
      <c r="D465" t="s">
        <v>165</v>
      </c>
      <c r="E465" t="s">
        <v>43</v>
      </c>
    </row>
    <row r="466" spans="2:5" x14ac:dyDescent="0.25">
      <c r="D466" t="s">
        <v>275</v>
      </c>
    </row>
    <row r="471" spans="2:5" x14ac:dyDescent="0.25">
      <c r="B471" t="s">
        <v>176</v>
      </c>
    </row>
    <row r="472" spans="2:5" x14ac:dyDescent="0.25">
      <c r="B472" t="s">
        <v>276</v>
      </c>
    </row>
    <row r="473" spans="2:5" x14ac:dyDescent="0.25">
      <c r="B473" t="s">
        <v>257</v>
      </c>
    </row>
    <row r="474" spans="2:5" x14ac:dyDescent="0.25">
      <c r="B474" t="s">
        <v>277</v>
      </c>
    </row>
    <row r="475" spans="2:5" x14ac:dyDescent="0.25">
      <c r="B475" t="s">
        <v>180</v>
      </c>
    </row>
    <row r="477" spans="2:5" x14ac:dyDescent="0.25">
      <c r="C477" t="s">
        <v>125</v>
      </c>
    </row>
    <row r="478" spans="2:5" x14ac:dyDescent="0.25">
      <c r="D478" t="s">
        <v>138</v>
      </c>
    </row>
    <row r="479" spans="2:5" x14ac:dyDescent="0.25">
      <c r="D479" t="s">
        <v>139</v>
      </c>
    </row>
    <row r="480" spans="2:5" x14ac:dyDescent="0.25">
      <c r="D480" t="s">
        <v>140</v>
      </c>
      <c r="E480" t="s">
        <v>278</v>
      </c>
    </row>
    <row r="481" spans="2:5" x14ac:dyDescent="0.25">
      <c r="D481" t="s">
        <v>279</v>
      </c>
    </row>
    <row r="486" spans="2:5" x14ac:dyDescent="0.25">
      <c r="B486" t="s">
        <v>131</v>
      </c>
    </row>
    <row r="487" spans="2:5" x14ac:dyDescent="0.25">
      <c r="B487" t="s">
        <v>280</v>
      </c>
    </row>
    <row r="488" spans="2:5" x14ac:dyDescent="0.25">
      <c r="B488" t="s">
        <v>281</v>
      </c>
    </row>
    <row r="489" spans="2:5" x14ac:dyDescent="0.25">
      <c r="B489" t="s">
        <v>282</v>
      </c>
    </row>
    <row r="490" spans="2:5" x14ac:dyDescent="0.25">
      <c r="B490" t="s">
        <v>135</v>
      </c>
    </row>
    <row r="491" spans="2:5" x14ac:dyDescent="0.25">
      <c r="B491" t="s">
        <v>283</v>
      </c>
    </row>
    <row r="492" spans="2:5" x14ac:dyDescent="0.25">
      <c r="B492" t="s">
        <v>137</v>
      </c>
    </row>
    <row r="494" spans="2:5" x14ac:dyDescent="0.25">
      <c r="D494" t="s">
        <v>138</v>
      </c>
    </row>
    <row r="495" spans="2:5" x14ac:dyDescent="0.25">
      <c r="D495" t="s">
        <v>139</v>
      </c>
    </row>
    <row r="496" spans="2:5" x14ac:dyDescent="0.25">
      <c r="D496" t="s">
        <v>140</v>
      </c>
      <c r="E496" t="s">
        <v>284</v>
      </c>
    </row>
    <row r="497" spans="3:5" x14ac:dyDescent="0.25">
      <c r="D497" t="s">
        <v>285</v>
      </c>
    </row>
    <row r="498" spans="3:5" x14ac:dyDescent="0.25">
      <c r="C498" t="s">
        <v>125</v>
      </c>
    </row>
    <row r="500" spans="3:5" x14ac:dyDescent="0.25">
      <c r="D500" t="s">
        <v>156</v>
      </c>
    </row>
    <row r="501" spans="3:5" x14ac:dyDescent="0.25">
      <c r="D501" t="s">
        <v>157</v>
      </c>
    </row>
    <row r="502" spans="3:5" x14ac:dyDescent="0.25">
      <c r="D502" t="s">
        <v>158</v>
      </c>
      <c r="E502" t="s">
        <v>111</v>
      </c>
    </row>
    <row r="503" spans="3:5" x14ac:dyDescent="0.25">
      <c r="D503" t="s">
        <v>159</v>
      </c>
      <c r="E503">
        <v>2</v>
      </c>
    </row>
    <row r="504" spans="3:5" x14ac:dyDescent="0.25">
      <c r="D504" t="s">
        <v>160</v>
      </c>
      <c r="E504" t="s">
        <v>112</v>
      </c>
    </row>
    <row r="505" spans="3:5" x14ac:dyDescent="0.25">
      <c r="D505" t="s">
        <v>161</v>
      </c>
      <c r="E505">
        <v>2</v>
      </c>
    </row>
    <row r="506" spans="3:5" x14ac:dyDescent="0.25">
      <c r="D506" t="s">
        <v>162</v>
      </c>
      <c r="E506">
        <v>2</v>
      </c>
    </row>
    <row r="507" spans="3:5" x14ac:dyDescent="0.25">
      <c r="D507" t="s">
        <v>163</v>
      </c>
      <c r="E507">
        <v>0</v>
      </c>
    </row>
    <row r="508" spans="3:5" x14ac:dyDescent="0.25">
      <c r="D508" t="s">
        <v>164</v>
      </c>
      <c r="E508">
        <v>120</v>
      </c>
    </row>
    <row r="509" spans="3:5" x14ac:dyDescent="0.25">
      <c r="D509" t="s">
        <v>165</v>
      </c>
      <c r="E509" t="s">
        <v>42</v>
      </c>
    </row>
    <row r="510" spans="3:5" x14ac:dyDescent="0.25">
      <c r="D510" t="s">
        <v>286</v>
      </c>
    </row>
    <row r="515" spans="2:5" x14ac:dyDescent="0.25">
      <c r="B515" t="s">
        <v>287</v>
      </c>
    </row>
    <row r="516" spans="2:5" x14ac:dyDescent="0.25">
      <c r="B516" t="s">
        <v>288</v>
      </c>
    </row>
    <row r="518" spans="2:5" x14ac:dyDescent="0.25">
      <c r="C518" t="s">
        <v>289</v>
      </c>
    </row>
    <row r="520" spans="2:5" x14ac:dyDescent="0.25">
      <c r="D520" t="s">
        <v>183</v>
      </c>
    </row>
    <row r="521" spans="2:5" x14ac:dyDescent="0.25">
      <c r="D521" t="s">
        <v>184</v>
      </c>
    </row>
    <row r="522" spans="2:5" x14ac:dyDescent="0.25">
      <c r="D522" t="s">
        <v>185</v>
      </c>
      <c r="E522">
        <v>598.9</v>
      </c>
    </row>
    <row r="523" spans="2:5" x14ac:dyDescent="0.25">
      <c r="D523" t="s">
        <v>290</v>
      </c>
    </row>
    <row r="525" spans="2:5" x14ac:dyDescent="0.25">
      <c r="D525" t="s">
        <v>183</v>
      </c>
    </row>
    <row r="526" spans="2:5" x14ac:dyDescent="0.25">
      <c r="D526" t="s">
        <v>187</v>
      </c>
    </row>
    <row r="527" spans="2:5" x14ac:dyDescent="0.25">
      <c r="D527" t="s">
        <v>291</v>
      </c>
    </row>
    <row r="529" spans="2:5" x14ac:dyDescent="0.25">
      <c r="D529" t="s">
        <v>117</v>
      </c>
    </row>
    <row r="530" spans="2:5" x14ac:dyDescent="0.25">
      <c r="D530" t="s">
        <v>189</v>
      </c>
    </row>
    <row r="531" spans="2:5" x14ac:dyDescent="0.25">
      <c r="D531" t="s">
        <v>119</v>
      </c>
      <c r="E531">
        <v>2</v>
      </c>
    </row>
    <row r="536" spans="2:5" x14ac:dyDescent="0.25">
      <c r="B536" t="s">
        <v>263</v>
      </c>
    </row>
    <row r="537" spans="2:5" x14ac:dyDescent="0.25">
      <c r="B537" t="s">
        <v>292</v>
      </c>
    </row>
    <row r="538" spans="2:5" x14ac:dyDescent="0.25">
      <c r="B538" t="s">
        <v>293</v>
      </c>
    </row>
    <row r="539" spans="2:5" x14ac:dyDescent="0.25">
      <c r="B539" t="s">
        <v>266</v>
      </c>
    </row>
    <row r="540" spans="2:5" x14ac:dyDescent="0.25">
      <c r="B540" t="s">
        <v>313</v>
      </c>
    </row>
    <row r="542" spans="2:5" x14ac:dyDescent="0.25">
      <c r="C542" t="s">
        <v>125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792D2-13D9-445F-AE7B-CF179A33399C}">
  <ds:schemaRefs>
    <ds:schemaRef ds:uri="4c8e7f9b-eac5-4ae2-b2ae-e40caed85104"/>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http://www.w3.org/XML/1998/namespace"/>
    <ds:schemaRef ds:uri="http://purl.org/dc/dcmitype/"/>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___Dropdown values</vt:lpstr>
      <vt:lpstr>Building Blocks</vt:lpstr>
      <vt:lpstr>Method</vt:lpstr>
      <vt:lpstr>Worklist</vt:lpstr>
      <vt:lpstr>PrepList</vt:lpstr>
      <vt:lpstr>TestLog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2021-11-08T20:33:20Z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