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MethodMaker\Script\"/>
    </mc:Choice>
  </mc:AlternateContent>
  <xr:revisionPtr revIDLastSave="0" documentId="13_ncr:1_{B55FB65A-7BD0-49F0-9307-48029D544451}" xr6:coauthVersionLast="45" xr6:coauthVersionMax="45" xr10:uidLastSave="{00000000-0000-0000-0000-000000000000}"/>
  <bookViews>
    <workbookView xWindow="-24510" yWindow="885" windowWidth="21600" windowHeight="11385" firstSheet="1" activeTab="4" xr2:uid="{00000000-000D-0000-FFFF-FFFF00000000}"/>
  </bookViews>
  <sheets>
    <sheet name="___Dropdown values" sheetId="4" state="hidden" r:id="rId1"/>
    <sheet name="Building Blocks" sheetId="1" r:id="rId2"/>
    <sheet name="Method" sheetId="2" r:id="rId3"/>
    <sheet name="Worklist" sheetId="3" r:id="rId4"/>
    <sheet name="PrepList" sheetId="18"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56" i="2"/>
  <c r="E83" i="2" l="1"/>
  <c r="E82" i="2"/>
  <c r="E81" i="2"/>
  <c r="E67" i="2"/>
  <c r="E27" i="2"/>
  <c r="E25" i="2"/>
  <c r="A2" i="3" l="1"/>
  <c r="D2" i="3" l="1"/>
  <c r="B2" i="3"/>
</calcChain>
</file>

<file path=xl/sharedStrings.xml><?xml version="1.0" encoding="utf-8"?>
<sst xmlns="http://schemas.openxmlformats.org/spreadsheetml/2006/main" count="339" uniqueCount="119">
  <si>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</si>
  <si>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</si>
  <si>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</si>
  <si>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</si>
  <si>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</si>
  <si>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</si>
  <si>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</si>
  <si>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</si>
  <si>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</si>
  <si>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</si>
  <si>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</si>
  <si>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</si>
  <si>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</si>
  <si>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</si>
  <si>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</si>
  <si>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</si>
  <si>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</si>
  <si>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</si>
  <si>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</si>
  <si>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</si>
  <si>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</si>
  <si>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</si>
  <si>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</si>
  <si>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</si>
  <si>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</si>
  <si>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</si>
  <si>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</si>
  <si>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</si>
  <si>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</si>
  <si>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</si>
  <si>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</si>
  <si>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</si>
  <si>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</si>
  <si>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</si>
  <si>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</si>
  <si>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</si>
  <si>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</si>
  <si>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</si>
  <si>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</si>
  <si>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</si>
  <si>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</si>
  <si>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</si>
  <si>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</si>
  <si>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</si>
  <si>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</si>
  <si>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</si>
  <si>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</si>
  <si>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</si>
  <si>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</si>
  <si>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</si>
  <si>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</si>
  <si>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</si>
  <si>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</si>
  <si>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</si>
  <si>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</si>
  <si>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</si>
  <si>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</si>
  <si>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</si>
  <si>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</si>
  <si>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</si>
  <si>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</si>
  <si>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</si>
  <si>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</si>
  <si>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</si>
  <si>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</si>
  <si>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</si>
  <si>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</si>
  <si>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</si>
  <si>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</si>
  <si>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</si>
  <si>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</si>
  <si>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</si>
  <si>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</si>
  <si>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</si>
  <si>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</si>
  <si>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</si>
  <si>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</si>
  <si>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</si>
  <si>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</si>
  <si>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</si>
  <si>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</si>
  <si>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</si>
  <si>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</si>
  <si>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</si>
  <si>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</si>
  <si>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</si>
  <si>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</si>
  <si>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</si>
  <si>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</si>
  <si>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</si>
  <si>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</si>
  <si>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</si>
  <si>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</si>
  <si>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</si>
  <si>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</si>
  <si>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</si>
  <si>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</si>
  <si>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Sample: 200uL Biorad 96 Well PCR Plate</t>
  </si>
  <si>
    <t>15mL Centrifuge Tube</t>
  </si>
  <si>
    <t>Minimum Volume: 1040.0uL</t>
  </si>
  <si>
    <t>Reagent</t>
  </si>
  <si>
    <t>Reagent Lot</t>
  </si>
  <si>
    <t>Reagent Volume</t>
  </si>
  <si>
    <t>Diluent Lot</t>
  </si>
  <si>
    <t>Diluent Volume</t>
  </si>
  <si>
    <t>200mL Reagent Trough</t>
  </si>
  <si>
    <t>Minimum Volume: 12600.0uL</t>
  </si>
  <si>
    <t>Hamilton 1.5mL FlipTube</t>
  </si>
  <si>
    <t>Minimum Volume: 180.0uL</t>
  </si>
  <si>
    <t>Minimum Volume: 165.6uL</t>
  </si>
  <si>
    <t>60mL Reagent Reservior</t>
  </si>
  <si>
    <t>Minimum Volume: 2514.4uL</t>
  </si>
  <si>
    <t>B2: 30.0uL</t>
  </si>
  <si>
    <t>B4: 30.0uL</t>
  </si>
  <si>
    <t>B6: 30.0uL</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</si>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</sst>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32">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2">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7" xfId="0" applyBorder="1" applyAlignment="1">
      <alignment horizontal="center"/>
    </xf>
    <xf numFmtId="0" fontId="0" fillId="0" borderId="29" xfId="0" applyBorder="1" applyAlignment="1">
      <alignment horizontal="center"/>
    </xf>
    <xf numFmtId="0" fontId="0" fillId="0" borderId="8" xfId="0" applyBorder="1" applyAlignment="1">
      <alignment horizontal="center"/>
    </xf>
    <xf numFmtId="0" fontId="0" fillId="0" borderId="0" xfId="0" applyBorder="1"/>
    <xf numFmtId="0" fontId="0" fillId="0" borderId="13" xfId="0" applyBorder="1" applyAlignment="1">
      <alignment horizontal="center"/>
    </xf>
    <xf numFmtId="0" fontId="0" fillId="0" borderId="7" xfId="0" applyBorder="1" applyAlignment="1">
      <alignment horizontal="center"/>
    </xf>
    <xf numFmtId="0" fontId="1" fillId="0" borderId="0" xfId="0" applyFont="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8" xfId="0" applyFont="1" applyBorder="1" applyAlignment="1">
      <alignment horizontal="center"/>
    </xf>
    <xf numFmtId="0" fontId="4" fillId="0" borderId="28" xfId="0" applyFont="1" applyBorder="1" applyAlignment="1">
      <alignment horizontal="center"/>
    </xf>
    <xf numFmtId="0" fontId="4" fillId="0" borderId="30" xfId="0" applyFont="1" applyBorder="1" applyAlignment="1">
      <alignment horizontal="center"/>
    </xf>
    <xf numFmtId="0" fontId="4" fillId="0" borderId="31" xfId="0" applyFont="1" applyBorder="1" applyAlignment="1">
      <alignment horizontal="center"/>
    </xf>
    <xf numFmtId="0" fontId="5" fillId="0" borderId="28" xfId="0" applyFont="1" applyBorder="1" applyAlignment="1">
      <alignment horizontal="center"/>
    </xf>
    <xf numFmtId="0" fontId="5" fillId="0" borderId="30" xfId="0" applyFont="1" applyBorder="1" applyAlignment="1">
      <alignment horizontal="center"/>
    </xf>
    <xf numFmtId="0" fontId="5" fillId="0" borderId="31" xfId="0" applyFont="1" applyBorder="1" applyAlignment="1">
      <alignment horizontal="center"/>
    </xf>
    <xf numFmtId="0" fontId="6" fillId="0" borderId="28" xfId="0" applyFont="1" applyBorder="1" applyAlignment="1">
      <alignment horizontal="center"/>
    </xf>
    <xf numFmtId="0" fontId="6" fillId="0" borderId="30" xfId="0" applyFont="1" applyBorder="1" applyAlignment="1">
      <alignment horizontal="center"/>
    </xf>
    <xf numFmtId="0" fontId="6" fillId="0" borderId="31" xfId="0" applyFont="1" applyBorder="1" applyAlignment="1">
      <alignment horizontal="center"/>
    </xf>
    <xf numFmtId="0" fontId="0" fillId="0" borderId="22" xfId="0" applyBorder="1"/>
    <xf numFmtId="0" fontId="0" fillId="0" borderId="23" xfId="0" applyBorder="1"/>
    <xf numFmtId="0" fontId="0" fillId="0" borderId="27" xfId="0" applyBorder="1"/>
    <xf numFmtId="0" fontId="0" fillId="0" borderId="0" xfId="0" applyBorder="1"/>
    <xf numFmtId="0" fontId="0" fillId="0" borderId="13" xfId="0" applyBorder="1"/>
    <xf numFmtId="0" fontId="0" fillId="0" borderId="8" xfId="0" applyBorder="1"/>
    <xf numFmtId="0" fontId="0" fillId="0" borderId="24" xfId="0" applyBorder="1"/>
    <xf numFmtId="0" fontId="0" fillId="0" borderId="29" xfId="0" applyBorder="1"/>
    <xf numFmtId="0" fontId="0" fillId="0" borderId="7" xfId="0" applyBorder="1"/>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1" t="s">
        <v>32</v>
      </c>
      <c r="C3" s="41"/>
      <c r="D3" s="41" t="s">
        <v>55</v>
      </c>
      <c r="F3" s="69" t="s">
        <v>27</v>
      </c>
      <c r="G3" s="69"/>
      <c r="H3" s="69"/>
      <c r="I3" s="69"/>
      <c r="J3" s="69"/>
      <c r="K3" s="69"/>
      <c r="L3" s="69"/>
    </row>
    <row r="4" spans="2:12" x14ac:dyDescent="0.25">
      <c r="B4" t="s">
        <v>35</v>
      </c>
      <c r="D4" s="44" t="s">
        <v>70</v>
      </c>
      <c r="F4" s="41" t="s">
        <v>0</v>
      </c>
      <c r="G4" s="41" t="s">
        <v>17</v>
      </c>
      <c r="H4" s="41" t="s">
        <v>5</v>
      </c>
      <c r="I4" s="41" t="s">
        <v>22</v>
      </c>
      <c r="J4" s="41" t="s">
        <v>48</v>
      </c>
      <c r="K4" s="41" t="s">
        <v>40</v>
      </c>
      <c r="L4" s="41" t="s">
        <v>57</v>
      </c>
    </row>
    <row r="5" spans="2:12" x14ac:dyDescent="0.25">
      <c r="B5" t="s">
        <v>58</v>
      </c>
      <c r="D5" s="44" t="s">
        <v>71</v>
      </c>
      <c r="F5" t="s">
        <v>0</v>
      </c>
      <c r="G5" t="s">
        <v>17</v>
      </c>
      <c r="H5" t="s">
        <v>5</v>
      </c>
      <c r="I5" t="s">
        <v>22</v>
      </c>
      <c r="J5" t="s">
        <v>48</v>
      </c>
      <c r="K5" t="s">
        <v>40</v>
      </c>
      <c r="L5" t="s">
        <v>57</v>
      </c>
    </row>
    <row r="6" spans="2:12" x14ac:dyDescent="0.25">
      <c r="B6" t="s">
        <v>33</v>
      </c>
      <c r="D6" s="44"/>
      <c r="F6" t="s">
        <v>28</v>
      </c>
      <c r="G6" t="s">
        <v>29</v>
      </c>
      <c r="H6" t="s">
        <v>30</v>
      </c>
      <c r="I6" t="s">
        <v>31</v>
      </c>
      <c r="J6" t="s">
        <v>49</v>
      </c>
      <c r="K6" t="s">
        <v>41</v>
      </c>
      <c r="L6" t="s">
        <v>59</v>
      </c>
    </row>
    <row r="7" spans="2:12" x14ac:dyDescent="0.25">
      <c r="B7" t="s">
        <v>60</v>
      </c>
      <c r="D7" s="44"/>
    </row>
    <row r="9" spans="2:12" x14ac:dyDescent="0.25">
      <c r="B9" s="41"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41" t="s">
        <v>87</v>
      </c>
    </row>
    <row r="14" spans="2:12" x14ac:dyDescent="0.25">
      <c r="B14" t="s">
        <v>67</v>
      </c>
      <c r="D14" t="s">
        <v>88</v>
      </c>
    </row>
    <row r="15" spans="2:12" x14ac:dyDescent="0.25">
      <c r="B15" t="s">
        <v>68</v>
      </c>
      <c r="D15" t="s">
        <v>89</v>
      </c>
    </row>
    <row r="16" spans="2:12" x14ac:dyDescent="0.25">
      <c r="B16" t="s">
        <v>15</v>
      </c>
    </row>
    <row r="17" spans="2:2" x14ac:dyDescent="0.25">
      <c r="B17" t="s">
        <v>2</v>
      </c>
    </row>
    <row r="19" spans="2:2" x14ac:dyDescent="0.25">
      <c r="B19" s="41" t="s">
        <v>54</v>
      </c>
    </row>
    <row r="20" spans="2:2" x14ac:dyDescent="0.25">
      <c r="B20" t="s">
        <v>61</v>
      </c>
    </row>
    <row r="21" spans="2:2" x14ac:dyDescent="0.25">
      <c r="B21" t="s">
        <v>62</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7"/>
  <sheetViews>
    <sheetView zoomScale="80" zoomScaleNormal="80" workbookViewId="0">
      <selection activeCell="G34" sqref="G34:I37"/>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75" t="s">
        <v>91</v>
      </c>
      <c r="D2" s="76"/>
      <c r="E2" s="77"/>
      <c r="G2" s="81" t="s">
        <v>92</v>
      </c>
      <c r="H2" s="82"/>
      <c r="I2" s="83"/>
      <c r="K2" s="81" t="s">
        <v>93</v>
      </c>
      <c r="L2" s="82"/>
      <c r="M2" s="83"/>
    </row>
    <row r="3" spans="3:13" ht="15.75" thickBot="1" x14ac:dyDescent="0.3">
      <c r="C3" s="78"/>
      <c r="D3" s="79"/>
      <c r="E3" s="80"/>
      <c r="G3" s="84"/>
      <c r="H3" s="85"/>
      <c r="I3" s="86"/>
      <c r="K3" s="84"/>
      <c r="L3" s="85"/>
      <c r="M3" s="86"/>
    </row>
    <row r="4" spans="3:13" ht="15.75" thickBot="1" x14ac:dyDescent="0.3"/>
    <row r="5" spans="3:13" x14ac:dyDescent="0.25">
      <c r="C5" s="87" t="s">
        <v>2</v>
      </c>
      <c r="D5" s="88"/>
      <c r="E5" s="45" t="s">
        <v>16</v>
      </c>
      <c r="G5" s="96" t="s">
        <v>0</v>
      </c>
      <c r="H5" s="97"/>
      <c r="I5" s="29" t="s">
        <v>16</v>
      </c>
      <c r="K5" s="70" t="s">
        <v>85</v>
      </c>
      <c r="L5" s="71"/>
      <c r="M5" s="53" t="s">
        <v>16</v>
      </c>
    </row>
    <row r="6" spans="3:13" x14ac:dyDescent="0.25">
      <c r="C6" s="31" t="s">
        <v>1</v>
      </c>
      <c r="D6" s="34"/>
      <c r="E6" s="98"/>
      <c r="G6" s="3" t="s">
        <v>39</v>
      </c>
      <c r="H6" s="13"/>
      <c r="I6" s="103"/>
      <c r="K6" s="5" t="s">
        <v>39</v>
      </c>
      <c r="L6" s="20"/>
      <c r="M6" s="72"/>
    </row>
    <row r="7" spans="3:13" ht="15.75" thickBot="1" x14ac:dyDescent="0.3">
      <c r="C7" s="46" t="s">
        <v>26</v>
      </c>
      <c r="D7" s="33"/>
      <c r="E7" s="99"/>
      <c r="G7" s="3" t="s">
        <v>56</v>
      </c>
      <c r="H7" s="13"/>
      <c r="I7" s="104"/>
      <c r="K7" s="5" t="s">
        <v>94</v>
      </c>
      <c r="L7" s="20"/>
      <c r="M7" s="73"/>
    </row>
    <row r="8" spans="3:13" ht="15.75" thickBot="1" x14ac:dyDescent="0.3">
      <c r="G8" s="3" t="s">
        <v>54</v>
      </c>
      <c r="H8" s="13"/>
      <c r="I8" s="104"/>
      <c r="K8" s="6" t="s">
        <v>86</v>
      </c>
      <c r="L8" s="21" t="s">
        <v>88</v>
      </c>
      <c r="M8" s="74"/>
    </row>
    <row r="9" spans="3:13" ht="15.75" thickBot="1" x14ac:dyDescent="0.3">
      <c r="C9" s="91" t="s">
        <v>4</v>
      </c>
      <c r="D9" s="92"/>
      <c r="E9" s="25" t="s">
        <v>16</v>
      </c>
      <c r="G9" s="3" t="s">
        <v>12</v>
      </c>
      <c r="H9" s="13"/>
      <c r="I9" s="104"/>
    </row>
    <row r="10" spans="3:13" ht="15.75" thickBot="1" x14ac:dyDescent="0.3">
      <c r="C10" s="9" t="s">
        <v>25</v>
      </c>
      <c r="D10" s="18"/>
      <c r="E10" s="93"/>
      <c r="G10" s="4" t="s">
        <v>42</v>
      </c>
      <c r="H10" s="14" t="s">
        <v>43</v>
      </c>
      <c r="I10" s="105"/>
      <c r="K10" s="70" t="s">
        <v>90</v>
      </c>
      <c r="L10" s="71"/>
      <c r="M10" s="53" t="s">
        <v>16</v>
      </c>
    </row>
    <row r="11" spans="3:13" ht="15.75" thickBot="1" x14ac:dyDescent="0.3">
      <c r="C11" s="9" t="s">
        <v>36</v>
      </c>
      <c r="D11" s="18"/>
      <c r="E11" s="94"/>
      <c r="K11" s="5" t="s">
        <v>39</v>
      </c>
      <c r="L11" s="20"/>
      <c r="M11" s="72"/>
    </row>
    <row r="12" spans="3:13" ht="15.75" thickBot="1" x14ac:dyDescent="0.3">
      <c r="C12" s="10" t="s">
        <v>37</v>
      </c>
      <c r="D12" s="19"/>
      <c r="E12" s="95"/>
      <c r="G12" s="89" t="s">
        <v>17</v>
      </c>
      <c r="H12" s="90"/>
      <c r="I12" s="26" t="s">
        <v>16</v>
      </c>
      <c r="K12" s="5" t="s">
        <v>95</v>
      </c>
      <c r="L12" s="20"/>
      <c r="M12" s="73"/>
    </row>
    <row r="13" spans="3:13" ht="15.75" thickBot="1" x14ac:dyDescent="0.3">
      <c r="G13" s="7" t="s">
        <v>39</v>
      </c>
      <c r="H13" s="15"/>
      <c r="I13" s="106"/>
      <c r="K13" s="6" t="s">
        <v>86</v>
      </c>
      <c r="L13" s="21" t="s">
        <v>88</v>
      </c>
      <c r="M13" s="74"/>
    </row>
    <row r="14" spans="3:13" x14ac:dyDescent="0.25">
      <c r="C14" s="87" t="s">
        <v>53</v>
      </c>
      <c r="D14" s="88"/>
      <c r="E14" s="42" t="s">
        <v>16</v>
      </c>
      <c r="G14" s="7" t="s">
        <v>3</v>
      </c>
      <c r="H14" s="15"/>
      <c r="I14" s="107"/>
    </row>
    <row r="15" spans="3:13" x14ac:dyDescent="0.25">
      <c r="C15" s="109"/>
      <c r="D15" s="110"/>
      <c r="E15" s="98"/>
      <c r="G15" s="7" t="s">
        <v>6</v>
      </c>
      <c r="H15" s="15"/>
      <c r="I15" s="107"/>
    </row>
    <row r="16" spans="3:13" ht="15.75" thickBot="1" x14ac:dyDescent="0.3">
      <c r="C16" s="111"/>
      <c r="D16" s="112"/>
      <c r="E16" s="99"/>
      <c r="G16" s="7" t="s">
        <v>7</v>
      </c>
      <c r="H16" s="15"/>
      <c r="I16" s="107"/>
    </row>
    <row r="17" spans="7:9" ht="15.75" thickBot="1" x14ac:dyDescent="0.3">
      <c r="G17" s="8" t="s">
        <v>11</v>
      </c>
      <c r="H17" s="16"/>
      <c r="I17" s="108"/>
    </row>
    <row r="18" spans="7:9" ht="15.75" thickBot="1" x14ac:dyDescent="0.3"/>
    <row r="19" spans="7:9" x14ac:dyDescent="0.25">
      <c r="G19" s="113" t="s">
        <v>40</v>
      </c>
      <c r="H19" s="114"/>
      <c r="I19" s="28" t="s">
        <v>16</v>
      </c>
    </row>
    <row r="20" spans="7:9" x14ac:dyDescent="0.25">
      <c r="G20" s="11" t="s">
        <v>13</v>
      </c>
      <c r="H20" s="22"/>
      <c r="I20" s="117"/>
    </row>
    <row r="21" spans="7:9" x14ac:dyDescent="0.25">
      <c r="G21" s="11" t="s">
        <v>9</v>
      </c>
      <c r="H21" s="22"/>
      <c r="I21" s="118"/>
    </row>
    <row r="22" spans="7:9" ht="15.75" thickBot="1" x14ac:dyDescent="0.3">
      <c r="G22" s="12" t="s">
        <v>21</v>
      </c>
      <c r="H22" s="23"/>
      <c r="I22" s="119"/>
    </row>
    <row r="23" spans="7:9" ht="15.75" thickBot="1" x14ac:dyDescent="0.3"/>
    <row r="24" spans="7:9" x14ac:dyDescent="0.25">
      <c r="G24" s="70" t="s">
        <v>5</v>
      </c>
      <c r="H24" s="71"/>
      <c r="I24" s="27" t="s">
        <v>16</v>
      </c>
    </row>
    <row r="25" spans="7:9" x14ac:dyDescent="0.25">
      <c r="G25" s="5" t="s">
        <v>39</v>
      </c>
      <c r="H25" s="20"/>
      <c r="I25" s="72"/>
    </row>
    <row r="26" spans="7:9" x14ac:dyDescent="0.25">
      <c r="G26" s="5" t="s">
        <v>38</v>
      </c>
      <c r="H26" s="20"/>
      <c r="I26" s="73"/>
    </row>
    <row r="27" spans="7:9" ht="15.75" thickBot="1" x14ac:dyDescent="0.3">
      <c r="G27" s="6" t="s">
        <v>26</v>
      </c>
      <c r="H27" s="21"/>
      <c r="I27" s="74"/>
    </row>
    <row r="28" spans="7:9" ht="15.75" thickBot="1" x14ac:dyDescent="0.3"/>
    <row r="29" spans="7:9" x14ac:dyDescent="0.25">
      <c r="G29" s="115" t="s">
        <v>45</v>
      </c>
      <c r="H29" s="116"/>
      <c r="I29" s="36" t="s">
        <v>16</v>
      </c>
    </row>
    <row r="30" spans="7:9" x14ac:dyDescent="0.25">
      <c r="G30" s="47" t="s">
        <v>74</v>
      </c>
      <c r="H30" s="48"/>
      <c r="I30" s="120"/>
    </row>
    <row r="31" spans="7:9" x14ac:dyDescent="0.25">
      <c r="G31" s="37" t="s">
        <v>72</v>
      </c>
      <c r="H31" s="38"/>
      <c r="I31" s="121"/>
    </row>
    <row r="32" spans="7:9" ht="15.75" thickBot="1" x14ac:dyDescent="0.3">
      <c r="G32" s="39" t="s">
        <v>73</v>
      </c>
      <c r="H32" s="40"/>
      <c r="I32" s="122"/>
    </row>
    <row r="33" spans="7:9" ht="15.75" thickBot="1" x14ac:dyDescent="0.3"/>
    <row r="34" spans="7:9" x14ac:dyDescent="0.25">
      <c r="G34" s="87" t="s">
        <v>22</v>
      </c>
      <c r="H34" s="88"/>
      <c r="I34" s="43" t="s">
        <v>16</v>
      </c>
    </row>
    <row r="35" spans="7:9" x14ac:dyDescent="0.25">
      <c r="G35" s="31" t="s">
        <v>51</v>
      </c>
      <c r="H35" s="32"/>
      <c r="I35" s="100"/>
    </row>
    <row r="36" spans="7:9" x14ac:dyDescent="0.25">
      <c r="G36" s="31" t="s">
        <v>23</v>
      </c>
      <c r="H36" s="50"/>
      <c r="I36" s="101"/>
    </row>
    <row r="37" spans="7:9" ht="15.75" thickBot="1" x14ac:dyDescent="0.3">
      <c r="G37" s="1" t="s">
        <v>24</v>
      </c>
      <c r="H37" s="49"/>
      <c r="I37" s="102"/>
    </row>
  </sheetData>
  <mergeCells count="26">
    <mergeCell ref="I35:I37"/>
    <mergeCell ref="I6:I10"/>
    <mergeCell ref="I13:I17"/>
    <mergeCell ref="I25:I27"/>
    <mergeCell ref="C14:D14"/>
    <mergeCell ref="C15:D16"/>
    <mergeCell ref="G19:H19"/>
    <mergeCell ref="G29:H29"/>
    <mergeCell ref="I20:I22"/>
    <mergeCell ref="G34:H34"/>
    <mergeCell ref="I30:I32"/>
    <mergeCell ref="E15:E16"/>
    <mergeCell ref="G24:H24"/>
    <mergeCell ref="K5:L5"/>
    <mergeCell ref="M6:M8"/>
    <mergeCell ref="K10:L10"/>
    <mergeCell ref="M11:M13"/>
    <mergeCell ref="C2:E3"/>
    <mergeCell ref="G2:I3"/>
    <mergeCell ref="K2:M3"/>
    <mergeCell ref="C5:D5"/>
    <mergeCell ref="G12:H12"/>
    <mergeCell ref="C9:D9"/>
    <mergeCell ref="E10:E12"/>
    <mergeCell ref="G5:H5"/>
    <mergeCell ref="E6:E7"/>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G34:H34</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H35</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6"/>
  <sheetViews>
    <sheetView zoomScale="90" zoomScaleNormal="90" workbookViewId="0">
      <selection activeCell="E110" sqref="E110"/>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87" t="s">
        <v>2</v>
      </c>
      <c r="E2" s="88"/>
      <c r="F2" s="30" t="s">
        <v>16</v>
      </c>
    </row>
    <row r="3" spans="4:15" x14ac:dyDescent="0.25">
      <c r="D3" s="31" t="s">
        <v>1</v>
      </c>
      <c r="E3" s="34" t="s">
        <v>14</v>
      </c>
      <c r="F3" s="98" t="s">
        <v>47</v>
      </c>
    </row>
    <row r="4" spans="4:15" ht="15.75" thickBot="1" x14ac:dyDescent="0.3">
      <c r="D4" s="1" t="s">
        <v>26</v>
      </c>
      <c r="E4" s="17" t="s">
        <v>35</v>
      </c>
      <c r="F4" s="99"/>
    </row>
    <row r="6" spans="4:15" s="2" customFormat="1" ht="15.75" thickBot="1" x14ac:dyDescent="0.3">
      <c r="D6" s="123" t="s">
        <v>8</v>
      </c>
      <c r="E6" s="123"/>
    </row>
    <row r="7" spans="4:15" ht="15.75" thickBot="1" x14ac:dyDescent="0.3">
      <c r="I7" s="24"/>
      <c r="J7" s="24"/>
      <c r="N7"/>
      <c r="O7"/>
    </row>
    <row r="8" spans="4:15" x14ac:dyDescent="0.25">
      <c r="D8" s="87" t="s">
        <v>2</v>
      </c>
      <c r="E8" s="88"/>
      <c r="F8" s="51" t="s">
        <v>16</v>
      </c>
      <c r="I8" s="24"/>
      <c r="J8" s="24"/>
      <c r="N8"/>
      <c r="O8"/>
    </row>
    <row r="9" spans="4:15" x14ac:dyDescent="0.25">
      <c r="D9" s="31" t="s">
        <v>1</v>
      </c>
      <c r="E9" s="34" t="s">
        <v>46</v>
      </c>
      <c r="F9" s="98"/>
      <c r="I9" s="24"/>
      <c r="J9" s="24"/>
      <c r="N9"/>
      <c r="O9"/>
    </row>
    <row r="10" spans="4:15" ht="15.75" thickBot="1" x14ac:dyDescent="0.3">
      <c r="D10" s="46" t="s">
        <v>26</v>
      </c>
      <c r="E10" s="17" t="s">
        <v>35</v>
      </c>
      <c r="F10" s="99"/>
      <c r="I10" s="24"/>
      <c r="J10" s="24"/>
      <c r="N10"/>
      <c r="O10"/>
    </row>
    <row r="11" spans="4:15" ht="15.75" thickBot="1" x14ac:dyDescent="0.3">
      <c r="D11" s="58"/>
      <c r="E11" s="56"/>
      <c r="F11" s="59"/>
      <c r="I11" s="57"/>
      <c r="J11" s="57"/>
      <c r="N11"/>
      <c r="O11"/>
    </row>
    <row r="12" spans="4:15" x14ac:dyDescent="0.25">
      <c r="D12" s="70" t="s">
        <v>85</v>
      </c>
      <c r="E12" s="71"/>
      <c r="F12" s="53" t="s">
        <v>16</v>
      </c>
      <c r="I12" s="57"/>
      <c r="J12" s="57"/>
      <c r="N12"/>
      <c r="O12"/>
    </row>
    <row r="13" spans="4:15" x14ac:dyDescent="0.25">
      <c r="D13" s="5" t="s">
        <v>39</v>
      </c>
      <c r="E13" s="20" t="str">
        <f>E3</f>
        <v>Sample</v>
      </c>
      <c r="F13" s="72"/>
      <c r="I13" s="57"/>
      <c r="J13" s="57"/>
      <c r="N13"/>
      <c r="O13"/>
    </row>
    <row r="14" spans="4:15" x14ac:dyDescent="0.25">
      <c r="D14" s="5" t="s">
        <v>94</v>
      </c>
      <c r="E14" s="20" t="str">
        <f>Worklist!D1</f>
        <v>Sample Location</v>
      </c>
      <c r="F14" s="73"/>
      <c r="I14" s="57"/>
      <c r="J14" s="57"/>
      <c r="N14"/>
      <c r="O14"/>
    </row>
    <row r="15" spans="4:15" ht="15.75" thickBot="1" x14ac:dyDescent="0.3">
      <c r="D15" s="6" t="s">
        <v>86</v>
      </c>
      <c r="E15" s="21" t="s">
        <v>88</v>
      </c>
      <c r="F15" s="74"/>
      <c r="I15" s="57"/>
      <c r="J15" s="57"/>
      <c r="N15"/>
      <c r="O15"/>
    </row>
    <row r="16" spans="4:15" ht="15.75" thickBot="1" x14ac:dyDescent="0.3">
      <c r="D16" s="24"/>
      <c r="E16" s="24"/>
      <c r="N16"/>
      <c r="O16"/>
    </row>
    <row r="17" spans="1:15" x14ac:dyDescent="0.25">
      <c r="D17" s="96" t="s">
        <v>0</v>
      </c>
      <c r="E17" s="97"/>
      <c r="F17" s="52" t="s">
        <v>16</v>
      </c>
      <c r="N17"/>
      <c r="O17"/>
    </row>
    <row r="18" spans="1:15" x14ac:dyDescent="0.25">
      <c r="A18" t="s">
        <v>83</v>
      </c>
      <c r="D18" s="3" t="s">
        <v>39</v>
      </c>
      <c r="E18" s="13" t="str">
        <f>E26</f>
        <v>7M GnHCl, 100mM Tris pH 8.3, 5mM L-Met</v>
      </c>
      <c r="F18" s="103" t="s">
        <v>84</v>
      </c>
      <c r="N18"/>
      <c r="O18"/>
    </row>
    <row r="19" spans="1:15" x14ac:dyDescent="0.25">
      <c r="D19" s="3" t="s">
        <v>56</v>
      </c>
      <c r="E19" s="13" t="s">
        <v>68</v>
      </c>
      <c r="F19" s="104"/>
      <c r="N19"/>
      <c r="O19"/>
    </row>
    <row r="20" spans="1:15" x14ac:dyDescent="0.25">
      <c r="D20" s="3" t="s">
        <v>54</v>
      </c>
      <c r="E20" s="13" t="s">
        <v>61</v>
      </c>
      <c r="F20" s="104"/>
      <c r="G20" s="24"/>
      <c r="N20"/>
      <c r="O20"/>
    </row>
    <row r="21" spans="1:15" x14ac:dyDescent="0.25">
      <c r="D21" s="3" t="s">
        <v>12</v>
      </c>
      <c r="E21" s="13">
        <v>0</v>
      </c>
      <c r="F21" s="104"/>
      <c r="G21" s="24"/>
      <c r="N21"/>
      <c r="O21"/>
    </row>
    <row r="22" spans="1:15" ht="15.75" thickBot="1" x14ac:dyDescent="0.3">
      <c r="D22" s="4" t="s">
        <v>42</v>
      </c>
      <c r="E22" s="14" t="s">
        <v>43</v>
      </c>
      <c r="F22" s="105"/>
      <c r="G22" s="24"/>
      <c r="N22"/>
      <c r="O22"/>
    </row>
    <row r="23" spans="1:15" ht="15.75" thickBot="1" x14ac:dyDescent="0.3">
      <c r="D23" s="24"/>
      <c r="E23" s="24"/>
      <c r="G23" s="24"/>
      <c r="N23"/>
      <c r="O23"/>
    </row>
    <row r="24" spans="1:15" x14ac:dyDescent="0.25">
      <c r="D24" s="89" t="s">
        <v>17</v>
      </c>
      <c r="E24" s="90"/>
      <c r="F24" s="54" t="s">
        <v>16</v>
      </c>
      <c r="G24" s="24"/>
      <c r="N24"/>
      <c r="O24"/>
    </row>
    <row r="25" spans="1:15" x14ac:dyDescent="0.25">
      <c r="D25" s="7" t="s">
        <v>39</v>
      </c>
      <c r="E25" s="15" t="str">
        <f>E3</f>
        <v>Sample</v>
      </c>
      <c r="F25" s="106"/>
      <c r="G25" s="24"/>
      <c r="N25"/>
      <c r="O25"/>
    </row>
    <row r="26" spans="1:15" x14ac:dyDescent="0.25">
      <c r="D26" s="7" t="s">
        <v>3</v>
      </c>
      <c r="E26" s="15" t="s">
        <v>77</v>
      </c>
      <c r="F26" s="107"/>
      <c r="G26" s="24"/>
      <c r="N26"/>
      <c r="O26"/>
    </row>
    <row r="27" spans="1:15" x14ac:dyDescent="0.25">
      <c r="D27" s="7" t="s">
        <v>6</v>
      </c>
      <c r="E27" s="15" t="str">
        <f>Worklist!E1</f>
        <v>Concentration</v>
      </c>
      <c r="F27" s="107"/>
      <c r="G27" s="24"/>
      <c r="N27"/>
      <c r="O27"/>
    </row>
    <row r="28" spans="1:15" x14ac:dyDescent="0.25">
      <c r="D28" s="7" t="s">
        <v>7</v>
      </c>
      <c r="E28" s="15">
        <v>1</v>
      </c>
      <c r="F28" s="107"/>
      <c r="G28" s="24"/>
      <c r="N28"/>
      <c r="O28"/>
    </row>
    <row r="29" spans="1:15" ht="15.75" thickBot="1" x14ac:dyDescent="0.3">
      <c r="D29" s="8" t="s">
        <v>11</v>
      </c>
      <c r="E29" s="16">
        <v>100</v>
      </c>
      <c r="F29" s="108"/>
      <c r="G29" s="24"/>
      <c r="N29"/>
      <c r="O29"/>
    </row>
    <row r="30" spans="1:15" ht="15.75" thickBot="1" x14ac:dyDescent="0.3">
      <c r="F30" s="24"/>
      <c r="I30" s="24"/>
      <c r="J30" s="24"/>
      <c r="N30"/>
      <c r="O30"/>
    </row>
    <row r="31" spans="1:15" x14ac:dyDescent="0.25">
      <c r="D31" s="96" t="s">
        <v>0</v>
      </c>
      <c r="E31" s="97"/>
      <c r="F31" s="52" t="s">
        <v>16</v>
      </c>
      <c r="I31" s="24"/>
      <c r="J31" s="24"/>
      <c r="N31"/>
      <c r="O31"/>
    </row>
    <row r="32" spans="1:15" x14ac:dyDescent="0.25">
      <c r="D32" s="3" t="s">
        <v>39</v>
      </c>
      <c r="E32" s="13" t="s">
        <v>78</v>
      </c>
      <c r="F32" s="103"/>
      <c r="I32" s="24"/>
      <c r="J32" s="24"/>
      <c r="N32"/>
      <c r="O32"/>
    </row>
    <row r="33" spans="4:15" x14ac:dyDescent="0.25">
      <c r="D33" s="3" t="s">
        <v>56</v>
      </c>
      <c r="E33" s="13" t="s">
        <v>64</v>
      </c>
      <c r="F33" s="104"/>
      <c r="I33" s="24"/>
      <c r="J33" s="24"/>
      <c r="N33"/>
      <c r="O33"/>
    </row>
    <row r="34" spans="4:15" x14ac:dyDescent="0.25">
      <c r="D34" s="3" t="s">
        <v>54</v>
      </c>
      <c r="E34" s="13" t="s">
        <v>61</v>
      </c>
      <c r="F34" s="104"/>
      <c r="I34" s="24"/>
      <c r="J34" s="24"/>
      <c r="N34"/>
      <c r="O34"/>
    </row>
    <row r="35" spans="4:15" x14ac:dyDescent="0.25">
      <c r="D35" s="3" t="s">
        <v>12</v>
      </c>
      <c r="E35" s="13">
        <v>2</v>
      </c>
      <c r="F35" s="104"/>
      <c r="I35" s="24"/>
      <c r="J35" s="24"/>
      <c r="N35"/>
      <c r="O35"/>
    </row>
    <row r="36" spans="4:15" ht="15.75" thickBot="1" x14ac:dyDescent="0.3">
      <c r="D36" s="4" t="s">
        <v>42</v>
      </c>
      <c r="E36" s="14" t="s">
        <v>43</v>
      </c>
      <c r="F36" s="105"/>
      <c r="I36" s="24"/>
      <c r="J36" s="24"/>
      <c r="N36"/>
      <c r="O36"/>
    </row>
    <row r="37" spans="4:15" ht="15.75" thickBot="1" x14ac:dyDescent="0.3">
      <c r="I37" s="24"/>
      <c r="J37" s="24"/>
      <c r="N37"/>
      <c r="O37"/>
    </row>
    <row r="38" spans="4:15" x14ac:dyDescent="0.25">
      <c r="D38" s="113" t="s">
        <v>40</v>
      </c>
      <c r="E38" s="114"/>
      <c r="F38" s="55" t="s">
        <v>16</v>
      </c>
      <c r="I38" s="24"/>
      <c r="J38" s="24"/>
      <c r="N38"/>
      <c r="O38"/>
    </row>
    <row r="39" spans="4:15" x14ac:dyDescent="0.25">
      <c r="D39" s="11" t="s">
        <v>13</v>
      </c>
      <c r="E39" s="22">
        <v>30</v>
      </c>
      <c r="F39" s="117"/>
      <c r="I39" s="24"/>
      <c r="J39" s="24"/>
      <c r="N39"/>
      <c r="O39"/>
    </row>
    <row r="40" spans="4:15" x14ac:dyDescent="0.25">
      <c r="D40" s="11" t="s">
        <v>9</v>
      </c>
      <c r="E40" s="22">
        <v>30</v>
      </c>
      <c r="F40" s="118"/>
      <c r="I40" s="24"/>
      <c r="J40" s="24"/>
      <c r="N40"/>
      <c r="O40"/>
    </row>
    <row r="41" spans="4:15" ht="15.75" thickBot="1" x14ac:dyDescent="0.3">
      <c r="D41" s="12" t="s">
        <v>21</v>
      </c>
      <c r="E41" s="23">
        <v>0</v>
      </c>
      <c r="F41" s="119"/>
      <c r="I41" s="24"/>
      <c r="J41" s="24"/>
      <c r="N41"/>
      <c r="O41"/>
    </row>
    <row r="42" spans="4:15" ht="15.75" thickBot="1" x14ac:dyDescent="0.3">
      <c r="I42" s="24"/>
      <c r="J42" s="24"/>
      <c r="N42"/>
      <c r="O42"/>
    </row>
    <row r="43" spans="4:15" x14ac:dyDescent="0.25">
      <c r="D43" s="96" t="s">
        <v>0</v>
      </c>
      <c r="E43" s="97"/>
      <c r="F43" s="52" t="s">
        <v>16</v>
      </c>
      <c r="I43" s="24"/>
      <c r="J43" s="24"/>
      <c r="N43"/>
      <c r="O43"/>
    </row>
    <row r="44" spans="4:15" x14ac:dyDescent="0.25">
      <c r="D44" s="3" t="s">
        <v>39</v>
      </c>
      <c r="E44" s="13" t="s">
        <v>79</v>
      </c>
      <c r="F44" s="103"/>
      <c r="I44" s="24"/>
      <c r="J44" s="24"/>
      <c r="N44"/>
      <c r="O44"/>
    </row>
    <row r="45" spans="4:15" x14ac:dyDescent="0.25">
      <c r="D45" s="3" t="s">
        <v>56</v>
      </c>
      <c r="E45" s="13" t="s">
        <v>65</v>
      </c>
      <c r="F45" s="104"/>
      <c r="I45" s="24"/>
      <c r="J45" s="24"/>
      <c r="N45"/>
      <c r="O45"/>
    </row>
    <row r="46" spans="4:15" x14ac:dyDescent="0.25">
      <c r="D46" s="3" t="s">
        <v>54</v>
      </c>
      <c r="E46" s="13" t="s">
        <v>61</v>
      </c>
      <c r="F46" s="104"/>
      <c r="I46" s="24"/>
      <c r="J46" s="24"/>
      <c r="N46"/>
      <c r="O46"/>
    </row>
    <row r="47" spans="4:15" x14ac:dyDescent="0.25">
      <c r="D47" s="3" t="s">
        <v>12</v>
      </c>
      <c r="E47" s="13">
        <v>5</v>
      </c>
      <c r="F47" s="104"/>
      <c r="I47" s="24"/>
      <c r="J47" s="24"/>
      <c r="N47"/>
      <c r="O47"/>
    </row>
    <row r="48" spans="4:15" ht="15.75" thickBot="1" x14ac:dyDescent="0.3">
      <c r="D48" s="4" t="s">
        <v>42</v>
      </c>
      <c r="E48" s="14" t="s">
        <v>43</v>
      </c>
      <c r="F48" s="105"/>
      <c r="I48" s="24"/>
      <c r="J48" s="24"/>
      <c r="N48"/>
      <c r="O48"/>
    </row>
    <row r="49" spans="4:15" ht="15.75" thickBot="1" x14ac:dyDescent="0.3">
      <c r="I49" s="24"/>
      <c r="J49" s="24"/>
      <c r="N49"/>
      <c r="O49"/>
    </row>
    <row r="50" spans="4:15" x14ac:dyDescent="0.25">
      <c r="D50" s="113" t="s">
        <v>40</v>
      </c>
      <c r="E50" s="114"/>
      <c r="F50" s="55" t="s">
        <v>16</v>
      </c>
      <c r="I50" s="24"/>
      <c r="J50" s="24"/>
      <c r="N50"/>
      <c r="O50"/>
    </row>
    <row r="51" spans="4:15" x14ac:dyDescent="0.25">
      <c r="D51" s="11" t="s">
        <v>13</v>
      </c>
      <c r="E51" s="22">
        <v>25</v>
      </c>
      <c r="F51" s="117"/>
      <c r="I51" s="24"/>
      <c r="J51" s="24"/>
      <c r="N51"/>
      <c r="O51"/>
    </row>
    <row r="52" spans="4:15" x14ac:dyDescent="0.25">
      <c r="D52" s="11" t="s">
        <v>9</v>
      </c>
      <c r="E52" s="22">
        <v>30</v>
      </c>
      <c r="F52" s="118"/>
      <c r="I52" s="24"/>
      <c r="J52" s="24"/>
      <c r="N52"/>
      <c r="O52"/>
    </row>
    <row r="53" spans="4:15" ht="15.75" thickBot="1" x14ac:dyDescent="0.3">
      <c r="D53" s="12" t="s">
        <v>21</v>
      </c>
      <c r="E53" s="23">
        <v>0</v>
      </c>
      <c r="F53" s="119"/>
      <c r="I53" s="24"/>
      <c r="J53" s="24"/>
      <c r="N53"/>
      <c r="O53"/>
    </row>
    <row r="54" spans="4:15" ht="15.75" thickBot="1" x14ac:dyDescent="0.3">
      <c r="I54" s="24"/>
      <c r="J54" s="24"/>
      <c r="N54"/>
      <c r="O54"/>
    </row>
    <row r="55" spans="4:15" x14ac:dyDescent="0.25">
      <c r="D55" s="89" t="s">
        <v>17</v>
      </c>
      <c r="E55" s="90"/>
      <c r="F55" s="54" t="s">
        <v>16</v>
      </c>
      <c r="I55" s="24"/>
      <c r="J55" s="24"/>
      <c r="N55"/>
      <c r="O55"/>
    </row>
    <row r="56" spans="4:15" x14ac:dyDescent="0.25">
      <c r="D56" s="7" t="s">
        <v>39</v>
      </c>
      <c r="E56" s="15" t="str">
        <f>E32</f>
        <v>500mM DTT in 7M GnHCl, 100mM Tris pH 8.3, 5mM L-Met</v>
      </c>
      <c r="F56" s="106"/>
      <c r="I56" s="24"/>
      <c r="J56" s="24"/>
      <c r="N56"/>
      <c r="O56"/>
    </row>
    <row r="57" spans="4:15" x14ac:dyDescent="0.25">
      <c r="D57" s="7" t="s">
        <v>3</v>
      </c>
      <c r="E57" s="15" t="s">
        <v>10</v>
      </c>
      <c r="F57" s="107"/>
      <c r="I57" s="24"/>
      <c r="J57" s="24"/>
      <c r="N57"/>
      <c r="O57"/>
    </row>
    <row r="58" spans="4:15" x14ac:dyDescent="0.25">
      <c r="D58" s="7" t="s">
        <v>6</v>
      </c>
      <c r="E58" s="15">
        <v>0.5</v>
      </c>
      <c r="F58" s="107"/>
      <c r="I58" s="24"/>
      <c r="J58" s="24"/>
      <c r="N58"/>
      <c r="O58"/>
    </row>
    <row r="59" spans="4:15" x14ac:dyDescent="0.25">
      <c r="D59" s="7" t="s">
        <v>7</v>
      </c>
      <c r="E59" s="15">
        <v>0.1</v>
      </c>
      <c r="F59" s="107"/>
      <c r="I59" s="24"/>
      <c r="J59" s="24"/>
      <c r="N59"/>
      <c r="O59"/>
    </row>
    <row r="60" spans="4:15" ht="15.75" thickBot="1" x14ac:dyDescent="0.3">
      <c r="D60" s="8" t="s">
        <v>11</v>
      </c>
      <c r="E60" s="16">
        <v>3</v>
      </c>
      <c r="F60" s="108"/>
      <c r="I60" s="24"/>
      <c r="J60" s="24"/>
      <c r="N60"/>
      <c r="O60"/>
    </row>
    <row r="61" spans="4:15" ht="15.75" thickBot="1" x14ac:dyDescent="0.3">
      <c r="I61" s="24"/>
      <c r="J61" s="24"/>
      <c r="N61"/>
      <c r="O61"/>
    </row>
    <row r="62" spans="4:15" x14ac:dyDescent="0.25">
      <c r="D62" s="87" t="s">
        <v>2</v>
      </c>
      <c r="E62" s="88"/>
      <c r="F62" s="51" t="s">
        <v>16</v>
      </c>
      <c r="I62" s="24"/>
      <c r="J62" s="24"/>
      <c r="N62"/>
      <c r="O62"/>
    </row>
    <row r="63" spans="4:15" x14ac:dyDescent="0.25">
      <c r="D63" s="31" t="s">
        <v>1</v>
      </c>
      <c r="E63" s="34" t="s">
        <v>69</v>
      </c>
      <c r="F63" s="98"/>
      <c r="I63" s="24"/>
      <c r="J63" s="24"/>
      <c r="N63"/>
      <c r="O63"/>
    </row>
    <row r="64" spans="4:15" ht="15.75" thickBot="1" x14ac:dyDescent="0.3">
      <c r="D64" s="46" t="s">
        <v>26</v>
      </c>
      <c r="E64" s="33" t="s">
        <v>35</v>
      </c>
      <c r="F64" s="99"/>
      <c r="I64" s="24"/>
      <c r="J64" s="24"/>
      <c r="N64"/>
      <c r="O64"/>
    </row>
    <row r="65" spans="4:15" ht="15.75" thickBot="1" x14ac:dyDescent="0.3">
      <c r="I65" s="24"/>
      <c r="J65" s="24"/>
      <c r="N65"/>
      <c r="O65"/>
    </row>
    <row r="66" spans="4:15" x14ac:dyDescent="0.25">
      <c r="D66" s="70" t="s">
        <v>5</v>
      </c>
      <c r="E66" s="71"/>
      <c r="F66" s="53" t="s">
        <v>16</v>
      </c>
      <c r="I66" s="24"/>
      <c r="J66" s="24"/>
      <c r="N66"/>
      <c r="O66"/>
    </row>
    <row r="67" spans="4:15" x14ac:dyDescent="0.25">
      <c r="D67" s="5" t="s">
        <v>39</v>
      </c>
      <c r="E67" s="20" t="str">
        <f>E9</f>
        <v>Denaturation</v>
      </c>
      <c r="F67" s="72"/>
      <c r="I67" s="24"/>
      <c r="J67" s="24"/>
      <c r="N67"/>
      <c r="O67"/>
    </row>
    <row r="68" spans="4:15" x14ac:dyDescent="0.25">
      <c r="D68" s="5" t="s">
        <v>38</v>
      </c>
      <c r="E68" s="20" t="s">
        <v>80</v>
      </c>
      <c r="F68" s="73"/>
      <c r="I68" s="24"/>
      <c r="J68" s="24"/>
      <c r="N68"/>
      <c r="O68"/>
    </row>
    <row r="69" spans="4:15" ht="15.75" thickBot="1" x14ac:dyDescent="0.3">
      <c r="D69" s="6" t="s">
        <v>26</v>
      </c>
      <c r="E69" s="21" t="s">
        <v>70</v>
      </c>
      <c r="F69" s="74"/>
      <c r="I69" s="24"/>
      <c r="J69" s="24"/>
      <c r="N69"/>
      <c r="O69"/>
    </row>
    <row r="70" spans="4:15" ht="15.75" thickBot="1" x14ac:dyDescent="0.3">
      <c r="I70" s="24"/>
      <c r="J70" s="24"/>
      <c r="N70"/>
      <c r="O70"/>
    </row>
    <row r="71" spans="4:15" x14ac:dyDescent="0.25">
      <c r="D71" s="87" t="s">
        <v>2</v>
      </c>
      <c r="E71" s="88"/>
      <c r="F71" s="51" t="s">
        <v>16</v>
      </c>
      <c r="I71" s="24"/>
      <c r="J71" s="24"/>
      <c r="N71"/>
      <c r="O71"/>
    </row>
    <row r="72" spans="4:15" x14ac:dyDescent="0.25">
      <c r="D72" s="31" t="s">
        <v>1</v>
      </c>
      <c r="E72" s="34" t="s">
        <v>76</v>
      </c>
      <c r="F72" s="98"/>
      <c r="I72" s="24"/>
      <c r="J72" s="24"/>
      <c r="N72"/>
      <c r="O72"/>
    </row>
    <row r="73" spans="4:15" ht="15.75" thickBot="1" x14ac:dyDescent="0.3">
      <c r="D73" s="46" t="s">
        <v>26</v>
      </c>
      <c r="E73" s="33" t="s">
        <v>35</v>
      </c>
      <c r="F73" s="99"/>
      <c r="I73" s="24"/>
      <c r="J73" s="24"/>
      <c r="N73"/>
      <c r="O73"/>
    </row>
    <row r="74" spans="4:15" ht="15.75" thickBot="1" x14ac:dyDescent="0.3">
      <c r="I74" s="24"/>
      <c r="J74" s="24"/>
      <c r="N74"/>
      <c r="O74"/>
    </row>
    <row r="75" spans="4:15" x14ac:dyDescent="0.25">
      <c r="D75" s="87" t="s">
        <v>22</v>
      </c>
      <c r="E75" s="88"/>
      <c r="F75" s="43" t="s">
        <v>16</v>
      </c>
      <c r="I75" s="66"/>
      <c r="J75" s="66"/>
      <c r="N75"/>
      <c r="O75"/>
    </row>
    <row r="76" spans="4:15" x14ac:dyDescent="0.25">
      <c r="D76" s="31" t="s">
        <v>51</v>
      </c>
      <c r="E76" s="32" t="s">
        <v>43</v>
      </c>
      <c r="F76" s="100"/>
      <c r="I76" s="66"/>
      <c r="J76" s="66"/>
      <c r="N76"/>
      <c r="O76"/>
    </row>
    <row r="77" spans="4:15" x14ac:dyDescent="0.25">
      <c r="D77" s="31" t="s">
        <v>23</v>
      </c>
      <c r="E77" s="50" t="s">
        <v>115</v>
      </c>
      <c r="F77" s="101"/>
      <c r="I77" s="66"/>
      <c r="J77" s="66"/>
      <c r="N77"/>
      <c r="O77"/>
    </row>
    <row r="78" spans="4:15" ht="60.75" thickBot="1" x14ac:dyDescent="0.3">
      <c r="D78" s="1" t="s">
        <v>24</v>
      </c>
      <c r="E78" s="49" t="s">
        <v>116</v>
      </c>
      <c r="F78" s="102"/>
      <c r="I78" s="66"/>
      <c r="J78" s="66"/>
      <c r="N78"/>
      <c r="O78"/>
    </row>
    <row r="79" spans="4:15" ht="15.75" thickBot="1" x14ac:dyDescent="0.3">
      <c r="I79" s="66"/>
      <c r="J79" s="66"/>
      <c r="N79"/>
      <c r="O79"/>
    </row>
    <row r="80" spans="4:15" x14ac:dyDescent="0.25">
      <c r="D80" s="89" t="s">
        <v>17</v>
      </c>
      <c r="E80" s="90"/>
      <c r="F80" s="54" t="s">
        <v>16</v>
      </c>
      <c r="I80" s="24"/>
      <c r="J80" s="24"/>
      <c r="N80"/>
      <c r="O80"/>
    </row>
    <row r="81" spans="4:15" x14ac:dyDescent="0.25">
      <c r="D81" s="7" t="s">
        <v>39</v>
      </c>
      <c r="E81" s="15" t="str">
        <f>E63</f>
        <v>Desalting</v>
      </c>
      <c r="F81" s="106"/>
      <c r="I81" s="24"/>
      <c r="J81" s="24"/>
      <c r="N81"/>
      <c r="O81"/>
    </row>
    <row r="82" spans="4:15" x14ac:dyDescent="0.25">
      <c r="D82" s="7" t="s">
        <v>3</v>
      </c>
      <c r="E82" s="15" t="str">
        <f>E68</f>
        <v>50mM Tris pH 7.9, 5mM L-Met</v>
      </c>
      <c r="F82" s="107"/>
      <c r="I82" s="24"/>
      <c r="J82" s="24"/>
      <c r="N82"/>
      <c r="O82"/>
    </row>
    <row r="83" spans="4:15" x14ac:dyDescent="0.25">
      <c r="D83" s="7" t="s">
        <v>6</v>
      </c>
      <c r="E83" s="15" t="str">
        <f>Worklist!F1</f>
        <v>Desalting Concentration</v>
      </c>
      <c r="F83" s="107"/>
      <c r="I83" s="24"/>
      <c r="J83" s="24"/>
      <c r="N83"/>
      <c r="O83"/>
    </row>
    <row r="84" spans="4:15" x14ac:dyDescent="0.25">
      <c r="D84" s="7" t="s">
        <v>7</v>
      </c>
      <c r="E84" s="15">
        <v>0.5</v>
      </c>
      <c r="F84" s="107"/>
      <c r="I84" s="24"/>
      <c r="J84" s="24"/>
      <c r="N84"/>
      <c r="O84"/>
    </row>
    <row r="85" spans="4:15" ht="15.75" thickBot="1" x14ac:dyDescent="0.3">
      <c r="D85" s="8" t="s">
        <v>11</v>
      </c>
      <c r="E85" s="16">
        <v>100</v>
      </c>
      <c r="F85" s="108"/>
      <c r="I85" s="24"/>
      <c r="J85" s="24"/>
      <c r="N85"/>
      <c r="O85"/>
    </row>
    <row r="86" spans="4:15" ht="15.75" thickBot="1" x14ac:dyDescent="0.3">
      <c r="I86" s="24"/>
      <c r="J86" s="24"/>
      <c r="N86"/>
      <c r="O86"/>
    </row>
    <row r="87" spans="4:15" x14ac:dyDescent="0.25">
      <c r="D87" s="96" t="s">
        <v>0</v>
      </c>
      <c r="E87" s="97"/>
      <c r="F87" s="52" t="s">
        <v>16</v>
      </c>
      <c r="I87" s="24"/>
      <c r="J87" s="24"/>
      <c r="N87"/>
      <c r="O87"/>
    </row>
    <row r="88" spans="4:15" x14ac:dyDescent="0.25">
      <c r="D88" s="3" t="s">
        <v>39</v>
      </c>
      <c r="E88" s="13" t="s">
        <v>82</v>
      </c>
      <c r="F88" s="103"/>
      <c r="I88" s="24"/>
      <c r="J88" s="24"/>
      <c r="N88"/>
      <c r="O88"/>
    </row>
    <row r="89" spans="4:15" x14ac:dyDescent="0.25">
      <c r="D89" s="3" t="s">
        <v>56</v>
      </c>
      <c r="E89" s="13" t="s">
        <v>15</v>
      </c>
      <c r="F89" s="104"/>
      <c r="I89" s="24"/>
      <c r="J89" s="24"/>
      <c r="N89"/>
      <c r="O89"/>
    </row>
    <row r="90" spans="4:15" x14ac:dyDescent="0.25">
      <c r="D90" s="3" t="s">
        <v>54</v>
      </c>
      <c r="E90" s="13" t="s">
        <v>62</v>
      </c>
      <c r="F90" s="104"/>
      <c r="I90" s="24"/>
      <c r="J90" s="24"/>
      <c r="N90"/>
      <c r="O90"/>
    </row>
    <row r="91" spans="4:15" x14ac:dyDescent="0.25">
      <c r="D91" s="3" t="s">
        <v>12</v>
      </c>
      <c r="E91" s="13">
        <v>5</v>
      </c>
      <c r="F91" s="104"/>
      <c r="I91" s="24"/>
      <c r="J91" s="24"/>
      <c r="N91"/>
      <c r="O91"/>
    </row>
    <row r="92" spans="4:15" ht="15.75" thickBot="1" x14ac:dyDescent="0.3">
      <c r="D92" s="4" t="s">
        <v>42</v>
      </c>
      <c r="E92" s="14" t="s">
        <v>43</v>
      </c>
      <c r="F92" s="105"/>
      <c r="I92" s="24"/>
      <c r="J92" s="24"/>
      <c r="N92"/>
      <c r="O92"/>
    </row>
    <row r="93" spans="4:15" ht="15.75" thickBot="1" x14ac:dyDescent="0.3">
      <c r="I93" s="24"/>
      <c r="J93" s="24"/>
      <c r="N93"/>
      <c r="O93"/>
    </row>
    <row r="94" spans="4:15" x14ac:dyDescent="0.25">
      <c r="D94" s="113" t="s">
        <v>40</v>
      </c>
      <c r="E94" s="114"/>
      <c r="F94" s="55" t="s">
        <v>16</v>
      </c>
      <c r="I94" s="24"/>
      <c r="J94" s="24"/>
      <c r="N94"/>
      <c r="O94"/>
    </row>
    <row r="95" spans="4:15" x14ac:dyDescent="0.25">
      <c r="D95" s="11" t="s">
        <v>13</v>
      </c>
      <c r="E95" s="22">
        <v>37</v>
      </c>
      <c r="F95" s="117"/>
      <c r="I95" s="24"/>
      <c r="J95" s="24"/>
      <c r="N95"/>
      <c r="O95"/>
    </row>
    <row r="96" spans="4:15" x14ac:dyDescent="0.25">
      <c r="D96" s="11" t="s">
        <v>9</v>
      </c>
      <c r="E96" s="22">
        <v>60</v>
      </c>
      <c r="F96" s="118"/>
      <c r="I96" s="24"/>
      <c r="J96" s="24"/>
      <c r="N96"/>
      <c r="O96"/>
    </row>
    <row r="97" spans="4:15" ht="15.75" thickBot="1" x14ac:dyDescent="0.3">
      <c r="D97" s="12" t="s">
        <v>21</v>
      </c>
      <c r="E97" s="23">
        <v>0</v>
      </c>
      <c r="F97" s="119"/>
      <c r="I97" s="24"/>
      <c r="J97" s="24"/>
      <c r="N97"/>
      <c r="O97"/>
    </row>
    <row r="98" spans="4:15" ht="15.75" thickBot="1" x14ac:dyDescent="0.3">
      <c r="I98" s="24"/>
      <c r="J98" s="24"/>
      <c r="N98"/>
      <c r="O98"/>
    </row>
    <row r="99" spans="4:15" x14ac:dyDescent="0.25">
      <c r="D99" s="96" t="s">
        <v>0</v>
      </c>
      <c r="E99" s="97"/>
      <c r="F99" s="52" t="s">
        <v>16</v>
      </c>
      <c r="I99" s="24"/>
      <c r="J99" s="24"/>
      <c r="N99"/>
      <c r="O99"/>
    </row>
    <row r="100" spans="4:15" x14ac:dyDescent="0.25">
      <c r="D100" s="3" t="s">
        <v>39</v>
      </c>
      <c r="E100" s="13" t="s">
        <v>75</v>
      </c>
      <c r="F100" s="103"/>
      <c r="I100" s="24"/>
      <c r="J100" s="24"/>
      <c r="N100"/>
      <c r="O100"/>
    </row>
    <row r="101" spans="4:15" x14ac:dyDescent="0.25">
      <c r="D101" s="3" t="s">
        <v>56</v>
      </c>
      <c r="E101" s="13" t="s">
        <v>66</v>
      </c>
      <c r="F101" s="104"/>
      <c r="I101" s="24"/>
      <c r="J101" s="24"/>
      <c r="N101"/>
      <c r="O101"/>
    </row>
    <row r="102" spans="4:15" x14ac:dyDescent="0.25">
      <c r="D102" s="3" t="s">
        <v>54</v>
      </c>
      <c r="E102" s="13" t="s">
        <v>61</v>
      </c>
      <c r="F102" s="104"/>
      <c r="I102" s="24"/>
      <c r="J102" s="24"/>
      <c r="N102"/>
      <c r="O102"/>
    </row>
    <row r="103" spans="4:15" x14ac:dyDescent="0.25">
      <c r="D103" s="3" t="s">
        <v>12</v>
      </c>
      <c r="E103" s="13">
        <v>5</v>
      </c>
      <c r="F103" s="104"/>
      <c r="I103" s="24"/>
      <c r="J103" s="24"/>
      <c r="N103"/>
      <c r="O103"/>
    </row>
    <row r="104" spans="4:15" ht="15.75" thickBot="1" x14ac:dyDescent="0.3">
      <c r="D104" s="4" t="s">
        <v>42</v>
      </c>
      <c r="E104" s="14" t="s">
        <v>43</v>
      </c>
      <c r="F104" s="105"/>
      <c r="I104" s="24"/>
      <c r="J104" s="24"/>
      <c r="N104"/>
      <c r="O104"/>
    </row>
    <row r="105" spans="4:15" ht="15.75" thickBot="1" x14ac:dyDescent="0.3">
      <c r="I105" s="24"/>
      <c r="J105" s="24"/>
      <c r="N105"/>
      <c r="O105"/>
    </row>
    <row r="106" spans="4:15" x14ac:dyDescent="0.25">
      <c r="D106" s="87" t="s">
        <v>22</v>
      </c>
      <c r="E106" s="88"/>
      <c r="F106" s="43" t="s">
        <v>16</v>
      </c>
      <c r="I106" s="66"/>
      <c r="J106" s="66"/>
      <c r="N106"/>
      <c r="O106"/>
    </row>
    <row r="107" spans="4:15" x14ac:dyDescent="0.25">
      <c r="D107" s="31" t="s">
        <v>51</v>
      </c>
      <c r="E107" s="32" t="s">
        <v>43</v>
      </c>
      <c r="F107" s="100"/>
      <c r="I107" s="66"/>
      <c r="J107" s="66"/>
      <c r="N107"/>
      <c r="O107"/>
    </row>
    <row r="108" spans="4:15" x14ac:dyDescent="0.25">
      <c r="D108" s="31" t="s">
        <v>23</v>
      </c>
      <c r="E108" s="50" t="s">
        <v>117</v>
      </c>
      <c r="F108" s="101"/>
      <c r="I108" s="66"/>
      <c r="J108" s="66"/>
      <c r="N108"/>
      <c r="O108"/>
    </row>
    <row r="109" spans="4:15" ht="30.75" thickBot="1" x14ac:dyDescent="0.3">
      <c r="D109" s="1" t="s">
        <v>24</v>
      </c>
      <c r="E109" s="49" t="s">
        <v>118</v>
      </c>
      <c r="F109" s="102"/>
      <c r="I109" s="66"/>
      <c r="J109" s="66"/>
      <c r="N109"/>
      <c r="O109"/>
    </row>
    <row r="110" spans="4:15" ht="15.75" thickBot="1" x14ac:dyDescent="0.3">
      <c r="I110" s="66"/>
      <c r="J110" s="66"/>
      <c r="N110"/>
      <c r="O110"/>
    </row>
    <row r="111" spans="4:15" x14ac:dyDescent="0.25">
      <c r="D111" s="87" t="s">
        <v>53</v>
      </c>
      <c r="E111" s="88"/>
      <c r="F111" s="51" t="s">
        <v>16</v>
      </c>
      <c r="I111" s="24"/>
      <c r="J111" s="24"/>
      <c r="N111"/>
      <c r="O111"/>
    </row>
    <row r="112" spans="4:15" x14ac:dyDescent="0.25">
      <c r="D112" s="109"/>
      <c r="E112" s="110"/>
      <c r="F112" s="98"/>
      <c r="I112" s="24"/>
      <c r="J112" s="24"/>
      <c r="N112"/>
      <c r="O112"/>
    </row>
    <row r="113" spans="4:15" ht="15.75" thickBot="1" x14ac:dyDescent="0.3">
      <c r="D113" s="111"/>
      <c r="E113" s="112"/>
      <c r="F113" s="99"/>
      <c r="I113" s="24"/>
      <c r="J113" s="24"/>
      <c r="N113"/>
      <c r="O113"/>
    </row>
    <row r="114" spans="4:15" x14ac:dyDescent="0.25">
      <c r="I114" s="24"/>
      <c r="J114" s="24"/>
      <c r="N114"/>
      <c r="O114"/>
    </row>
    <row r="115" spans="4:15" x14ac:dyDescent="0.25">
      <c r="I115" s="24"/>
      <c r="J115" s="24"/>
      <c r="N115"/>
      <c r="O115"/>
    </row>
    <row r="116" spans="4:15" x14ac:dyDescent="0.25">
      <c r="I116" s="24"/>
      <c r="J116" s="24"/>
      <c r="N116"/>
      <c r="O116"/>
    </row>
  </sheetData>
  <mergeCells count="42">
    <mergeCell ref="D112:E113"/>
    <mergeCell ref="F112:F113"/>
    <mergeCell ref="D99:E99"/>
    <mergeCell ref="F100:F104"/>
    <mergeCell ref="D111:E111"/>
    <mergeCell ref="F95:F97"/>
    <mergeCell ref="D62:E62"/>
    <mergeCell ref="D38:E38"/>
    <mergeCell ref="F32:F36"/>
    <mergeCell ref="F67:F69"/>
    <mergeCell ref="D71:E71"/>
    <mergeCell ref="F72:F73"/>
    <mergeCell ref="D80:E80"/>
    <mergeCell ref="F81:F85"/>
    <mergeCell ref="D87:E87"/>
    <mergeCell ref="F88:F92"/>
    <mergeCell ref="F63:F64"/>
    <mergeCell ref="D66:E66"/>
    <mergeCell ref="D55:E55"/>
    <mergeCell ref="F56:F60"/>
    <mergeCell ref="D94:E94"/>
    <mergeCell ref="D2:E2"/>
    <mergeCell ref="F3:F4"/>
    <mergeCell ref="F9:F10"/>
    <mergeCell ref="D8:E8"/>
    <mergeCell ref="D6:E6"/>
    <mergeCell ref="D75:E75"/>
    <mergeCell ref="F76:F78"/>
    <mergeCell ref="D106:E106"/>
    <mergeCell ref="F107:F109"/>
    <mergeCell ref="D12:E12"/>
    <mergeCell ref="F13:F15"/>
    <mergeCell ref="D17:E17"/>
    <mergeCell ref="F18:F22"/>
    <mergeCell ref="D24:E24"/>
    <mergeCell ref="F25:F29"/>
    <mergeCell ref="F44:F48"/>
    <mergeCell ref="D50:E50"/>
    <mergeCell ref="F51:F53"/>
    <mergeCell ref="D31:E31"/>
    <mergeCell ref="F39:F41"/>
    <mergeCell ref="D43:E4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D55:E55 D80:E80</xm:sqref>
        </x14:dataValidation>
        <x14:dataValidation type="list" allowBlank="1" showInputMessage="1" showErrorMessage="1" xr:uid="{00000000-0002-0000-0200-000002000000}">
          <x14:formula1>
            <xm:f>'___Dropdown values'!$B$10:$B$17</xm:f>
          </x14:formula1>
          <xm:sqref>E33 E45 E89 E101 E19</xm:sqref>
        </x14:dataValidation>
        <x14:dataValidation type="list" allowBlank="1" showInputMessage="1" showErrorMessage="1" xr:uid="{00000000-0002-0000-0200-000003000000}">
          <x14:formula1>
            <xm:f>'___Dropdown values'!$F$5:$F$6</xm:f>
          </x14:formula1>
          <xm:sqref>D31:E31 D43:E43 D87:E87 D99:E99 D17:E17</xm:sqref>
        </x14:dataValidation>
        <x14:dataValidation type="list" allowBlank="1" showInputMessage="1" showErrorMessage="1" xr:uid="{00000000-0002-0000-0200-000004000000}">
          <x14:formula1>
            <xm:f>'___Dropdown values'!$D$10:$D$11</xm:f>
          </x14:formula1>
          <xm:sqref>E36 E48 E92 E104 E22 E76 E107</xm:sqref>
        </x14:dataValidation>
        <x14:dataValidation type="list" allowBlank="1" showInputMessage="1" showErrorMessage="1" xr:uid="{00000000-0002-0000-0200-000005000000}">
          <x14:formula1>
            <xm:f>'___Dropdown values'!$B$20:$B$21</xm:f>
          </x14:formula1>
          <xm:sqref>E34 E46 E90 E102 E20</xm:sqref>
        </x14:dataValidation>
        <x14:dataValidation type="list" allowBlank="1" showInputMessage="1" showErrorMessage="1" xr:uid="{00000000-0002-0000-0200-000006000000}">
          <x14:formula1>
            <xm:f>'___Dropdown values'!$K$5:$K$6</xm:f>
          </x14:formula1>
          <xm:sqref>D38:E38 D50:E50 D94:E94</xm:sqref>
        </x14:dataValidation>
        <x14:dataValidation type="list" allowBlank="1" showInputMessage="1" showErrorMessage="1" xr:uid="{00000000-0002-0000-0200-000007000000}">
          <x14:formula1>
            <xm:f>'___Dropdown values'!$D$4:$D$5</xm:f>
          </x14:formula1>
          <xm:sqref>E69</xm:sqref>
        </x14:dataValidation>
        <x14:dataValidation type="list" allowBlank="1" showInputMessage="1" showErrorMessage="1" xr:uid="{00000000-0002-0000-0200-000008000000}">
          <x14:formula1>
            <xm:f>'___Dropdown values'!$H$5:$H$6</xm:f>
          </x14:formula1>
          <xm:sqref>D66:E66</xm:sqref>
        </x14:dataValidation>
        <x14:dataValidation type="list" allowBlank="1" showInputMessage="1" showErrorMessage="1" xr:uid="{00000000-0002-0000-0200-000009000000}">
          <x14:formula1>
            <xm:f>'___Dropdown values'!$B$4:$B$7</xm:f>
          </x14:formula1>
          <xm:sqref>E64 E73</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D75:E75 D106:E106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E14" sqref="E14"/>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96</v>
      </c>
      <c r="E1" t="s">
        <v>19</v>
      </c>
      <c r="F1" t="s">
        <v>81</v>
      </c>
    </row>
    <row r="2" spans="1:6" x14ac:dyDescent="0.25">
      <c r="A2">
        <f t="shared" ref="A2:A7" si="0">ROW(A1)</f>
        <v>1</v>
      </c>
      <c r="B2">
        <f t="shared" ref="B2:B7" si="1">A2</f>
        <v>1</v>
      </c>
      <c r="C2" t="s">
        <v>20</v>
      </c>
      <c r="D2">
        <f>A2</f>
        <v>1</v>
      </c>
      <c r="E2">
        <v>10</v>
      </c>
      <c r="F2">
        <v>0</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C01DF-E96C-404A-BC98-C5503DD4E4D3}">
  <sheetPr codeName="Sheet5"/>
  <dimension ref="B1:M59"/>
  <sheetViews>
    <sheetView tabSelected="1" workbookViewId="0">
      <selection activeCell="F7" sqref="F7"/>
    </sheetView>
  </sheetViews>
  <sheetFormatPr defaultRowHeight="15" x14ac:dyDescent="0.25"/>
  <cols>
    <col min="3" max="3" width="9.7109375" bestFit="1" customWidth="1"/>
  </cols>
  <sheetData>
    <row r="1" spans="2:13" ht="15.75" thickBot="1" x14ac:dyDescent="0.3"/>
    <row r="2" spans="2:13" ht="27" thickBot="1" x14ac:dyDescent="0.45">
      <c r="B2" s="124" t="s">
        <v>97</v>
      </c>
      <c r="C2" s="125"/>
      <c r="D2" s="125"/>
      <c r="E2" s="125"/>
      <c r="F2" s="125"/>
      <c r="G2" s="125"/>
      <c r="H2" s="125"/>
      <c r="I2" s="125"/>
      <c r="J2" s="125"/>
      <c r="K2" s="125"/>
      <c r="L2" s="125"/>
      <c r="M2" s="126"/>
    </row>
    <row r="3" spans="2:13" x14ac:dyDescent="0.25">
      <c r="B3" s="60"/>
      <c r="C3" s="61"/>
      <c r="D3" s="61"/>
      <c r="E3" s="61"/>
      <c r="F3" s="61"/>
      <c r="G3" s="61"/>
      <c r="H3" s="61"/>
      <c r="I3" s="61"/>
      <c r="J3" s="61"/>
      <c r="K3" s="61"/>
      <c r="L3" s="61"/>
      <c r="M3" s="62"/>
    </row>
    <row r="4" spans="2:13" x14ac:dyDescent="0.25">
      <c r="B4" s="63"/>
      <c r="C4" s="56" t="s">
        <v>112</v>
      </c>
      <c r="D4" s="56"/>
      <c r="E4" s="56"/>
      <c r="F4" s="56"/>
      <c r="G4" s="56"/>
      <c r="H4" s="56"/>
      <c r="I4" s="56"/>
      <c r="J4" s="56"/>
      <c r="K4" s="56"/>
      <c r="L4" s="56"/>
      <c r="M4" s="64"/>
    </row>
    <row r="5" spans="2:13" x14ac:dyDescent="0.25">
      <c r="B5" s="63"/>
      <c r="C5" s="56"/>
      <c r="D5" s="56"/>
      <c r="E5" s="56"/>
      <c r="F5" s="56"/>
      <c r="G5" s="56"/>
      <c r="H5" s="56"/>
      <c r="I5" s="56"/>
      <c r="J5" s="56"/>
      <c r="K5" s="56"/>
      <c r="L5" s="56"/>
      <c r="M5" s="64"/>
    </row>
    <row r="6" spans="2:13" x14ac:dyDescent="0.25">
      <c r="B6" s="63"/>
      <c r="C6" s="56" t="s">
        <v>113</v>
      </c>
      <c r="D6" s="56"/>
      <c r="E6" s="56"/>
      <c r="F6" s="56"/>
      <c r="G6" s="56"/>
      <c r="H6" s="56"/>
      <c r="I6" s="56"/>
      <c r="J6" s="56"/>
      <c r="K6" s="56"/>
      <c r="L6" s="56"/>
      <c r="M6" s="64"/>
    </row>
    <row r="7" spans="2:13" x14ac:dyDescent="0.25">
      <c r="B7" s="63"/>
      <c r="C7" s="56"/>
      <c r="D7" s="56"/>
      <c r="E7" s="56"/>
      <c r="F7" s="56"/>
      <c r="G7" s="56"/>
      <c r="H7" s="56"/>
      <c r="I7" s="56"/>
      <c r="J7" s="56"/>
      <c r="K7" s="56"/>
      <c r="L7" s="56"/>
      <c r="M7" s="64"/>
    </row>
    <row r="8" spans="2:13" x14ac:dyDescent="0.25">
      <c r="B8" s="63"/>
      <c r="C8" s="56" t="s">
        <v>114</v>
      </c>
      <c r="D8" s="56"/>
      <c r="E8" s="56"/>
      <c r="F8" s="56"/>
      <c r="G8" s="56"/>
      <c r="H8" s="56"/>
      <c r="I8" s="56"/>
      <c r="J8" s="56"/>
      <c r="K8" s="56"/>
      <c r="L8" s="56"/>
      <c r="M8" s="64"/>
    </row>
    <row r="9" spans="2:13" x14ac:dyDescent="0.25">
      <c r="B9" s="63"/>
      <c r="C9" s="56"/>
      <c r="D9" s="56"/>
      <c r="E9" s="56"/>
      <c r="F9" s="56"/>
      <c r="G9" s="56"/>
      <c r="H9" s="56"/>
      <c r="I9" s="56"/>
      <c r="J9" s="56"/>
      <c r="K9" s="56"/>
      <c r="L9" s="56"/>
      <c r="M9" s="64"/>
    </row>
    <row r="10" spans="2:13" ht="15.75" thickBot="1" x14ac:dyDescent="0.3">
      <c r="B10" s="67"/>
      <c r="C10" s="65"/>
      <c r="D10" s="65"/>
      <c r="E10" s="65"/>
      <c r="F10" s="65"/>
      <c r="G10" s="65"/>
      <c r="H10" s="65"/>
      <c r="I10" s="65"/>
      <c r="J10" s="65"/>
      <c r="K10" s="65"/>
      <c r="L10" s="65"/>
      <c r="M10" s="68"/>
    </row>
    <row r="14" spans="2:13" ht="15.75" thickBot="1" x14ac:dyDescent="0.3"/>
    <row r="15" spans="2:13" ht="19.5" thickBot="1" x14ac:dyDescent="0.35">
      <c r="B15" s="127" t="s">
        <v>77</v>
      </c>
      <c r="C15" s="128"/>
      <c r="D15" s="128"/>
      <c r="E15" s="128"/>
      <c r="F15" s="129"/>
      <c r="I15" s="127" t="s">
        <v>80</v>
      </c>
      <c r="J15" s="128"/>
      <c r="K15" s="128"/>
      <c r="L15" s="128"/>
      <c r="M15" s="129"/>
    </row>
    <row r="16" spans="2:13" ht="16.5" thickBot="1" x14ac:dyDescent="0.3">
      <c r="B16" s="130" t="s">
        <v>98</v>
      </c>
      <c r="C16" s="131"/>
      <c r="D16" s="131"/>
      <c r="E16" s="131"/>
      <c r="F16" s="132"/>
      <c r="I16" s="130" t="s">
        <v>105</v>
      </c>
      <c r="J16" s="131"/>
      <c r="K16" s="131"/>
      <c r="L16" s="131"/>
      <c r="M16" s="132"/>
    </row>
    <row r="17" spans="2:13" ht="16.5" thickBot="1" x14ac:dyDescent="0.3">
      <c r="B17" s="130" t="s">
        <v>99</v>
      </c>
      <c r="C17" s="131"/>
      <c r="D17" s="131"/>
      <c r="E17" s="131"/>
      <c r="F17" s="132"/>
      <c r="I17" s="130" t="s">
        <v>106</v>
      </c>
      <c r="J17" s="131"/>
      <c r="K17" s="131"/>
      <c r="L17" s="131"/>
      <c r="M17" s="132"/>
    </row>
    <row r="18" spans="2:13" x14ac:dyDescent="0.25">
      <c r="B18" s="133" t="s">
        <v>100</v>
      </c>
      <c r="C18" s="134"/>
      <c r="D18" s="134"/>
      <c r="E18" s="134"/>
      <c r="F18" s="139"/>
      <c r="I18" s="133" t="s">
        <v>100</v>
      </c>
      <c r="J18" s="134"/>
      <c r="K18" s="134"/>
      <c r="L18" s="134"/>
      <c r="M18" s="139"/>
    </row>
    <row r="19" spans="2:13" x14ac:dyDescent="0.25">
      <c r="B19" s="135" t="s">
        <v>101</v>
      </c>
      <c r="C19" s="136"/>
      <c r="D19" s="136"/>
      <c r="E19" s="136"/>
      <c r="F19" s="140"/>
      <c r="I19" s="135" t="s">
        <v>101</v>
      </c>
      <c r="J19" s="136"/>
      <c r="K19" s="136"/>
      <c r="L19" s="136"/>
      <c r="M19" s="140"/>
    </row>
    <row r="20" spans="2:13" x14ac:dyDescent="0.25">
      <c r="B20" s="135" t="s">
        <v>102</v>
      </c>
      <c r="C20" s="136"/>
      <c r="D20" s="136"/>
      <c r="E20" s="136"/>
      <c r="F20" s="140"/>
      <c r="I20" s="135" t="s">
        <v>102</v>
      </c>
      <c r="J20" s="136"/>
      <c r="K20" s="136"/>
      <c r="L20" s="136"/>
      <c r="M20" s="140"/>
    </row>
    <row r="21" spans="2:13" x14ac:dyDescent="0.25">
      <c r="B21" s="135" t="s">
        <v>3</v>
      </c>
      <c r="C21" s="136"/>
      <c r="D21" s="136"/>
      <c r="E21" s="136"/>
      <c r="F21" s="140"/>
      <c r="I21" s="135" t="s">
        <v>3</v>
      </c>
      <c r="J21" s="136"/>
      <c r="K21" s="136"/>
      <c r="L21" s="136"/>
      <c r="M21" s="140"/>
    </row>
    <row r="22" spans="2:13" x14ac:dyDescent="0.25">
      <c r="B22" s="135" t="s">
        <v>103</v>
      </c>
      <c r="C22" s="136"/>
      <c r="D22" s="136"/>
      <c r="E22" s="136"/>
      <c r="F22" s="140"/>
      <c r="I22" s="135" t="s">
        <v>103</v>
      </c>
      <c r="J22" s="136"/>
      <c r="K22" s="136"/>
      <c r="L22" s="136"/>
      <c r="M22" s="140"/>
    </row>
    <row r="23" spans="2:13" ht="15.75" thickBot="1" x14ac:dyDescent="0.3">
      <c r="B23" s="137" t="s">
        <v>104</v>
      </c>
      <c r="C23" s="138"/>
      <c r="D23" s="138"/>
      <c r="E23" s="138"/>
      <c r="F23" s="141"/>
      <c r="I23" s="137" t="s">
        <v>104</v>
      </c>
      <c r="J23" s="138"/>
      <c r="K23" s="138"/>
      <c r="L23" s="138"/>
      <c r="M23" s="141"/>
    </row>
    <row r="26" spans="2:13" ht="15.75" thickBot="1" x14ac:dyDescent="0.3"/>
    <row r="27" spans="2:13" ht="19.5" thickBot="1" x14ac:dyDescent="0.35">
      <c r="B27" s="127" t="s">
        <v>82</v>
      </c>
      <c r="C27" s="128"/>
      <c r="D27" s="128"/>
      <c r="E27" s="128"/>
      <c r="F27" s="129"/>
      <c r="I27" s="127" t="s">
        <v>75</v>
      </c>
      <c r="J27" s="128"/>
      <c r="K27" s="128"/>
      <c r="L27" s="128"/>
      <c r="M27" s="129"/>
    </row>
    <row r="28" spans="2:13" ht="16.5" thickBot="1" x14ac:dyDescent="0.3">
      <c r="B28" s="130" t="s">
        <v>107</v>
      </c>
      <c r="C28" s="131"/>
      <c r="D28" s="131"/>
      <c r="E28" s="131"/>
      <c r="F28" s="132"/>
      <c r="I28" s="130" t="s">
        <v>107</v>
      </c>
      <c r="J28" s="131"/>
      <c r="K28" s="131"/>
      <c r="L28" s="131"/>
      <c r="M28" s="132"/>
    </row>
    <row r="29" spans="2:13" ht="16.5" thickBot="1" x14ac:dyDescent="0.3">
      <c r="B29" s="130" t="s">
        <v>108</v>
      </c>
      <c r="C29" s="131"/>
      <c r="D29" s="131"/>
      <c r="E29" s="131"/>
      <c r="F29" s="132"/>
      <c r="I29" s="130" t="s">
        <v>108</v>
      </c>
      <c r="J29" s="131"/>
      <c r="K29" s="131"/>
      <c r="L29" s="131"/>
      <c r="M29" s="132"/>
    </row>
    <row r="30" spans="2:13" x14ac:dyDescent="0.25">
      <c r="B30" s="133" t="s">
        <v>100</v>
      </c>
      <c r="C30" s="134"/>
      <c r="D30" s="134"/>
      <c r="E30" s="134"/>
      <c r="F30" s="139"/>
      <c r="I30" s="133" t="s">
        <v>100</v>
      </c>
      <c r="J30" s="134"/>
      <c r="K30" s="134"/>
      <c r="L30" s="134"/>
      <c r="M30" s="139"/>
    </row>
    <row r="31" spans="2:13" x14ac:dyDescent="0.25">
      <c r="B31" s="135" t="s">
        <v>101</v>
      </c>
      <c r="C31" s="136"/>
      <c r="D31" s="136"/>
      <c r="E31" s="136"/>
      <c r="F31" s="140"/>
      <c r="I31" s="135" t="s">
        <v>101</v>
      </c>
      <c r="J31" s="136"/>
      <c r="K31" s="136"/>
      <c r="L31" s="136"/>
      <c r="M31" s="140"/>
    </row>
    <row r="32" spans="2:13" x14ac:dyDescent="0.25">
      <c r="B32" s="135" t="s">
        <v>102</v>
      </c>
      <c r="C32" s="136"/>
      <c r="D32" s="136"/>
      <c r="E32" s="136"/>
      <c r="F32" s="140"/>
      <c r="I32" s="135" t="s">
        <v>102</v>
      </c>
      <c r="J32" s="136"/>
      <c r="K32" s="136"/>
      <c r="L32" s="136"/>
      <c r="M32" s="140"/>
    </row>
    <row r="33" spans="2:13" x14ac:dyDescent="0.25">
      <c r="B33" s="135" t="s">
        <v>3</v>
      </c>
      <c r="C33" s="136"/>
      <c r="D33" s="136"/>
      <c r="E33" s="136"/>
      <c r="F33" s="140"/>
      <c r="I33" s="135" t="s">
        <v>3</v>
      </c>
      <c r="J33" s="136"/>
      <c r="K33" s="136"/>
      <c r="L33" s="136"/>
      <c r="M33" s="140"/>
    </row>
    <row r="34" spans="2:13" x14ac:dyDescent="0.25">
      <c r="B34" s="135" t="s">
        <v>103</v>
      </c>
      <c r="C34" s="136"/>
      <c r="D34" s="136"/>
      <c r="E34" s="136"/>
      <c r="F34" s="140"/>
      <c r="I34" s="135" t="s">
        <v>103</v>
      </c>
      <c r="J34" s="136"/>
      <c r="K34" s="136"/>
      <c r="L34" s="136"/>
      <c r="M34" s="140"/>
    </row>
    <row r="35" spans="2:13" ht="15.75" thickBot="1" x14ac:dyDescent="0.3">
      <c r="B35" s="137" t="s">
        <v>104</v>
      </c>
      <c r="C35" s="138"/>
      <c r="D35" s="138"/>
      <c r="E35" s="138"/>
      <c r="F35" s="141"/>
      <c r="I35" s="137" t="s">
        <v>104</v>
      </c>
      <c r="J35" s="138"/>
      <c r="K35" s="138"/>
      <c r="L35" s="138"/>
      <c r="M35" s="141"/>
    </row>
    <row r="38" spans="2:13" ht="15.75" thickBot="1" x14ac:dyDescent="0.3"/>
    <row r="39" spans="2:13" ht="19.5" thickBot="1" x14ac:dyDescent="0.35">
      <c r="B39" s="127" t="s">
        <v>79</v>
      </c>
      <c r="C39" s="128"/>
      <c r="D39" s="128"/>
      <c r="E39" s="128"/>
      <c r="F39" s="129"/>
      <c r="I39" s="127" t="s">
        <v>78</v>
      </c>
      <c r="J39" s="128"/>
      <c r="K39" s="128"/>
      <c r="L39" s="128"/>
      <c r="M39" s="129"/>
    </row>
    <row r="40" spans="2:13" ht="16.5" thickBot="1" x14ac:dyDescent="0.3">
      <c r="B40" s="130" t="s">
        <v>107</v>
      </c>
      <c r="C40" s="131"/>
      <c r="D40" s="131"/>
      <c r="E40" s="131"/>
      <c r="F40" s="132"/>
      <c r="I40" s="130" t="s">
        <v>107</v>
      </c>
      <c r="J40" s="131"/>
      <c r="K40" s="131"/>
      <c r="L40" s="131"/>
      <c r="M40" s="132"/>
    </row>
    <row r="41" spans="2:13" ht="16.5" thickBot="1" x14ac:dyDescent="0.3">
      <c r="B41" s="130" t="s">
        <v>108</v>
      </c>
      <c r="C41" s="131"/>
      <c r="D41" s="131"/>
      <c r="E41" s="131"/>
      <c r="F41" s="132"/>
      <c r="I41" s="130" t="s">
        <v>109</v>
      </c>
      <c r="J41" s="131"/>
      <c r="K41" s="131"/>
      <c r="L41" s="131"/>
      <c r="M41" s="132"/>
    </row>
    <row r="42" spans="2:13" x14ac:dyDescent="0.25">
      <c r="B42" s="133" t="s">
        <v>100</v>
      </c>
      <c r="C42" s="134"/>
      <c r="D42" s="134"/>
      <c r="E42" s="134"/>
      <c r="F42" s="139"/>
      <c r="I42" s="133" t="s">
        <v>100</v>
      </c>
      <c r="J42" s="134"/>
      <c r="K42" s="134"/>
      <c r="L42" s="134"/>
      <c r="M42" s="139"/>
    </row>
    <row r="43" spans="2:13" x14ac:dyDescent="0.25">
      <c r="B43" s="135" t="s">
        <v>101</v>
      </c>
      <c r="C43" s="136"/>
      <c r="D43" s="136"/>
      <c r="E43" s="136"/>
      <c r="F43" s="140"/>
      <c r="I43" s="135" t="s">
        <v>101</v>
      </c>
      <c r="J43" s="136"/>
      <c r="K43" s="136"/>
      <c r="L43" s="136"/>
      <c r="M43" s="140"/>
    </row>
    <row r="44" spans="2:13" x14ac:dyDescent="0.25">
      <c r="B44" s="135" t="s">
        <v>102</v>
      </c>
      <c r="C44" s="136"/>
      <c r="D44" s="136"/>
      <c r="E44" s="136"/>
      <c r="F44" s="140"/>
      <c r="I44" s="135" t="s">
        <v>102</v>
      </c>
      <c r="J44" s="136"/>
      <c r="K44" s="136"/>
      <c r="L44" s="136"/>
      <c r="M44" s="140"/>
    </row>
    <row r="45" spans="2:13" x14ac:dyDescent="0.25">
      <c r="B45" s="135" t="s">
        <v>3</v>
      </c>
      <c r="C45" s="136"/>
      <c r="D45" s="136"/>
      <c r="E45" s="136"/>
      <c r="F45" s="140"/>
      <c r="I45" s="135" t="s">
        <v>3</v>
      </c>
      <c r="J45" s="136"/>
      <c r="K45" s="136"/>
      <c r="L45" s="136"/>
      <c r="M45" s="140"/>
    </row>
    <row r="46" spans="2:13" x14ac:dyDescent="0.25">
      <c r="B46" s="135" t="s">
        <v>103</v>
      </c>
      <c r="C46" s="136"/>
      <c r="D46" s="136"/>
      <c r="E46" s="136"/>
      <c r="F46" s="140"/>
      <c r="I46" s="135" t="s">
        <v>103</v>
      </c>
      <c r="J46" s="136"/>
      <c r="K46" s="136"/>
      <c r="L46" s="136"/>
      <c r="M46" s="140"/>
    </row>
    <row r="47" spans="2:13" ht="15.75" thickBot="1" x14ac:dyDescent="0.3">
      <c r="B47" s="137" t="s">
        <v>104</v>
      </c>
      <c r="C47" s="138"/>
      <c r="D47" s="138"/>
      <c r="E47" s="138"/>
      <c r="F47" s="141"/>
      <c r="I47" s="137" t="s">
        <v>104</v>
      </c>
      <c r="J47" s="138"/>
      <c r="K47" s="138"/>
      <c r="L47" s="138"/>
      <c r="M47" s="141"/>
    </row>
    <row r="50" spans="2:6" ht="15.75" thickBot="1" x14ac:dyDescent="0.3"/>
    <row r="51" spans="2:6" ht="19.5" thickBot="1" x14ac:dyDescent="0.35">
      <c r="B51" s="127" t="s">
        <v>10</v>
      </c>
      <c r="C51" s="128"/>
      <c r="D51" s="128"/>
      <c r="E51" s="128"/>
      <c r="F51" s="129"/>
    </row>
    <row r="52" spans="2:6" ht="16.5" thickBot="1" x14ac:dyDescent="0.3">
      <c r="B52" s="130" t="s">
        <v>110</v>
      </c>
      <c r="C52" s="131"/>
      <c r="D52" s="131"/>
      <c r="E52" s="131"/>
      <c r="F52" s="132"/>
    </row>
    <row r="53" spans="2:6" ht="16.5" thickBot="1" x14ac:dyDescent="0.3">
      <c r="B53" s="130" t="s">
        <v>111</v>
      </c>
      <c r="C53" s="131"/>
      <c r="D53" s="131"/>
      <c r="E53" s="131"/>
      <c r="F53" s="132"/>
    </row>
    <row r="54" spans="2:6" x14ac:dyDescent="0.25">
      <c r="B54" s="133" t="s">
        <v>100</v>
      </c>
      <c r="C54" s="134"/>
      <c r="D54" s="134"/>
      <c r="E54" s="134"/>
      <c r="F54" s="139"/>
    </row>
    <row r="55" spans="2:6" x14ac:dyDescent="0.25">
      <c r="B55" s="135" t="s">
        <v>101</v>
      </c>
      <c r="C55" s="136"/>
      <c r="D55" s="136"/>
      <c r="E55" s="136"/>
      <c r="F55" s="140"/>
    </row>
    <row r="56" spans="2:6" x14ac:dyDescent="0.25">
      <c r="B56" s="135" t="s">
        <v>102</v>
      </c>
      <c r="C56" s="136"/>
      <c r="D56" s="136"/>
      <c r="E56" s="136"/>
      <c r="F56" s="140"/>
    </row>
    <row r="57" spans="2:6" x14ac:dyDescent="0.25">
      <c r="B57" s="135" t="s">
        <v>3</v>
      </c>
      <c r="C57" s="136"/>
      <c r="D57" s="136"/>
      <c r="E57" s="136"/>
      <c r="F57" s="140"/>
    </row>
    <row r="58" spans="2:6" x14ac:dyDescent="0.25">
      <c r="B58" s="135" t="s">
        <v>103</v>
      </c>
      <c r="C58" s="136"/>
      <c r="D58" s="136"/>
      <c r="E58" s="136"/>
      <c r="F58" s="140"/>
    </row>
    <row r="59" spans="2:6" ht="15.75" thickBot="1" x14ac:dyDescent="0.3">
      <c r="B59" s="137" t="s">
        <v>104</v>
      </c>
      <c r="C59" s="138"/>
      <c r="D59" s="138"/>
      <c r="E59" s="138"/>
      <c r="F59" s="141"/>
    </row>
  </sheetData>
  <mergeCells count="106">
    <mergeCell ref="B56:C56"/>
    <mergeCell ref="B57:C57"/>
    <mergeCell ref="B58:C58"/>
    <mergeCell ref="B59:C59"/>
    <mergeCell ref="D54:F54"/>
    <mergeCell ref="D55:F55"/>
    <mergeCell ref="D56:F56"/>
    <mergeCell ref="D57:F57"/>
    <mergeCell ref="D58:F58"/>
    <mergeCell ref="D59:F59"/>
    <mergeCell ref="K47:M47"/>
    <mergeCell ref="B51:F51"/>
    <mergeCell ref="B52:F52"/>
    <mergeCell ref="B53:F53"/>
    <mergeCell ref="B54:C54"/>
    <mergeCell ref="B55:C55"/>
    <mergeCell ref="I43:J43"/>
    <mergeCell ref="I44:J44"/>
    <mergeCell ref="I45:J45"/>
    <mergeCell ref="I46:J46"/>
    <mergeCell ref="I47:J47"/>
    <mergeCell ref="K42:M42"/>
    <mergeCell ref="K43:M43"/>
    <mergeCell ref="K44:M44"/>
    <mergeCell ref="K45:M45"/>
    <mergeCell ref="K46:M46"/>
    <mergeCell ref="B44:C44"/>
    <mergeCell ref="B45:C45"/>
    <mergeCell ref="B46:C46"/>
    <mergeCell ref="B47:C47"/>
    <mergeCell ref="D42:F42"/>
    <mergeCell ref="D43:F43"/>
    <mergeCell ref="D44:F44"/>
    <mergeCell ref="D45:F45"/>
    <mergeCell ref="D46:F46"/>
    <mergeCell ref="D47:F47"/>
    <mergeCell ref="K35:M35"/>
    <mergeCell ref="B39:F39"/>
    <mergeCell ref="B40:F40"/>
    <mergeCell ref="B41:F41"/>
    <mergeCell ref="B42:C42"/>
    <mergeCell ref="B43:C43"/>
    <mergeCell ref="I39:M39"/>
    <mergeCell ref="I40:M40"/>
    <mergeCell ref="I41:M41"/>
    <mergeCell ref="I42:J42"/>
    <mergeCell ref="I31:J31"/>
    <mergeCell ref="I32:J32"/>
    <mergeCell ref="I33:J33"/>
    <mergeCell ref="I34:J34"/>
    <mergeCell ref="I35:J35"/>
    <mergeCell ref="K30:M30"/>
    <mergeCell ref="K31:M31"/>
    <mergeCell ref="K32:M32"/>
    <mergeCell ref="K33:M33"/>
    <mergeCell ref="K34:M34"/>
    <mergeCell ref="B32:C32"/>
    <mergeCell ref="B33:C33"/>
    <mergeCell ref="B34:C34"/>
    <mergeCell ref="B35:C35"/>
    <mergeCell ref="D30:F30"/>
    <mergeCell ref="D31:F31"/>
    <mergeCell ref="D32:F32"/>
    <mergeCell ref="D33:F33"/>
    <mergeCell ref="D34:F34"/>
    <mergeCell ref="D35:F35"/>
    <mergeCell ref="K23:M23"/>
    <mergeCell ref="B27:F27"/>
    <mergeCell ref="B28:F28"/>
    <mergeCell ref="B29:F29"/>
    <mergeCell ref="B30:C30"/>
    <mergeCell ref="B31:C31"/>
    <mergeCell ref="I27:M27"/>
    <mergeCell ref="I28:M28"/>
    <mergeCell ref="I29:M29"/>
    <mergeCell ref="I30:J30"/>
    <mergeCell ref="I19:J19"/>
    <mergeCell ref="I20:J20"/>
    <mergeCell ref="I21:J21"/>
    <mergeCell ref="I22:J22"/>
    <mergeCell ref="I23:J23"/>
    <mergeCell ref="K18:M18"/>
    <mergeCell ref="K19:M19"/>
    <mergeCell ref="K20:M20"/>
    <mergeCell ref="K21:M21"/>
    <mergeCell ref="K22:M22"/>
    <mergeCell ref="B20:C20"/>
    <mergeCell ref="B21:C21"/>
    <mergeCell ref="B22:C22"/>
    <mergeCell ref="B23:C23"/>
    <mergeCell ref="D18:F18"/>
    <mergeCell ref="D19:F19"/>
    <mergeCell ref="D20:F20"/>
    <mergeCell ref="D21:F21"/>
    <mergeCell ref="D22:F22"/>
    <mergeCell ref="D23:F23"/>
    <mergeCell ref="B2:M2"/>
    <mergeCell ref="B15:F15"/>
    <mergeCell ref="B16:F16"/>
    <mergeCell ref="B17:F17"/>
    <mergeCell ref="B18:C18"/>
    <mergeCell ref="B19:C19"/>
    <mergeCell ref="I15:M15"/>
    <mergeCell ref="I16:M16"/>
    <mergeCell ref="I17:M17"/>
    <mergeCell ref="I18:J18"/>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2.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___Dropdown values</vt:lpstr>
      <vt:lpstr>Building Blocks</vt:lpstr>
      <vt:lpstr>Method</vt:lpstr>
      <vt:lpstr>Worklist</vt:lpstr>
      <vt:lpstr>PrepList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2021-08-12T14:25:36Z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