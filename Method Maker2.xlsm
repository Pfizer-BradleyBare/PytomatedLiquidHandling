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61B18404-4589-4636-9DD9-ECD78C5C316F}" xr6:coauthVersionLast="45" xr6:coauthVersionMax="45" xr10:uidLastSave="{00000000-0000-0000-0000-000000000000}"/>
  <bookViews>
    <workbookView xWindow="28680" yWindow="-120" windowWidth="29040" windowHeight="15840" firstSheet="1" activeTab="3" xr2:uid="{00000000-000D-0000-FFFF-FFFF00000000}"/>
  </bookViews>
  <sheets>
    <sheet name="___Dropdown values" sheetId="4" state="hidden" r:id="rId1"/>
    <sheet name="Building Blocks" sheetId="1" r:id="rId2"/>
    <sheet name="Method" sheetId="2" r:id="rId3"/>
    <sheet name="Worklist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3" i="2" l="1"/>
  <c r="E172" i="2"/>
  <c r="E165" i="2"/>
  <c r="E164" i="2"/>
  <c r="E157" i="2"/>
  <c r="E156" i="2"/>
  <c r="E152" i="2"/>
  <c r="E149" i="2"/>
  <c r="E138" i="2"/>
  <c r="E137" i="2"/>
  <c r="E130" i="2"/>
  <c r="E129" i="2"/>
  <c r="E122" i="2"/>
  <c r="E121" i="2"/>
  <c r="E114" i="2"/>
  <c r="E113" i="2"/>
  <c r="E106" i="2"/>
  <c r="E105" i="2"/>
  <c r="E98" i="2"/>
  <c r="E97" i="2"/>
  <c r="E86" i="2"/>
  <c r="E74" i="2"/>
  <c r="E62" i="2"/>
  <c r="E50" i="2"/>
  <c r="E38" i="2"/>
  <c r="E37" i="2"/>
  <c r="E30" i="2"/>
  <c r="E29" i="2"/>
  <c r="E22" i="2"/>
  <c r="E21" i="2"/>
  <c r="E13" i="2"/>
  <c r="A2" i="3" l="1"/>
  <c r="B2" i="3" s="1"/>
</calcChain>
</file>

<file path=xl/sharedStrings.xml><?xml version="1.0" encoding="utf-8"?>
<sst xmlns="http://schemas.openxmlformats.org/spreadsheetml/2006/main" count="423" uniqueCount="140">
  <si>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</si>
  <si>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</si>
  <si>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</si>
  <si>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</si>
  <si>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</si>
  <si>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</si>
  <si>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</si>
  <si>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</si>
  <si>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</si>
  <si>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</si>
  <si>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Target Volume (uL)</t>
  </si>
  <si>
    <t>Volume (uL)</t>
  </si>
  <si>
    <t>Temp (C)</t>
  </si>
  <si>
    <t>Enzyme</t>
  </si>
  <si>
    <t>Comments</t>
  </si>
  <si>
    <t>Dilute</t>
  </si>
  <si>
    <t>Description</t>
  </si>
  <si>
    <t>Blank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</si>
  <si>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</si>
  <si>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</si>
  <si>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</si>
  <si>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</si>
  <si>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</si>
  <si>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</si>
  <si>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</si>
  <si>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</si>
  <si>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</si>
  <si>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</si>
  <si>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</si>
  <si>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</si>
  <si>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</si>
  <si>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</si>
  <si>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</si>
  <si>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</si>
  <si>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</si>
  <si>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</si>
  <si>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</si>
  <si>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</si>
  <si>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</si>
  <si>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</si>
  <si>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</si>
  <si>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</si>
  <si>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</si>
  <si>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</si>
  <si>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</si>
  <si>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</si>
  <si>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</si>
  <si>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</si>
  <si>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</si>
  <si>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</si>
  <si>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</si>
  <si>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</si>
  <si>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</si>
  <si>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</si>
  <si>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</si>
  <si>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</si>
  <si>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</si>
  <si>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</si>
  <si>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</si>
  <si>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</si>
  <si>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</si>
  <si>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</si>
  <si>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</si>
  <si>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</si>
  <si>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</si>
  <si>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</si>
  <si>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</si>
  <si>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Pressure Difference (mTorr)</t>
  </si>
  <si>
    <t>``</t>
  </si>
  <si>
    <t>Aliquot</t>
  </si>
  <si>
    <t>Start Position</t>
  </si>
  <si>
    <t>Starting Position</t>
  </si>
  <si>
    <t>Sample Start Position</t>
  </si>
  <si>
    <t>Plate Start Position (A1)</t>
  </si>
  <si>
    <t>Pool</t>
  </si>
  <si>
    <t>Pathways</t>
  </si>
  <si>
    <t>Actions</t>
  </si>
  <si>
    <t>Modifiers</t>
  </si>
  <si>
    <t>Aspirate Location</t>
  </si>
  <si>
    <t>Dispense Location</t>
  </si>
  <si>
    <t>Vacuum Plate</t>
  </si>
  <si>
    <t>Normal</t>
  </si>
  <si>
    <t>Vacuum Options</t>
  </si>
  <si>
    <t>Low</t>
  </si>
  <si>
    <t>High</t>
  </si>
  <si>
    <t>Manual (Remove validation then enter custom value)</t>
  </si>
  <si>
    <t>Vacuum Plates</t>
  </si>
  <si>
    <t>0.45um Self Poured ProA Plate</t>
  </si>
  <si>
    <t>Pre Vacuum Wait (min)</t>
  </si>
  <si>
    <t>Vacuum Time (min)</t>
  </si>
  <si>
    <t>Preload Liquid</t>
  </si>
  <si>
    <t>Volume</t>
  </si>
  <si>
    <t>Max Source Volume (uL)</t>
  </si>
  <si>
    <t>EQ Buffer 1</t>
  </si>
  <si>
    <t>EQ Buffer 1 Vol</t>
  </si>
  <si>
    <t>EQ Buffer 2</t>
  </si>
  <si>
    <t>EQ Buffer 2 Vol</t>
  </si>
  <si>
    <t>EQ Buffer 3</t>
  </si>
  <si>
    <t>EQ Buffer 3 Vol</t>
  </si>
  <si>
    <t>Wash Buffer 1</t>
  </si>
  <si>
    <t>Wash Buffer 1 Vol</t>
  </si>
  <si>
    <t>Wash Buffer 2</t>
  </si>
  <si>
    <t>Wash Buffer 2 Vol</t>
  </si>
  <si>
    <t>Wash Buffer 3</t>
  </si>
  <si>
    <t>Wash Buffer 3 Vol</t>
  </si>
  <si>
    <t>Wash Buffer 4</t>
  </si>
  <si>
    <t>Wash Buffer 4 Vol</t>
  </si>
  <si>
    <t>Wash Buffer 5</t>
  </si>
  <si>
    <t>Wash Buffer 5 Vol</t>
  </si>
  <si>
    <t>Wash Buffer 6</t>
  </si>
  <si>
    <t>Wash Buffer 6 Vol</t>
  </si>
  <si>
    <t>Neutralization Buffer</t>
  </si>
  <si>
    <t>Neutralization Buffer Vol</t>
  </si>
  <si>
    <t>Elution Buffer 1</t>
  </si>
  <si>
    <t>Elution Buffer 1 Vol</t>
  </si>
  <si>
    <t>Elution Buffer 2</t>
  </si>
  <si>
    <t>Elution Buffer 2 Vol</t>
  </si>
  <si>
    <t>Elution Buffer 3</t>
  </si>
  <si>
    <t>Elution Buffer 3 Vol</t>
  </si>
  <si>
    <t>This step will remove the storage buffer from the plate. No liquid transfer will occur</t>
  </si>
  <si>
    <t>Start EQ Buffer Run</t>
  </si>
  <si>
    <t>End EQ Buffer run</t>
  </si>
  <si>
    <t>Start Sample Binding run</t>
  </si>
  <si>
    <t>End Sample Binding run</t>
  </si>
  <si>
    <t>Load Vol 1</t>
  </si>
  <si>
    <t>Load Vol 2</t>
  </si>
  <si>
    <t>Load Vol 3</t>
  </si>
  <si>
    <t>Load Vol 4</t>
  </si>
  <si>
    <t>ProA Digestion Complete</t>
  </si>
  <si>
    <t>Hello, Your ProA Run is complete. Please remove the collection plate.</t>
  </si>
  <si>
    <t>Start Wash Run</t>
  </si>
  <si>
    <t>End Wash Buffer run</t>
  </si>
  <si>
    <t>Start Elution Run</t>
  </si>
  <si>
    <t>End Elution Buffer run</t>
  </si>
  <si>
    <t>N/A</t>
  </si>
  <si>
    <t>Sample</t>
  </si>
  <si>
    <t>Waste 1</t>
  </si>
  <si>
    <t>Waste 2</t>
  </si>
  <si>
    <t>Collection</t>
  </si>
  <si>
    <t>Processing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</si>
</sst>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2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C8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3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0" fillId="2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0" fillId="0" borderId="0" xfId="0" applyBorder="1"/>
    <xf numFmtId="0" fontId="0" fillId="0" borderId="0" xfId="0" applyBorder="1"/>
    <xf numFmtId="0" fontId="1" fillId="2" borderId="9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3" borderId="21" xfId="0" applyFont="1" applyFill="1" applyBorder="1" applyAlignment="1">
      <alignment vertical="center" wrapText="1"/>
    </xf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 vertical="center" wrapText="1"/>
    </xf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3" borderId="0" xfId="0" applyFont="1" applyFill="1" applyBorder="1" applyAlignment="1">
      <alignment vertical="center" wrapText="1"/>
    </xf>
    <xf numFmtId="0" fontId="0" fillId="2" borderId="4" xfId="0" applyFont="1" applyFill="1" applyBorder="1" applyAlignment="1">
      <alignment horizontal="center" vertical="center"/>
    </xf>
    <xf numFmtId="0" fontId="0" fillId="5" borderId="0" xfId="0" applyFill="1"/>
    <xf numFmtId="0" fontId="0" fillId="3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38" t="s">
        <v>29</v>
      </c>
      <c r="C3" s="38"/>
      <c r="D3" s="38" t="s">
        <v>51</v>
      </c>
      <c r="F3" s="65" t="s">
        <v>24</v>
      </c>
      <c r="G3" s="65"/>
      <c r="H3" s="65"/>
      <c r="I3" s="65"/>
      <c r="J3" s="65"/>
      <c r="K3" s="65"/>
      <c r="L3" s="65"/>
    </row>
    <row r="4" spans="2:12" x14ac:dyDescent="0.25">
      <c r="B4" t="s">
        <v>32</v>
      </c>
      <c r="D4" s="41" t="s">
        <v>65</v>
      </c>
      <c r="F4" s="38" t="s">
        <v>0</v>
      </c>
      <c r="G4" s="38" t="s">
        <v>15</v>
      </c>
      <c r="H4" s="38" t="s">
        <v>5</v>
      </c>
      <c r="I4" s="38" t="s">
        <v>19</v>
      </c>
      <c r="J4" s="38" t="s">
        <v>44</v>
      </c>
      <c r="K4" s="38" t="s">
        <v>37</v>
      </c>
      <c r="L4" s="38" t="s">
        <v>53</v>
      </c>
    </row>
    <row r="5" spans="2:12" x14ac:dyDescent="0.25">
      <c r="B5" t="s">
        <v>54</v>
      </c>
      <c r="D5" s="41" t="s">
        <v>66</v>
      </c>
      <c r="F5" t="s">
        <v>0</v>
      </c>
      <c r="G5" t="s">
        <v>15</v>
      </c>
      <c r="H5" t="s">
        <v>5</v>
      </c>
      <c r="I5" t="s">
        <v>19</v>
      </c>
      <c r="J5" t="s">
        <v>44</v>
      </c>
      <c r="K5" t="s">
        <v>37</v>
      </c>
      <c r="L5" t="s">
        <v>53</v>
      </c>
    </row>
    <row r="6" spans="2:12" x14ac:dyDescent="0.25">
      <c r="B6" t="s">
        <v>30</v>
      </c>
      <c r="D6" s="41"/>
      <c r="F6" t="s">
        <v>25</v>
      </c>
      <c r="G6" t="s">
        <v>26</v>
      </c>
      <c r="H6" t="s">
        <v>27</v>
      </c>
      <c r="I6" t="s">
        <v>28</v>
      </c>
      <c r="J6" t="s">
        <v>45</v>
      </c>
      <c r="K6" t="s">
        <v>38</v>
      </c>
      <c r="L6" t="s">
        <v>55</v>
      </c>
    </row>
    <row r="7" spans="2:12" x14ac:dyDescent="0.25">
      <c r="B7" t="s">
        <v>56</v>
      </c>
      <c r="D7" s="41"/>
    </row>
    <row r="9" spans="2:12" x14ac:dyDescent="0.25">
      <c r="B9" s="38" t="s">
        <v>52</v>
      </c>
      <c r="D9" s="35" t="s">
        <v>48</v>
      </c>
    </row>
    <row r="10" spans="2:12" x14ac:dyDescent="0.25">
      <c r="B10" t="s">
        <v>59</v>
      </c>
      <c r="D10" s="24" t="s">
        <v>40</v>
      </c>
    </row>
    <row r="11" spans="2:12" x14ac:dyDescent="0.25">
      <c r="B11" t="s">
        <v>60</v>
      </c>
      <c r="D11" s="24" t="s">
        <v>41</v>
      </c>
    </row>
    <row r="12" spans="2:12" x14ac:dyDescent="0.25">
      <c r="B12" t="s">
        <v>61</v>
      </c>
    </row>
    <row r="13" spans="2:12" x14ac:dyDescent="0.25">
      <c r="B13" t="s">
        <v>62</v>
      </c>
      <c r="D13" s="38" t="s">
        <v>71</v>
      </c>
    </row>
    <row r="14" spans="2:12" x14ac:dyDescent="0.25">
      <c r="B14" t="s">
        <v>63</v>
      </c>
      <c r="D14" t="s">
        <v>72</v>
      </c>
    </row>
    <row r="15" spans="2:12" x14ac:dyDescent="0.25">
      <c r="B15" t="s">
        <v>64</v>
      </c>
      <c r="D15" t="s">
        <v>73</v>
      </c>
    </row>
    <row r="16" spans="2:12" x14ac:dyDescent="0.25">
      <c r="B16" t="s">
        <v>13</v>
      </c>
    </row>
    <row r="17" spans="2:4" x14ac:dyDescent="0.25">
      <c r="B17" t="s">
        <v>2</v>
      </c>
    </row>
    <row r="18" spans="2:4" x14ac:dyDescent="0.25">
      <c r="D18" s="38" t="s">
        <v>82</v>
      </c>
    </row>
    <row r="19" spans="2:4" x14ac:dyDescent="0.25">
      <c r="B19" s="38" t="s">
        <v>50</v>
      </c>
      <c r="D19" t="s">
        <v>83</v>
      </c>
    </row>
    <row r="20" spans="2:4" x14ac:dyDescent="0.25">
      <c r="B20" t="s">
        <v>57</v>
      </c>
      <c r="D20" t="s">
        <v>81</v>
      </c>
    </row>
    <row r="21" spans="2:4" x14ac:dyDescent="0.25">
      <c r="B21" t="s">
        <v>58</v>
      </c>
      <c r="D21" t="s">
        <v>84</v>
      </c>
    </row>
    <row r="22" spans="2:4" x14ac:dyDescent="0.25">
      <c r="D22" t="s">
        <v>85</v>
      </c>
    </row>
    <row r="24" spans="2:4" x14ac:dyDescent="0.25">
      <c r="D24" s="38" t="s">
        <v>86</v>
      </c>
    </row>
    <row r="25" spans="2:4" x14ac:dyDescent="0.25">
      <c r="D25" t="s">
        <v>87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M41"/>
  <sheetViews>
    <sheetView zoomScale="80" zoomScaleNormal="80" workbookViewId="0">
      <selection activeCell="G38" sqref="G38:I41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6" max="6" width="19.2851562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22.42578125" bestFit="1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1" spans="3:13" ht="15.75" thickBot="1" x14ac:dyDescent="0.3"/>
    <row r="2" spans="3:13" x14ac:dyDescent="0.25">
      <c r="C2" s="71" t="s">
        <v>75</v>
      </c>
      <c r="D2" s="72"/>
      <c r="E2" s="73"/>
      <c r="G2" s="77" t="s">
        <v>76</v>
      </c>
      <c r="H2" s="78"/>
      <c r="I2" s="79"/>
      <c r="K2" s="77" t="s">
        <v>77</v>
      </c>
      <c r="L2" s="78"/>
      <c r="M2" s="79"/>
    </row>
    <row r="3" spans="3:13" ht="15.75" thickBot="1" x14ac:dyDescent="0.3">
      <c r="C3" s="74"/>
      <c r="D3" s="75"/>
      <c r="E3" s="76"/>
      <c r="G3" s="80"/>
      <c r="H3" s="81"/>
      <c r="I3" s="82"/>
      <c r="K3" s="80"/>
      <c r="L3" s="81"/>
      <c r="M3" s="82"/>
    </row>
    <row r="4" spans="3:13" ht="15.75" thickBot="1" x14ac:dyDescent="0.3"/>
    <row r="5" spans="3:13" x14ac:dyDescent="0.25">
      <c r="C5" s="83" t="s">
        <v>2</v>
      </c>
      <c r="D5" s="84"/>
      <c r="E5" s="42" t="s">
        <v>14</v>
      </c>
      <c r="G5" s="92" t="s">
        <v>0</v>
      </c>
      <c r="H5" s="93"/>
      <c r="I5" s="29" t="s">
        <v>14</v>
      </c>
      <c r="K5" s="66" t="s">
        <v>69</v>
      </c>
      <c r="L5" s="67"/>
      <c r="M5" s="46" t="s">
        <v>14</v>
      </c>
    </row>
    <row r="6" spans="3:13" x14ac:dyDescent="0.25">
      <c r="C6" s="31" t="s">
        <v>1</v>
      </c>
      <c r="D6" s="34"/>
      <c r="E6" s="94"/>
      <c r="G6" s="3" t="s">
        <v>36</v>
      </c>
      <c r="H6" s="13"/>
      <c r="I6" s="113"/>
      <c r="K6" s="5" t="s">
        <v>36</v>
      </c>
      <c r="L6" s="20"/>
      <c r="M6" s="68"/>
    </row>
    <row r="7" spans="3:13" ht="15.75" thickBot="1" x14ac:dyDescent="0.3">
      <c r="C7" s="43" t="s">
        <v>23</v>
      </c>
      <c r="D7" s="33"/>
      <c r="E7" s="95"/>
      <c r="G7" s="3" t="s">
        <v>52</v>
      </c>
      <c r="H7" s="13"/>
      <c r="I7" s="114"/>
      <c r="K7" s="5" t="s">
        <v>78</v>
      </c>
      <c r="L7" s="20"/>
      <c r="M7" s="69"/>
    </row>
    <row r="8" spans="3:13" ht="15.75" thickBot="1" x14ac:dyDescent="0.3">
      <c r="G8" s="3" t="s">
        <v>50</v>
      </c>
      <c r="H8" s="13"/>
      <c r="I8" s="114"/>
      <c r="K8" s="6" t="s">
        <v>70</v>
      </c>
      <c r="L8" s="21" t="s">
        <v>72</v>
      </c>
      <c r="M8" s="70"/>
    </row>
    <row r="9" spans="3:13" ht="15.75" thickBot="1" x14ac:dyDescent="0.3">
      <c r="C9" s="87" t="s">
        <v>4</v>
      </c>
      <c r="D9" s="88"/>
      <c r="E9" s="25" t="s">
        <v>14</v>
      </c>
      <c r="G9" s="3" t="s">
        <v>11</v>
      </c>
      <c r="H9" s="13"/>
      <c r="I9" s="114"/>
    </row>
    <row r="10" spans="3:13" ht="15.75" thickBot="1" x14ac:dyDescent="0.3">
      <c r="C10" s="9" t="s">
        <v>22</v>
      </c>
      <c r="D10" s="18"/>
      <c r="E10" s="89"/>
      <c r="G10" s="4" t="s">
        <v>39</v>
      </c>
      <c r="H10" s="14" t="s">
        <v>40</v>
      </c>
      <c r="I10" s="115"/>
      <c r="K10" s="66" t="s">
        <v>74</v>
      </c>
      <c r="L10" s="67"/>
      <c r="M10" s="46" t="s">
        <v>14</v>
      </c>
    </row>
    <row r="11" spans="3:13" ht="15.75" thickBot="1" x14ac:dyDescent="0.3">
      <c r="C11" s="9" t="s">
        <v>33</v>
      </c>
      <c r="D11" s="18"/>
      <c r="E11" s="90"/>
      <c r="K11" s="5" t="s">
        <v>36</v>
      </c>
      <c r="L11" s="20"/>
      <c r="M11" s="68"/>
    </row>
    <row r="12" spans="3:13" ht="15.75" thickBot="1" x14ac:dyDescent="0.3">
      <c r="C12" s="10" t="s">
        <v>34</v>
      </c>
      <c r="D12" s="19"/>
      <c r="E12" s="91"/>
      <c r="G12" s="85" t="s">
        <v>15</v>
      </c>
      <c r="H12" s="86"/>
      <c r="I12" s="26" t="s">
        <v>14</v>
      </c>
      <c r="K12" s="5" t="s">
        <v>79</v>
      </c>
      <c r="L12" s="20"/>
      <c r="M12" s="69"/>
    </row>
    <row r="13" spans="3:13" ht="15.75" thickBot="1" x14ac:dyDescent="0.3">
      <c r="G13" s="7" t="s">
        <v>36</v>
      </c>
      <c r="H13" s="15"/>
      <c r="I13" s="116"/>
      <c r="K13" s="6" t="s">
        <v>70</v>
      </c>
      <c r="L13" s="21" t="s">
        <v>72</v>
      </c>
      <c r="M13" s="70"/>
    </row>
    <row r="14" spans="3:13" ht="15.75" thickBot="1" x14ac:dyDescent="0.3">
      <c r="C14" s="83" t="s">
        <v>49</v>
      </c>
      <c r="D14" s="84"/>
      <c r="E14" s="39" t="s">
        <v>14</v>
      </c>
      <c r="G14" s="7" t="s">
        <v>3</v>
      </c>
      <c r="H14" s="15"/>
      <c r="I14" s="117"/>
    </row>
    <row r="15" spans="3:13" x14ac:dyDescent="0.25">
      <c r="C15" s="96"/>
      <c r="D15" s="97"/>
      <c r="E15" s="94"/>
      <c r="G15" s="7" t="s">
        <v>6</v>
      </c>
      <c r="H15" s="15"/>
      <c r="I15" s="117"/>
      <c r="K15" s="66" t="s">
        <v>90</v>
      </c>
      <c r="L15" s="67"/>
      <c r="M15" s="46" t="s">
        <v>14</v>
      </c>
    </row>
    <row r="16" spans="3:13" ht="15.75" thickBot="1" x14ac:dyDescent="0.3">
      <c r="C16" s="98"/>
      <c r="D16" s="99"/>
      <c r="E16" s="95"/>
      <c r="G16" s="7" t="s">
        <v>7</v>
      </c>
      <c r="H16" s="15"/>
      <c r="I16" s="117"/>
      <c r="K16" s="6" t="s">
        <v>91</v>
      </c>
      <c r="L16" s="21"/>
      <c r="M16" s="52"/>
    </row>
    <row r="17" spans="3:13" x14ac:dyDescent="0.25">
      <c r="C17" s="53"/>
      <c r="D17" s="53"/>
      <c r="E17" s="54"/>
      <c r="G17" s="7" t="s">
        <v>10</v>
      </c>
      <c r="H17" s="15"/>
      <c r="I17" s="117"/>
      <c r="K17" s="55"/>
      <c r="L17" s="56"/>
      <c r="M17" s="57"/>
    </row>
    <row r="18" spans="3:13" ht="15.75" thickBot="1" x14ac:dyDescent="0.3">
      <c r="G18" s="8" t="s">
        <v>92</v>
      </c>
      <c r="H18" s="16"/>
      <c r="I18" s="118"/>
    </row>
    <row r="19" spans="3:13" ht="15.75" thickBot="1" x14ac:dyDescent="0.3"/>
    <row r="20" spans="3:13" x14ac:dyDescent="0.25">
      <c r="G20" s="100" t="s">
        <v>37</v>
      </c>
      <c r="H20" s="101"/>
      <c r="I20" s="28" t="s">
        <v>14</v>
      </c>
    </row>
    <row r="21" spans="3:13" x14ac:dyDescent="0.25">
      <c r="G21" s="11" t="s">
        <v>12</v>
      </c>
      <c r="H21" s="22"/>
      <c r="I21" s="102"/>
    </row>
    <row r="22" spans="3:13" x14ac:dyDescent="0.25">
      <c r="G22" s="11" t="s">
        <v>9</v>
      </c>
      <c r="H22" s="22"/>
      <c r="I22" s="103"/>
    </row>
    <row r="23" spans="3:13" ht="15.75" thickBot="1" x14ac:dyDescent="0.3">
      <c r="G23" s="12" t="s">
        <v>18</v>
      </c>
      <c r="H23" s="23"/>
      <c r="I23" s="104"/>
    </row>
    <row r="24" spans="3:13" ht="15.75" thickBot="1" x14ac:dyDescent="0.3"/>
    <row r="25" spans="3:13" x14ac:dyDescent="0.25">
      <c r="G25" s="66" t="s">
        <v>5</v>
      </c>
      <c r="H25" s="67"/>
      <c r="I25" s="27" t="s">
        <v>14</v>
      </c>
    </row>
    <row r="26" spans="3:13" x14ac:dyDescent="0.25">
      <c r="G26" s="5" t="s">
        <v>36</v>
      </c>
      <c r="H26" s="20"/>
      <c r="I26" s="68"/>
    </row>
    <row r="27" spans="3:13" x14ac:dyDescent="0.25">
      <c r="G27" s="5" t="s">
        <v>35</v>
      </c>
      <c r="H27" s="20"/>
      <c r="I27" s="69"/>
    </row>
    <row r="28" spans="3:13" ht="15.75" thickBot="1" x14ac:dyDescent="0.3">
      <c r="G28" s="6" t="s">
        <v>23</v>
      </c>
      <c r="H28" s="21"/>
      <c r="I28" s="70"/>
    </row>
    <row r="29" spans="3:13" ht="15.75" thickBot="1" x14ac:dyDescent="0.3">
      <c r="G29" s="38"/>
    </row>
    <row r="30" spans="3:13" x14ac:dyDescent="0.25">
      <c r="G30" s="105" t="s">
        <v>42</v>
      </c>
      <c r="H30" s="106"/>
      <c r="I30" s="49" t="s">
        <v>14</v>
      </c>
    </row>
    <row r="31" spans="3:13" x14ac:dyDescent="0.25">
      <c r="G31" s="36" t="s">
        <v>36</v>
      </c>
      <c r="H31" s="58"/>
      <c r="I31" s="107"/>
    </row>
    <row r="32" spans="3:13" x14ac:dyDescent="0.25">
      <c r="G32" s="36" t="s">
        <v>11</v>
      </c>
      <c r="H32" s="50"/>
      <c r="I32" s="108"/>
    </row>
    <row r="33" spans="7:9" x14ac:dyDescent="0.25">
      <c r="G33" s="36" t="s">
        <v>80</v>
      </c>
      <c r="H33" s="50"/>
      <c r="I33" s="108"/>
    </row>
    <row r="34" spans="7:9" x14ac:dyDescent="0.25">
      <c r="G34" s="36" t="s">
        <v>88</v>
      </c>
      <c r="H34" s="50"/>
      <c r="I34" s="108"/>
    </row>
    <row r="35" spans="7:9" x14ac:dyDescent="0.25">
      <c r="G35" s="36" t="s">
        <v>67</v>
      </c>
      <c r="H35" s="50" t="s">
        <v>81</v>
      </c>
      <c r="I35" s="108"/>
    </row>
    <row r="36" spans="7:9" ht="15.75" thickBot="1" x14ac:dyDescent="0.3">
      <c r="G36" s="37" t="s">
        <v>89</v>
      </c>
      <c r="H36" s="51"/>
      <c r="I36" s="109"/>
    </row>
    <row r="37" spans="7:9" ht="15.75" thickBot="1" x14ac:dyDescent="0.3"/>
    <row r="38" spans="7:9" x14ac:dyDescent="0.25">
      <c r="G38" s="83" t="s">
        <v>19</v>
      </c>
      <c r="H38" s="84"/>
      <c r="I38" s="40" t="s">
        <v>14</v>
      </c>
    </row>
    <row r="39" spans="7:9" x14ac:dyDescent="0.25">
      <c r="G39" s="31" t="s">
        <v>47</v>
      </c>
      <c r="H39" s="32"/>
      <c r="I39" s="110"/>
    </row>
    <row r="40" spans="7:9" x14ac:dyDescent="0.25">
      <c r="G40" s="31" t="s">
        <v>20</v>
      </c>
      <c r="H40" s="45"/>
      <c r="I40" s="111"/>
    </row>
    <row r="41" spans="7:9" ht="15.75" thickBot="1" x14ac:dyDescent="0.3">
      <c r="G41" s="1" t="s">
        <v>21</v>
      </c>
      <c r="H41" s="44"/>
      <c r="I41" s="112"/>
    </row>
  </sheetData>
  <mergeCells count="27">
    <mergeCell ref="I39:I41"/>
    <mergeCell ref="I6:I10"/>
    <mergeCell ref="I26:I28"/>
    <mergeCell ref="K15:L15"/>
    <mergeCell ref="I13:I18"/>
    <mergeCell ref="C14:D14"/>
    <mergeCell ref="C15:D16"/>
    <mergeCell ref="G20:H20"/>
    <mergeCell ref="I21:I23"/>
    <mergeCell ref="G38:H38"/>
    <mergeCell ref="E15:E16"/>
    <mergeCell ref="G25:H25"/>
    <mergeCell ref="G30:H30"/>
    <mergeCell ref="I31:I36"/>
    <mergeCell ref="K5:L5"/>
    <mergeCell ref="M6:M8"/>
    <mergeCell ref="K10:L10"/>
    <mergeCell ref="M11:M13"/>
    <mergeCell ref="C2:E3"/>
    <mergeCell ref="G2:I3"/>
    <mergeCell ref="K2:M3"/>
    <mergeCell ref="C5:D5"/>
    <mergeCell ref="G12:H12"/>
    <mergeCell ref="C9:D9"/>
    <mergeCell ref="E10:E12"/>
    <mergeCell ref="G5:H5"/>
    <mergeCell ref="E6:E7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100-000000000000}">
          <x14:formula1>
            <xm:f>'___Dropdown values'!$B$20:$B$21</xm:f>
          </x14:formula1>
          <xm:sqref>H8</xm:sqref>
        </x14:dataValidation>
        <x14:dataValidation type="list" allowBlank="1" showInputMessage="1" showErrorMessage="1" xr:uid="{00000000-0002-0000-0100-000001000000}">
          <x14:formula1>
            <xm:f>'___Dropdown values'!$H$5:$H$6</xm:f>
          </x14:formula1>
          <xm:sqref>G25:H25</xm:sqref>
        </x14:dataValidation>
        <x14:dataValidation type="list" allowBlank="1" showInputMessage="1" showErrorMessage="1" xr:uid="{00000000-0002-0000-0100-000002000000}">
          <x14:formula1>
            <xm:f>'___Dropdown values'!$I$5:$I$6</xm:f>
          </x14:formula1>
          <xm:sqref>G38:H38</xm:sqref>
        </x14:dataValidation>
        <x14:dataValidation type="list" allowBlank="1" showInputMessage="1" showErrorMessage="1" xr:uid="{00000000-0002-0000-0100-000003000000}">
          <x14:formula1>
            <xm:f>'___Dropdown values'!$K$5:$K$6</xm:f>
          </x14:formula1>
          <xm:sqref>G20:H20</xm:sqref>
        </x14:dataValidation>
        <x14:dataValidation type="list" allowBlank="1" showInputMessage="1" showErrorMessage="1" xr:uid="{00000000-0002-0000-0100-000004000000}">
          <x14:formula1>
            <xm:f>'___Dropdown values'!$D$10:$D$11</xm:f>
          </x14:formula1>
          <xm:sqref>H10 H39</xm:sqref>
        </x14:dataValidation>
        <x14:dataValidation type="list" allowBlank="1" showInputMessage="1" showErrorMessage="1" xr:uid="{00000000-0002-0000-0100-000005000000}">
          <x14:formula1>
            <xm:f>'___Dropdown values'!$F$5:$F$6</xm:f>
          </x14:formula1>
          <xm:sqref>G5:H5</xm:sqref>
        </x14:dataValidation>
        <x14:dataValidation type="list" allowBlank="1" showInputMessage="1" showErrorMessage="1" xr:uid="{00000000-0002-0000-0100-000006000000}">
          <x14:formula1>
            <xm:f>'___Dropdown values'!$G$5:$G$6</xm:f>
          </x14:formula1>
          <xm:sqref>G12:H12</xm:sqref>
        </x14:dataValidation>
        <x14:dataValidation type="list" allowBlank="1" showInputMessage="1" showErrorMessage="1" xr:uid="{00000000-0002-0000-0100-000007000000}">
          <x14:formula1>
            <xm:f>'___Dropdown values'!$B$10:$B$17</xm:f>
          </x14:formula1>
          <xm:sqref>H7</xm:sqref>
        </x14:dataValidation>
        <x14:dataValidation type="list" allowBlank="1" showInputMessage="1" showErrorMessage="1" xr:uid="{00000000-0002-0000-0100-000008000000}">
          <x14:formula1>
            <xm:f>'___Dropdown values'!$D$4:$D$5</xm:f>
          </x14:formula1>
          <xm:sqref>H28</xm:sqref>
        </x14:dataValidation>
        <x14:dataValidation type="list" allowBlank="1" showInputMessage="1" showErrorMessage="1" xr:uid="{00000000-0002-0000-0100-000009000000}">
          <x14:formula1>
            <xm:f>'___Dropdown values'!$B$4:$B$7</xm:f>
          </x14:formula1>
          <xm:sqref>D7</xm:sqref>
        </x14:dataValidation>
        <x14:dataValidation type="list" allowBlank="1" showInputMessage="1" showErrorMessage="1" xr:uid="{00000000-0002-0000-0100-00000A000000}">
          <x14:formula1>
            <xm:f>'___Dropdown values'!$D$14:$D$15</xm:f>
          </x14:formula1>
          <xm:sqref>L8 L13</xm:sqref>
        </x14:dataValidation>
        <x14:dataValidation type="list" allowBlank="1" showInputMessage="1" showErrorMessage="1" xr:uid="{00000000-0002-0000-0100-00000B000000}">
          <x14:formula1>
            <xm:f>'___Dropdown values'!$D$25</xm:f>
          </x14:formula1>
          <xm:sqref>H33</xm:sqref>
        </x14:dataValidation>
        <x14:dataValidation type="list" allowBlank="1" showInputMessage="1" showErrorMessage="1" xr:uid="{00000000-0002-0000-0100-00000C000000}">
          <x14:formula1>
            <xm:f>'___Dropdown values'!$D$19:$D$22</xm:f>
          </x14:formula1>
          <xm:sqref>H35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82"/>
  <sheetViews>
    <sheetView topLeftCell="A136" zoomScale="90" zoomScaleNormal="90" workbookViewId="0">
      <selection activeCell="E57" sqref="E57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4:15" ht="15.75" thickBot="1" x14ac:dyDescent="0.3"/>
    <row r="2" spans="4:15" x14ac:dyDescent="0.25">
      <c r="D2" s="83" t="s">
        <v>2</v>
      </c>
      <c r="E2" s="84"/>
      <c r="F2" s="30" t="s">
        <v>14</v>
      </c>
    </row>
    <row r="3" spans="4:15" x14ac:dyDescent="0.25">
      <c r="D3" s="31" t="s">
        <v>1</v>
      </c>
      <c r="E3" s="34" t="s">
        <v>135</v>
      </c>
      <c r="F3" s="94" t="s">
        <v>43</v>
      </c>
    </row>
    <row r="4" spans="4:15" ht="15.75" thickBot="1" x14ac:dyDescent="0.3">
      <c r="D4" s="1" t="s">
        <v>23</v>
      </c>
      <c r="E4" s="17" t="s">
        <v>32</v>
      </c>
      <c r="F4" s="95"/>
    </row>
    <row r="6" spans="4:15" s="2" customFormat="1" ht="15.75" thickBot="1" x14ac:dyDescent="0.3">
      <c r="D6" s="122" t="s">
        <v>8</v>
      </c>
      <c r="E6" s="122"/>
    </row>
    <row r="7" spans="4:15" ht="15.75" thickBot="1" x14ac:dyDescent="0.3">
      <c r="D7" s="24"/>
      <c r="E7" s="24"/>
      <c r="N7"/>
      <c r="O7"/>
    </row>
    <row r="8" spans="4:15" x14ac:dyDescent="0.25">
      <c r="D8" s="83" t="s">
        <v>2</v>
      </c>
      <c r="E8" s="84"/>
      <c r="F8" s="42" t="s">
        <v>14</v>
      </c>
      <c r="N8"/>
      <c r="O8"/>
    </row>
    <row r="9" spans="4:15" x14ac:dyDescent="0.25">
      <c r="D9" s="31" t="s">
        <v>1</v>
      </c>
      <c r="E9" s="34" t="s">
        <v>136</v>
      </c>
      <c r="F9" s="94"/>
      <c r="N9"/>
      <c r="O9"/>
    </row>
    <row r="10" spans="4:15" ht="15.75" thickBot="1" x14ac:dyDescent="0.3">
      <c r="D10" s="43" t="s">
        <v>23</v>
      </c>
      <c r="E10" s="33" t="s">
        <v>32</v>
      </c>
      <c r="F10" s="95"/>
      <c r="N10"/>
      <c r="O10"/>
    </row>
    <row r="11" spans="4:15" ht="15.75" thickBot="1" x14ac:dyDescent="0.3">
      <c r="D11" s="47"/>
      <c r="E11" s="47"/>
      <c r="N11"/>
      <c r="O11"/>
    </row>
    <row r="12" spans="4:15" x14ac:dyDescent="0.25">
      <c r="D12" s="105" t="s">
        <v>42</v>
      </c>
      <c r="E12" s="106"/>
      <c r="F12" s="49" t="s">
        <v>14</v>
      </c>
      <c r="N12"/>
      <c r="O12"/>
    </row>
    <row r="13" spans="4:15" x14ac:dyDescent="0.25">
      <c r="D13" s="36" t="s">
        <v>36</v>
      </c>
      <c r="E13" s="58" t="str">
        <f>E9</f>
        <v>Waste 1</v>
      </c>
      <c r="F13" s="119" t="s">
        <v>119</v>
      </c>
      <c r="N13"/>
      <c r="O13"/>
    </row>
    <row r="14" spans="4:15" x14ac:dyDescent="0.25">
      <c r="D14" s="36" t="s">
        <v>11</v>
      </c>
      <c r="E14" s="50">
        <v>0</v>
      </c>
      <c r="F14" s="120"/>
      <c r="N14"/>
      <c r="O14"/>
    </row>
    <row r="15" spans="4:15" x14ac:dyDescent="0.25">
      <c r="D15" s="36" t="s">
        <v>80</v>
      </c>
      <c r="E15" s="50" t="s">
        <v>87</v>
      </c>
      <c r="F15" s="120"/>
      <c r="N15"/>
      <c r="O15"/>
    </row>
    <row r="16" spans="4:15" x14ac:dyDescent="0.25">
      <c r="D16" s="36" t="s">
        <v>88</v>
      </c>
      <c r="E16" s="50">
        <v>5</v>
      </c>
      <c r="F16" s="120"/>
      <c r="N16"/>
      <c r="O16"/>
    </row>
    <row r="17" spans="1:15" x14ac:dyDescent="0.25">
      <c r="D17" s="36" t="s">
        <v>67</v>
      </c>
      <c r="E17" s="50" t="s">
        <v>81</v>
      </c>
      <c r="F17" s="120"/>
      <c r="N17"/>
      <c r="O17"/>
    </row>
    <row r="18" spans="1:15" ht="15.75" thickBot="1" x14ac:dyDescent="0.3">
      <c r="A18" t="s">
        <v>68</v>
      </c>
      <c r="D18" s="37" t="s">
        <v>89</v>
      </c>
      <c r="E18" s="51">
        <v>5</v>
      </c>
      <c r="F18" s="121"/>
      <c r="N18"/>
      <c r="O18"/>
    </row>
    <row r="19" spans="1:15" ht="15.75" thickBot="1" x14ac:dyDescent="0.3">
      <c r="N19"/>
      <c r="O19"/>
    </row>
    <row r="20" spans="1:15" x14ac:dyDescent="0.25">
      <c r="D20" s="105" t="s">
        <v>42</v>
      </c>
      <c r="E20" s="106"/>
      <c r="F20" s="49" t="s">
        <v>14</v>
      </c>
      <c r="N20"/>
      <c r="O20"/>
    </row>
    <row r="21" spans="1:15" x14ac:dyDescent="0.25">
      <c r="D21" s="36" t="s">
        <v>36</v>
      </c>
      <c r="E21" s="58" t="str">
        <f>Worklist!D1</f>
        <v>EQ Buffer 1</v>
      </c>
      <c r="F21" s="107" t="s">
        <v>120</v>
      </c>
      <c r="N21"/>
      <c r="O21"/>
    </row>
    <row r="22" spans="1:15" x14ac:dyDescent="0.25">
      <c r="D22" s="36" t="s">
        <v>11</v>
      </c>
      <c r="E22" s="50" t="str">
        <f>Worklist!E1</f>
        <v>EQ Buffer 1 Vol</v>
      </c>
      <c r="F22" s="108"/>
      <c r="N22"/>
      <c r="O22"/>
    </row>
    <row r="23" spans="1:15" x14ac:dyDescent="0.25">
      <c r="D23" s="36" t="s">
        <v>80</v>
      </c>
      <c r="E23" s="50" t="s">
        <v>87</v>
      </c>
      <c r="F23" s="108"/>
      <c r="N23"/>
      <c r="O23"/>
    </row>
    <row r="24" spans="1:15" x14ac:dyDescent="0.25">
      <c r="D24" s="36" t="s">
        <v>88</v>
      </c>
      <c r="E24" s="50">
        <v>5</v>
      </c>
      <c r="F24" s="108"/>
      <c r="N24"/>
      <c r="O24"/>
    </row>
    <row r="25" spans="1:15" x14ac:dyDescent="0.25">
      <c r="D25" s="36" t="s">
        <v>67</v>
      </c>
      <c r="E25" s="50" t="s">
        <v>81</v>
      </c>
      <c r="F25" s="108"/>
      <c r="N25"/>
      <c r="O25"/>
    </row>
    <row r="26" spans="1:15" ht="15.75" thickBot="1" x14ac:dyDescent="0.3">
      <c r="D26" s="37" t="s">
        <v>89</v>
      </c>
      <c r="E26" s="51">
        <v>5</v>
      </c>
      <c r="F26" s="109"/>
      <c r="N26"/>
      <c r="O26"/>
    </row>
    <row r="27" spans="1:15" ht="15.75" thickBot="1" x14ac:dyDescent="0.3">
      <c r="N27"/>
      <c r="O27"/>
    </row>
    <row r="28" spans="1:15" x14ac:dyDescent="0.25">
      <c r="D28" s="105" t="s">
        <v>42</v>
      </c>
      <c r="E28" s="106"/>
      <c r="F28" s="49" t="s">
        <v>14</v>
      </c>
      <c r="N28"/>
      <c r="O28"/>
    </row>
    <row r="29" spans="1:15" x14ac:dyDescent="0.25">
      <c r="D29" s="36" t="s">
        <v>36</v>
      </c>
      <c r="E29" s="58" t="str">
        <f>Worklist!F1</f>
        <v>EQ Buffer 2</v>
      </c>
      <c r="F29" s="107"/>
      <c r="N29"/>
      <c r="O29"/>
    </row>
    <row r="30" spans="1:15" x14ac:dyDescent="0.25">
      <c r="D30" s="36" t="s">
        <v>11</v>
      </c>
      <c r="E30" s="50" t="str">
        <f>Worklist!G1</f>
        <v>EQ Buffer 2 Vol</v>
      </c>
      <c r="F30" s="108"/>
      <c r="N30"/>
      <c r="O30"/>
    </row>
    <row r="31" spans="1:15" x14ac:dyDescent="0.25">
      <c r="D31" s="36" t="s">
        <v>80</v>
      </c>
      <c r="E31" s="50" t="s">
        <v>87</v>
      </c>
      <c r="F31" s="108"/>
      <c r="N31"/>
      <c r="O31"/>
    </row>
    <row r="32" spans="1:15" x14ac:dyDescent="0.25">
      <c r="D32" s="36" t="s">
        <v>88</v>
      </c>
      <c r="E32" s="50">
        <v>5</v>
      </c>
      <c r="F32" s="108"/>
      <c r="N32"/>
      <c r="O32"/>
    </row>
    <row r="33" spans="4:15" x14ac:dyDescent="0.25">
      <c r="D33" s="36" t="s">
        <v>67</v>
      </c>
      <c r="E33" s="50" t="s">
        <v>81</v>
      </c>
      <c r="F33" s="108"/>
      <c r="N33"/>
      <c r="O33"/>
    </row>
    <row r="34" spans="4:15" ht="15.75" thickBot="1" x14ac:dyDescent="0.3">
      <c r="D34" s="37" t="s">
        <v>89</v>
      </c>
      <c r="E34" s="51">
        <v>5</v>
      </c>
      <c r="F34" s="109"/>
      <c r="N34"/>
      <c r="O34"/>
    </row>
    <row r="35" spans="4:15" ht="15.75" thickBot="1" x14ac:dyDescent="0.3">
      <c r="D35" s="24"/>
      <c r="E35" s="24"/>
      <c r="N35"/>
      <c r="O35"/>
    </row>
    <row r="36" spans="4:15" x14ac:dyDescent="0.25">
      <c r="D36" s="105" t="s">
        <v>42</v>
      </c>
      <c r="E36" s="106"/>
      <c r="F36" s="49" t="s">
        <v>14</v>
      </c>
      <c r="N36"/>
      <c r="O36"/>
    </row>
    <row r="37" spans="4:15" x14ac:dyDescent="0.25">
      <c r="D37" s="36" t="s">
        <v>36</v>
      </c>
      <c r="E37" s="58" t="str">
        <f>Worklist!H1</f>
        <v>EQ Buffer 3</v>
      </c>
      <c r="F37" s="107" t="s">
        <v>121</v>
      </c>
      <c r="N37"/>
      <c r="O37"/>
    </row>
    <row r="38" spans="4:15" x14ac:dyDescent="0.25">
      <c r="D38" s="36" t="s">
        <v>11</v>
      </c>
      <c r="E38" s="50" t="str">
        <f>Worklist!I1</f>
        <v>EQ Buffer 3 Vol</v>
      </c>
      <c r="F38" s="108"/>
      <c r="N38"/>
      <c r="O38"/>
    </row>
    <row r="39" spans="4:15" x14ac:dyDescent="0.25">
      <c r="D39" s="36" t="s">
        <v>80</v>
      </c>
      <c r="E39" s="50" t="s">
        <v>87</v>
      </c>
      <c r="F39" s="108"/>
      <c r="N39"/>
      <c r="O39"/>
    </row>
    <row r="40" spans="4:15" x14ac:dyDescent="0.25">
      <c r="D40" s="36" t="s">
        <v>88</v>
      </c>
      <c r="E40" s="50">
        <v>5</v>
      </c>
      <c r="F40" s="108"/>
      <c r="N40"/>
      <c r="O40"/>
    </row>
    <row r="41" spans="4:15" x14ac:dyDescent="0.25">
      <c r="D41" s="36" t="s">
        <v>67</v>
      </c>
      <c r="E41" s="50" t="s">
        <v>81</v>
      </c>
      <c r="F41" s="108"/>
      <c r="N41"/>
      <c r="O41"/>
    </row>
    <row r="42" spans="4:15" ht="15.75" thickBot="1" x14ac:dyDescent="0.3">
      <c r="D42" s="37" t="s">
        <v>89</v>
      </c>
      <c r="E42" s="51">
        <v>5</v>
      </c>
      <c r="F42" s="109"/>
      <c r="N42"/>
      <c r="O42"/>
    </row>
    <row r="43" spans="4:15" ht="15.75" thickBot="1" x14ac:dyDescent="0.3">
      <c r="D43" s="24"/>
      <c r="E43" s="24"/>
      <c r="N43"/>
      <c r="O43"/>
    </row>
    <row r="44" spans="4:15" x14ac:dyDescent="0.25">
      <c r="D44" s="83" t="s">
        <v>2</v>
      </c>
      <c r="E44" s="84"/>
      <c r="F44" s="42" t="s">
        <v>14</v>
      </c>
      <c r="N44"/>
      <c r="O44"/>
    </row>
    <row r="45" spans="4:15" x14ac:dyDescent="0.25">
      <c r="D45" s="31" t="s">
        <v>1</v>
      </c>
      <c r="E45" s="34" t="s">
        <v>139</v>
      </c>
      <c r="F45" s="94"/>
      <c r="N45"/>
      <c r="O45"/>
    </row>
    <row r="46" spans="4:15" ht="15.75" thickBot="1" x14ac:dyDescent="0.3">
      <c r="D46" s="43" t="s">
        <v>23</v>
      </c>
      <c r="E46" s="33" t="s">
        <v>32</v>
      </c>
      <c r="F46" s="95"/>
      <c r="N46"/>
      <c r="O46"/>
    </row>
    <row r="47" spans="4:15" ht="15.75" thickBot="1" x14ac:dyDescent="0.3">
      <c r="D47" s="24"/>
      <c r="E47" s="24"/>
      <c r="N47"/>
      <c r="O47"/>
    </row>
    <row r="48" spans="4:15" x14ac:dyDescent="0.25">
      <c r="D48" s="105" t="s">
        <v>42</v>
      </c>
      <c r="E48" s="106"/>
      <c r="F48" s="49" t="s">
        <v>14</v>
      </c>
      <c r="N48"/>
      <c r="O48"/>
    </row>
    <row r="49" spans="4:15" x14ac:dyDescent="0.25">
      <c r="D49" s="36" t="s">
        <v>36</v>
      </c>
      <c r="E49" s="58" t="s">
        <v>135</v>
      </c>
      <c r="F49" s="107" t="s">
        <v>122</v>
      </c>
      <c r="N49"/>
      <c r="O49"/>
    </row>
    <row r="50" spans="4:15" x14ac:dyDescent="0.25">
      <c r="D50" s="36" t="s">
        <v>11</v>
      </c>
      <c r="E50" s="50" t="str">
        <f>Worklist!J1</f>
        <v>Load Vol 1</v>
      </c>
      <c r="F50" s="108"/>
      <c r="N50"/>
      <c r="O50"/>
    </row>
    <row r="51" spans="4:15" x14ac:dyDescent="0.25">
      <c r="D51" s="36" t="s">
        <v>80</v>
      </c>
      <c r="E51" s="50" t="s">
        <v>87</v>
      </c>
      <c r="F51" s="108"/>
      <c r="N51"/>
      <c r="O51"/>
    </row>
    <row r="52" spans="4:15" x14ac:dyDescent="0.25">
      <c r="D52" s="36" t="s">
        <v>88</v>
      </c>
      <c r="E52" s="50">
        <v>5</v>
      </c>
      <c r="F52" s="108"/>
      <c r="N52"/>
      <c r="O52"/>
    </row>
    <row r="53" spans="4:15" x14ac:dyDescent="0.25">
      <c r="D53" s="36" t="s">
        <v>67</v>
      </c>
      <c r="E53" s="50" t="s">
        <v>81</v>
      </c>
      <c r="F53" s="108"/>
      <c r="N53"/>
      <c r="O53"/>
    </row>
    <row r="54" spans="4:15" ht="15.75" thickBot="1" x14ac:dyDescent="0.3">
      <c r="D54" s="37" t="s">
        <v>89</v>
      </c>
      <c r="E54" s="51">
        <v>5</v>
      </c>
      <c r="F54" s="109"/>
      <c r="N54"/>
      <c r="O54"/>
    </row>
    <row r="55" spans="4:15" ht="15.75" thickBot="1" x14ac:dyDescent="0.3">
      <c r="D55" s="24"/>
      <c r="E55" s="24"/>
      <c r="N55"/>
      <c r="O55"/>
    </row>
    <row r="56" spans="4:15" x14ac:dyDescent="0.25">
      <c r="D56" s="83" t="s">
        <v>2</v>
      </c>
      <c r="E56" s="84"/>
      <c r="F56" s="42" t="s">
        <v>14</v>
      </c>
      <c r="N56"/>
      <c r="O56"/>
    </row>
    <row r="57" spans="4:15" x14ac:dyDescent="0.25">
      <c r="D57" s="31" t="s">
        <v>1</v>
      </c>
      <c r="E57" s="34" t="s">
        <v>135</v>
      </c>
      <c r="F57" s="94"/>
      <c r="N57"/>
      <c r="O57"/>
    </row>
    <row r="58" spans="4:15" ht="15.75" thickBot="1" x14ac:dyDescent="0.3">
      <c r="D58" s="1" t="s">
        <v>23</v>
      </c>
      <c r="E58" s="17" t="s">
        <v>32</v>
      </c>
      <c r="F58" s="95"/>
      <c r="N58"/>
      <c r="O58"/>
    </row>
    <row r="59" spans="4:15" ht="15.75" thickBot="1" x14ac:dyDescent="0.3">
      <c r="D59" s="24"/>
      <c r="E59" s="24"/>
      <c r="N59"/>
      <c r="O59"/>
    </row>
    <row r="60" spans="4:15" x14ac:dyDescent="0.25">
      <c r="D60" s="105" t="s">
        <v>42</v>
      </c>
      <c r="E60" s="106"/>
      <c r="F60" s="49" t="s">
        <v>14</v>
      </c>
      <c r="N60"/>
      <c r="O60"/>
    </row>
    <row r="61" spans="4:15" x14ac:dyDescent="0.25">
      <c r="D61" s="36" t="s">
        <v>36</v>
      </c>
      <c r="E61" s="58" t="s">
        <v>139</v>
      </c>
      <c r="F61" s="107"/>
      <c r="N61"/>
      <c r="O61"/>
    </row>
    <row r="62" spans="4:15" x14ac:dyDescent="0.25">
      <c r="D62" s="36" t="s">
        <v>11</v>
      </c>
      <c r="E62" s="50" t="str">
        <f>Worklist!K1</f>
        <v>Load Vol 2</v>
      </c>
      <c r="F62" s="108"/>
      <c r="N62"/>
      <c r="O62"/>
    </row>
    <row r="63" spans="4:15" x14ac:dyDescent="0.25">
      <c r="D63" s="36" t="s">
        <v>80</v>
      </c>
      <c r="E63" s="50" t="s">
        <v>87</v>
      </c>
      <c r="F63" s="108"/>
      <c r="N63"/>
      <c r="O63"/>
    </row>
    <row r="64" spans="4:15" x14ac:dyDescent="0.25">
      <c r="D64" s="36" t="s">
        <v>88</v>
      </c>
      <c r="E64" s="50">
        <v>5</v>
      </c>
      <c r="F64" s="108"/>
      <c r="N64"/>
      <c r="O64"/>
    </row>
    <row r="65" spans="4:15" x14ac:dyDescent="0.25">
      <c r="D65" s="36" t="s">
        <v>67</v>
      </c>
      <c r="E65" s="50" t="s">
        <v>81</v>
      </c>
      <c r="F65" s="108"/>
      <c r="N65"/>
      <c r="O65"/>
    </row>
    <row r="66" spans="4:15" ht="15.75" thickBot="1" x14ac:dyDescent="0.3">
      <c r="D66" s="37" t="s">
        <v>89</v>
      </c>
      <c r="E66" s="51">
        <v>5</v>
      </c>
      <c r="F66" s="109"/>
      <c r="N66"/>
      <c r="O66"/>
    </row>
    <row r="67" spans="4:15" ht="15.75" thickBot="1" x14ac:dyDescent="0.3">
      <c r="D67" s="24"/>
      <c r="E67" s="24"/>
      <c r="N67"/>
      <c r="O67"/>
    </row>
    <row r="68" spans="4:15" x14ac:dyDescent="0.25">
      <c r="D68" s="83" t="s">
        <v>2</v>
      </c>
      <c r="E68" s="84"/>
      <c r="F68" s="42" t="s">
        <v>14</v>
      </c>
      <c r="N68"/>
      <c r="O68"/>
    </row>
    <row r="69" spans="4:15" x14ac:dyDescent="0.25">
      <c r="D69" s="31" t="s">
        <v>1</v>
      </c>
      <c r="E69" s="34" t="s">
        <v>139</v>
      </c>
      <c r="F69" s="94"/>
      <c r="N69"/>
      <c r="O69"/>
    </row>
    <row r="70" spans="4:15" ht="15.75" thickBot="1" x14ac:dyDescent="0.3">
      <c r="D70" s="43" t="s">
        <v>23</v>
      </c>
      <c r="E70" s="33" t="s">
        <v>32</v>
      </c>
      <c r="F70" s="95"/>
      <c r="N70"/>
      <c r="O70"/>
    </row>
    <row r="71" spans="4:15" ht="15.75" thickBot="1" x14ac:dyDescent="0.3">
      <c r="D71" s="48"/>
      <c r="E71" s="48"/>
      <c r="N71"/>
      <c r="O71"/>
    </row>
    <row r="72" spans="4:15" x14ac:dyDescent="0.25">
      <c r="D72" s="105" t="s">
        <v>42</v>
      </c>
      <c r="E72" s="106"/>
      <c r="F72" s="49" t="s">
        <v>14</v>
      </c>
      <c r="N72"/>
      <c r="O72"/>
    </row>
    <row r="73" spans="4:15" x14ac:dyDescent="0.25">
      <c r="D73" s="36" t="s">
        <v>36</v>
      </c>
      <c r="E73" s="58" t="s">
        <v>135</v>
      </c>
      <c r="F73" s="107"/>
      <c r="N73"/>
      <c r="O73"/>
    </row>
    <row r="74" spans="4:15" x14ac:dyDescent="0.25">
      <c r="D74" s="36" t="s">
        <v>11</v>
      </c>
      <c r="E74" s="50" t="str">
        <f>Worklist!L1</f>
        <v>Load Vol 3</v>
      </c>
      <c r="F74" s="108"/>
      <c r="N74"/>
      <c r="O74"/>
    </row>
    <row r="75" spans="4:15" x14ac:dyDescent="0.25">
      <c r="D75" s="36" t="s">
        <v>80</v>
      </c>
      <c r="E75" s="50" t="s">
        <v>87</v>
      </c>
      <c r="F75" s="108"/>
      <c r="N75"/>
      <c r="O75"/>
    </row>
    <row r="76" spans="4:15" x14ac:dyDescent="0.25">
      <c r="D76" s="36" t="s">
        <v>88</v>
      </c>
      <c r="E76" s="50">
        <v>5</v>
      </c>
      <c r="F76" s="108"/>
      <c r="N76"/>
      <c r="O76"/>
    </row>
    <row r="77" spans="4:15" x14ac:dyDescent="0.25">
      <c r="D77" s="36" t="s">
        <v>67</v>
      </c>
      <c r="E77" s="50" t="s">
        <v>81</v>
      </c>
      <c r="F77" s="108"/>
      <c r="N77"/>
      <c r="O77"/>
    </row>
    <row r="78" spans="4:15" ht="15.75" thickBot="1" x14ac:dyDescent="0.3">
      <c r="D78" s="37" t="s">
        <v>89</v>
      </c>
      <c r="E78" s="51">
        <v>5</v>
      </c>
      <c r="F78" s="109"/>
      <c r="N78"/>
      <c r="O78"/>
    </row>
    <row r="79" spans="4:15" ht="15.75" thickBot="1" x14ac:dyDescent="0.3">
      <c r="D79" s="24"/>
      <c r="E79" s="24"/>
      <c r="N79"/>
      <c r="O79"/>
    </row>
    <row r="80" spans="4:15" x14ac:dyDescent="0.25">
      <c r="D80" s="83" t="s">
        <v>2</v>
      </c>
      <c r="E80" s="84"/>
      <c r="F80" s="42" t="s">
        <v>14</v>
      </c>
      <c r="N80"/>
      <c r="O80"/>
    </row>
    <row r="81" spans="4:15" x14ac:dyDescent="0.25">
      <c r="D81" s="31" t="s">
        <v>1</v>
      </c>
      <c r="E81" s="34" t="s">
        <v>135</v>
      </c>
      <c r="F81" s="94"/>
      <c r="N81"/>
      <c r="O81"/>
    </row>
    <row r="82" spans="4:15" ht="15.75" thickBot="1" x14ac:dyDescent="0.3">
      <c r="D82" s="1" t="s">
        <v>23</v>
      </c>
      <c r="E82" s="17" t="s">
        <v>32</v>
      </c>
      <c r="F82" s="95"/>
      <c r="N82"/>
      <c r="O82"/>
    </row>
    <row r="83" spans="4:15" ht="15.75" thickBot="1" x14ac:dyDescent="0.3">
      <c r="D83" s="48"/>
      <c r="E83" s="48"/>
      <c r="N83"/>
      <c r="O83"/>
    </row>
    <row r="84" spans="4:15" x14ac:dyDescent="0.25">
      <c r="D84" s="105" t="s">
        <v>42</v>
      </c>
      <c r="E84" s="106"/>
      <c r="F84" s="49" t="s">
        <v>14</v>
      </c>
      <c r="N84"/>
      <c r="O84"/>
    </row>
    <row r="85" spans="4:15" x14ac:dyDescent="0.25">
      <c r="D85" s="36" t="s">
        <v>36</v>
      </c>
      <c r="E85" s="58" t="s">
        <v>139</v>
      </c>
      <c r="F85" s="107" t="s">
        <v>123</v>
      </c>
      <c r="N85"/>
      <c r="O85"/>
    </row>
    <row r="86" spans="4:15" x14ac:dyDescent="0.25">
      <c r="D86" s="36" t="s">
        <v>11</v>
      </c>
      <c r="E86" s="50" t="str">
        <f>Worklist!M1</f>
        <v>Load Vol 4</v>
      </c>
      <c r="F86" s="108"/>
      <c r="N86"/>
      <c r="O86"/>
    </row>
    <row r="87" spans="4:15" x14ac:dyDescent="0.25">
      <c r="D87" s="36" t="s">
        <v>80</v>
      </c>
      <c r="E87" s="50" t="s">
        <v>87</v>
      </c>
      <c r="F87" s="108"/>
      <c r="N87"/>
      <c r="O87"/>
    </row>
    <row r="88" spans="4:15" x14ac:dyDescent="0.25">
      <c r="D88" s="36" t="s">
        <v>88</v>
      </c>
      <c r="E88" s="50">
        <v>5</v>
      </c>
      <c r="F88" s="108"/>
      <c r="N88"/>
      <c r="O88"/>
    </row>
    <row r="89" spans="4:15" x14ac:dyDescent="0.25">
      <c r="D89" s="36" t="s">
        <v>67</v>
      </c>
      <c r="E89" s="50" t="s">
        <v>81</v>
      </c>
      <c r="F89" s="108"/>
      <c r="N89"/>
      <c r="O89"/>
    </row>
    <row r="90" spans="4:15" ht="15.75" thickBot="1" x14ac:dyDescent="0.3">
      <c r="D90" s="37" t="s">
        <v>89</v>
      </c>
      <c r="E90" s="51">
        <v>5</v>
      </c>
      <c r="F90" s="109"/>
      <c r="N90"/>
      <c r="O90"/>
    </row>
    <row r="91" spans="4:15" ht="15.75" thickBot="1" x14ac:dyDescent="0.3">
      <c r="D91" s="24"/>
      <c r="E91" s="24"/>
      <c r="N91"/>
      <c r="O91"/>
    </row>
    <row r="92" spans="4:15" x14ac:dyDescent="0.25">
      <c r="D92" s="83" t="s">
        <v>2</v>
      </c>
      <c r="E92" s="84"/>
      <c r="F92" s="42" t="s">
        <v>14</v>
      </c>
      <c r="N92"/>
      <c r="O92"/>
    </row>
    <row r="93" spans="4:15" x14ac:dyDescent="0.25">
      <c r="D93" s="31" t="s">
        <v>1</v>
      </c>
      <c r="E93" s="34" t="s">
        <v>137</v>
      </c>
      <c r="F93" s="94"/>
      <c r="N93"/>
      <c r="O93"/>
    </row>
    <row r="94" spans="4:15" ht="15.75" thickBot="1" x14ac:dyDescent="0.3">
      <c r="D94" s="43" t="s">
        <v>23</v>
      </c>
      <c r="E94" s="33" t="s">
        <v>32</v>
      </c>
      <c r="F94" s="95"/>
      <c r="N94"/>
      <c r="O94"/>
    </row>
    <row r="95" spans="4:15" ht="15.75" thickBot="1" x14ac:dyDescent="0.3">
      <c r="D95" s="48"/>
      <c r="E95" s="48"/>
      <c r="N95"/>
      <c r="O95"/>
    </row>
    <row r="96" spans="4:15" x14ac:dyDescent="0.25">
      <c r="D96" s="105" t="s">
        <v>42</v>
      </c>
      <c r="E96" s="106"/>
      <c r="F96" s="49" t="s">
        <v>14</v>
      </c>
      <c r="N96"/>
      <c r="O96"/>
    </row>
    <row r="97" spans="4:15" x14ac:dyDescent="0.25">
      <c r="D97" s="36" t="s">
        <v>36</v>
      </c>
      <c r="E97" s="58" t="str">
        <f>Worklist!N1</f>
        <v>Wash Buffer 1</v>
      </c>
      <c r="F97" s="107" t="s">
        <v>130</v>
      </c>
      <c r="N97"/>
      <c r="O97"/>
    </row>
    <row r="98" spans="4:15" x14ac:dyDescent="0.25">
      <c r="D98" s="36" t="s">
        <v>11</v>
      </c>
      <c r="E98" s="50" t="str">
        <f>Worklist!O1</f>
        <v>Wash Buffer 1 Vol</v>
      </c>
      <c r="F98" s="108"/>
      <c r="N98"/>
      <c r="O98"/>
    </row>
    <row r="99" spans="4:15" x14ac:dyDescent="0.25">
      <c r="D99" s="36" t="s">
        <v>80</v>
      </c>
      <c r="E99" s="50" t="s">
        <v>87</v>
      </c>
      <c r="F99" s="108"/>
      <c r="N99"/>
      <c r="O99"/>
    </row>
    <row r="100" spans="4:15" x14ac:dyDescent="0.25">
      <c r="D100" s="36" t="s">
        <v>88</v>
      </c>
      <c r="E100" s="50">
        <v>5</v>
      </c>
      <c r="F100" s="108"/>
      <c r="N100"/>
      <c r="O100"/>
    </row>
    <row r="101" spans="4:15" x14ac:dyDescent="0.25">
      <c r="D101" s="36" t="s">
        <v>67</v>
      </c>
      <c r="E101" s="50" t="s">
        <v>81</v>
      </c>
      <c r="F101" s="108"/>
      <c r="N101"/>
      <c r="O101"/>
    </row>
    <row r="102" spans="4:15" ht="15.75" thickBot="1" x14ac:dyDescent="0.3">
      <c r="D102" s="37" t="s">
        <v>89</v>
      </c>
      <c r="E102" s="51">
        <v>5</v>
      </c>
      <c r="F102" s="109"/>
      <c r="N102"/>
      <c r="O102"/>
    </row>
    <row r="103" spans="4:15" ht="15.75" thickBot="1" x14ac:dyDescent="0.3">
      <c r="D103" s="48"/>
      <c r="E103" s="48"/>
      <c r="N103"/>
      <c r="O103"/>
    </row>
    <row r="104" spans="4:15" x14ac:dyDescent="0.25">
      <c r="D104" s="105" t="s">
        <v>42</v>
      </c>
      <c r="E104" s="106"/>
      <c r="F104" s="49" t="s">
        <v>14</v>
      </c>
      <c r="N104"/>
      <c r="O104"/>
    </row>
    <row r="105" spans="4:15" x14ac:dyDescent="0.25">
      <c r="D105" s="36" t="s">
        <v>36</v>
      </c>
      <c r="E105" s="58" t="str">
        <f>Worklist!P1</f>
        <v>Wash Buffer 2</v>
      </c>
      <c r="F105" s="107"/>
      <c r="N105"/>
      <c r="O105"/>
    </row>
    <row r="106" spans="4:15" x14ac:dyDescent="0.25">
      <c r="D106" s="36" t="s">
        <v>11</v>
      </c>
      <c r="E106" s="50" t="str">
        <f>Worklist!Q1</f>
        <v>Wash Buffer 2 Vol</v>
      </c>
      <c r="F106" s="108"/>
      <c r="N106"/>
      <c r="O106"/>
    </row>
    <row r="107" spans="4:15" x14ac:dyDescent="0.25">
      <c r="D107" s="36" t="s">
        <v>80</v>
      </c>
      <c r="E107" s="50" t="s">
        <v>87</v>
      </c>
      <c r="F107" s="108"/>
      <c r="N107"/>
      <c r="O107"/>
    </row>
    <row r="108" spans="4:15" x14ac:dyDescent="0.25">
      <c r="D108" s="36" t="s">
        <v>88</v>
      </c>
      <c r="E108" s="50">
        <v>5</v>
      </c>
      <c r="F108" s="108"/>
      <c r="N108"/>
      <c r="O108"/>
    </row>
    <row r="109" spans="4:15" x14ac:dyDescent="0.25">
      <c r="D109" s="36" t="s">
        <v>67</v>
      </c>
      <c r="E109" s="50" t="s">
        <v>81</v>
      </c>
      <c r="F109" s="108"/>
      <c r="N109"/>
      <c r="O109"/>
    </row>
    <row r="110" spans="4:15" ht="15.75" thickBot="1" x14ac:dyDescent="0.3">
      <c r="D110" s="37" t="s">
        <v>89</v>
      </c>
      <c r="E110" s="51">
        <v>5</v>
      </c>
      <c r="F110" s="109"/>
      <c r="N110"/>
      <c r="O110"/>
    </row>
    <row r="111" spans="4:15" ht="15.75" thickBot="1" x14ac:dyDescent="0.3">
      <c r="N111"/>
      <c r="O111"/>
    </row>
    <row r="112" spans="4:15" x14ac:dyDescent="0.25">
      <c r="D112" s="105" t="s">
        <v>42</v>
      </c>
      <c r="E112" s="106"/>
      <c r="F112" s="49" t="s">
        <v>14</v>
      </c>
      <c r="N112"/>
      <c r="O112"/>
    </row>
    <row r="113" spans="4:15" x14ac:dyDescent="0.25">
      <c r="D113" s="36" t="s">
        <v>36</v>
      </c>
      <c r="E113" s="58" t="str">
        <f>Worklist!R1</f>
        <v>Wash Buffer 3</v>
      </c>
      <c r="F113" s="107"/>
      <c r="N113"/>
      <c r="O113"/>
    </row>
    <row r="114" spans="4:15" x14ac:dyDescent="0.25">
      <c r="D114" s="36" t="s">
        <v>11</v>
      </c>
      <c r="E114" s="50" t="str">
        <f>Worklist!S1</f>
        <v>Wash Buffer 3 Vol</v>
      </c>
      <c r="F114" s="108"/>
      <c r="N114"/>
      <c r="O114"/>
    </row>
    <row r="115" spans="4:15" x14ac:dyDescent="0.25">
      <c r="D115" s="36" t="s">
        <v>80</v>
      </c>
      <c r="E115" s="50" t="s">
        <v>87</v>
      </c>
      <c r="F115" s="108"/>
      <c r="I115" s="24"/>
      <c r="J115" s="24"/>
      <c r="N115"/>
      <c r="O115"/>
    </row>
    <row r="116" spans="4:15" x14ac:dyDescent="0.25">
      <c r="D116" s="36" t="s">
        <v>88</v>
      </c>
      <c r="E116" s="50">
        <v>5</v>
      </c>
      <c r="F116" s="108"/>
      <c r="I116" s="24"/>
      <c r="J116" s="24"/>
      <c r="N116"/>
      <c r="O116"/>
    </row>
    <row r="117" spans="4:15" x14ac:dyDescent="0.25">
      <c r="D117" s="36" t="s">
        <v>67</v>
      </c>
      <c r="E117" s="50" t="s">
        <v>81</v>
      </c>
      <c r="F117" s="108"/>
    </row>
    <row r="118" spans="4:15" ht="15.75" thickBot="1" x14ac:dyDescent="0.3">
      <c r="D118" s="37" t="s">
        <v>89</v>
      </c>
      <c r="E118" s="51">
        <v>5</v>
      </c>
      <c r="F118" s="109"/>
    </row>
    <row r="119" spans="4:15" ht="15.75" thickBot="1" x14ac:dyDescent="0.3"/>
    <row r="120" spans="4:15" x14ac:dyDescent="0.25">
      <c r="D120" s="105" t="s">
        <v>42</v>
      </c>
      <c r="E120" s="106"/>
      <c r="F120" s="49" t="s">
        <v>14</v>
      </c>
    </row>
    <row r="121" spans="4:15" x14ac:dyDescent="0.25">
      <c r="D121" s="36" t="s">
        <v>36</v>
      </c>
      <c r="E121" s="58" t="str">
        <f>Worklist!T1</f>
        <v>Wash Buffer 4</v>
      </c>
      <c r="F121" s="107"/>
    </row>
    <row r="122" spans="4:15" x14ac:dyDescent="0.25">
      <c r="D122" s="36" t="s">
        <v>11</v>
      </c>
      <c r="E122" s="50" t="str">
        <f>Worklist!U1</f>
        <v>Wash Buffer 4 Vol</v>
      </c>
      <c r="F122" s="108"/>
    </row>
    <row r="123" spans="4:15" x14ac:dyDescent="0.25">
      <c r="D123" s="36" t="s">
        <v>80</v>
      </c>
      <c r="E123" s="50" t="s">
        <v>87</v>
      </c>
      <c r="F123" s="108"/>
    </row>
    <row r="124" spans="4:15" x14ac:dyDescent="0.25">
      <c r="D124" s="36" t="s">
        <v>88</v>
      </c>
      <c r="E124" s="50">
        <v>5</v>
      </c>
      <c r="F124" s="108"/>
    </row>
    <row r="125" spans="4:15" x14ac:dyDescent="0.25">
      <c r="D125" s="36" t="s">
        <v>67</v>
      </c>
      <c r="E125" s="50" t="s">
        <v>81</v>
      </c>
      <c r="F125" s="108"/>
    </row>
    <row r="126" spans="4:15" ht="15.75" thickBot="1" x14ac:dyDescent="0.3">
      <c r="D126" s="37" t="s">
        <v>89</v>
      </c>
      <c r="E126" s="51">
        <v>5</v>
      </c>
      <c r="F126" s="109"/>
    </row>
    <row r="127" spans="4:15" ht="15.75" thickBot="1" x14ac:dyDescent="0.3"/>
    <row r="128" spans="4:15" x14ac:dyDescent="0.25">
      <c r="D128" s="105" t="s">
        <v>42</v>
      </c>
      <c r="E128" s="106"/>
      <c r="F128" s="49" t="s">
        <v>14</v>
      </c>
    </row>
    <row r="129" spans="4:6" x14ac:dyDescent="0.25">
      <c r="D129" s="36" t="s">
        <v>36</v>
      </c>
      <c r="E129" s="58" t="str">
        <f>Worklist!V1</f>
        <v>Wash Buffer 5</v>
      </c>
      <c r="F129" s="107"/>
    </row>
    <row r="130" spans="4:6" x14ac:dyDescent="0.25">
      <c r="D130" s="36" t="s">
        <v>11</v>
      </c>
      <c r="E130" s="50" t="str">
        <f>Worklist!W1</f>
        <v>Wash Buffer 5 Vol</v>
      </c>
      <c r="F130" s="108"/>
    </row>
    <row r="131" spans="4:6" x14ac:dyDescent="0.25">
      <c r="D131" s="36" t="s">
        <v>80</v>
      </c>
      <c r="E131" s="50" t="s">
        <v>87</v>
      </c>
      <c r="F131" s="108"/>
    </row>
    <row r="132" spans="4:6" x14ac:dyDescent="0.25">
      <c r="D132" s="36" t="s">
        <v>88</v>
      </c>
      <c r="E132" s="50">
        <v>5</v>
      </c>
      <c r="F132" s="108"/>
    </row>
    <row r="133" spans="4:6" x14ac:dyDescent="0.25">
      <c r="D133" s="36" t="s">
        <v>67</v>
      </c>
      <c r="E133" s="50" t="s">
        <v>81</v>
      </c>
      <c r="F133" s="108"/>
    </row>
    <row r="134" spans="4:6" ht="15.75" thickBot="1" x14ac:dyDescent="0.3">
      <c r="D134" s="37" t="s">
        <v>89</v>
      </c>
      <c r="E134" s="51">
        <v>5</v>
      </c>
      <c r="F134" s="109"/>
    </row>
    <row r="135" spans="4:6" ht="15.75" thickBot="1" x14ac:dyDescent="0.3"/>
    <row r="136" spans="4:6" x14ac:dyDescent="0.25">
      <c r="D136" s="105" t="s">
        <v>42</v>
      </c>
      <c r="E136" s="106"/>
      <c r="F136" s="49" t="s">
        <v>14</v>
      </c>
    </row>
    <row r="137" spans="4:6" x14ac:dyDescent="0.25">
      <c r="D137" s="36" t="s">
        <v>36</v>
      </c>
      <c r="E137" s="58" t="str">
        <f>Worklist!X1</f>
        <v>Wash Buffer 6</v>
      </c>
      <c r="F137" s="107" t="s">
        <v>131</v>
      </c>
    </row>
    <row r="138" spans="4:6" x14ac:dyDescent="0.25">
      <c r="D138" s="36" t="s">
        <v>11</v>
      </c>
      <c r="E138" s="50" t="str">
        <f>Worklist!Y1</f>
        <v>Wash Buffer 6 Vol</v>
      </c>
      <c r="F138" s="108"/>
    </row>
    <row r="139" spans="4:6" x14ac:dyDescent="0.25">
      <c r="D139" s="36" t="s">
        <v>80</v>
      </c>
      <c r="E139" s="50" t="s">
        <v>87</v>
      </c>
      <c r="F139" s="108"/>
    </row>
    <row r="140" spans="4:6" x14ac:dyDescent="0.25">
      <c r="D140" s="36" t="s">
        <v>88</v>
      </c>
      <c r="E140" s="50">
        <v>5</v>
      </c>
      <c r="F140" s="108"/>
    </row>
    <row r="141" spans="4:6" x14ac:dyDescent="0.25">
      <c r="D141" s="36" t="s">
        <v>67</v>
      </c>
      <c r="E141" s="50" t="s">
        <v>81</v>
      </c>
      <c r="F141" s="108"/>
    </row>
    <row r="142" spans="4:6" ht="15.75" thickBot="1" x14ac:dyDescent="0.3">
      <c r="D142" s="37" t="s">
        <v>89</v>
      </c>
      <c r="E142" s="51">
        <v>5</v>
      </c>
      <c r="F142" s="109"/>
    </row>
    <row r="143" spans="4:6" ht="15.75" thickBot="1" x14ac:dyDescent="0.3"/>
    <row r="144" spans="4:6" x14ac:dyDescent="0.25">
      <c r="D144" s="83" t="s">
        <v>2</v>
      </c>
      <c r="E144" s="84"/>
      <c r="F144" s="42" t="s">
        <v>14</v>
      </c>
    </row>
    <row r="145" spans="4:6" x14ac:dyDescent="0.25">
      <c r="D145" s="31" t="s">
        <v>1</v>
      </c>
      <c r="E145" s="34" t="s">
        <v>138</v>
      </c>
      <c r="F145" s="94"/>
    </row>
    <row r="146" spans="4:6" ht="15.75" thickBot="1" x14ac:dyDescent="0.3">
      <c r="D146" s="43" t="s">
        <v>23</v>
      </c>
      <c r="E146" s="33" t="s">
        <v>32</v>
      </c>
      <c r="F146" s="95"/>
    </row>
    <row r="147" spans="4:6" ht="15.75" thickBot="1" x14ac:dyDescent="0.3"/>
    <row r="148" spans="4:6" x14ac:dyDescent="0.25">
      <c r="D148" s="92" t="s">
        <v>0</v>
      </c>
      <c r="E148" s="93"/>
      <c r="F148" s="29" t="s">
        <v>14</v>
      </c>
    </row>
    <row r="149" spans="4:6" x14ac:dyDescent="0.25">
      <c r="D149" s="3" t="s">
        <v>36</v>
      </c>
      <c r="E149" s="13" t="str">
        <f>Worklist!Z1</f>
        <v>Neutralization Buffer</v>
      </c>
      <c r="F149" s="119" t="s">
        <v>132</v>
      </c>
    </row>
    <row r="150" spans="4:6" x14ac:dyDescent="0.25">
      <c r="D150" s="3" t="s">
        <v>52</v>
      </c>
      <c r="E150" s="13" t="s">
        <v>59</v>
      </c>
      <c r="F150" s="120"/>
    </row>
    <row r="151" spans="4:6" x14ac:dyDescent="0.25">
      <c r="D151" s="3" t="s">
        <v>50</v>
      </c>
      <c r="E151" s="13" t="s">
        <v>57</v>
      </c>
      <c r="F151" s="120"/>
    </row>
    <row r="152" spans="4:6" x14ac:dyDescent="0.25">
      <c r="D152" s="3" t="s">
        <v>11</v>
      </c>
      <c r="E152" s="13" t="str">
        <f>Worklist!AA1</f>
        <v>Neutralization Buffer Vol</v>
      </c>
      <c r="F152" s="120"/>
    </row>
    <row r="153" spans="4:6" ht="15.75" thickBot="1" x14ac:dyDescent="0.3">
      <c r="D153" s="4" t="s">
        <v>39</v>
      </c>
      <c r="E153" s="14" t="s">
        <v>41</v>
      </c>
      <c r="F153" s="121"/>
    </row>
    <row r="154" spans="4:6" ht="15.75" thickBot="1" x14ac:dyDescent="0.3"/>
    <row r="155" spans="4:6" x14ac:dyDescent="0.25">
      <c r="D155" s="105" t="s">
        <v>42</v>
      </c>
      <c r="E155" s="106"/>
      <c r="F155" s="49" t="s">
        <v>14</v>
      </c>
    </row>
    <row r="156" spans="4:6" x14ac:dyDescent="0.25">
      <c r="D156" s="36" t="s">
        <v>36</v>
      </c>
      <c r="E156" s="58" t="str">
        <f>Worklist!AB1</f>
        <v>Elution Buffer 1</v>
      </c>
      <c r="F156" s="107"/>
    </row>
    <row r="157" spans="4:6" x14ac:dyDescent="0.25">
      <c r="D157" s="36" t="s">
        <v>11</v>
      </c>
      <c r="E157" s="50" t="str">
        <f>Worklist!AC1</f>
        <v>Elution Buffer 1 Vol</v>
      </c>
      <c r="F157" s="108"/>
    </row>
    <row r="158" spans="4:6" x14ac:dyDescent="0.25">
      <c r="D158" s="36" t="s">
        <v>80</v>
      </c>
      <c r="E158" s="50" t="s">
        <v>87</v>
      </c>
      <c r="F158" s="108"/>
    </row>
    <row r="159" spans="4:6" x14ac:dyDescent="0.25">
      <c r="D159" s="36" t="s">
        <v>88</v>
      </c>
      <c r="E159" s="50">
        <v>5</v>
      </c>
      <c r="F159" s="108"/>
    </row>
    <row r="160" spans="4:6" x14ac:dyDescent="0.25">
      <c r="D160" s="36" t="s">
        <v>67</v>
      </c>
      <c r="E160" s="50" t="s">
        <v>81</v>
      </c>
      <c r="F160" s="108"/>
    </row>
    <row r="161" spans="4:6" ht="15.75" thickBot="1" x14ac:dyDescent="0.3">
      <c r="D161" s="37" t="s">
        <v>89</v>
      </c>
      <c r="E161" s="51">
        <v>5</v>
      </c>
      <c r="F161" s="109"/>
    </row>
    <row r="162" spans="4:6" ht="15.75" thickBot="1" x14ac:dyDescent="0.3"/>
    <row r="163" spans="4:6" x14ac:dyDescent="0.25">
      <c r="D163" s="105" t="s">
        <v>42</v>
      </c>
      <c r="E163" s="106"/>
      <c r="F163" s="49" t="s">
        <v>14</v>
      </c>
    </row>
    <row r="164" spans="4:6" x14ac:dyDescent="0.25">
      <c r="D164" s="36" t="s">
        <v>36</v>
      </c>
      <c r="E164" s="58" t="str">
        <f>Worklist!AD1</f>
        <v>Elution Buffer 2</v>
      </c>
      <c r="F164" s="107"/>
    </row>
    <row r="165" spans="4:6" x14ac:dyDescent="0.25">
      <c r="D165" s="36" t="s">
        <v>11</v>
      </c>
      <c r="E165" s="50" t="str">
        <f>Worklist!AE1</f>
        <v>Elution Buffer 2 Vol</v>
      </c>
      <c r="F165" s="108"/>
    </row>
    <row r="166" spans="4:6" x14ac:dyDescent="0.25">
      <c r="D166" s="36" t="s">
        <v>80</v>
      </c>
      <c r="E166" s="50" t="s">
        <v>87</v>
      </c>
      <c r="F166" s="108"/>
    </row>
    <row r="167" spans="4:6" x14ac:dyDescent="0.25">
      <c r="D167" s="36" t="s">
        <v>88</v>
      </c>
      <c r="E167" s="50">
        <v>5</v>
      </c>
      <c r="F167" s="108"/>
    </row>
    <row r="168" spans="4:6" x14ac:dyDescent="0.25">
      <c r="D168" s="36" t="s">
        <v>67</v>
      </c>
      <c r="E168" s="50" t="s">
        <v>81</v>
      </c>
      <c r="F168" s="108"/>
    </row>
    <row r="169" spans="4:6" ht="15.75" thickBot="1" x14ac:dyDescent="0.3">
      <c r="D169" s="37" t="s">
        <v>89</v>
      </c>
      <c r="E169" s="51">
        <v>5</v>
      </c>
      <c r="F169" s="109"/>
    </row>
    <row r="170" spans="4:6" ht="15.75" thickBot="1" x14ac:dyDescent="0.3"/>
    <row r="171" spans="4:6" x14ac:dyDescent="0.25">
      <c r="D171" s="105" t="s">
        <v>42</v>
      </c>
      <c r="E171" s="106"/>
      <c r="F171" s="49" t="s">
        <v>14</v>
      </c>
    </row>
    <row r="172" spans="4:6" x14ac:dyDescent="0.25">
      <c r="D172" s="36" t="s">
        <v>36</v>
      </c>
      <c r="E172" s="58" t="str">
        <f>Worklist!AF1</f>
        <v>Elution Buffer 3</v>
      </c>
      <c r="F172" s="107" t="s">
        <v>133</v>
      </c>
    </row>
    <row r="173" spans="4:6" x14ac:dyDescent="0.25">
      <c r="D173" s="36" t="s">
        <v>11</v>
      </c>
      <c r="E173" s="50" t="str">
        <f>Worklist!AG1</f>
        <v>Elution Buffer 3 Vol</v>
      </c>
      <c r="F173" s="108"/>
    </row>
    <row r="174" spans="4:6" x14ac:dyDescent="0.25">
      <c r="D174" s="36" t="s">
        <v>80</v>
      </c>
      <c r="E174" s="50" t="s">
        <v>87</v>
      </c>
      <c r="F174" s="108"/>
    </row>
    <row r="175" spans="4:6" x14ac:dyDescent="0.25">
      <c r="D175" s="36" t="s">
        <v>88</v>
      </c>
      <c r="E175" s="50">
        <v>5</v>
      </c>
      <c r="F175" s="108"/>
    </row>
    <row r="176" spans="4:6" x14ac:dyDescent="0.25">
      <c r="D176" s="36" t="s">
        <v>67</v>
      </c>
      <c r="E176" s="50" t="s">
        <v>81</v>
      </c>
      <c r="F176" s="108"/>
    </row>
    <row r="177" spans="4:6" ht="15.75" thickBot="1" x14ac:dyDescent="0.3">
      <c r="D177" s="37" t="s">
        <v>89</v>
      </c>
      <c r="E177" s="51">
        <v>5</v>
      </c>
      <c r="F177" s="109"/>
    </row>
    <row r="178" spans="4:6" ht="15.75" thickBot="1" x14ac:dyDescent="0.3"/>
    <row r="179" spans="4:6" x14ac:dyDescent="0.25">
      <c r="D179" s="83" t="s">
        <v>19</v>
      </c>
      <c r="E179" s="84"/>
      <c r="F179" s="40" t="s">
        <v>14</v>
      </c>
    </row>
    <row r="180" spans="4:6" x14ac:dyDescent="0.25">
      <c r="D180" s="31" t="s">
        <v>47</v>
      </c>
      <c r="E180" s="32" t="s">
        <v>40</v>
      </c>
      <c r="F180" s="110"/>
    </row>
    <row r="181" spans="4:6" x14ac:dyDescent="0.25">
      <c r="D181" s="31" t="s">
        <v>20</v>
      </c>
      <c r="E181" s="45" t="s">
        <v>128</v>
      </c>
      <c r="F181" s="111"/>
    </row>
    <row r="182" spans="4:6" ht="30.75" thickBot="1" x14ac:dyDescent="0.3">
      <c r="D182" s="1" t="s">
        <v>21</v>
      </c>
      <c r="E182" s="44" t="s">
        <v>129</v>
      </c>
      <c r="F182" s="112"/>
    </row>
  </sheetData>
  <mergeCells count="55">
    <mergeCell ref="D2:E2"/>
    <mergeCell ref="F3:F4"/>
    <mergeCell ref="D6:E6"/>
    <mergeCell ref="D8:E8"/>
    <mergeCell ref="F9:F10"/>
    <mergeCell ref="F29:F34"/>
    <mergeCell ref="D36:E36"/>
    <mergeCell ref="F37:F42"/>
    <mergeCell ref="D12:E12"/>
    <mergeCell ref="F13:F18"/>
    <mergeCell ref="D20:E20"/>
    <mergeCell ref="F21:F26"/>
    <mergeCell ref="D28:E28"/>
    <mergeCell ref="D44:E44"/>
    <mergeCell ref="F45:F46"/>
    <mergeCell ref="D48:E48"/>
    <mergeCell ref="F49:F54"/>
    <mergeCell ref="D56:E56"/>
    <mergeCell ref="F57:F58"/>
    <mergeCell ref="D60:E60"/>
    <mergeCell ref="F61:F66"/>
    <mergeCell ref="D68:E68"/>
    <mergeCell ref="F69:F70"/>
    <mergeCell ref="D72:E72"/>
    <mergeCell ref="F73:F78"/>
    <mergeCell ref="D80:E80"/>
    <mergeCell ref="F81:F82"/>
    <mergeCell ref="D84:E84"/>
    <mergeCell ref="F85:F90"/>
    <mergeCell ref="D92:E92"/>
    <mergeCell ref="F93:F94"/>
    <mergeCell ref="D96:E96"/>
    <mergeCell ref="F97:F102"/>
    <mergeCell ref="D104:E104"/>
    <mergeCell ref="F105:F110"/>
    <mergeCell ref="D112:E112"/>
    <mergeCell ref="F113:F118"/>
    <mergeCell ref="D120:E120"/>
    <mergeCell ref="F121:F126"/>
    <mergeCell ref="D128:E128"/>
    <mergeCell ref="F129:F134"/>
    <mergeCell ref="D136:E136"/>
    <mergeCell ref="F137:F142"/>
    <mergeCell ref="D144:E144"/>
    <mergeCell ref="F145:F146"/>
    <mergeCell ref="D148:E148"/>
    <mergeCell ref="F149:F153"/>
    <mergeCell ref="D155:E155"/>
    <mergeCell ref="D179:E179"/>
    <mergeCell ref="F180:F182"/>
    <mergeCell ref="F156:F161"/>
    <mergeCell ref="D163:E163"/>
    <mergeCell ref="F164:F169"/>
    <mergeCell ref="D171:E171"/>
    <mergeCell ref="F172:F17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200-000000000000}">
          <x14:formula1>
            <xm:f>'___Dropdown values'!$B$4:$B$6</xm:f>
          </x14:formula1>
          <xm:sqref>E4 E58 E82</xm:sqref>
        </x14:dataValidation>
        <x14:dataValidation type="list" allowBlank="1" showInputMessage="1" showErrorMessage="1" xr:uid="{00000000-0002-0000-0200-000001000000}">
          <x14:formula1>
            <xm:f>'___Dropdown values'!$B$4:$B$7</xm:f>
          </x14:formula1>
          <xm:sqref>E10 E46 E70 E94 E146</xm:sqref>
        </x14:dataValidation>
        <x14:dataValidation type="list" allowBlank="1" showInputMessage="1" showErrorMessage="1" xr:uid="{00000000-0002-0000-0200-000002000000}">
          <x14:formula1>
            <xm:f>'___Dropdown values'!$D$19:$D$22</xm:f>
          </x14:formula1>
          <xm:sqref>E17 E25 E33 E41 E53 E65 E77 E89 E101 E109 E117 E125 E133 E141 E160 E168 E176</xm:sqref>
        </x14:dataValidation>
        <x14:dataValidation type="list" allowBlank="1" showInputMessage="1" showErrorMessage="1" xr:uid="{00000000-0002-0000-0200-000003000000}">
          <x14:formula1>
            <xm:f>'___Dropdown values'!$D$25</xm:f>
          </x14:formula1>
          <xm:sqref>E15 E23 E31 E39 E51 E63 E75 E87 E99 E107 E115 E123 E131 E139 E158 E166 E174</xm:sqref>
        </x14:dataValidation>
        <x14:dataValidation type="list" allowBlank="1" showInputMessage="1" showErrorMessage="1" xr:uid="{00000000-0002-0000-0200-000004000000}">
          <x14:formula1>
            <xm:f>'___Dropdown values'!$B$10:$B$17</xm:f>
          </x14:formula1>
          <xm:sqref>E150</xm:sqref>
        </x14:dataValidation>
        <x14:dataValidation type="list" allowBlank="1" showInputMessage="1" showErrorMessage="1" xr:uid="{00000000-0002-0000-0200-000005000000}">
          <x14:formula1>
            <xm:f>'___Dropdown values'!$F$5:$F$6</xm:f>
          </x14:formula1>
          <xm:sqref>D148:E148</xm:sqref>
        </x14:dataValidation>
        <x14:dataValidation type="list" allowBlank="1" showInputMessage="1" showErrorMessage="1" xr:uid="{00000000-0002-0000-0200-000006000000}">
          <x14:formula1>
            <xm:f>'___Dropdown values'!$D$10:$D$11</xm:f>
          </x14:formula1>
          <xm:sqref>E153 E180</xm:sqref>
        </x14:dataValidation>
        <x14:dataValidation type="list" allowBlank="1" showInputMessage="1" showErrorMessage="1" xr:uid="{00000000-0002-0000-0200-000007000000}">
          <x14:formula1>
            <xm:f>'___Dropdown values'!$B$20:$B$21</xm:f>
          </x14:formula1>
          <xm:sqref>E151</xm:sqref>
        </x14:dataValidation>
        <x14:dataValidation type="list" allowBlank="1" showInputMessage="1" showErrorMessage="1" xr:uid="{00000000-0002-0000-0200-000008000000}">
          <x14:formula1>
            <xm:f>'___Dropdown values'!$I$5:$I$6</xm:f>
          </x14:formula1>
          <xm:sqref>D179:E179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G2"/>
  <sheetViews>
    <sheetView tabSelected="1" workbookViewId="0">
      <selection activeCell="B2" sqref="B2"/>
    </sheetView>
  </sheetViews>
  <sheetFormatPr defaultRowHeight="15" x14ac:dyDescent="0.25"/>
  <cols>
    <col min="1" max="1" width="9" bestFit="1" customWidth="1"/>
    <col min="2" max="2" width="20.42578125" customWidth="1"/>
    <col min="3" max="3" width="11.140625" bestFit="1" customWidth="1"/>
    <col min="4" max="4" width="11.42578125" bestFit="1" customWidth="1"/>
    <col min="5" max="5" width="14.42578125" bestFit="1" customWidth="1"/>
    <col min="6" max="6" width="10.85546875" bestFit="1" customWidth="1"/>
    <col min="7" max="7" width="15.42578125" customWidth="1"/>
    <col min="8" max="8" width="10.85546875" bestFit="1" customWidth="1"/>
    <col min="9" max="9" width="14.42578125" bestFit="1" customWidth="1"/>
    <col min="10" max="13" width="10" bestFit="1" customWidth="1"/>
    <col min="14" max="14" width="13.42578125" bestFit="1" customWidth="1"/>
    <col min="15" max="15" width="16.85546875" bestFit="1" customWidth="1"/>
    <col min="16" max="16" width="13.42578125" bestFit="1" customWidth="1"/>
    <col min="17" max="17" width="16.85546875" bestFit="1" customWidth="1"/>
    <col min="18" max="18" width="13.42578125" bestFit="1" customWidth="1"/>
    <col min="19" max="19" width="16.85546875" bestFit="1" customWidth="1"/>
    <col min="20" max="20" width="13.42578125" bestFit="1" customWidth="1"/>
    <col min="21" max="21" width="16.85546875" bestFit="1" customWidth="1"/>
    <col min="22" max="22" width="13.42578125" bestFit="1" customWidth="1"/>
    <col min="23" max="23" width="16.85546875" bestFit="1" customWidth="1"/>
    <col min="24" max="24" width="13.42578125" bestFit="1" customWidth="1"/>
    <col min="25" max="25" width="16.85546875" bestFit="1" customWidth="1"/>
    <col min="26" max="26" width="20" bestFit="1" customWidth="1"/>
    <col min="27" max="27" width="23.5703125" bestFit="1" customWidth="1"/>
    <col min="28" max="28" width="14.85546875" bestFit="1" customWidth="1"/>
    <col min="29" max="29" width="18.42578125" bestFit="1" customWidth="1"/>
    <col min="30" max="30" width="14.85546875" bestFit="1" customWidth="1"/>
    <col min="31" max="31" width="18.42578125" bestFit="1" customWidth="1"/>
    <col min="32" max="32" width="14.85546875" bestFit="1" customWidth="1"/>
    <col min="33" max="33" width="18.42578125" bestFit="1" customWidth="1"/>
  </cols>
  <sheetData>
    <row r="1" spans="1:33" ht="36" customHeight="1" x14ac:dyDescent="0.25">
      <c r="A1" s="64" t="s">
        <v>31</v>
      </c>
      <c r="B1" s="64" t="s">
        <v>46</v>
      </c>
      <c r="C1" s="64" t="s">
        <v>16</v>
      </c>
      <c r="D1" s="59" t="s">
        <v>93</v>
      </c>
      <c r="E1" s="59" t="s">
        <v>94</v>
      </c>
      <c r="F1" s="59" t="s">
        <v>95</v>
      </c>
      <c r="G1" s="59" t="s">
        <v>96</v>
      </c>
      <c r="H1" s="59" t="s">
        <v>97</v>
      </c>
      <c r="I1" s="59" t="s">
        <v>98</v>
      </c>
      <c r="J1" s="60" t="s">
        <v>124</v>
      </c>
      <c r="K1" s="60" t="s">
        <v>125</v>
      </c>
      <c r="L1" s="60" t="s">
        <v>126</v>
      </c>
      <c r="M1" s="60" t="s">
        <v>127</v>
      </c>
      <c r="N1" s="61" t="s">
        <v>99</v>
      </c>
      <c r="O1" s="61" t="s">
        <v>100</v>
      </c>
      <c r="P1" s="61" t="s">
        <v>101</v>
      </c>
      <c r="Q1" s="61" t="s">
        <v>102</v>
      </c>
      <c r="R1" s="61" t="s">
        <v>103</v>
      </c>
      <c r="S1" s="61" t="s">
        <v>104</v>
      </c>
      <c r="T1" s="61" t="s">
        <v>105</v>
      </c>
      <c r="U1" s="61" t="s">
        <v>106</v>
      </c>
      <c r="V1" s="61" t="s">
        <v>107</v>
      </c>
      <c r="W1" s="61" t="s">
        <v>108</v>
      </c>
      <c r="X1" s="61" t="s">
        <v>109</v>
      </c>
      <c r="Y1" s="61" t="s">
        <v>110</v>
      </c>
      <c r="Z1" s="62" t="s">
        <v>111</v>
      </c>
      <c r="AA1" s="62" t="s">
        <v>112</v>
      </c>
      <c r="AB1" s="63" t="s">
        <v>113</v>
      </c>
      <c r="AC1" s="63" t="s">
        <v>114</v>
      </c>
      <c r="AD1" s="63" t="s">
        <v>115</v>
      </c>
      <c r="AE1" s="63" t="s">
        <v>116</v>
      </c>
      <c r="AF1" s="63" t="s">
        <v>117</v>
      </c>
      <c r="AG1" s="63" t="s">
        <v>118</v>
      </c>
    </row>
    <row r="2" spans="1:33" x14ac:dyDescent="0.25">
      <c r="A2">
        <f t="shared" ref="A2" si="0">ROW(A1)</f>
        <v>1</v>
      </c>
      <c r="B2" t="str">
        <f>CONCATENATE(ROW(A2)-2+A2,",",ROW(A2)-1+A2)</f>
        <v>1,2</v>
      </c>
      <c r="C2" t="s">
        <v>17</v>
      </c>
      <c r="D2" t="s">
        <v>134</v>
      </c>
      <c r="E2">
        <v>0</v>
      </c>
      <c r="F2" t="s">
        <v>134</v>
      </c>
      <c r="G2">
        <v>0</v>
      </c>
      <c r="H2" t="s">
        <v>134</v>
      </c>
      <c r="I2">
        <v>0</v>
      </c>
      <c r="J2">
        <v>0</v>
      </c>
      <c r="K2">
        <v>0</v>
      </c>
      <c r="L2">
        <v>0</v>
      </c>
      <c r="M2">
        <v>0</v>
      </c>
      <c r="N2" t="s">
        <v>134</v>
      </c>
      <c r="O2">
        <v>0</v>
      </c>
      <c r="P2" t="s">
        <v>134</v>
      </c>
      <c r="Q2">
        <v>0</v>
      </c>
      <c r="R2" t="s">
        <v>134</v>
      </c>
      <c r="S2">
        <v>0</v>
      </c>
      <c r="T2" t="s">
        <v>134</v>
      </c>
      <c r="U2">
        <v>0</v>
      </c>
      <c r="V2" t="s">
        <v>134</v>
      </c>
      <c r="W2">
        <v>0</v>
      </c>
      <c r="X2" t="s">
        <v>134</v>
      </c>
      <c r="Y2">
        <v>0</v>
      </c>
      <c r="Z2" t="s">
        <v>134</v>
      </c>
      <c r="AA2">
        <v>0</v>
      </c>
      <c r="AB2" t="s">
        <v>134</v>
      </c>
      <c r="AC2">
        <v>0</v>
      </c>
      <c r="AD2" t="s">
        <v>134</v>
      </c>
      <c r="AE2">
        <v>0</v>
      </c>
      <c r="AF2" t="s">
        <v>134</v>
      </c>
      <c r="AG2">
        <v>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___Dropdown values</vt:lpstr>
      <vt:lpstr>Building Blocks</vt:lpstr>
      <vt:lpstr>Method</vt:lpstr>
      <vt:lpstr>Worklist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2021-09-24T17:04:31Z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