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 Files (x86)\HAMILTON\BAREB\Script\HamiltonVisualMethodEditor\"/>
    </mc:Choice>
  </mc:AlternateContent>
  <xr:revisionPtr revIDLastSave="0" documentId="13_ncr:1_{7B08025B-16C3-4C1A-ABEA-CB1CD56AD7AB}" xr6:coauthVersionLast="46" xr6:coauthVersionMax="46" xr10:uidLastSave="{00000000-0000-0000-0000-000000000000}"/>
  <bookViews>
    <workbookView xWindow="-120" yWindow="-120" windowWidth="29040" windowHeight="15840" firstSheet="1" activeTab="1" xr2:uid="{00000000-000D-0000-FFFF-FFFF00000000}"/>
  </bookViews>
  <sheets>
    <sheet name="___Dropdown values" sheetId="4" state="hidden" r:id="rId1"/>
    <sheet name="Method" sheetId="2" r:id="rId2"/>
    <sheet name="Worklist" sheetId="3" r:id="rId3"/>
    <sheet name="TestLog" sheetId="15" r:id="rId4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85" i="2" l="1"/>
  <c r="C65" i="2"/>
  <c r="E3" i="3" l="1"/>
  <c r="E2" i="3"/>
  <c r="G141" i="2"/>
  <c r="G131" i="2"/>
  <c r="G115" i="2"/>
  <c r="G108" i="2"/>
  <c r="G101" i="2"/>
  <c r="G89" i="2"/>
  <c r="G78" i="2"/>
  <c r="G71" i="2"/>
  <c r="G90" i="2"/>
  <c r="E53" i="2"/>
  <c r="E52" i="2"/>
  <c r="E16" i="2"/>
  <c r="A3" i="3"/>
  <c r="E15" i="2"/>
  <c r="E13" i="2"/>
  <c r="A2" i="3"/>
</calcChain>
</file>

<file path=xl/sharedStrings.xml><?xml version="1.0" encoding="utf-8"?>
<sst xmlns="http://schemas.openxmlformats.org/spreadsheetml/2006/main" count="3465" uniqueCount="601">
  <si>
    <t>Plate Types</t>
  </si>
  <si>
    <t>Desalting Volume</t>
  </si>
  <si>
    <t>Building Block Enable Disable Options</t>
  </si>
  <si>
    <t>96 Well PCR Plate</t>
  </si>
  <si>
    <t>SizeX:100</t>
  </si>
  <si>
    <t>Liquid Transfer</t>
  </si>
  <si>
    <t>Dilute</t>
  </si>
  <si>
    <t>Desalt</t>
  </si>
  <si>
    <t>Notify</t>
  </si>
  <si>
    <t>Cooler Store</t>
  </si>
  <si>
    <t>Incubate</t>
  </si>
  <si>
    <t>Wait</t>
  </si>
  <si>
    <t>Starstedt 56 Well Rack 2mL</t>
  </si>
  <si>
    <t>SizeX:100,SizeX:100</t>
  </si>
  <si>
    <t>Waters TRV 48 Well Rack</t>
  </si>
  <si>
    <t>DISABLED: Liquid Transfer</t>
  </si>
  <si>
    <t>DISABLED: Dilute</t>
  </si>
  <si>
    <t>DISABLED: Desalt</t>
  </si>
  <si>
    <t>DISABLED: Notify</t>
  </si>
  <si>
    <t>DISABLED: Cooler Store</t>
  </si>
  <si>
    <t>DISABLED: Incubate</t>
  </si>
  <si>
    <t>DISABLED: Wait</t>
  </si>
  <si>
    <t>Starstedt 56 Well Rack 500uL</t>
  </si>
  <si>
    <t>Liquid Type</t>
  </si>
  <si>
    <t>Yes / No</t>
  </si>
  <si>
    <t>General Reagent</t>
  </si>
  <si>
    <t>Yes</t>
  </si>
  <si>
    <t>Reductant</t>
  </si>
  <si>
    <t>No</t>
  </si>
  <si>
    <t>Alkylant</t>
  </si>
  <si>
    <t>Quench</t>
  </si>
  <si>
    <t>Starting Position</t>
  </si>
  <si>
    <t>Buffer/Diluent</t>
  </si>
  <si>
    <t>Sample Start Position</t>
  </si>
  <si>
    <t>Denaturant</t>
  </si>
  <si>
    <t>Plate Start Position (A1)</t>
  </si>
  <si>
    <t>Enzyme</t>
  </si>
  <si>
    <t>Plate</t>
  </si>
  <si>
    <t>Vacuum Options</t>
  </si>
  <si>
    <t>Storage Condition</t>
  </si>
  <si>
    <t>Low</t>
  </si>
  <si>
    <t>Ambient</t>
  </si>
  <si>
    <t>Normal</t>
  </si>
  <si>
    <t>Cold</t>
  </si>
  <si>
    <t>High</t>
  </si>
  <si>
    <t>Manual (Remove validation then enter custom value)</t>
  </si>
  <si>
    <t>Vacuum Plates</t>
  </si>
  <si>
    <t>0.45um Self Poured ProA Plate</t>
  </si>
  <si>
    <t>Comments</t>
  </si>
  <si>
    <t>Name</t>
  </si>
  <si>
    <t>Sample</t>
  </si>
  <si>
    <t>This plate is always included. Method workflow requires the samples start in a 96well plate (For Now)</t>
  </si>
  <si>
    <t>Type</t>
  </si>
  <si>
    <t>Start Method Below</t>
  </si>
  <si>
    <t>Annealing</t>
  </si>
  <si>
    <t>Source</t>
  </si>
  <si>
    <t>Diluent</t>
  </si>
  <si>
    <t>DEPC Water</t>
  </si>
  <si>
    <t>Starting Concentration (mg/mL)</t>
  </si>
  <si>
    <t>Target Concentration (mg/mL)</t>
  </si>
  <si>
    <t>Target Volume (uL)</t>
  </si>
  <si>
    <t>``</t>
  </si>
  <si>
    <t>Max Source Volume (uL)</t>
  </si>
  <si>
    <t>10x Rnase H reaction buffer</t>
  </si>
  <si>
    <t>Volume (uL)</t>
  </si>
  <si>
    <t>Mix?</t>
  </si>
  <si>
    <t>50 uM Probe</t>
  </si>
  <si>
    <t>Temp Program (C) (comma delimited)</t>
  </si>
  <si>
    <t>80,75,70,60,50,45,35,30,22,30</t>
  </si>
  <si>
    <t>Time Program (min) (comma delimited)</t>
  </si>
  <si>
    <t>5,2,2,2,2,5,5,2,2,2</t>
  </si>
  <si>
    <t>Rnase H</t>
  </si>
  <si>
    <t>Split Plate</t>
  </si>
  <si>
    <t>Plate Choice</t>
  </si>
  <si>
    <t>Concurrent</t>
  </si>
  <si>
    <t>Plate Name 1</t>
  </si>
  <si>
    <t>Plate Name 2</t>
  </si>
  <si>
    <t>Dynabeads</t>
  </si>
  <si>
    <t>Temp (C)</t>
  </si>
  <si>
    <t>Time (min)</t>
  </si>
  <si>
    <t>Shake (rpm)</t>
  </si>
  <si>
    <t>Magnetic Beads</t>
  </si>
  <si>
    <t>Storage Buffer</t>
  </si>
  <si>
    <t>B&amp;W Buffer</t>
  </si>
  <si>
    <t>Hold Time (min)</t>
  </si>
  <si>
    <t>Solution B</t>
  </si>
  <si>
    <t>Elution Solution</t>
  </si>
  <si>
    <t>Final</t>
  </si>
  <si>
    <t>Wait On User</t>
  </si>
  <si>
    <t>Subject</t>
  </si>
  <si>
    <t>5Cap Assay run Finished</t>
  </si>
  <si>
    <t>Message</t>
  </si>
  <si>
    <t>Congratulations, your run is finished. Hooray!</t>
  </si>
  <si>
    <t>Finish</t>
  </si>
  <si>
    <t>Sample #</t>
  </si>
  <si>
    <t>Description</t>
  </si>
  <si>
    <t>Repititions</t>
  </si>
  <si>
    <t>[Module]</t>
  </si>
  <si>
    <t>Heater</t>
  </si>
  <si>
    <t>[Command]</t>
  </si>
  <si>
    <t>AcquireReservation</t>
  </si>
  <si>
    <t>[PlateName]</t>
  </si>
  <si>
    <t>[Temperature]</t>
  </si>
  <si>
    <t>[RPM]</t>
  </si>
  <si>
    <t>Step Title: Plate</t>
  </si>
  <si>
    <t>Excel Location (Row,Col): (7,3)</t>
  </si>
  <si>
    <t>Name: Annealing</t>
  </si>
  <si>
    <t>Type: 96 Well PCR Plate</t>
  </si>
  <si>
    <t>Test</t>
  </si>
  <si>
    <t>Step Title: Dilute</t>
  </si>
  <si>
    <t>Excel Location (Row,Col): (11,3)</t>
  </si>
  <si>
    <t>Source: Sample</t>
  </si>
  <si>
    <t>Diluent: DEPC Water</t>
  </si>
  <si>
    <t xml:space="preserve">Starting Concentration (mg/mL): Starting Concentration (mg/mL) (Worklist Column) </t>
  </si>
  <si>
    <t>Target Concentration (mg/mL): 0.6534828235294118</t>
  </si>
  <si>
    <t>Target Volume (uL): 85.0</t>
  </si>
  <si>
    <t>Max Source Volume (uL): 85.0</t>
  </si>
  <si>
    <t>Pipette</t>
  </si>
  <si>
    <t>GetLiquidClassStrings</t>
  </si>
  <si>
    <t>[TransferVolume]</t>
  </si>
  <si>
    <t>[LiquidCategory]</t>
  </si>
  <si>
    <t>Water</t>
  </si>
  <si>
    <t>Wate</t>
  </si>
  <si>
    <t>##3.1##</t>
  </si>
  <si>
    <t>GetTipSequenceStrings</t>
  </si>
  <si>
    <t>##3.2##</t>
  </si>
  <si>
    <t>TransferLiquid</t>
  </si>
  <si>
    <t>[Destination]</t>
  </si>
  <si>
    <t>[DestinationPosition]</t>
  </si>
  <si>
    <t>[Source]</t>
  </si>
  <si>
    <t>[SourcePosition]</t>
  </si>
  <si>
    <t>[CurrentDestinationVolume]</t>
  </si>
  <si>
    <t>[Mix]</t>
  </si>
  <si>
    <t>[TipSequence]</t>
  </si>
  <si>
    <t>[LiquidClass]</t>
  </si>
  <si>
    <t>[KeepTips]</t>
  </si>
  <si>
    <t>##3.3##</t>
  </si>
  <si>
    <t>##3.4##</t>
  </si>
  <si>
    <t>##3.5##</t>
  </si>
  <si>
    <t>##3.6##</t>
  </si>
  <si>
    <t>Step Title: Liquid Transfer</t>
  </si>
  <si>
    <t>Excel Location (Row,Col): (19,3)</t>
  </si>
  <si>
    <t>Source: 10x Rnase H reaction buffer</t>
  </si>
  <si>
    <t>Liquid Type: Buffer/Diluent</t>
  </si>
  <si>
    <t>Storage Condition: Ambient</t>
  </si>
  <si>
    <t>Volume (uL): 10.0</t>
  </si>
  <si>
    <t>Mix?: Yes</t>
  </si>
  <si>
    <t>##4.1##</t>
  </si>
  <si>
    <t>##4.2##</t>
  </si>
  <si>
    <t>##4.3##</t>
  </si>
  <si>
    <t>Excel Location (Row,Col): (26,3)</t>
  </si>
  <si>
    <t>Source: 50 uM Probe</t>
  </si>
  <si>
    <t>Liquid Type: General Reagent</t>
  </si>
  <si>
    <t>Volume (uL): 5.0</t>
  </si>
  <si>
    <t>##5.1##</t>
  </si>
  <si>
    <t>##5.2##</t>
  </si>
  <si>
    <t>##5.3##</t>
  </si>
  <si>
    <t>DISABLED: Thermocycle</t>
  </si>
  <si>
    <t>Magnetic Beads Plate</t>
  </si>
  <si>
    <t>Storage Buffer Volume (uL)</t>
  </si>
  <si>
    <t>Time to start thermocycling step</t>
  </si>
  <si>
    <t>Please thermocycle the Annealing Plate with the following program. (Temp,Time) 80,5;75,2;</t>
  </si>
  <si>
    <t>N/A</t>
  </si>
  <si>
    <t>Step Title: Notify</t>
  </si>
  <si>
    <t>Excel Location (Row,Col): (37,3)</t>
  </si>
  <si>
    <t>Wait On User: Yes</t>
  </si>
  <si>
    <t>Subject: Time to start thermocycling step</t>
  </si>
  <si>
    <t>Message: Please thermocycle the Annealing Plate with the following program. (Temp,Time) 80,5;75,2;</t>
  </si>
  <si>
    <t>Excel Location (Row,Col): (42,3)</t>
  </si>
  <si>
    <t>Source: Rnase H</t>
  </si>
  <si>
    <t>Liquid Type: Enzyme</t>
  </si>
  <si>
    <t>##7.1##</t>
  </si>
  <si>
    <t>##7.2##</t>
  </si>
  <si>
    <t>##7.3##</t>
  </si>
  <si>
    <t>Step Title: Split Plate</t>
  </si>
  <si>
    <t>Excel Location (Row,Col): (49,3)</t>
  </si>
  <si>
    <t>Plate Choice: Concurrent</t>
  </si>
  <si>
    <t>Plate Name 1: Annealing</t>
  </si>
  <si>
    <t>Step Title: Incubate</t>
  </si>
  <si>
    <t>Excel Location (Row,Col): (58,1)</t>
  </si>
  <si>
    <t>Temp (C): 37.0</t>
  </si>
  <si>
    <t>Time (min): 60.0</t>
  </si>
  <si>
    <t>Shake (rpm): 0.0</t>
  </si>
  <si>
    <t>Labware</t>
  </si>
  <si>
    <t>GetSequenceStrings</t>
  </si>
  <si>
    <t>[PlateNames]</t>
  </si>
  <si>
    <t>Annealin</t>
  </si>
  <si>
    <t>##9.1##</t>
  </si>
  <si>
    <t>GetLabwareTypes</t>
  </si>
  <si>
    <t>##9.2##</t>
  </si>
  <si>
    <t>GetReservationHeaterSequenceString</t>
  </si>
  <si>
    <t>##9.3##</t>
  </si>
  <si>
    <t>##9.4##</t>
  </si>
  <si>
    <t>Lid</t>
  </si>
  <si>
    <t>##9.5##</t>
  </si>
  <si>
    <t>GetReservationLidSequenceString</t>
  </si>
  <si>
    <t>##9.6##</t>
  </si>
  <si>
    <t>##9.7##</t>
  </si>
  <si>
    <t>##9.8##</t>
  </si>
  <si>
    <t>##9.9##</t>
  </si>
  <si>
    <t>Transport</t>
  </si>
  <si>
    <t>MoveLabware</t>
  </si>
  <si>
    <t>[SourceLabwareType]</t>
  </si>
  <si>
    <t>[SourceSequenceString]</t>
  </si>
  <si>
    <t>[DestinationLabwareType]</t>
  </si>
  <si>
    <t>[DestinationSequenceString]</t>
  </si>
  <si>
    <t>[Park]</t>
  </si>
  <si>
    <t>[CheckExists]</t>
  </si>
  <si>
    <t>Fals</t>
  </si>
  <si>
    <t>##9.10##</t>
  </si>
  <si>
    <t>##9.11##</t>
  </si>
  <si>
    <t>StartReservation</t>
  </si>
  <si>
    <t>##9.12##</t>
  </si>
  <si>
    <t>Excel Location (Row,Col): (58,5)</t>
  </si>
  <si>
    <t>Source: Dynabeads</t>
  </si>
  <si>
    <t>Volume (uL): 100.0</t>
  </si>
  <si>
    <t>##10.1##</t>
  </si>
  <si>
    <t>##10.2##</t>
  </si>
  <si>
    <t>##10.3##</t>
  </si>
  <si>
    <t>Excel Location (Row,Col): (65,5)</t>
  </si>
  <si>
    <t>Step Title: Magnetic Beads</t>
  </si>
  <si>
    <t>Excel Location (Row,Col): (69,5)</t>
  </si>
  <si>
    <t>Storage Buffer: B&amp;W Buffer</t>
  </si>
  <si>
    <t>Storage Buffer Volume (uL): 150.0</t>
  </si>
  <si>
    <t>Hold Time (min): 2.0</t>
  </si>
  <si>
    <t>Repititions: 3.0</t>
  </si>
  <si>
    <t>##12.1##</t>
  </si>
  <si>
    <t>##12.2##</t>
  </si>
  <si>
    <t>GetMagneticRackPlateSequenceString</t>
  </si>
  <si>
    <t>##12.3##</t>
  </si>
  <si>
    <t>GetMagneticRackPlateTransportType</t>
  </si>
  <si>
    <t>##12.4##</t>
  </si>
  <si>
    <t>Afte</t>
  </si>
  <si>
    <t>##12.5##</t>
  </si>
  <si>
    <t>Timer</t>
  </si>
  <si>
    <t>Start</t>
  </si>
  <si>
    <t>[WaitTime]</t>
  </si>
  <si>
    <t>##12.6##</t>
  </si>
  <si>
    <t>Wai</t>
  </si>
  <si>
    <t>##12.7##</t>
  </si>
  <si>
    <t>##12.8##</t>
  </si>
  <si>
    <t>##12.9##</t>
  </si>
  <si>
    <t>##12.10##</t>
  </si>
  <si>
    <t>##12.11##</t>
  </si>
  <si>
    <t>GetCondensedBeadsLiquidClassStrings</t>
  </si>
  <si>
    <t>##12.12##</t>
  </si>
  <si>
    <t>##12.13##</t>
  </si>
  <si>
    <t>GetGeneralLiquidTransferLiquidClassStrings</t>
  </si>
  <si>
    <t>[TransferVolumes]</t>
  </si>
  <si>
    <t>##12.14##</t>
  </si>
  <si>
    <t>##12.15##</t>
  </si>
  <si>
    <t>##12.16##</t>
  </si>
  <si>
    <t>##12.17##</t>
  </si>
  <si>
    <t>##12.18##</t>
  </si>
  <si>
    <t>##12.19##</t>
  </si>
  <si>
    <t>##12.20##</t>
  </si>
  <si>
    <t>##12.21##</t>
  </si>
  <si>
    <t>##12.22##</t>
  </si>
  <si>
    <t>##12.23##</t>
  </si>
  <si>
    <t>##12.24##</t>
  </si>
  <si>
    <t>##12.25##</t>
  </si>
  <si>
    <t>##12.26##</t>
  </si>
  <si>
    <t>##12.27##</t>
  </si>
  <si>
    <t>##12.28##</t>
  </si>
  <si>
    <t>##12.29##</t>
  </si>
  <si>
    <t>##12.30##</t>
  </si>
  <si>
    <t>##12.31##</t>
  </si>
  <si>
    <t>##12.32##</t>
  </si>
  <si>
    <t>##12.33##</t>
  </si>
  <si>
    <t>##12.34##</t>
  </si>
  <si>
    <t>##12.35##</t>
  </si>
  <si>
    <t>##12.36##</t>
  </si>
  <si>
    <t>##12.37##</t>
  </si>
  <si>
    <t>##12.38##</t>
  </si>
  <si>
    <t>##12.39##</t>
  </si>
  <si>
    <t>##12.40##</t>
  </si>
  <si>
    <t>##12.41##</t>
  </si>
  <si>
    <t>##12.42##</t>
  </si>
  <si>
    <t>##12.43##</t>
  </si>
  <si>
    <t>##12.44##</t>
  </si>
  <si>
    <t>##12.45##</t>
  </si>
  <si>
    <t>##12.46##</t>
  </si>
  <si>
    <t>Excel Location (Row,Col): (76,5)</t>
  </si>
  <si>
    <t>Storage Buffer: Solution B</t>
  </si>
  <si>
    <t>Repititions: 2.0</t>
  </si>
  <si>
    <t>##13.1##</t>
  </si>
  <si>
    <t>##13.2##</t>
  </si>
  <si>
    <t>##13.3##</t>
  </si>
  <si>
    <t>##13.4##</t>
  </si>
  <si>
    <t>##13.5##</t>
  </si>
  <si>
    <t>##13.6##</t>
  </si>
  <si>
    <t>##13.7##</t>
  </si>
  <si>
    <t>##13.8##</t>
  </si>
  <si>
    <t>##13.9##</t>
  </si>
  <si>
    <t>##13.10##</t>
  </si>
  <si>
    <t>##13.11##</t>
  </si>
  <si>
    <t>##13.12##</t>
  </si>
  <si>
    <t>##13.13##</t>
  </si>
  <si>
    <t>##13.14##</t>
  </si>
  <si>
    <t>##13.15##</t>
  </si>
  <si>
    <t>##13.16##</t>
  </si>
  <si>
    <t>##13.17##</t>
  </si>
  <si>
    <t>##13.18##</t>
  </si>
  <si>
    <t>##13.19##</t>
  </si>
  <si>
    <t>##13.20##</t>
  </si>
  <si>
    <t>##13.21##</t>
  </si>
  <si>
    <t>##13.22##</t>
  </si>
  <si>
    <t>##13.23##</t>
  </si>
  <si>
    <t>##13.24##</t>
  </si>
  <si>
    <t>##13.25##</t>
  </si>
  <si>
    <t>##13.26##</t>
  </si>
  <si>
    <t>##13.27##</t>
  </si>
  <si>
    <t>##13.28##</t>
  </si>
  <si>
    <t>##13.29##</t>
  </si>
  <si>
    <t>##13.30##</t>
  </si>
  <si>
    <t>##13.31##</t>
  </si>
  <si>
    <t>##13.32##</t>
  </si>
  <si>
    <t>Excel Location (Row,Col): (83,5)</t>
  </si>
  <si>
    <t>After</t>
  </si>
  <si>
    <t>Beads</t>
  </si>
  <si>
    <t>Plate Name 2: Beads</t>
  </si>
  <si>
    <t>Magnetic Beads Plate: Beads</t>
  </si>
  <si>
    <t>Spike</t>
  </si>
  <si>
    <t>Spike Volume</t>
  </si>
  <si>
    <t>Add Spike? (Yes or No)</t>
  </si>
  <si>
    <t>Sample 1</t>
  </si>
  <si>
    <t>Sample 2</t>
  </si>
  <si>
    <t>Merge Plates</t>
  </si>
  <si>
    <t>Plate Name</t>
  </si>
  <si>
    <t>Continue Here?</t>
  </si>
  <si>
    <t>Waste</t>
  </si>
  <si>
    <t>[DestinationPipettingOffset]</t>
  </si>
  <si>
    <t>GetReservationHeaterTransportType</t>
  </si>
  <si>
    <t>GetReservationLidTransportType</t>
  </si>
  <si>
    <t>Name: Waste</t>
  </si>
  <si>
    <t>Wast</t>
  </si>
  <si>
    <t>MagneticBeads</t>
  </si>
  <si>
    <t>Step Title: Merge Plates</t>
  </si>
  <si>
    <t>Plate Name: Annealing</t>
  </si>
  <si>
    <t>Continue Here?: Yes</t>
  </si>
  <si>
    <t>##14.1##</t>
  </si>
  <si>
    <t>##14.2##</t>
  </si>
  <si>
    <t>EndReservation</t>
  </si>
  <si>
    <t>##14.3##</t>
  </si>
  <si>
    <t>##14.4##</t>
  </si>
  <si>
    <t>##14.5##</t>
  </si>
  <si>
    <t>##14.6##</t>
  </si>
  <si>
    <t>##14.7##</t>
  </si>
  <si>
    <t>##14.8##</t>
  </si>
  <si>
    <t>##14.9##</t>
  </si>
  <si>
    <t>##14.10##</t>
  </si>
  <si>
    <t>##14.11##</t>
  </si>
  <si>
    <t>##14.12##</t>
  </si>
  <si>
    <t>##14.13##</t>
  </si>
  <si>
    <t>ReleaseReservation</t>
  </si>
  <si>
    <t>##14.15##</t>
  </si>
  <si>
    <t>Excel Location (Row,Col): (63,1)</t>
  </si>
  <si>
    <t>Plate Name: Waste</t>
  </si>
  <si>
    <t>Continue Here?: No</t>
  </si>
  <si>
    <t>Excel Location (Row,Col): (87,5)</t>
  </si>
  <si>
    <t>Storage Buffer: Annealing</t>
  </si>
  <si>
    <t>Storage Buffer Volume (uL): 100.0</t>
  </si>
  <si>
    <t>Repititions: 1.0</t>
  </si>
  <si>
    <t>##16.1##</t>
  </si>
  <si>
    <t>##16.2##</t>
  </si>
  <si>
    <t>##16.3##</t>
  </si>
  <si>
    <t>##16.4##</t>
  </si>
  <si>
    <t>##16.5##</t>
  </si>
  <si>
    <t>##16.6##</t>
  </si>
  <si>
    <t>##16.7##</t>
  </si>
  <si>
    <t>##16.8##</t>
  </si>
  <si>
    <t>##16.9##</t>
  </si>
  <si>
    <t>##16.10##</t>
  </si>
  <si>
    <t>##16.11##</t>
  </si>
  <si>
    <t>##16.12##</t>
  </si>
  <si>
    <t>##16.13##</t>
  </si>
  <si>
    <t>##16.14##</t>
  </si>
  <si>
    <t>##16.15##</t>
  </si>
  <si>
    <t>##16.16##</t>
  </si>
  <si>
    <t>##16.17##</t>
  </si>
  <si>
    <t>##16.18##</t>
  </si>
  <si>
    <t>Excel Location (Row,Col): (94,5)</t>
  </si>
  <si>
    <t>Temp (C): 25.0</t>
  </si>
  <si>
    <t>Time (min): 30.0</t>
  </si>
  <si>
    <t>Shake (rpm): 650.0</t>
  </si>
  <si>
    <t>##17.1##</t>
  </si>
  <si>
    <t>##17.2##</t>
  </si>
  <si>
    <t>##17.3##</t>
  </si>
  <si>
    <t>##17.4##</t>
  </si>
  <si>
    <t>##17.5##</t>
  </si>
  <si>
    <t>##17.6##</t>
  </si>
  <si>
    <t>##17.7##</t>
  </si>
  <si>
    <t>##17.8##</t>
  </si>
  <si>
    <t>##17.9##</t>
  </si>
  <si>
    <t>##17.10##</t>
  </si>
  <si>
    <t>##17.11##</t>
  </si>
  <si>
    <t>##17.12##</t>
  </si>
  <si>
    <t>##17.13##</t>
  </si>
  <si>
    <t>##17.14##</t>
  </si>
  <si>
    <t>##17.15##</t>
  </si>
  <si>
    <t>##17.16##</t>
  </si>
  <si>
    <t>##17.17##</t>
  </si>
  <si>
    <t>##17.18##</t>
  </si>
  <si>
    <t>##17.19##</t>
  </si>
  <si>
    <t>##17.20##</t>
  </si>
  <si>
    <t>##17.21##</t>
  </si>
  <si>
    <t>##17.22##</t>
  </si>
  <si>
    <t>##17.23##</t>
  </si>
  <si>
    <t>##17.24##</t>
  </si>
  <si>
    <t>##17.25##</t>
  </si>
  <si>
    <t>##17.27##</t>
  </si>
  <si>
    <t>Excel Location (Row,Col): (99,5)</t>
  </si>
  <si>
    <t>Storage Buffer Volume (uL): 200.0</t>
  </si>
  <si>
    <t>##18.1##</t>
  </si>
  <si>
    <t>##18.2##</t>
  </si>
  <si>
    <t>##18.3##</t>
  </si>
  <si>
    <t>##18.4##</t>
  </si>
  <si>
    <t>##18.5##</t>
  </si>
  <si>
    <t>##18.6##</t>
  </si>
  <si>
    <t>##18.7##</t>
  </si>
  <si>
    <t>##18.8##</t>
  </si>
  <si>
    <t>##18.9##</t>
  </si>
  <si>
    <t>##18.10##</t>
  </si>
  <si>
    <t>##18.11##</t>
  </si>
  <si>
    <t>##18.12##</t>
  </si>
  <si>
    <t>##18.13##</t>
  </si>
  <si>
    <t>##18.14##</t>
  </si>
  <si>
    <t>##18.15##</t>
  </si>
  <si>
    <t>##18.16##</t>
  </si>
  <si>
    <t>##18.17##</t>
  </si>
  <si>
    <t>##18.18##</t>
  </si>
  <si>
    <t>##18.19##</t>
  </si>
  <si>
    <t>##18.20##</t>
  </si>
  <si>
    <t>##18.21##</t>
  </si>
  <si>
    <t>##18.22##</t>
  </si>
  <si>
    <t>##18.23##</t>
  </si>
  <si>
    <t>##18.24##</t>
  </si>
  <si>
    <t>##18.25##</t>
  </si>
  <si>
    <t>##18.26##</t>
  </si>
  <si>
    <t>##18.27##</t>
  </si>
  <si>
    <t>##18.28##</t>
  </si>
  <si>
    <t>##18.29##</t>
  </si>
  <si>
    <t>##18.30##</t>
  </si>
  <si>
    <t>##18.31##</t>
  </si>
  <si>
    <t>##18.32##</t>
  </si>
  <si>
    <t>Excel Location (Row,Col): (106,5)</t>
  </si>
  <si>
    <t>Storage Buffer: DEPC Water</t>
  </si>
  <si>
    <t>Repititions: 4.0</t>
  </si>
  <si>
    <t>##19.1##</t>
  </si>
  <si>
    <t>##19.2##</t>
  </si>
  <si>
    <t>##19.3##</t>
  </si>
  <si>
    <t>##19.4##</t>
  </si>
  <si>
    <t>##19.5##</t>
  </si>
  <si>
    <t>##19.6##</t>
  </si>
  <si>
    <t>##19.7##</t>
  </si>
  <si>
    <t>##19.8##</t>
  </si>
  <si>
    <t>##19.9##</t>
  </si>
  <si>
    <t>##19.10##</t>
  </si>
  <si>
    <t>##19.11##</t>
  </si>
  <si>
    <t>##19.12##</t>
  </si>
  <si>
    <t>##19.13##</t>
  </si>
  <si>
    <t>##19.14##</t>
  </si>
  <si>
    <t>##19.15##</t>
  </si>
  <si>
    <t>##19.16##</t>
  </si>
  <si>
    <t>##19.17##</t>
  </si>
  <si>
    <t>##19.18##</t>
  </si>
  <si>
    <t>##19.19##</t>
  </si>
  <si>
    <t>##19.20##</t>
  </si>
  <si>
    <t>##19.21##</t>
  </si>
  <si>
    <t>##19.22##</t>
  </si>
  <si>
    <t>##19.23##</t>
  </si>
  <si>
    <t>##19.24##</t>
  </si>
  <si>
    <t>##19.25##</t>
  </si>
  <si>
    <t>##19.26##</t>
  </si>
  <si>
    <t>##19.27##</t>
  </si>
  <si>
    <t>##19.28##</t>
  </si>
  <si>
    <t>##19.29##</t>
  </si>
  <si>
    <t>##19.30##</t>
  </si>
  <si>
    <t>##19.31##</t>
  </si>
  <si>
    <t>##19.32##</t>
  </si>
  <si>
    <t>##19.33##</t>
  </si>
  <si>
    <t>##19.34##</t>
  </si>
  <si>
    <t>##19.35##</t>
  </si>
  <si>
    <t>##19.36##</t>
  </si>
  <si>
    <t>##19.37##</t>
  </si>
  <si>
    <t>##19.38##</t>
  </si>
  <si>
    <t>##19.39##</t>
  </si>
  <si>
    <t>##19.40##</t>
  </si>
  <si>
    <t>##19.41##</t>
  </si>
  <si>
    <t>##19.42##</t>
  </si>
  <si>
    <t>##19.43##</t>
  </si>
  <si>
    <t>##19.44##</t>
  </si>
  <si>
    <t>##19.45##</t>
  </si>
  <si>
    <t>##19.46##</t>
  </si>
  <si>
    <t>##19.47##</t>
  </si>
  <si>
    <t>##19.48##</t>
  </si>
  <si>
    <t>##19.49##</t>
  </si>
  <si>
    <t>##19.50##</t>
  </si>
  <si>
    <t>##19.51##</t>
  </si>
  <si>
    <t>##19.52##</t>
  </si>
  <si>
    <t>##19.53##</t>
  </si>
  <si>
    <t>##19.54##</t>
  </si>
  <si>
    <t>##19.55##</t>
  </si>
  <si>
    <t>##19.56##</t>
  </si>
  <si>
    <t>##19.57##</t>
  </si>
  <si>
    <t>##19.58##</t>
  </si>
  <si>
    <t>##19.59##</t>
  </si>
  <si>
    <t>##19.60##</t>
  </si>
  <si>
    <t>Excel Location (Row,Col): (113,5)</t>
  </si>
  <si>
    <t>Storage Buffer: Elution Solution</t>
  </si>
  <si>
    <t>##20.1##</t>
  </si>
  <si>
    <t>##20.2##</t>
  </si>
  <si>
    <t>##20.3##</t>
  </si>
  <si>
    <t>##20.4##</t>
  </si>
  <si>
    <t>##20.5##</t>
  </si>
  <si>
    <t>##20.6##</t>
  </si>
  <si>
    <t>##20.7##</t>
  </si>
  <si>
    <t>##20.8##</t>
  </si>
  <si>
    <t>##20.9##</t>
  </si>
  <si>
    <t>##20.10##</t>
  </si>
  <si>
    <t>##20.11##</t>
  </si>
  <si>
    <t>##20.12##</t>
  </si>
  <si>
    <t>##20.13##</t>
  </si>
  <si>
    <t>##20.14##</t>
  </si>
  <si>
    <t>##20.15##</t>
  </si>
  <si>
    <t>##20.16##</t>
  </si>
  <si>
    <t>##20.17##</t>
  </si>
  <si>
    <t>##20.18##</t>
  </si>
  <si>
    <t>Excel Location (Row,Col): (120,5)</t>
  </si>
  <si>
    <t>Temp (C): 90.0</t>
  </si>
  <si>
    <t>Time (min): 5.0</t>
  </si>
  <si>
    <t>Shake (rpm): 350.0</t>
  </si>
  <si>
    <t>##21.1##</t>
  </si>
  <si>
    <t>##21.2##</t>
  </si>
  <si>
    <t>##21.3##</t>
  </si>
  <si>
    <t>##21.4##</t>
  </si>
  <si>
    <t>##21.5##</t>
  </si>
  <si>
    <t>##21.6##</t>
  </si>
  <si>
    <t>##21.7##</t>
  </si>
  <si>
    <t>##21.8##</t>
  </si>
  <si>
    <t>##21.9##</t>
  </si>
  <si>
    <t>##21.10##</t>
  </si>
  <si>
    <t>##21.11##</t>
  </si>
  <si>
    <t>##21.12##</t>
  </si>
  <si>
    <t>##21.13##</t>
  </si>
  <si>
    <t>##21.14##</t>
  </si>
  <si>
    <t>##21.15##</t>
  </si>
  <si>
    <t>##21.16##</t>
  </si>
  <si>
    <t>##21.17##</t>
  </si>
  <si>
    <t>##21.18##</t>
  </si>
  <si>
    <t>##21.19##</t>
  </si>
  <si>
    <t>##21.20##</t>
  </si>
  <si>
    <t>##21.21##</t>
  </si>
  <si>
    <t>##21.22##</t>
  </si>
  <si>
    <t>##21.23##</t>
  </si>
  <si>
    <t>##21.24##</t>
  </si>
  <si>
    <t>##21.25##</t>
  </si>
  <si>
    <t>##21.27##</t>
  </si>
  <si>
    <t>Excel Location (Row,Col): (125,5)</t>
  </si>
  <si>
    <t>Name: Final</t>
  </si>
  <si>
    <t>Type: Starstedt 56 Well Rack 500uL</t>
  </si>
  <si>
    <t>Excel Location (Row,Col): (129,5)</t>
  </si>
  <si>
    <t>Storage Buffer: N/A</t>
  </si>
  <si>
    <t>Storage Buffer Volume (uL): 0.0</t>
  </si>
  <si>
    <t>Fina</t>
  </si>
  <si>
    <t>##23.1##</t>
  </si>
  <si>
    <t>##23.2##</t>
  </si>
  <si>
    <t>##23.3##</t>
  </si>
  <si>
    <t>##23.4##</t>
  </si>
  <si>
    <t>##23.5##</t>
  </si>
  <si>
    <t>##23.6##</t>
  </si>
  <si>
    <t>##23.7##</t>
  </si>
  <si>
    <t>##23.8##</t>
  </si>
  <si>
    <t>##23.9##</t>
  </si>
  <si>
    <t>##23.10##</t>
  </si>
  <si>
    <t>##23.11##</t>
  </si>
  <si>
    <t>##23.12##</t>
  </si>
  <si>
    <t>##23.13##</t>
  </si>
  <si>
    <t>[TransferVolumes</t>
  </si>
  <si>
    <t>##23.14##</t>
  </si>
  <si>
    <t>[TransferVolume</t>
  </si>
  <si>
    <t>##23.15##</t>
  </si>
  <si>
    <t>##23.16##</t>
  </si>
  <si>
    <t>##23.17##</t>
  </si>
  <si>
    <t>##23.18##</t>
  </si>
  <si>
    <t>Excel Location (Row,Col): (136,5)</t>
  </si>
  <si>
    <t>Source: Spike</t>
  </si>
  <si>
    <t xml:space="preserve">Volume (uL): Spike Volume (Worklist Column) </t>
  </si>
  <si>
    <t>##24.1##</t>
  </si>
  <si>
    <t>##24.2##</t>
  </si>
  <si>
    <t>##24.3##</t>
  </si>
  <si>
    <t>Excel Location (Row,Col): (143,5)</t>
  </si>
  <si>
    <t>Wait On User: No</t>
  </si>
  <si>
    <t>Subject: 5Cap Assay run Finished</t>
  </si>
  <si>
    <t>Message: Congratulations, your run is finished. Hooray!</t>
  </si>
  <si>
    <t>Step Title: Finish</t>
  </si>
  <si>
    <t>Excel Location (Row,Col): (148,5)</t>
  </si>
  <si>
    <t>Final plate deactivated</t>
  </si>
  <si>
    <t>PreRun</t>
  </si>
  <si>
    <t>Samples</t>
  </si>
  <si>
    <t>[SampleNumber]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</si>
</sst>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94">
    <xf numFmtId="0" fontId="0" fillId="0" borderId="0" xfId="0"/>
    <xf numFmtId="0" fontId="0" fillId="0" borderId="5" xfId="0" applyBorder="1"/>
    <xf numFmtId="0" fontId="0" fillId="0" borderId="8" xfId="0" applyBorder="1"/>
    <xf numFmtId="0" fontId="0" fillId="2" borderId="3" xfId="0" applyFill="1" applyBorder="1"/>
    <xf numFmtId="0" fontId="0" fillId="2" borderId="5" xfId="0" applyFill="1" applyBorder="1"/>
    <xf numFmtId="0" fontId="0" fillId="4" borderId="3" xfId="0" applyFill="1" applyBorder="1"/>
    <xf numFmtId="0" fontId="0" fillId="4" borderId="5" xfId="0" applyFill="1" applyBorder="1"/>
    <xf numFmtId="0" fontId="0" fillId="5" borderId="3" xfId="0" applyFill="1" applyBorder="1"/>
    <xf numFmtId="0" fontId="0" fillId="5" borderId="5" xfId="0" applyFill="1" applyBorder="1"/>
    <xf numFmtId="0" fontId="0" fillId="6" borderId="3" xfId="0" applyFill="1" applyBorder="1"/>
    <xf numFmtId="0" fontId="0" fillId="6" borderId="5" xfId="0" applyFill="1" applyBorder="1"/>
    <xf numFmtId="0" fontId="0" fillId="2" borderId="4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1" fillId="5" borderId="9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6" borderId="9" xfId="0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4" xfId="0" applyBorder="1" applyAlignment="1">
      <alignment horizontal="center"/>
    </xf>
    <xf numFmtId="0" fontId="1" fillId="0" borderId="0" xfId="0" applyFont="1"/>
    <xf numFmtId="0" fontId="1" fillId="0" borderId="9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6" xfId="0" applyBorder="1" applyAlignment="1">
      <alignment wrapText="1"/>
    </xf>
    <xf numFmtId="0" fontId="0" fillId="0" borderId="4" xfId="0" applyBorder="1" applyAlignment="1">
      <alignment wrapText="1"/>
    </xf>
    <xf numFmtId="0" fontId="1" fillId="3" borderId="9" xfId="0" applyFont="1" applyFill="1" applyBorder="1" applyAlignment="1">
      <alignment horizontal="center"/>
    </xf>
    <xf numFmtId="0" fontId="0" fillId="6" borderId="10" xfId="0" applyFill="1" applyBorder="1" applyAlignment="1">
      <alignment vertical="center" wrapText="1"/>
    </xf>
    <xf numFmtId="0" fontId="0" fillId="6" borderId="12" xfId="0" applyFill="1" applyBorder="1" applyAlignment="1">
      <alignment vertical="center" wrapText="1"/>
    </xf>
    <xf numFmtId="0" fontId="0" fillId="0" borderId="0" xfId="0"/>
    <xf numFmtId="0" fontId="0" fillId="0" borderId="5" xfId="0" applyBorder="1"/>
    <xf numFmtId="0" fontId="0" fillId="3" borderId="3" xfId="0" applyFill="1" applyBorder="1"/>
    <xf numFmtId="0" fontId="0" fillId="3" borderId="5" xfId="0" applyFill="1" applyBorder="1"/>
    <xf numFmtId="0" fontId="0" fillId="3" borderId="4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1" fillId="3" borderId="9" xfId="0" applyFont="1" applyFill="1" applyBorder="1" applyAlignment="1">
      <alignment horizontal="center"/>
    </xf>
    <xf numFmtId="0" fontId="0" fillId="0" borderId="3" xfId="0" applyBorder="1"/>
    <xf numFmtId="0" fontId="0" fillId="0" borderId="4" xfId="0" applyBorder="1"/>
    <xf numFmtId="0" fontId="1" fillId="0" borderId="9" xfId="0" applyFont="1" applyBorder="1" applyAlignment="1">
      <alignment horizontal="center" vertical="center"/>
    </xf>
    <xf numFmtId="0" fontId="0" fillId="0" borderId="6" xfId="0" applyBorder="1" applyAlignment="1">
      <alignment wrapText="1"/>
    </xf>
    <xf numFmtId="0" fontId="0" fillId="0" borderId="4" xfId="0" applyBorder="1" applyAlignment="1">
      <alignment wrapText="1"/>
    </xf>
    <xf numFmtId="0" fontId="1" fillId="0" borderId="0" xfId="0" applyFont="1" applyAlignment="1">
      <alignment horizontal="center"/>
    </xf>
    <xf numFmtId="0" fontId="0" fillId="0" borderId="10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0" fillId="3" borderId="10" xfId="0" applyFill="1" applyBorder="1" applyAlignment="1">
      <alignment horizontal="center" vertical="center" wrapText="1"/>
    </xf>
    <xf numFmtId="0" fontId="0" fillId="3" borderId="11" xfId="0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vertical="center" wrapText="1"/>
    </xf>
    <xf numFmtId="0" fontId="0" fillId="0" borderId="15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7" xfId="0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0" fillId="2" borderId="10" xfId="0" applyFill="1" applyBorder="1" applyAlignment="1">
      <alignment horizontal="center" vertical="center" wrapText="1"/>
    </xf>
    <xf numFmtId="0" fontId="0" fillId="2" borderId="11" xfId="0" applyFill="1" applyBorder="1" applyAlignment="1">
      <alignment horizontal="center" vertical="center" wrapText="1"/>
    </xf>
    <xf numFmtId="0" fontId="0" fillId="2" borderId="12" xfId="0" applyFill="1" applyBorder="1" applyAlignment="1">
      <alignment horizontal="center" vertical="center" wrapText="1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0" fillId="6" borderId="10" xfId="0" applyFill="1" applyBorder="1" applyAlignment="1">
      <alignment horizontal="center" vertical="center" wrapText="1"/>
    </xf>
    <xf numFmtId="0" fontId="0" fillId="6" borderId="11" xfId="0" applyFill="1" applyBorder="1" applyAlignment="1">
      <alignment horizontal="center" vertical="center" wrapText="1"/>
    </xf>
    <xf numFmtId="0" fontId="0" fillId="6" borderId="12" xfId="0" applyFill="1" applyBorder="1" applyAlignment="1">
      <alignment horizontal="center" vertical="center" wrapText="1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0" fillId="5" borderId="10" xfId="0" applyFill="1" applyBorder="1" applyAlignment="1">
      <alignment horizontal="center" vertical="center" wrapText="1"/>
    </xf>
    <xf numFmtId="0" fontId="0" fillId="5" borderId="11" xfId="0" applyFill="1" applyBorder="1" applyAlignment="1">
      <alignment horizontal="center" vertical="center" wrapText="1"/>
    </xf>
    <xf numFmtId="0" fontId="0" fillId="5" borderId="12" xfId="0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0" fillId="4" borderId="10" xfId="0" applyFill="1" applyBorder="1" applyAlignment="1">
      <alignment horizontal="center" vertical="center" wrapText="1"/>
    </xf>
    <xf numFmtId="0" fontId="0" fillId="4" borderId="11" xfId="0" applyFill="1" applyBorder="1" applyAlignment="1">
      <alignment horizontal="center" vertical="center" wrapText="1"/>
    </xf>
    <xf numFmtId="0" fontId="0" fillId="4" borderId="12" xfId="0" applyFill="1" applyBorder="1" applyAlignment="1">
      <alignment horizontal="center" vertical="center" wrapText="1"/>
    </xf>
    <xf numFmtId="0" fontId="1" fillId="0" borderId="8" xfId="0" applyFont="1" applyBorder="1" applyAlignment="1">
      <alignment horizontal="center"/>
    </xf>
    <xf numFmtId="0" fontId="0" fillId="0" borderId="16" xfId="0" applyBorder="1" applyAlignment="1">
      <alignment horizontal="left"/>
    </xf>
    <xf numFmtId="0" fontId="0" fillId="0" borderId="17" xfId="0" applyBorder="1" applyAlignment="1">
      <alignment horizontal="left"/>
    </xf>
    <xf numFmtId="0" fontId="0" fillId="0" borderId="10" xfId="0" applyBorder="1" applyAlignment="1">
      <alignment horizontal="center"/>
    </xf>
    <xf numFmtId="0" fontId="0" fillId="0" borderId="13" xfId="0" applyBorder="1"/>
    <xf numFmtId="0" fontId="0" fillId="0" borderId="7" xfId="0" applyBorder="1"/>
    <xf numFmtId="0" fontId="0" fillId="0" borderId="12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123825</xdr:rowOff>
        </xdr:from>
        <xdr:to>
          <xdr:col>1</xdr:col>
          <xdr:colOff>971550</xdr:colOff>
          <xdr:row>5</xdr:row>
          <xdr:rowOff>76200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Method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6</xdr:row>
          <xdr:rowOff>66675</xdr:rowOff>
        </xdr:from>
        <xdr:to>
          <xdr:col>1</xdr:col>
          <xdr:colOff>962025</xdr:colOff>
          <xdr:row>11</xdr:row>
          <xdr:rowOff>19050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Prep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L25"/>
  <sheetViews>
    <sheetView topLeftCell="A10" workbookViewId="0">
      <selection activeCell="D25" sqref="D25"/>
    </sheetView>
  </sheetViews>
  <sheetFormatPr defaultRowHeight="15" x14ac:dyDescent="0.25"/>
  <cols>
    <col min="2" max="2" width="26.42578125" bestFit="1" customWidth="1"/>
    <col min="3" max="3" width="12" customWidth="1"/>
    <col min="4" max="4" width="26.42578125" customWidth="1"/>
    <col min="6" max="6" width="24" bestFit="1" customWidth="1"/>
    <col min="7" max="7" width="16" bestFit="1" customWidth="1"/>
    <col min="8" max="9" width="16.140625" bestFit="1" customWidth="1"/>
    <col min="10" max="10" width="21.85546875" bestFit="1" customWidth="1"/>
    <col min="11" max="11" width="20.5703125" bestFit="1" customWidth="1"/>
    <col min="13" max="13" width="11.7109375" bestFit="1" customWidth="1"/>
  </cols>
  <sheetData>
    <row r="3" spans="2:12" x14ac:dyDescent="0.25">
      <c r="B3" s="30" t="s">
        <v>0</v>
      </c>
      <c r="C3" s="30"/>
      <c r="D3" s="30" t="s">
        <v>1</v>
      </c>
      <c r="F3" s="50" t="s">
        <v>2</v>
      </c>
      <c r="G3" s="50"/>
      <c r="H3" s="50"/>
      <c r="I3" s="50"/>
      <c r="J3" s="50"/>
      <c r="K3" s="50"/>
      <c r="L3" s="50"/>
    </row>
    <row r="4" spans="2:12" x14ac:dyDescent="0.25">
      <c r="B4" t="s">
        <v>3</v>
      </c>
      <c r="D4" s="32" t="s">
        <v>4</v>
      </c>
      <c r="F4" s="30" t="s">
        <v>5</v>
      </c>
      <c r="G4" s="30" t="s">
        <v>6</v>
      </c>
      <c r="H4" s="30" t="s">
        <v>7</v>
      </c>
      <c r="I4" s="30" t="s">
        <v>8</v>
      </c>
      <c r="J4" s="30" t="s">
        <v>9</v>
      </c>
      <c r="K4" s="30" t="s">
        <v>10</v>
      </c>
      <c r="L4" s="30" t="s">
        <v>11</v>
      </c>
    </row>
    <row r="5" spans="2:12" x14ac:dyDescent="0.25">
      <c r="B5" t="s">
        <v>12</v>
      </c>
      <c r="D5" s="32" t="s">
        <v>13</v>
      </c>
      <c r="F5" t="s">
        <v>5</v>
      </c>
      <c r="G5" t="s">
        <v>6</v>
      </c>
      <c r="H5" t="s">
        <v>7</v>
      </c>
      <c r="I5" t="s">
        <v>8</v>
      </c>
      <c r="J5" t="s">
        <v>9</v>
      </c>
      <c r="K5" t="s">
        <v>10</v>
      </c>
      <c r="L5" t="s">
        <v>11</v>
      </c>
    </row>
    <row r="6" spans="2:12" x14ac:dyDescent="0.25">
      <c r="B6" t="s">
        <v>14</v>
      </c>
      <c r="D6" s="32"/>
      <c r="F6" t="s">
        <v>15</v>
      </c>
      <c r="G6" t="s">
        <v>16</v>
      </c>
      <c r="H6" t="s">
        <v>17</v>
      </c>
      <c r="I6" t="s">
        <v>18</v>
      </c>
      <c r="J6" t="s">
        <v>19</v>
      </c>
      <c r="K6" t="s">
        <v>20</v>
      </c>
      <c r="L6" t="s">
        <v>21</v>
      </c>
    </row>
    <row r="7" spans="2:12" x14ac:dyDescent="0.25">
      <c r="B7" t="s">
        <v>22</v>
      </c>
      <c r="D7" s="32"/>
    </row>
    <row r="9" spans="2:12" x14ac:dyDescent="0.25">
      <c r="B9" s="30" t="s">
        <v>23</v>
      </c>
      <c r="D9" s="30" t="s">
        <v>24</v>
      </c>
    </row>
    <row r="10" spans="2:12" x14ac:dyDescent="0.25">
      <c r="B10" t="s">
        <v>25</v>
      </c>
      <c r="D10" t="s">
        <v>26</v>
      </c>
    </row>
    <row r="11" spans="2:12" x14ac:dyDescent="0.25">
      <c r="B11" t="s">
        <v>27</v>
      </c>
      <c r="D11" t="s">
        <v>28</v>
      </c>
    </row>
    <row r="12" spans="2:12" x14ac:dyDescent="0.25">
      <c r="B12" t="s">
        <v>29</v>
      </c>
    </row>
    <row r="13" spans="2:12" x14ac:dyDescent="0.25">
      <c r="B13" t="s">
        <v>30</v>
      </c>
      <c r="D13" s="30" t="s">
        <v>31</v>
      </c>
    </row>
    <row r="14" spans="2:12" x14ac:dyDescent="0.25">
      <c r="B14" t="s">
        <v>32</v>
      </c>
      <c r="D14" t="s">
        <v>33</v>
      </c>
    </row>
    <row r="15" spans="2:12" x14ac:dyDescent="0.25">
      <c r="B15" t="s">
        <v>34</v>
      </c>
      <c r="D15" t="s">
        <v>35</v>
      </c>
    </row>
    <row r="16" spans="2:12" x14ac:dyDescent="0.25">
      <c r="B16" t="s">
        <v>36</v>
      </c>
    </row>
    <row r="17" spans="2:4" x14ac:dyDescent="0.25">
      <c r="B17" t="s">
        <v>37</v>
      </c>
    </row>
    <row r="18" spans="2:4" x14ac:dyDescent="0.25">
      <c r="D18" s="30" t="s">
        <v>38</v>
      </c>
    </row>
    <row r="19" spans="2:4" x14ac:dyDescent="0.25">
      <c r="B19" s="30" t="s">
        <v>39</v>
      </c>
      <c r="D19" t="s">
        <v>40</v>
      </c>
    </row>
    <row r="20" spans="2:4" x14ac:dyDescent="0.25">
      <c r="B20" t="s">
        <v>41</v>
      </c>
      <c r="D20" t="s">
        <v>42</v>
      </c>
    </row>
    <row r="21" spans="2:4" x14ac:dyDescent="0.25">
      <c r="B21" t="s">
        <v>43</v>
      </c>
      <c r="D21" t="s">
        <v>44</v>
      </c>
    </row>
    <row r="22" spans="2:4" x14ac:dyDescent="0.25">
      <c r="D22" t="s">
        <v>45</v>
      </c>
    </row>
    <row r="24" spans="2:4" x14ac:dyDescent="0.25">
      <c r="D24" s="30" t="s">
        <v>46</v>
      </c>
    </row>
    <row r="25" spans="2:4" x14ac:dyDescent="0.25">
      <c r="D25" t="s">
        <v>47</v>
      </c>
    </row>
  </sheetData>
  <mergeCells count="1">
    <mergeCell ref="F3:L3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151"/>
  <sheetViews>
    <sheetView tabSelected="1" topLeftCell="A106" zoomScale="90" zoomScaleNormal="90" workbookViewId="0">
      <selection activeCell="G128" sqref="G128"/>
    </sheetView>
  </sheetViews>
  <sheetFormatPr defaultRowHeight="15" x14ac:dyDescent="0.25"/>
  <cols>
    <col min="1" max="1" width="19.28515625" customWidth="1"/>
    <col min="2" max="2" width="22" customWidth="1"/>
    <col min="3" max="3" width="43" bestFit="1" customWidth="1"/>
    <col min="4" max="4" width="36.85546875" bestFit="1" customWidth="1"/>
    <col min="5" max="5" width="52.42578125" bestFit="1" customWidth="1"/>
    <col min="6" max="6" width="55.140625" customWidth="1"/>
    <col min="7" max="7" width="43" bestFit="1" customWidth="1"/>
    <col min="8" max="8" width="18.85546875" bestFit="1" customWidth="1"/>
    <col min="9" max="9" width="28" bestFit="1" customWidth="1"/>
    <col min="10" max="10" width="21.5703125" bestFit="1" customWidth="1"/>
    <col min="11" max="11" width="17.7109375" customWidth="1"/>
    <col min="12" max="12" width="10.5703125" bestFit="1" customWidth="1"/>
    <col min="14" max="14" width="9.5703125" customWidth="1"/>
  </cols>
  <sheetData>
    <row r="1" spans="4:6" ht="15.75" thickBot="1" x14ac:dyDescent="0.3"/>
    <row r="2" spans="4:6" x14ac:dyDescent="0.25">
      <c r="D2" s="62" t="s">
        <v>37</v>
      </c>
      <c r="E2" s="63"/>
      <c r="F2" s="25" t="s">
        <v>48</v>
      </c>
    </row>
    <row r="3" spans="4:6" x14ac:dyDescent="0.25">
      <c r="D3" s="26" t="s">
        <v>49</v>
      </c>
      <c r="E3" s="29" t="s">
        <v>50</v>
      </c>
      <c r="F3" s="51" t="s">
        <v>51</v>
      </c>
    </row>
    <row r="4" spans="4:6" ht="15.75" thickBot="1" x14ac:dyDescent="0.3">
      <c r="D4" s="1" t="s">
        <v>52</v>
      </c>
      <c r="E4" s="15" t="s">
        <v>3</v>
      </c>
      <c r="F4" s="52"/>
    </row>
    <row r="6" spans="4:6" s="2" customFormat="1" ht="15.75" thickBot="1" x14ac:dyDescent="0.3">
      <c r="D6" s="87" t="s">
        <v>53</v>
      </c>
      <c r="E6" s="87"/>
    </row>
    <row r="7" spans="4:6" ht="15.75" thickBot="1" x14ac:dyDescent="0.3"/>
    <row r="8" spans="4:6" x14ac:dyDescent="0.25">
      <c r="D8" s="62" t="s">
        <v>37</v>
      </c>
      <c r="E8" s="63"/>
      <c r="F8" s="25" t="s">
        <v>48</v>
      </c>
    </row>
    <row r="9" spans="4:6" x14ac:dyDescent="0.25">
      <c r="D9" s="26" t="s">
        <v>49</v>
      </c>
      <c r="E9" s="29" t="s">
        <v>54</v>
      </c>
      <c r="F9" s="51"/>
    </row>
    <row r="10" spans="4:6" ht="15.75" thickBot="1" x14ac:dyDescent="0.3">
      <c r="D10" s="1" t="s">
        <v>52</v>
      </c>
      <c r="E10" s="28" t="s">
        <v>3</v>
      </c>
      <c r="F10" s="52"/>
    </row>
    <row r="11" spans="4:6" ht="15.75" thickBot="1" x14ac:dyDescent="0.3"/>
    <row r="12" spans="4:6" x14ac:dyDescent="0.25">
      <c r="D12" s="82" t="s">
        <v>6</v>
      </c>
      <c r="E12" s="83"/>
      <c r="F12" s="22" t="s">
        <v>48</v>
      </c>
    </row>
    <row r="13" spans="4:6" x14ac:dyDescent="0.25">
      <c r="D13" s="5" t="s">
        <v>55</v>
      </c>
      <c r="E13" s="13" t="str">
        <f>E3</f>
        <v>Sample</v>
      </c>
      <c r="F13" s="84"/>
    </row>
    <row r="14" spans="4:6" x14ac:dyDescent="0.25">
      <c r="D14" s="5" t="s">
        <v>56</v>
      </c>
      <c r="E14" s="13" t="s">
        <v>57</v>
      </c>
      <c r="F14" s="85"/>
    </row>
    <row r="15" spans="4:6" x14ac:dyDescent="0.25">
      <c r="D15" s="5" t="s">
        <v>58</v>
      </c>
      <c r="E15" s="13" t="str">
        <f>Worklist!C1</f>
        <v>Starting Concentration (mg/mL)</v>
      </c>
      <c r="F15" s="85"/>
    </row>
    <row r="16" spans="4:6" x14ac:dyDescent="0.25">
      <c r="D16" s="5" t="s">
        <v>59</v>
      </c>
      <c r="E16" s="13">
        <f>40*1388651*0.000001/E17</f>
        <v>0.65348282352941178</v>
      </c>
      <c r="F16" s="85"/>
    </row>
    <row r="17" spans="1:6" x14ac:dyDescent="0.25">
      <c r="D17" s="5" t="s">
        <v>60</v>
      </c>
      <c r="E17" s="13">
        <v>85</v>
      </c>
      <c r="F17" s="85"/>
    </row>
    <row r="18" spans="1:6" ht="15.75" thickBot="1" x14ac:dyDescent="0.3">
      <c r="A18" t="s">
        <v>61</v>
      </c>
      <c r="D18" s="6" t="s">
        <v>62</v>
      </c>
      <c r="E18" s="14">
        <v>85</v>
      </c>
      <c r="F18" s="86"/>
    </row>
    <row r="19" spans="1:6" ht="15.75" thickBot="1" x14ac:dyDescent="0.3"/>
    <row r="20" spans="1:6" x14ac:dyDescent="0.25">
      <c r="D20" s="67" t="s">
        <v>5</v>
      </c>
      <c r="E20" s="68"/>
      <c r="F20" s="24" t="s">
        <v>48</v>
      </c>
    </row>
    <row r="21" spans="1:6" x14ac:dyDescent="0.25">
      <c r="D21" s="3" t="s">
        <v>55</v>
      </c>
      <c r="E21" s="11" t="s">
        <v>63</v>
      </c>
      <c r="F21" s="69"/>
    </row>
    <row r="22" spans="1:6" x14ac:dyDescent="0.25">
      <c r="D22" s="3" t="s">
        <v>23</v>
      </c>
      <c r="E22" s="11" t="s">
        <v>32</v>
      </c>
      <c r="F22" s="70"/>
    </row>
    <row r="23" spans="1:6" x14ac:dyDescent="0.25">
      <c r="D23" s="3" t="s">
        <v>39</v>
      </c>
      <c r="E23" s="11" t="s">
        <v>41</v>
      </c>
      <c r="F23" s="70"/>
    </row>
    <row r="24" spans="1:6" x14ac:dyDescent="0.25">
      <c r="D24" s="3" t="s">
        <v>64</v>
      </c>
      <c r="E24" s="11">
        <v>10</v>
      </c>
      <c r="F24" s="70"/>
    </row>
    <row r="25" spans="1:6" ht="15.75" thickBot="1" x14ac:dyDescent="0.3">
      <c r="D25" s="4" t="s">
        <v>65</v>
      </c>
      <c r="E25" s="12" t="s">
        <v>26</v>
      </c>
      <c r="F25" s="71"/>
    </row>
    <row r="26" spans="1:6" ht="15.75" thickBot="1" x14ac:dyDescent="0.3"/>
    <row r="27" spans="1:6" x14ac:dyDescent="0.25">
      <c r="D27" s="67" t="s">
        <v>5</v>
      </c>
      <c r="E27" s="68"/>
      <c r="F27" s="24" t="s">
        <v>48</v>
      </c>
    </row>
    <row r="28" spans="1:6" x14ac:dyDescent="0.25">
      <c r="D28" s="3" t="s">
        <v>55</v>
      </c>
      <c r="E28" s="11" t="s">
        <v>66</v>
      </c>
      <c r="F28" s="69"/>
    </row>
    <row r="29" spans="1:6" x14ac:dyDescent="0.25">
      <c r="D29" s="3" t="s">
        <v>23</v>
      </c>
      <c r="E29" s="11" t="s">
        <v>25</v>
      </c>
      <c r="F29" s="70"/>
    </row>
    <row r="30" spans="1:6" x14ac:dyDescent="0.25">
      <c r="D30" s="3" t="s">
        <v>39</v>
      </c>
      <c r="E30" s="11" t="s">
        <v>41</v>
      </c>
      <c r="F30" s="70"/>
    </row>
    <row r="31" spans="1:6" x14ac:dyDescent="0.25">
      <c r="D31" s="3" t="s">
        <v>64</v>
      </c>
      <c r="E31" s="11">
        <v>5</v>
      </c>
      <c r="F31" s="70"/>
    </row>
    <row r="32" spans="1:6" ht="15.75" thickBot="1" x14ac:dyDescent="0.3">
      <c r="D32" s="4" t="s">
        <v>65</v>
      </c>
      <c r="E32" s="12" t="s">
        <v>26</v>
      </c>
      <c r="F32" s="71"/>
    </row>
    <row r="33" spans="4:6" ht="15.75" thickBot="1" x14ac:dyDescent="0.3"/>
    <row r="34" spans="4:6" x14ac:dyDescent="0.25">
      <c r="D34" s="72" t="s">
        <v>157</v>
      </c>
      <c r="E34" s="73"/>
      <c r="F34" s="23" t="s">
        <v>48</v>
      </c>
    </row>
    <row r="35" spans="4:6" x14ac:dyDescent="0.25">
      <c r="D35" s="9" t="s">
        <v>67</v>
      </c>
      <c r="E35" s="19" t="s">
        <v>68</v>
      </c>
      <c r="F35" s="36"/>
    </row>
    <row r="36" spans="4:6" ht="15.75" thickBot="1" x14ac:dyDescent="0.3">
      <c r="D36" s="10" t="s">
        <v>69</v>
      </c>
      <c r="E36" s="20" t="s">
        <v>70</v>
      </c>
      <c r="F36" s="37"/>
    </row>
    <row r="37" spans="4:6" ht="15.75" thickBot="1" x14ac:dyDescent="0.3"/>
    <row r="38" spans="4:6" x14ac:dyDescent="0.25">
      <c r="D38" s="62" t="s">
        <v>8</v>
      </c>
      <c r="E38" s="63"/>
      <c r="F38" s="47" t="s">
        <v>48</v>
      </c>
    </row>
    <row r="39" spans="4:6" x14ac:dyDescent="0.25">
      <c r="D39" s="45" t="s">
        <v>88</v>
      </c>
      <c r="E39" s="46" t="s">
        <v>26</v>
      </c>
      <c r="F39" s="64"/>
    </row>
    <row r="40" spans="4:6" x14ac:dyDescent="0.25">
      <c r="D40" s="45" t="s">
        <v>89</v>
      </c>
      <c r="E40" s="49" t="s">
        <v>160</v>
      </c>
      <c r="F40" s="65"/>
    </row>
    <row r="41" spans="4:6" ht="30.75" thickBot="1" x14ac:dyDescent="0.3">
      <c r="D41" s="39" t="s">
        <v>91</v>
      </c>
      <c r="E41" s="48" t="s">
        <v>161</v>
      </c>
      <c r="F41" s="66"/>
    </row>
    <row r="42" spans="4:6" ht="15.75" thickBot="1" x14ac:dyDescent="0.3"/>
    <row r="43" spans="4:6" x14ac:dyDescent="0.25">
      <c r="D43" s="67" t="s">
        <v>5</v>
      </c>
      <c r="E43" s="68"/>
      <c r="F43" s="24" t="s">
        <v>48</v>
      </c>
    </row>
    <row r="44" spans="4:6" x14ac:dyDescent="0.25">
      <c r="D44" s="3" t="s">
        <v>55</v>
      </c>
      <c r="E44" s="11" t="s">
        <v>71</v>
      </c>
      <c r="F44" s="69"/>
    </row>
    <row r="45" spans="4:6" x14ac:dyDescent="0.25">
      <c r="D45" s="3" t="s">
        <v>23</v>
      </c>
      <c r="E45" s="11" t="s">
        <v>36</v>
      </c>
      <c r="F45" s="70"/>
    </row>
    <row r="46" spans="4:6" x14ac:dyDescent="0.25">
      <c r="D46" s="3" t="s">
        <v>39</v>
      </c>
      <c r="E46" s="11" t="s">
        <v>41</v>
      </c>
      <c r="F46" s="70"/>
    </row>
    <row r="47" spans="4:6" x14ac:dyDescent="0.25">
      <c r="D47" s="3" t="s">
        <v>64</v>
      </c>
      <c r="E47" s="11">
        <v>10</v>
      </c>
      <c r="F47" s="70"/>
    </row>
    <row r="48" spans="4:6" ht="15.75" thickBot="1" x14ac:dyDescent="0.3">
      <c r="D48" s="4" t="s">
        <v>65</v>
      </c>
      <c r="E48" s="12" t="s">
        <v>26</v>
      </c>
      <c r="F48" s="71"/>
    </row>
    <row r="49" spans="2:8" ht="15.75" thickBot="1" x14ac:dyDescent="0.3"/>
    <row r="50" spans="2:8" x14ac:dyDescent="0.25">
      <c r="D50" s="77" t="s">
        <v>72</v>
      </c>
      <c r="E50" s="78"/>
      <c r="F50" s="21" t="s">
        <v>48</v>
      </c>
    </row>
    <row r="51" spans="2:8" x14ac:dyDescent="0.25">
      <c r="D51" s="7" t="s">
        <v>73</v>
      </c>
      <c r="E51" s="16" t="s">
        <v>74</v>
      </c>
      <c r="F51" s="79"/>
    </row>
    <row r="52" spans="2:8" x14ac:dyDescent="0.25">
      <c r="D52" s="7" t="s">
        <v>75</v>
      </c>
      <c r="E52" s="16" t="str">
        <f>C56</f>
        <v>Annealing</v>
      </c>
      <c r="F52" s="80"/>
    </row>
    <row r="53" spans="2:8" ht="15.75" thickBot="1" x14ac:dyDescent="0.3">
      <c r="D53" s="8" t="s">
        <v>76</v>
      </c>
      <c r="E53" s="17" t="str">
        <f>G56</f>
        <v>Beads</v>
      </c>
      <c r="F53" s="81"/>
    </row>
    <row r="54" spans="2:8" ht="15.75" thickBot="1" x14ac:dyDescent="0.3"/>
    <row r="55" spans="2:8" x14ac:dyDescent="0.25">
      <c r="B55" s="62" t="s">
        <v>37</v>
      </c>
      <c r="C55" s="63"/>
      <c r="D55" s="25" t="s">
        <v>48</v>
      </c>
      <c r="F55" s="62" t="s">
        <v>37</v>
      </c>
      <c r="G55" s="63"/>
      <c r="H55" s="25" t="s">
        <v>48</v>
      </c>
    </row>
    <row r="56" spans="2:8" x14ac:dyDescent="0.25">
      <c r="B56" s="26" t="s">
        <v>49</v>
      </c>
      <c r="C56" s="29" t="s">
        <v>54</v>
      </c>
      <c r="D56" s="51"/>
      <c r="F56" s="26" t="s">
        <v>49</v>
      </c>
      <c r="G56" s="29" t="s">
        <v>319</v>
      </c>
      <c r="H56" s="51"/>
    </row>
    <row r="57" spans="2:8" ht="15.75" thickBot="1" x14ac:dyDescent="0.3">
      <c r="B57" s="1" t="s">
        <v>52</v>
      </c>
      <c r="C57" s="28" t="s">
        <v>3</v>
      </c>
      <c r="D57" s="52"/>
      <c r="F57" s="1" t="s">
        <v>52</v>
      </c>
      <c r="G57" s="28" t="s">
        <v>3</v>
      </c>
      <c r="H57" s="52"/>
    </row>
    <row r="58" spans="2:8" ht="15.75" thickBot="1" x14ac:dyDescent="0.3"/>
    <row r="59" spans="2:8" x14ac:dyDescent="0.25">
      <c r="B59" s="72" t="s">
        <v>10</v>
      </c>
      <c r="C59" s="73"/>
      <c r="D59" s="23" t="s">
        <v>48</v>
      </c>
      <c r="F59" s="67" t="s">
        <v>5</v>
      </c>
      <c r="G59" s="68"/>
      <c r="H59" s="24" t="s">
        <v>48</v>
      </c>
    </row>
    <row r="60" spans="2:8" x14ac:dyDescent="0.25">
      <c r="B60" s="9" t="s">
        <v>78</v>
      </c>
      <c r="C60" s="19">
        <v>37</v>
      </c>
      <c r="D60" s="74"/>
      <c r="F60" s="3" t="s">
        <v>55</v>
      </c>
      <c r="G60" s="11" t="s">
        <v>77</v>
      </c>
      <c r="H60" s="69"/>
    </row>
    <row r="61" spans="2:8" x14ac:dyDescent="0.25">
      <c r="B61" s="9" t="s">
        <v>79</v>
      </c>
      <c r="C61" s="19">
        <v>60</v>
      </c>
      <c r="D61" s="75"/>
      <c r="F61" s="3" t="s">
        <v>23</v>
      </c>
      <c r="G61" s="11" t="s">
        <v>25</v>
      </c>
      <c r="H61" s="70"/>
    </row>
    <row r="62" spans="2:8" ht="15.75" thickBot="1" x14ac:dyDescent="0.3">
      <c r="B62" s="10" t="s">
        <v>80</v>
      </c>
      <c r="C62" s="20">
        <v>0</v>
      </c>
      <c r="D62" s="76"/>
      <c r="F62" s="3" t="s">
        <v>39</v>
      </c>
      <c r="G62" s="11" t="s">
        <v>41</v>
      </c>
      <c r="H62" s="70"/>
    </row>
    <row r="63" spans="2:8" ht="15.75" thickBot="1" x14ac:dyDescent="0.3">
      <c r="F63" s="3" t="s">
        <v>64</v>
      </c>
      <c r="G63" s="11">
        <v>100</v>
      </c>
      <c r="H63" s="70"/>
    </row>
    <row r="64" spans="2:8" ht="15.75" thickBot="1" x14ac:dyDescent="0.3">
      <c r="B64" s="62" t="s">
        <v>327</v>
      </c>
      <c r="C64" s="63"/>
      <c r="D64" s="25" t="s">
        <v>48</v>
      </c>
      <c r="F64" s="4" t="s">
        <v>65</v>
      </c>
      <c r="G64" s="12" t="s">
        <v>26</v>
      </c>
      <c r="H64" s="71"/>
    </row>
    <row r="65" spans="1:8" ht="15.75" thickBot="1" x14ac:dyDescent="0.3">
      <c r="B65" s="88" t="s">
        <v>328</v>
      </c>
      <c r="C65" s="89" t="str">
        <f>G67</f>
        <v>Waste</v>
      </c>
      <c r="D65" s="90"/>
    </row>
    <row r="66" spans="1:8" ht="15.75" thickBot="1" x14ac:dyDescent="0.3">
      <c r="B66" s="91" t="s">
        <v>329</v>
      </c>
      <c r="C66" s="92" t="s">
        <v>28</v>
      </c>
      <c r="D66" s="93"/>
      <c r="F66" s="62" t="s">
        <v>37</v>
      </c>
      <c r="G66" s="63"/>
      <c r="H66" s="25" t="s">
        <v>48</v>
      </c>
    </row>
    <row r="67" spans="1:8" x14ac:dyDescent="0.25">
      <c r="B67" s="38"/>
      <c r="C67" s="38"/>
      <c r="D67" s="38"/>
      <c r="F67" s="26" t="s">
        <v>49</v>
      </c>
      <c r="G67" s="29" t="s">
        <v>330</v>
      </c>
      <c r="H67" s="51"/>
    </row>
    <row r="68" spans="1:8" ht="15.75" thickBot="1" x14ac:dyDescent="0.3">
      <c r="B68" s="38"/>
      <c r="C68" s="38"/>
      <c r="D68" s="38"/>
      <c r="F68" s="1" t="s">
        <v>52</v>
      </c>
      <c r="G68" s="28" t="s">
        <v>3</v>
      </c>
      <c r="H68" s="52"/>
    </row>
    <row r="69" spans="1:8" ht="15.75" thickBot="1" x14ac:dyDescent="0.3">
      <c r="A69" s="38"/>
      <c r="B69" s="38"/>
      <c r="C69" s="38"/>
      <c r="D69" s="38"/>
      <c r="E69" s="38"/>
    </row>
    <row r="70" spans="1:8" x14ac:dyDescent="0.25">
      <c r="A70" s="38"/>
      <c r="B70" s="38"/>
      <c r="C70" s="38"/>
      <c r="D70" s="38"/>
      <c r="E70" s="38"/>
      <c r="F70" s="53" t="s">
        <v>81</v>
      </c>
      <c r="G70" s="54"/>
      <c r="H70" s="35" t="s">
        <v>48</v>
      </c>
    </row>
    <row r="71" spans="1:8" x14ac:dyDescent="0.25">
      <c r="A71" s="38"/>
      <c r="B71" s="38"/>
      <c r="C71" s="38"/>
      <c r="D71" s="38"/>
      <c r="E71" s="38"/>
      <c r="F71" s="40" t="s">
        <v>158</v>
      </c>
      <c r="G71" s="18" t="str">
        <f>G$56</f>
        <v>Beads</v>
      </c>
      <c r="H71" s="55"/>
    </row>
    <row r="72" spans="1:8" x14ac:dyDescent="0.25">
      <c r="A72" s="38"/>
      <c r="B72" s="38"/>
      <c r="C72" s="38"/>
      <c r="D72" s="38"/>
      <c r="E72" s="38"/>
      <c r="F72" s="40" t="s">
        <v>82</v>
      </c>
      <c r="G72" s="18" t="s">
        <v>83</v>
      </c>
      <c r="H72" s="56"/>
    </row>
    <row r="73" spans="1:8" x14ac:dyDescent="0.25">
      <c r="A73" s="38"/>
      <c r="B73" s="38"/>
      <c r="C73" s="38"/>
      <c r="D73" s="38"/>
      <c r="F73" s="40" t="s">
        <v>159</v>
      </c>
      <c r="G73" s="18">
        <v>150</v>
      </c>
      <c r="H73" s="56"/>
    </row>
    <row r="74" spans="1:8" x14ac:dyDescent="0.25">
      <c r="A74" s="38"/>
      <c r="B74" s="38"/>
      <c r="C74" s="38"/>
      <c r="D74" s="38"/>
      <c r="F74" s="40" t="s">
        <v>84</v>
      </c>
      <c r="G74" s="18">
        <v>2</v>
      </c>
      <c r="H74" s="56"/>
    </row>
    <row r="75" spans="1:8" ht="15.75" thickBot="1" x14ac:dyDescent="0.3">
      <c r="A75" s="38"/>
      <c r="B75" s="38"/>
      <c r="C75" s="38"/>
      <c r="D75" s="38"/>
      <c r="F75" s="41" t="s">
        <v>96</v>
      </c>
      <c r="G75" s="43">
        <v>3</v>
      </c>
      <c r="H75" s="57"/>
    </row>
    <row r="76" spans="1:8" ht="15.75" thickBot="1" x14ac:dyDescent="0.3">
      <c r="B76" s="38"/>
      <c r="C76" s="38"/>
      <c r="D76" s="38"/>
    </row>
    <row r="77" spans="1:8" s="38" customFormat="1" x14ac:dyDescent="0.25">
      <c r="A77"/>
      <c r="F77" s="53" t="s">
        <v>81</v>
      </c>
      <c r="G77" s="54"/>
      <c r="H77" s="44" t="s">
        <v>48</v>
      </c>
    </row>
    <row r="78" spans="1:8" s="38" customFormat="1" x14ac:dyDescent="0.25">
      <c r="A78"/>
      <c r="F78" s="40" t="s">
        <v>158</v>
      </c>
      <c r="G78" s="42" t="str">
        <f>G$56</f>
        <v>Beads</v>
      </c>
      <c r="H78" s="55"/>
    </row>
    <row r="79" spans="1:8" s="38" customFormat="1" x14ac:dyDescent="0.25">
      <c r="A79"/>
      <c r="F79" s="40" t="s">
        <v>82</v>
      </c>
      <c r="G79" s="42" t="s">
        <v>85</v>
      </c>
      <c r="H79" s="56"/>
    </row>
    <row r="80" spans="1:8" s="38" customFormat="1" x14ac:dyDescent="0.25">
      <c r="F80" s="40" t="s">
        <v>159</v>
      </c>
      <c r="G80" s="42">
        <v>150</v>
      </c>
      <c r="H80" s="56"/>
    </row>
    <row r="81" spans="1:8" s="38" customFormat="1" x14ac:dyDescent="0.25">
      <c r="F81" s="40" t="s">
        <v>84</v>
      </c>
      <c r="G81" s="42">
        <v>2</v>
      </c>
      <c r="H81" s="56"/>
    </row>
    <row r="82" spans="1:8" s="38" customFormat="1" ht="15.75" thickBot="1" x14ac:dyDescent="0.3">
      <c r="F82" s="41" t="s">
        <v>96</v>
      </c>
      <c r="G82" s="43">
        <v>2</v>
      </c>
      <c r="H82" s="57"/>
    </row>
    <row r="83" spans="1:8" s="38" customFormat="1" ht="15.75" thickBot="1" x14ac:dyDescent="0.3"/>
    <row r="84" spans="1:8" x14ac:dyDescent="0.25">
      <c r="A84" s="38"/>
      <c r="B84" s="38"/>
      <c r="C84" s="38"/>
      <c r="D84" s="38"/>
      <c r="E84" s="38"/>
      <c r="F84" s="62" t="s">
        <v>327</v>
      </c>
      <c r="G84" s="63"/>
      <c r="H84" s="25" t="s">
        <v>48</v>
      </c>
    </row>
    <row r="85" spans="1:8" x14ac:dyDescent="0.25">
      <c r="A85" s="38"/>
      <c r="B85" s="38"/>
      <c r="C85" s="38"/>
      <c r="D85" s="38"/>
      <c r="E85" s="38"/>
      <c r="F85" s="88" t="s">
        <v>328</v>
      </c>
      <c r="G85" s="89" t="str">
        <f>C56</f>
        <v>Annealing</v>
      </c>
      <c r="H85" s="90"/>
    </row>
    <row r="86" spans="1:8" ht="15.75" thickBot="1" x14ac:dyDescent="0.3">
      <c r="A86" s="38"/>
      <c r="B86" s="38"/>
      <c r="C86" s="38"/>
      <c r="D86" s="38"/>
      <c r="E86" s="38"/>
      <c r="F86" s="91" t="s">
        <v>329</v>
      </c>
      <c r="G86" s="92" t="s">
        <v>26</v>
      </c>
      <c r="H86" s="93"/>
    </row>
    <row r="87" spans="1:8" ht="15.75" thickBot="1" x14ac:dyDescent="0.3">
      <c r="A87" s="38"/>
      <c r="B87" s="38"/>
      <c r="C87" s="38"/>
      <c r="D87" s="38"/>
      <c r="E87" s="38"/>
    </row>
    <row r="88" spans="1:8" s="38" customFormat="1" x14ac:dyDescent="0.25">
      <c r="F88" s="53" t="s">
        <v>81</v>
      </c>
      <c r="G88" s="54"/>
      <c r="H88" s="44" t="s">
        <v>48</v>
      </c>
    </row>
    <row r="89" spans="1:8" s="38" customFormat="1" x14ac:dyDescent="0.25">
      <c r="F89" s="40" t="s">
        <v>158</v>
      </c>
      <c r="G89" s="42" t="str">
        <f>G$56</f>
        <v>Beads</v>
      </c>
      <c r="H89" s="55"/>
    </row>
    <row r="90" spans="1:8" s="38" customFormat="1" x14ac:dyDescent="0.25">
      <c r="F90" s="40" t="s">
        <v>82</v>
      </c>
      <c r="G90" s="42" t="str">
        <f>C56</f>
        <v>Annealing</v>
      </c>
      <c r="H90" s="56"/>
    </row>
    <row r="91" spans="1:8" s="38" customFormat="1" x14ac:dyDescent="0.25">
      <c r="F91" s="40" t="s">
        <v>159</v>
      </c>
      <c r="G91" s="42">
        <v>100</v>
      </c>
      <c r="H91" s="56"/>
    </row>
    <row r="92" spans="1:8" s="38" customFormat="1" x14ac:dyDescent="0.25">
      <c r="F92" s="40" t="s">
        <v>84</v>
      </c>
      <c r="G92" s="42">
        <v>2</v>
      </c>
      <c r="H92" s="56"/>
    </row>
    <row r="93" spans="1:8" s="38" customFormat="1" ht="15.75" thickBot="1" x14ac:dyDescent="0.3">
      <c r="F93" s="41" t="s">
        <v>96</v>
      </c>
      <c r="G93" s="43">
        <v>1</v>
      </c>
      <c r="H93" s="57"/>
    </row>
    <row r="94" spans="1:8" s="38" customFormat="1" ht="15.75" thickBot="1" x14ac:dyDescent="0.3"/>
    <row r="95" spans="1:8" s="38" customFormat="1" x14ac:dyDescent="0.25">
      <c r="F95" s="72" t="s">
        <v>10</v>
      </c>
      <c r="G95" s="73"/>
      <c r="H95" s="23" t="s">
        <v>48</v>
      </c>
    </row>
    <row r="96" spans="1:8" s="38" customFormat="1" x14ac:dyDescent="0.25">
      <c r="F96" s="9" t="s">
        <v>78</v>
      </c>
      <c r="G96" s="19">
        <v>25</v>
      </c>
      <c r="H96" s="74"/>
    </row>
    <row r="97" spans="6:8" s="38" customFormat="1" x14ac:dyDescent="0.25">
      <c r="F97" s="9" t="s">
        <v>79</v>
      </c>
      <c r="G97" s="19">
        <v>30</v>
      </c>
      <c r="H97" s="75"/>
    </row>
    <row r="98" spans="6:8" s="38" customFormat="1" ht="15.75" thickBot="1" x14ac:dyDescent="0.3">
      <c r="F98" s="10" t="s">
        <v>80</v>
      </c>
      <c r="G98" s="20">
        <v>650</v>
      </c>
      <c r="H98" s="76"/>
    </row>
    <row r="99" spans="6:8" s="38" customFormat="1" ht="15.75" thickBot="1" x14ac:dyDescent="0.3">
      <c r="F99"/>
      <c r="G99"/>
      <c r="H99"/>
    </row>
    <row r="100" spans="6:8" s="38" customFormat="1" x14ac:dyDescent="0.25">
      <c r="F100" s="53" t="s">
        <v>81</v>
      </c>
      <c r="G100" s="54"/>
      <c r="H100" s="44" t="s">
        <v>48</v>
      </c>
    </row>
    <row r="101" spans="6:8" s="38" customFormat="1" x14ac:dyDescent="0.25">
      <c r="F101" s="40" t="s">
        <v>158</v>
      </c>
      <c r="G101" s="42" t="str">
        <f>G$56</f>
        <v>Beads</v>
      </c>
      <c r="H101" s="55"/>
    </row>
    <row r="102" spans="6:8" s="38" customFormat="1" x14ac:dyDescent="0.25">
      <c r="F102" s="40" t="s">
        <v>82</v>
      </c>
      <c r="G102" s="42" t="s">
        <v>83</v>
      </c>
      <c r="H102" s="56"/>
    </row>
    <row r="103" spans="6:8" s="38" customFormat="1" x14ac:dyDescent="0.25">
      <c r="F103" s="40" t="s">
        <v>159</v>
      </c>
      <c r="G103" s="42">
        <v>200</v>
      </c>
      <c r="H103" s="56"/>
    </row>
    <row r="104" spans="6:8" s="38" customFormat="1" x14ac:dyDescent="0.25">
      <c r="F104" s="40" t="s">
        <v>84</v>
      </c>
      <c r="G104" s="42">
        <v>2</v>
      </c>
      <c r="H104" s="56"/>
    </row>
    <row r="105" spans="6:8" s="38" customFormat="1" ht="15.75" thickBot="1" x14ac:dyDescent="0.3">
      <c r="F105" s="41" t="s">
        <v>96</v>
      </c>
      <c r="G105" s="43">
        <v>2</v>
      </c>
      <c r="H105" s="57"/>
    </row>
    <row r="106" spans="6:8" s="38" customFormat="1" ht="15.75" thickBot="1" x14ac:dyDescent="0.3"/>
    <row r="107" spans="6:8" s="38" customFormat="1" x14ac:dyDescent="0.25">
      <c r="F107" s="53" t="s">
        <v>81</v>
      </c>
      <c r="G107" s="54"/>
      <c r="H107" s="44" t="s">
        <v>48</v>
      </c>
    </row>
    <row r="108" spans="6:8" s="38" customFormat="1" x14ac:dyDescent="0.25">
      <c r="F108" s="40" t="s">
        <v>158</v>
      </c>
      <c r="G108" s="42" t="str">
        <f>G$56</f>
        <v>Beads</v>
      </c>
      <c r="H108" s="55"/>
    </row>
    <row r="109" spans="6:8" s="38" customFormat="1" x14ac:dyDescent="0.25">
      <c r="F109" s="40" t="s">
        <v>82</v>
      </c>
      <c r="G109" s="42" t="s">
        <v>57</v>
      </c>
      <c r="H109" s="56"/>
    </row>
    <row r="110" spans="6:8" s="38" customFormat="1" x14ac:dyDescent="0.25">
      <c r="F110" s="40" t="s">
        <v>159</v>
      </c>
      <c r="G110" s="42">
        <v>200</v>
      </c>
      <c r="H110" s="56"/>
    </row>
    <row r="111" spans="6:8" s="38" customFormat="1" x14ac:dyDescent="0.25">
      <c r="F111" s="40" t="s">
        <v>84</v>
      </c>
      <c r="G111" s="42">
        <v>2</v>
      </c>
      <c r="H111" s="56"/>
    </row>
    <row r="112" spans="6:8" s="38" customFormat="1" ht="15.75" thickBot="1" x14ac:dyDescent="0.3">
      <c r="F112" s="41" t="s">
        <v>96</v>
      </c>
      <c r="G112" s="43">
        <v>4</v>
      </c>
      <c r="H112" s="57"/>
    </row>
    <row r="113" spans="2:8" s="38" customFormat="1" ht="15.75" thickBot="1" x14ac:dyDescent="0.3"/>
    <row r="114" spans="2:8" s="38" customFormat="1" x14ac:dyDescent="0.25">
      <c r="F114" s="53" t="s">
        <v>81</v>
      </c>
      <c r="G114" s="54"/>
      <c r="H114" s="44" t="s">
        <v>48</v>
      </c>
    </row>
    <row r="115" spans="2:8" s="38" customFormat="1" x14ac:dyDescent="0.25">
      <c r="F115" s="40" t="s">
        <v>158</v>
      </c>
      <c r="G115" s="42" t="str">
        <f>G$56</f>
        <v>Beads</v>
      </c>
      <c r="H115" s="55"/>
    </row>
    <row r="116" spans="2:8" s="38" customFormat="1" x14ac:dyDescent="0.25">
      <c r="F116" s="40" t="s">
        <v>82</v>
      </c>
      <c r="G116" s="42" t="s">
        <v>86</v>
      </c>
      <c r="H116" s="56"/>
    </row>
    <row r="117" spans="2:8" s="38" customFormat="1" x14ac:dyDescent="0.25">
      <c r="F117" s="40" t="s">
        <v>159</v>
      </c>
      <c r="G117" s="42">
        <v>100</v>
      </c>
      <c r="H117" s="56"/>
    </row>
    <row r="118" spans="2:8" s="38" customFormat="1" x14ac:dyDescent="0.25">
      <c r="F118" s="40" t="s">
        <v>84</v>
      </c>
      <c r="G118" s="42">
        <v>2</v>
      </c>
      <c r="H118" s="56"/>
    </row>
    <row r="119" spans="2:8" s="38" customFormat="1" ht="15.75" thickBot="1" x14ac:dyDescent="0.3">
      <c r="F119" s="41" t="s">
        <v>96</v>
      </c>
      <c r="G119" s="43">
        <v>1</v>
      </c>
      <c r="H119" s="57"/>
    </row>
    <row r="120" spans="2:8" s="38" customFormat="1" ht="15.75" thickBot="1" x14ac:dyDescent="0.3">
      <c r="F120"/>
      <c r="G120"/>
      <c r="H120"/>
    </row>
    <row r="121" spans="2:8" s="38" customFormat="1" x14ac:dyDescent="0.25">
      <c r="F121" s="72" t="s">
        <v>10</v>
      </c>
      <c r="G121" s="73"/>
      <c r="H121" s="23" t="s">
        <v>48</v>
      </c>
    </row>
    <row r="122" spans="2:8" s="38" customFormat="1" x14ac:dyDescent="0.25">
      <c r="D122"/>
      <c r="F122" s="9" t="s">
        <v>78</v>
      </c>
      <c r="G122" s="19">
        <v>90</v>
      </c>
      <c r="H122" s="74"/>
    </row>
    <row r="123" spans="2:8" s="38" customFormat="1" x14ac:dyDescent="0.25">
      <c r="D123"/>
      <c r="F123" s="9" t="s">
        <v>79</v>
      </c>
      <c r="G123" s="19">
        <v>5</v>
      </c>
      <c r="H123" s="75"/>
    </row>
    <row r="124" spans="2:8" s="38" customFormat="1" ht="15.75" thickBot="1" x14ac:dyDescent="0.3">
      <c r="D124"/>
      <c r="F124" s="10" t="s">
        <v>80</v>
      </c>
      <c r="G124" s="20">
        <v>350</v>
      </c>
      <c r="H124" s="76"/>
    </row>
    <row r="125" spans="2:8" s="38" customFormat="1" ht="15.75" thickBot="1" x14ac:dyDescent="0.3">
      <c r="B125"/>
      <c r="C125"/>
      <c r="D125"/>
      <c r="F125"/>
      <c r="G125"/>
      <c r="H125"/>
    </row>
    <row r="126" spans="2:8" s="38" customFormat="1" x14ac:dyDescent="0.25">
      <c r="B126"/>
      <c r="C126"/>
      <c r="D126"/>
      <c r="F126" s="62" t="s">
        <v>37</v>
      </c>
      <c r="G126" s="63"/>
      <c r="H126" s="25" t="s">
        <v>48</v>
      </c>
    </row>
    <row r="127" spans="2:8" s="38" customFormat="1" x14ac:dyDescent="0.25">
      <c r="B127"/>
      <c r="C127"/>
      <c r="D127"/>
      <c r="F127" s="26" t="s">
        <v>49</v>
      </c>
      <c r="G127" s="29" t="s">
        <v>87</v>
      </c>
      <c r="H127" s="51"/>
    </row>
    <row r="128" spans="2:8" s="38" customFormat="1" ht="15.75" thickBot="1" x14ac:dyDescent="0.3">
      <c r="B128"/>
      <c r="C128"/>
      <c r="D128"/>
      <c r="F128" s="1" t="s">
        <v>52</v>
      </c>
      <c r="G128" s="28" t="s">
        <v>3</v>
      </c>
      <c r="H128" s="52"/>
    </row>
    <row r="129" spans="1:8" s="38" customFormat="1" ht="15.75" thickBot="1" x14ac:dyDescent="0.3">
      <c r="B129"/>
      <c r="C129"/>
      <c r="D129"/>
    </row>
    <row r="130" spans="1:8" s="38" customFormat="1" x14ac:dyDescent="0.25">
      <c r="B130"/>
      <c r="C130"/>
      <c r="D130"/>
      <c r="F130" s="53" t="s">
        <v>81</v>
      </c>
      <c r="G130" s="54"/>
      <c r="H130" s="44" t="s">
        <v>48</v>
      </c>
    </row>
    <row r="131" spans="1:8" s="38" customFormat="1" x14ac:dyDescent="0.25">
      <c r="B131"/>
      <c r="C131"/>
      <c r="D131"/>
      <c r="F131" s="40" t="s">
        <v>158</v>
      </c>
      <c r="G131" s="42" t="str">
        <f>G$56</f>
        <v>Beads</v>
      </c>
      <c r="H131" s="55"/>
    </row>
    <row r="132" spans="1:8" s="38" customFormat="1" x14ac:dyDescent="0.25">
      <c r="B132"/>
      <c r="C132"/>
      <c r="D132"/>
      <c r="F132" s="40" t="s">
        <v>82</v>
      </c>
      <c r="G132" s="42" t="s">
        <v>162</v>
      </c>
      <c r="H132" s="56"/>
    </row>
    <row r="133" spans="1:8" s="38" customFormat="1" x14ac:dyDescent="0.25">
      <c r="B133"/>
      <c r="C133"/>
      <c r="D133"/>
      <c r="F133" s="40" t="s">
        <v>159</v>
      </c>
      <c r="G133" s="42">
        <v>0</v>
      </c>
      <c r="H133" s="56"/>
    </row>
    <row r="134" spans="1:8" s="38" customFormat="1" x14ac:dyDescent="0.25">
      <c r="B134"/>
      <c r="C134"/>
      <c r="D134"/>
      <c r="F134" s="40" t="s">
        <v>84</v>
      </c>
      <c r="G134" s="42">
        <v>2</v>
      </c>
      <c r="H134" s="56"/>
    </row>
    <row r="135" spans="1:8" s="38" customFormat="1" ht="15.75" thickBot="1" x14ac:dyDescent="0.3">
      <c r="B135"/>
      <c r="C135"/>
      <c r="D135"/>
      <c r="F135" s="41" t="s">
        <v>96</v>
      </c>
      <c r="G135" s="43">
        <v>1</v>
      </c>
      <c r="H135" s="57"/>
    </row>
    <row r="136" spans="1:8" s="38" customFormat="1" ht="15.75" thickBot="1" x14ac:dyDescent="0.3">
      <c r="B136"/>
      <c r="C136"/>
      <c r="D136"/>
      <c r="F136"/>
      <c r="G136"/>
      <c r="H136"/>
    </row>
    <row r="137" spans="1:8" s="38" customFormat="1" x14ac:dyDescent="0.25">
      <c r="B137"/>
      <c r="C137"/>
      <c r="D137"/>
      <c r="F137" s="67" t="s">
        <v>5</v>
      </c>
      <c r="G137" s="68"/>
      <c r="H137" s="24" t="s">
        <v>48</v>
      </c>
    </row>
    <row r="138" spans="1:8" s="38" customFormat="1" x14ac:dyDescent="0.25">
      <c r="B138"/>
      <c r="C138"/>
      <c r="D138"/>
      <c r="F138" s="3" t="s">
        <v>55</v>
      </c>
      <c r="G138" s="11" t="s">
        <v>322</v>
      </c>
      <c r="H138" s="69"/>
    </row>
    <row r="139" spans="1:8" s="38" customFormat="1" x14ac:dyDescent="0.25">
      <c r="B139"/>
      <c r="C139"/>
      <c r="D139"/>
      <c r="E139"/>
      <c r="F139" s="3" t="s">
        <v>23</v>
      </c>
      <c r="G139" s="11" t="s">
        <v>25</v>
      </c>
      <c r="H139" s="70"/>
    </row>
    <row r="140" spans="1:8" s="38" customFormat="1" x14ac:dyDescent="0.25">
      <c r="B140"/>
      <c r="C140"/>
      <c r="D140"/>
      <c r="E140"/>
      <c r="F140" s="3" t="s">
        <v>39</v>
      </c>
      <c r="G140" s="11" t="s">
        <v>41</v>
      </c>
      <c r="H140" s="70"/>
    </row>
    <row r="141" spans="1:8" s="38" customFormat="1" x14ac:dyDescent="0.25">
      <c r="B141"/>
      <c r="C141"/>
      <c r="D141"/>
      <c r="E141"/>
      <c r="F141" s="3" t="s">
        <v>64</v>
      </c>
      <c r="G141" s="11" t="str">
        <f>Worklist!E1</f>
        <v>Spike Volume</v>
      </c>
      <c r="H141" s="70"/>
    </row>
    <row r="142" spans="1:8" s="38" customFormat="1" ht="15.75" thickBot="1" x14ac:dyDescent="0.3">
      <c r="A142"/>
      <c r="B142"/>
      <c r="C142"/>
      <c r="D142"/>
      <c r="E142"/>
      <c r="F142" s="4" t="s">
        <v>65</v>
      </c>
      <c r="G142" s="12" t="s">
        <v>26</v>
      </c>
      <c r="H142" s="71"/>
    </row>
    <row r="143" spans="1:8" s="38" customFormat="1" ht="15.75" thickBot="1" x14ac:dyDescent="0.3">
      <c r="A143"/>
      <c r="B143"/>
      <c r="C143"/>
      <c r="D143"/>
      <c r="E143"/>
    </row>
    <row r="144" spans="1:8" s="38" customFormat="1" x14ac:dyDescent="0.25">
      <c r="A144"/>
      <c r="B144"/>
      <c r="C144"/>
      <c r="D144"/>
      <c r="E144"/>
      <c r="F144" s="62" t="s">
        <v>8</v>
      </c>
      <c r="G144" s="63"/>
      <c r="H144" s="31" t="s">
        <v>48</v>
      </c>
    </row>
    <row r="145" spans="1:8" s="38" customFormat="1" x14ac:dyDescent="0.25">
      <c r="A145"/>
      <c r="B145"/>
      <c r="C145"/>
      <c r="D145"/>
      <c r="E145"/>
      <c r="F145" s="26" t="s">
        <v>88</v>
      </c>
      <c r="G145" s="27" t="s">
        <v>28</v>
      </c>
      <c r="H145" s="64"/>
    </row>
    <row r="146" spans="1:8" s="38" customFormat="1" x14ac:dyDescent="0.25">
      <c r="A146"/>
      <c r="B146"/>
      <c r="C146"/>
      <c r="D146"/>
      <c r="E146"/>
      <c r="F146" s="26" t="s">
        <v>89</v>
      </c>
      <c r="G146" s="34" t="s">
        <v>90</v>
      </c>
      <c r="H146" s="65"/>
    </row>
    <row r="147" spans="1:8" s="38" customFormat="1" ht="15.75" thickBot="1" x14ac:dyDescent="0.3">
      <c r="A147"/>
      <c r="B147"/>
      <c r="C147"/>
      <c r="D147"/>
      <c r="E147"/>
      <c r="F147" s="1" t="s">
        <v>91</v>
      </c>
      <c r="G147" s="33" t="s">
        <v>92</v>
      </c>
      <c r="H147" s="66"/>
    </row>
    <row r="148" spans="1:8" s="38" customFormat="1" ht="15.75" thickBot="1" x14ac:dyDescent="0.3">
      <c r="A148"/>
      <c r="B148"/>
      <c r="C148"/>
      <c r="D148"/>
      <c r="E148"/>
      <c r="F148"/>
      <c r="G148"/>
      <c r="H148"/>
    </row>
    <row r="149" spans="1:8" s="38" customFormat="1" x14ac:dyDescent="0.25">
      <c r="A149"/>
      <c r="B149"/>
      <c r="C149"/>
      <c r="D149"/>
      <c r="E149"/>
      <c r="F149" s="62" t="s">
        <v>93</v>
      </c>
      <c r="G149" s="63"/>
      <c r="H149" s="25" t="s">
        <v>48</v>
      </c>
    </row>
    <row r="150" spans="1:8" x14ac:dyDescent="0.25">
      <c r="F150" s="58"/>
      <c r="G150" s="59"/>
      <c r="H150" s="51"/>
    </row>
    <row r="151" spans="1:8" ht="15.75" thickBot="1" x14ac:dyDescent="0.3">
      <c r="F151" s="60"/>
      <c r="G151" s="61"/>
      <c r="H151" s="52"/>
    </row>
  </sheetData>
  <mergeCells count="59">
    <mergeCell ref="D38:E38"/>
    <mergeCell ref="F77:G77"/>
    <mergeCell ref="H78:H82"/>
    <mergeCell ref="F88:G88"/>
    <mergeCell ref="H89:H93"/>
    <mergeCell ref="F66:G66"/>
    <mergeCell ref="H67:H68"/>
    <mergeCell ref="H71:H75"/>
    <mergeCell ref="F39:F41"/>
    <mergeCell ref="H56:H57"/>
    <mergeCell ref="D43:E43"/>
    <mergeCell ref="F44:F48"/>
    <mergeCell ref="F84:G84"/>
    <mergeCell ref="H85:H86"/>
    <mergeCell ref="H60:H64"/>
    <mergeCell ref="D8:E8"/>
    <mergeCell ref="F9:F10"/>
    <mergeCell ref="D12:E12"/>
    <mergeCell ref="F13:F18"/>
    <mergeCell ref="D2:E2"/>
    <mergeCell ref="F3:F4"/>
    <mergeCell ref="D6:E6"/>
    <mergeCell ref="D20:E20"/>
    <mergeCell ref="F21:F25"/>
    <mergeCell ref="D27:E27"/>
    <mergeCell ref="F28:F32"/>
    <mergeCell ref="D34:E34"/>
    <mergeCell ref="B59:C59"/>
    <mergeCell ref="D60:D62"/>
    <mergeCell ref="D50:E50"/>
    <mergeCell ref="F51:F53"/>
    <mergeCell ref="B55:C55"/>
    <mergeCell ref="D56:D57"/>
    <mergeCell ref="F55:G55"/>
    <mergeCell ref="F59:G59"/>
    <mergeCell ref="F70:G70"/>
    <mergeCell ref="B64:C64"/>
    <mergeCell ref="D65:D66"/>
    <mergeCell ref="F95:G95"/>
    <mergeCell ref="H96:H98"/>
    <mergeCell ref="F100:G100"/>
    <mergeCell ref="H101:H105"/>
    <mergeCell ref="F107:G107"/>
    <mergeCell ref="H108:H112"/>
    <mergeCell ref="F114:G114"/>
    <mergeCell ref="H115:H119"/>
    <mergeCell ref="F121:G121"/>
    <mergeCell ref="H122:H124"/>
    <mergeCell ref="F126:G126"/>
    <mergeCell ref="H127:H128"/>
    <mergeCell ref="F130:G130"/>
    <mergeCell ref="H131:H135"/>
    <mergeCell ref="F150:G151"/>
    <mergeCell ref="H150:H151"/>
    <mergeCell ref="F144:G144"/>
    <mergeCell ref="H145:H147"/>
    <mergeCell ref="F149:G149"/>
    <mergeCell ref="F137:G137"/>
    <mergeCell ref="H138:H14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TestMethod">
                <anchor moveWithCells="1">
                  <from>
                    <xdr:col>0</xdr:col>
                    <xdr:colOff>104775</xdr:colOff>
                    <xdr:row>0</xdr:row>
                    <xdr:rowOff>123825</xdr:rowOff>
                  </from>
                  <to>
                    <xdr:col>1</xdr:col>
                    <xdr:colOff>971550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eneratePrepSheet">
                <anchor moveWithCells="1">
                  <from>
                    <xdr:col>0</xdr:col>
                    <xdr:colOff>85725</xdr:colOff>
                    <xdr:row>6</xdr:row>
                    <xdr:rowOff>66675</xdr:rowOff>
                  </from>
                  <to>
                    <xdr:col>1</xdr:col>
                    <xdr:colOff>962025</xdr:colOff>
                    <xdr:row>11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'___Dropdown values'!$B$4:$B$6</xm:f>
          </x14:formula1>
          <xm:sqref>E4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3"/>
  <sheetViews>
    <sheetView workbookViewId="0">
      <selection activeCell="F1" sqref="F1:F1048576"/>
    </sheetView>
  </sheetViews>
  <sheetFormatPr defaultRowHeight="15" x14ac:dyDescent="0.25"/>
  <cols>
    <col min="1" max="1" width="9" bestFit="1" customWidth="1"/>
    <col min="2" max="2" width="11.140625" bestFit="1" customWidth="1"/>
    <col min="3" max="3" width="29.42578125" bestFit="1" customWidth="1"/>
    <col min="4" max="4" width="21.42578125" bestFit="1" customWidth="1"/>
    <col min="5" max="5" width="17.85546875" customWidth="1"/>
  </cols>
  <sheetData>
    <row r="1" spans="1:5" x14ac:dyDescent="0.25">
      <c r="A1" t="s">
        <v>94</v>
      </c>
      <c r="B1" t="s">
        <v>95</v>
      </c>
      <c r="C1" t="s">
        <v>58</v>
      </c>
      <c r="D1" t="s">
        <v>324</v>
      </c>
      <c r="E1" t="s">
        <v>323</v>
      </c>
    </row>
    <row r="2" spans="1:5" x14ac:dyDescent="0.25">
      <c r="A2">
        <f t="shared" ref="A2:A3" si="0">ROW(A1)</f>
        <v>1</v>
      </c>
      <c r="B2" t="s">
        <v>325</v>
      </c>
      <c r="C2">
        <v>10</v>
      </c>
      <c r="D2" t="s">
        <v>26</v>
      </c>
      <c r="E2">
        <f>IF(D2="Yes",10,0)</f>
        <v>10</v>
      </c>
    </row>
    <row r="3" spans="1:5" x14ac:dyDescent="0.25">
      <c r="A3">
        <f t="shared" si="0"/>
        <v>2</v>
      </c>
      <c r="B3" t="s">
        <v>326</v>
      </c>
      <c r="C3">
        <v>15</v>
      </c>
      <c r="D3" t="s">
        <v>28</v>
      </c>
      <c r="E3" s="38">
        <f t="shared" ref="E3" si="1">IF(D3="Yes",10,0)</f>
        <v>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A833E5-50A2-4C09-849D-174153CD4D64}">
  <dimension ref="B3:F2517"/>
  <sheetViews>
    <sheetView workbookViewId="0"/>
  </sheetViews>
  <sheetFormatPr defaultRowHeight="15" x14ac:dyDescent="0.25"/>
  <sheetData>
    <row r="3" spans="4:5" x14ac:dyDescent="0.25">
      <c r="D3" t="s">
        <v>97</v>
      </c>
      <c r="E3" t="s">
        <v>98</v>
      </c>
    </row>
    <row r="4" spans="4:5" x14ac:dyDescent="0.25">
      <c r="D4" t="s">
        <v>99</v>
      </c>
      <c r="E4" t="s">
        <v>100</v>
      </c>
    </row>
    <row r="5" spans="4:5" x14ac:dyDescent="0.25">
      <c r="D5" t="s">
        <v>101</v>
      </c>
      <c r="E5" t="s">
        <v>54</v>
      </c>
    </row>
    <row r="6" spans="4:5" x14ac:dyDescent="0.25">
      <c r="D6" t="s">
        <v>102</v>
      </c>
      <c r="E6">
        <v>37</v>
      </c>
    </row>
    <row r="7" spans="4:5" x14ac:dyDescent="0.25">
      <c r="D7" t="s">
        <v>103</v>
      </c>
      <c r="E7">
        <v>0</v>
      </c>
    </row>
    <row r="9" spans="4:5" x14ac:dyDescent="0.25">
      <c r="D9" t="s">
        <v>97</v>
      </c>
      <c r="E9" t="s">
        <v>98</v>
      </c>
    </row>
    <row r="10" spans="4:5" x14ac:dyDescent="0.25">
      <c r="D10" t="s">
        <v>99</v>
      </c>
      <c r="E10" t="s">
        <v>100</v>
      </c>
    </row>
    <row r="11" spans="4:5" x14ac:dyDescent="0.25">
      <c r="D11" t="s">
        <v>101</v>
      </c>
      <c r="E11" t="s">
        <v>330</v>
      </c>
    </row>
    <row r="12" spans="4:5" x14ac:dyDescent="0.25">
      <c r="D12" t="s">
        <v>102</v>
      </c>
      <c r="E12">
        <v>25</v>
      </c>
    </row>
    <row r="13" spans="4:5" x14ac:dyDescent="0.25">
      <c r="D13" t="s">
        <v>103</v>
      </c>
      <c r="E13">
        <v>650</v>
      </c>
    </row>
    <row r="18" spans="2:3" x14ac:dyDescent="0.25">
      <c r="B18" t="s">
        <v>104</v>
      </c>
    </row>
    <row r="19" spans="2:3" x14ac:dyDescent="0.25">
      <c r="B19" t="s">
        <v>105</v>
      </c>
    </row>
    <row r="20" spans="2:3" x14ac:dyDescent="0.25">
      <c r="B20" t="s">
        <v>106</v>
      </c>
    </row>
    <row r="21" spans="2:3" x14ac:dyDescent="0.25">
      <c r="B21" t="s">
        <v>107</v>
      </c>
    </row>
    <row r="23" spans="2:3" x14ac:dyDescent="0.25">
      <c r="C23" t="s">
        <v>108</v>
      </c>
    </row>
    <row r="28" spans="2:3" x14ac:dyDescent="0.25">
      <c r="B28" t="s">
        <v>109</v>
      </c>
    </row>
    <row r="29" spans="2:3" x14ac:dyDescent="0.25">
      <c r="B29" t="s">
        <v>110</v>
      </c>
    </row>
    <row r="30" spans="2:3" x14ac:dyDescent="0.25">
      <c r="B30" t="s">
        <v>111</v>
      </c>
    </row>
    <row r="31" spans="2:3" x14ac:dyDescent="0.25">
      <c r="B31" t="s">
        <v>112</v>
      </c>
    </row>
    <row r="32" spans="2:3" x14ac:dyDescent="0.25">
      <c r="B32" t="s">
        <v>113</v>
      </c>
    </row>
    <row r="33" spans="2:6" x14ac:dyDescent="0.25">
      <c r="B33" t="s">
        <v>114</v>
      </c>
    </row>
    <row r="34" spans="2:6" x14ac:dyDescent="0.25">
      <c r="B34" t="s">
        <v>115</v>
      </c>
    </row>
    <row r="35" spans="2:6" x14ac:dyDescent="0.25">
      <c r="B35" t="s">
        <v>116</v>
      </c>
    </row>
    <row r="37" spans="2:6" x14ac:dyDescent="0.25">
      <c r="C37" t="s">
        <v>108</v>
      </c>
    </row>
    <row r="39" spans="2:6" x14ac:dyDescent="0.25">
      <c r="D39" t="s">
        <v>97</v>
      </c>
      <c r="E39" t="s">
        <v>117</v>
      </c>
    </row>
    <row r="40" spans="2:6" x14ac:dyDescent="0.25">
      <c r="D40" t="s">
        <v>99</v>
      </c>
      <c r="E40" t="s">
        <v>118</v>
      </c>
    </row>
    <row r="41" spans="2:6" x14ac:dyDescent="0.25">
      <c r="D41" t="s">
        <v>119</v>
      </c>
      <c r="E41">
        <v>79.445396000000002</v>
      </c>
      <c r="F41">
        <v>81.296930666666597</v>
      </c>
    </row>
    <row r="42" spans="2:6" x14ac:dyDescent="0.25">
      <c r="D42" t="s">
        <v>120</v>
      </c>
      <c r="E42" t="s">
        <v>121</v>
      </c>
      <c r="F42" t="s">
        <v>122</v>
      </c>
    </row>
    <row r="43" spans="2:6" x14ac:dyDescent="0.25">
      <c r="D43" t="s">
        <v>123</v>
      </c>
    </row>
    <row r="45" spans="2:6" x14ac:dyDescent="0.25">
      <c r="D45" t="s">
        <v>97</v>
      </c>
      <c r="E45" t="s">
        <v>117</v>
      </c>
    </row>
    <row r="46" spans="2:6" x14ac:dyDescent="0.25">
      <c r="D46" t="s">
        <v>99</v>
      </c>
      <c r="E46" t="s">
        <v>124</v>
      </c>
    </row>
    <row r="47" spans="2:6" x14ac:dyDescent="0.25">
      <c r="D47" t="s">
        <v>119</v>
      </c>
      <c r="E47">
        <v>79.445396000000002</v>
      </c>
      <c r="F47">
        <v>81.296930666666597</v>
      </c>
    </row>
    <row r="48" spans="2:6" x14ac:dyDescent="0.25">
      <c r="D48" t="s">
        <v>125</v>
      </c>
    </row>
    <row r="50" spans="4:6" x14ac:dyDescent="0.25">
      <c r="D50" t="s">
        <v>97</v>
      </c>
      <c r="E50" t="s">
        <v>117</v>
      </c>
    </row>
    <row r="51" spans="4:6" x14ac:dyDescent="0.25">
      <c r="D51" t="s">
        <v>99</v>
      </c>
      <c r="E51" t="s">
        <v>118</v>
      </c>
    </row>
    <row r="52" spans="4:6" x14ac:dyDescent="0.25">
      <c r="D52" t="s">
        <v>119</v>
      </c>
      <c r="E52">
        <v>5.5546040000000003</v>
      </c>
      <c r="F52">
        <v>3.70306933333333</v>
      </c>
    </row>
    <row r="53" spans="4:6" x14ac:dyDescent="0.25">
      <c r="D53" t="s">
        <v>120</v>
      </c>
      <c r="E53" t="s">
        <v>121</v>
      </c>
      <c r="F53" t="s">
        <v>122</v>
      </c>
    </row>
    <row r="54" spans="4:6" x14ac:dyDescent="0.25">
      <c r="D54" t="s">
        <v>136</v>
      </c>
    </row>
    <row r="56" spans="4:6" x14ac:dyDescent="0.25">
      <c r="D56" t="s">
        <v>97</v>
      </c>
      <c r="E56" t="s">
        <v>117</v>
      </c>
    </row>
    <row r="57" spans="4:6" x14ac:dyDescent="0.25">
      <c r="D57" t="s">
        <v>99</v>
      </c>
      <c r="E57" t="s">
        <v>124</v>
      </c>
    </row>
    <row r="58" spans="4:6" x14ac:dyDescent="0.25">
      <c r="D58" t="s">
        <v>119</v>
      </c>
      <c r="E58">
        <v>5.5546040000000003</v>
      </c>
      <c r="F58">
        <v>3.70306933333333</v>
      </c>
    </row>
    <row r="59" spans="4:6" x14ac:dyDescent="0.25">
      <c r="D59" t="s">
        <v>137</v>
      </c>
    </row>
    <row r="61" spans="4:6" x14ac:dyDescent="0.25">
      <c r="D61" t="s">
        <v>97</v>
      </c>
      <c r="E61" t="s">
        <v>117</v>
      </c>
    </row>
    <row r="62" spans="4:6" x14ac:dyDescent="0.25">
      <c r="D62" t="s">
        <v>99</v>
      </c>
      <c r="E62" t="s">
        <v>126</v>
      </c>
    </row>
    <row r="63" spans="4:6" x14ac:dyDescent="0.25">
      <c r="D63" t="s">
        <v>127</v>
      </c>
      <c r="E63" t="s">
        <v>54</v>
      </c>
      <c r="F63" t="s">
        <v>54</v>
      </c>
    </row>
    <row r="64" spans="4:6" x14ac:dyDescent="0.25">
      <c r="D64" t="s">
        <v>128</v>
      </c>
      <c r="E64">
        <v>1</v>
      </c>
      <c r="F64">
        <v>2</v>
      </c>
    </row>
    <row r="65" spans="4:6" x14ac:dyDescent="0.25">
      <c r="D65" t="s">
        <v>129</v>
      </c>
      <c r="E65" t="s">
        <v>57</v>
      </c>
      <c r="F65" t="s">
        <v>57</v>
      </c>
    </row>
    <row r="66" spans="4:6" x14ac:dyDescent="0.25">
      <c r="D66" t="s">
        <v>130</v>
      </c>
      <c r="E66">
        <v>1</v>
      </c>
      <c r="F66">
        <v>2</v>
      </c>
    </row>
    <row r="67" spans="4:6" x14ac:dyDescent="0.25">
      <c r="D67" t="s">
        <v>119</v>
      </c>
      <c r="E67">
        <v>79.445396000000002</v>
      </c>
      <c r="F67">
        <v>81.296930666666597</v>
      </c>
    </row>
    <row r="68" spans="4:6" x14ac:dyDescent="0.25">
      <c r="D68" t="s">
        <v>131</v>
      </c>
      <c r="E68">
        <v>0</v>
      </c>
      <c r="F68">
        <v>0</v>
      </c>
    </row>
    <row r="69" spans="4:6" x14ac:dyDescent="0.25">
      <c r="D69" t="s">
        <v>132</v>
      </c>
      <c r="E69" t="s">
        <v>28</v>
      </c>
      <c r="F69" t="s">
        <v>28</v>
      </c>
    </row>
    <row r="70" spans="4:6" x14ac:dyDescent="0.25">
      <c r="D70" t="s">
        <v>133</v>
      </c>
    </row>
    <row r="71" spans="4:6" x14ac:dyDescent="0.25">
      <c r="D71" t="s">
        <v>134</v>
      </c>
    </row>
    <row r="72" spans="4:6" x14ac:dyDescent="0.25">
      <c r="D72" t="s">
        <v>331</v>
      </c>
      <c r="E72">
        <v>0</v>
      </c>
    </row>
    <row r="73" spans="4:6" x14ac:dyDescent="0.25">
      <c r="D73" t="s">
        <v>135</v>
      </c>
      <c r="E73" t="s">
        <v>208</v>
      </c>
    </row>
    <row r="74" spans="4:6" x14ac:dyDescent="0.25">
      <c r="D74" t="s">
        <v>138</v>
      </c>
    </row>
    <row r="76" spans="4:6" x14ac:dyDescent="0.25">
      <c r="D76" t="s">
        <v>97</v>
      </c>
      <c r="E76" t="s">
        <v>117</v>
      </c>
    </row>
    <row r="77" spans="4:6" x14ac:dyDescent="0.25">
      <c r="D77" t="s">
        <v>99</v>
      </c>
      <c r="E77" t="s">
        <v>126</v>
      </c>
    </row>
    <row r="78" spans="4:6" x14ac:dyDescent="0.25">
      <c r="D78" t="s">
        <v>127</v>
      </c>
      <c r="E78" t="s">
        <v>54</v>
      </c>
      <c r="F78" t="s">
        <v>54</v>
      </c>
    </row>
    <row r="79" spans="4:6" x14ac:dyDescent="0.25">
      <c r="D79" t="s">
        <v>128</v>
      </c>
      <c r="E79">
        <v>1</v>
      </c>
      <c r="F79">
        <v>2</v>
      </c>
    </row>
    <row r="80" spans="4:6" x14ac:dyDescent="0.25">
      <c r="D80" t="s">
        <v>129</v>
      </c>
      <c r="E80" t="s">
        <v>50</v>
      </c>
      <c r="F80" t="s">
        <v>50</v>
      </c>
    </row>
    <row r="81" spans="2:6" x14ac:dyDescent="0.25">
      <c r="D81" t="s">
        <v>130</v>
      </c>
      <c r="E81">
        <v>1</v>
      </c>
      <c r="F81">
        <v>2</v>
      </c>
    </row>
    <row r="82" spans="2:6" x14ac:dyDescent="0.25">
      <c r="D82" t="s">
        <v>119</v>
      </c>
      <c r="E82">
        <v>5.5546040000000003</v>
      </c>
      <c r="F82">
        <v>3.70306933333333</v>
      </c>
    </row>
    <row r="83" spans="2:6" x14ac:dyDescent="0.25">
      <c r="D83" t="s">
        <v>131</v>
      </c>
      <c r="E83">
        <v>79.445396000000002</v>
      </c>
      <c r="F83">
        <v>81.296930666666597</v>
      </c>
    </row>
    <row r="84" spans="2:6" x14ac:dyDescent="0.25">
      <c r="D84" t="s">
        <v>132</v>
      </c>
      <c r="E84" t="s">
        <v>26</v>
      </c>
      <c r="F84" t="s">
        <v>26</v>
      </c>
    </row>
    <row r="85" spans="2:6" x14ac:dyDescent="0.25">
      <c r="D85" t="s">
        <v>133</v>
      </c>
    </row>
    <row r="86" spans="2:6" x14ac:dyDescent="0.25">
      <c r="D86" t="s">
        <v>134</v>
      </c>
    </row>
    <row r="87" spans="2:6" x14ac:dyDescent="0.25">
      <c r="D87" t="s">
        <v>331</v>
      </c>
      <c r="E87">
        <v>0</v>
      </c>
    </row>
    <row r="88" spans="2:6" x14ac:dyDescent="0.25">
      <c r="D88" t="s">
        <v>135</v>
      </c>
      <c r="E88" t="s">
        <v>208</v>
      </c>
    </row>
    <row r="89" spans="2:6" x14ac:dyDescent="0.25">
      <c r="D89" t="s">
        <v>139</v>
      </c>
    </row>
    <row r="94" spans="2:6" x14ac:dyDescent="0.25">
      <c r="B94" t="s">
        <v>140</v>
      </c>
    </row>
    <row r="95" spans="2:6" x14ac:dyDescent="0.25">
      <c r="B95" t="s">
        <v>141</v>
      </c>
    </row>
    <row r="96" spans="2:6" x14ac:dyDescent="0.25">
      <c r="B96" t="s">
        <v>142</v>
      </c>
    </row>
    <row r="97" spans="2:6" x14ac:dyDescent="0.25">
      <c r="B97" t="s">
        <v>143</v>
      </c>
    </row>
    <row r="98" spans="2:6" x14ac:dyDescent="0.25">
      <c r="B98" t="s">
        <v>144</v>
      </c>
    </row>
    <row r="99" spans="2:6" x14ac:dyDescent="0.25">
      <c r="B99" t="s">
        <v>145</v>
      </c>
    </row>
    <row r="100" spans="2:6" x14ac:dyDescent="0.25">
      <c r="B100" t="s">
        <v>146</v>
      </c>
    </row>
    <row r="102" spans="2:6" x14ac:dyDescent="0.25">
      <c r="C102" t="s">
        <v>108</v>
      </c>
    </row>
    <row r="104" spans="2:6" x14ac:dyDescent="0.25">
      <c r="D104" t="s">
        <v>97</v>
      </c>
      <c r="E104" t="s">
        <v>117</v>
      </c>
    </row>
    <row r="105" spans="2:6" x14ac:dyDescent="0.25">
      <c r="D105" t="s">
        <v>99</v>
      </c>
      <c r="E105" t="s">
        <v>118</v>
      </c>
    </row>
    <row r="106" spans="2:6" x14ac:dyDescent="0.25">
      <c r="D106" t="s">
        <v>119</v>
      </c>
      <c r="E106">
        <v>10</v>
      </c>
      <c r="F106">
        <v>10</v>
      </c>
    </row>
    <row r="107" spans="2:6" x14ac:dyDescent="0.25">
      <c r="D107" t="s">
        <v>120</v>
      </c>
      <c r="E107" t="s">
        <v>121</v>
      </c>
      <c r="F107" t="s">
        <v>122</v>
      </c>
    </row>
    <row r="108" spans="2:6" x14ac:dyDescent="0.25">
      <c r="D108" t="s">
        <v>147</v>
      </c>
    </row>
    <row r="110" spans="2:6" x14ac:dyDescent="0.25">
      <c r="D110" t="s">
        <v>97</v>
      </c>
      <c r="E110" t="s">
        <v>117</v>
      </c>
    </row>
    <row r="111" spans="2:6" x14ac:dyDescent="0.25">
      <c r="D111" t="s">
        <v>99</v>
      </c>
      <c r="E111" t="s">
        <v>124</v>
      </c>
    </row>
    <row r="112" spans="2:6" x14ac:dyDescent="0.25">
      <c r="D112" t="s">
        <v>119</v>
      </c>
      <c r="E112">
        <v>10</v>
      </c>
      <c r="F112">
        <v>10</v>
      </c>
    </row>
    <row r="113" spans="4:6" x14ac:dyDescent="0.25">
      <c r="D113" t="s">
        <v>148</v>
      </c>
    </row>
    <row r="115" spans="4:6" x14ac:dyDescent="0.25">
      <c r="D115" t="s">
        <v>97</v>
      </c>
      <c r="E115" t="s">
        <v>117</v>
      </c>
    </row>
    <row r="116" spans="4:6" x14ac:dyDescent="0.25">
      <c r="D116" t="s">
        <v>99</v>
      </c>
      <c r="E116" t="s">
        <v>126</v>
      </c>
    </row>
    <row r="117" spans="4:6" x14ac:dyDescent="0.25">
      <c r="D117" t="s">
        <v>127</v>
      </c>
      <c r="E117" t="s">
        <v>54</v>
      </c>
      <c r="F117" t="s">
        <v>54</v>
      </c>
    </row>
    <row r="118" spans="4:6" x14ac:dyDescent="0.25">
      <c r="D118" t="s">
        <v>128</v>
      </c>
      <c r="E118">
        <v>1</v>
      </c>
      <c r="F118">
        <v>2</v>
      </c>
    </row>
    <row r="119" spans="4:6" x14ac:dyDescent="0.25">
      <c r="D119" t="s">
        <v>129</v>
      </c>
      <c r="E119" t="s">
        <v>63</v>
      </c>
      <c r="F119" t="s">
        <v>63</v>
      </c>
    </row>
    <row r="120" spans="4:6" x14ac:dyDescent="0.25">
      <c r="D120" t="s">
        <v>130</v>
      </c>
      <c r="E120">
        <v>1</v>
      </c>
      <c r="F120">
        <v>2</v>
      </c>
    </row>
    <row r="121" spans="4:6" x14ac:dyDescent="0.25">
      <c r="D121" t="s">
        <v>119</v>
      </c>
      <c r="E121">
        <v>10</v>
      </c>
      <c r="F121">
        <v>10</v>
      </c>
    </row>
    <row r="122" spans="4:6" x14ac:dyDescent="0.25">
      <c r="D122" t="s">
        <v>131</v>
      </c>
      <c r="E122">
        <v>85</v>
      </c>
      <c r="F122">
        <v>85</v>
      </c>
    </row>
    <row r="123" spans="4:6" x14ac:dyDescent="0.25">
      <c r="D123" t="s">
        <v>132</v>
      </c>
      <c r="E123" t="s">
        <v>26</v>
      </c>
      <c r="F123" t="s">
        <v>26</v>
      </c>
    </row>
    <row r="124" spans="4:6" x14ac:dyDescent="0.25">
      <c r="D124" t="s">
        <v>133</v>
      </c>
    </row>
    <row r="125" spans="4:6" x14ac:dyDescent="0.25">
      <c r="D125" t="s">
        <v>134</v>
      </c>
    </row>
    <row r="126" spans="4:6" x14ac:dyDescent="0.25">
      <c r="D126" t="s">
        <v>331</v>
      </c>
      <c r="E126">
        <v>0</v>
      </c>
    </row>
    <row r="127" spans="4:6" x14ac:dyDescent="0.25">
      <c r="D127" t="s">
        <v>135</v>
      </c>
      <c r="E127" t="s">
        <v>208</v>
      </c>
    </row>
    <row r="128" spans="4:6" x14ac:dyDescent="0.25">
      <c r="D128" t="s">
        <v>149</v>
      </c>
    </row>
    <row r="133" spans="2:5" x14ac:dyDescent="0.25">
      <c r="B133" t="s">
        <v>140</v>
      </c>
    </row>
    <row r="134" spans="2:5" x14ac:dyDescent="0.25">
      <c r="B134" t="s">
        <v>150</v>
      </c>
    </row>
    <row r="135" spans="2:5" x14ac:dyDescent="0.25">
      <c r="B135" t="s">
        <v>151</v>
      </c>
    </row>
    <row r="136" spans="2:5" x14ac:dyDescent="0.25">
      <c r="B136" t="s">
        <v>152</v>
      </c>
    </row>
    <row r="137" spans="2:5" x14ac:dyDescent="0.25">
      <c r="B137" t="s">
        <v>144</v>
      </c>
    </row>
    <row r="138" spans="2:5" x14ac:dyDescent="0.25">
      <c r="B138" t="s">
        <v>153</v>
      </c>
    </row>
    <row r="139" spans="2:5" x14ac:dyDescent="0.25">
      <c r="B139" t="s">
        <v>146</v>
      </c>
    </row>
    <row r="141" spans="2:5" x14ac:dyDescent="0.25">
      <c r="C141" t="s">
        <v>108</v>
      </c>
    </row>
    <row r="143" spans="2:5" x14ac:dyDescent="0.25">
      <c r="D143" t="s">
        <v>97</v>
      </c>
      <c r="E143" t="s">
        <v>117</v>
      </c>
    </row>
    <row r="144" spans="2:5" x14ac:dyDescent="0.25">
      <c r="D144" t="s">
        <v>99</v>
      </c>
      <c r="E144" t="s">
        <v>118</v>
      </c>
    </row>
    <row r="145" spans="4:6" x14ac:dyDescent="0.25">
      <c r="D145" t="s">
        <v>119</v>
      </c>
      <c r="E145">
        <v>5</v>
      </c>
      <c r="F145">
        <v>5</v>
      </c>
    </row>
    <row r="146" spans="4:6" x14ac:dyDescent="0.25">
      <c r="D146" t="s">
        <v>120</v>
      </c>
      <c r="E146" t="s">
        <v>121</v>
      </c>
      <c r="F146" t="s">
        <v>122</v>
      </c>
    </row>
    <row r="147" spans="4:6" x14ac:dyDescent="0.25">
      <c r="D147" t="s">
        <v>154</v>
      </c>
    </row>
    <row r="149" spans="4:6" x14ac:dyDescent="0.25">
      <c r="D149" t="s">
        <v>97</v>
      </c>
      <c r="E149" t="s">
        <v>117</v>
      </c>
    </row>
    <row r="150" spans="4:6" x14ac:dyDescent="0.25">
      <c r="D150" t="s">
        <v>99</v>
      </c>
      <c r="E150" t="s">
        <v>124</v>
      </c>
    </row>
    <row r="151" spans="4:6" x14ac:dyDescent="0.25">
      <c r="D151" t="s">
        <v>119</v>
      </c>
      <c r="E151">
        <v>5</v>
      </c>
      <c r="F151">
        <v>5</v>
      </c>
    </row>
    <row r="152" spans="4:6" x14ac:dyDescent="0.25">
      <c r="D152" t="s">
        <v>155</v>
      </c>
    </row>
    <row r="154" spans="4:6" x14ac:dyDescent="0.25">
      <c r="D154" t="s">
        <v>97</v>
      </c>
      <c r="E154" t="s">
        <v>117</v>
      </c>
    </row>
    <row r="155" spans="4:6" x14ac:dyDescent="0.25">
      <c r="D155" t="s">
        <v>99</v>
      </c>
      <c r="E155" t="s">
        <v>126</v>
      </c>
    </row>
    <row r="156" spans="4:6" x14ac:dyDescent="0.25">
      <c r="D156" t="s">
        <v>127</v>
      </c>
      <c r="E156" t="s">
        <v>54</v>
      </c>
      <c r="F156" t="s">
        <v>54</v>
      </c>
    </row>
    <row r="157" spans="4:6" x14ac:dyDescent="0.25">
      <c r="D157" t="s">
        <v>128</v>
      </c>
      <c r="E157">
        <v>1</v>
      </c>
      <c r="F157">
        <v>2</v>
      </c>
    </row>
    <row r="158" spans="4:6" x14ac:dyDescent="0.25">
      <c r="D158" t="s">
        <v>129</v>
      </c>
      <c r="E158" t="s">
        <v>66</v>
      </c>
      <c r="F158" t="s">
        <v>66</v>
      </c>
    </row>
    <row r="159" spans="4:6" x14ac:dyDescent="0.25">
      <c r="D159" t="s">
        <v>130</v>
      </c>
      <c r="E159">
        <v>1</v>
      </c>
      <c r="F159">
        <v>2</v>
      </c>
    </row>
    <row r="160" spans="4:6" x14ac:dyDescent="0.25">
      <c r="D160" t="s">
        <v>119</v>
      </c>
      <c r="E160">
        <v>5</v>
      </c>
      <c r="F160">
        <v>5</v>
      </c>
    </row>
    <row r="161" spans="2:6" x14ac:dyDescent="0.25">
      <c r="D161" t="s">
        <v>131</v>
      </c>
      <c r="E161">
        <v>95</v>
      </c>
      <c r="F161">
        <v>95</v>
      </c>
    </row>
    <row r="162" spans="2:6" x14ac:dyDescent="0.25">
      <c r="D162" t="s">
        <v>132</v>
      </c>
      <c r="E162" t="s">
        <v>26</v>
      </c>
      <c r="F162" t="s">
        <v>26</v>
      </c>
    </row>
    <row r="163" spans="2:6" x14ac:dyDescent="0.25">
      <c r="D163" t="s">
        <v>133</v>
      </c>
    </row>
    <row r="164" spans="2:6" x14ac:dyDescent="0.25">
      <c r="D164" t="s">
        <v>134</v>
      </c>
    </row>
    <row r="165" spans="2:6" x14ac:dyDescent="0.25">
      <c r="D165" t="s">
        <v>331</v>
      </c>
      <c r="E165">
        <v>0</v>
      </c>
    </row>
    <row r="166" spans="2:6" x14ac:dyDescent="0.25">
      <c r="D166" t="s">
        <v>135</v>
      </c>
      <c r="E166" t="s">
        <v>208</v>
      </c>
    </row>
    <row r="167" spans="2:6" x14ac:dyDescent="0.25">
      <c r="D167" t="s">
        <v>156</v>
      </c>
    </row>
    <row r="172" spans="2:6" x14ac:dyDescent="0.25">
      <c r="B172" t="s">
        <v>163</v>
      </c>
    </row>
    <row r="173" spans="2:6" x14ac:dyDescent="0.25">
      <c r="B173" t="s">
        <v>164</v>
      </c>
    </row>
    <row r="174" spans="2:6" x14ac:dyDescent="0.25">
      <c r="B174" t="s">
        <v>165</v>
      </c>
    </row>
    <row r="175" spans="2:6" x14ac:dyDescent="0.25">
      <c r="B175" t="s">
        <v>166</v>
      </c>
    </row>
    <row r="176" spans="2:6" x14ac:dyDescent="0.25">
      <c r="B176" t="s">
        <v>167</v>
      </c>
    </row>
    <row r="178" spans="2:3" x14ac:dyDescent="0.25">
      <c r="C178" t="s">
        <v>108</v>
      </c>
    </row>
    <row r="183" spans="2:3" x14ac:dyDescent="0.25">
      <c r="B183" t="s">
        <v>140</v>
      </c>
    </row>
    <row r="184" spans="2:3" x14ac:dyDescent="0.25">
      <c r="B184" t="s">
        <v>168</v>
      </c>
    </row>
    <row r="185" spans="2:3" x14ac:dyDescent="0.25">
      <c r="B185" t="s">
        <v>169</v>
      </c>
    </row>
    <row r="186" spans="2:3" x14ac:dyDescent="0.25">
      <c r="B186" t="s">
        <v>170</v>
      </c>
    </row>
    <row r="187" spans="2:3" x14ac:dyDescent="0.25">
      <c r="B187" t="s">
        <v>144</v>
      </c>
    </row>
    <row r="188" spans="2:3" x14ac:dyDescent="0.25">
      <c r="B188" t="s">
        <v>145</v>
      </c>
    </row>
    <row r="189" spans="2:3" x14ac:dyDescent="0.25">
      <c r="B189" t="s">
        <v>146</v>
      </c>
    </row>
    <row r="191" spans="2:3" x14ac:dyDescent="0.25">
      <c r="C191" t="s">
        <v>108</v>
      </c>
    </row>
    <row r="193" spans="4:6" x14ac:dyDescent="0.25">
      <c r="D193" t="s">
        <v>97</v>
      </c>
      <c r="E193" t="s">
        <v>117</v>
      </c>
    </row>
    <row r="194" spans="4:6" x14ac:dyDescent="0.25">
      <c r="D194" t="s">
        <v>99</v>
      </c>
      <c r="E194" t="s">
        <v>118</v>
      </c>
    </row>
    <row r="195" spans="4:6" x14ac:dyDescent="0.25">
      <c r="D195" t="s">
        <v>119</v>
      </c>
      <c r="E195">
        <v>10</v>
      </c>
      <c r="F195">
        <v>10</v>
      </c>
    </row>
    <row r="196" spans="4:6" x14ac:dyDescent="0.25">
      <c r="D196" t="s">
        <v>120</v>
      </c>
      <c r="E196" t="s">
        <v>121</v>
      </c>
      <c r="F196" t="s">
        <v>122</v>
      </c>
    </row>
    <row r="197" spans="4:6" x14ac:dyDescent="0.25">
      <c r="D197" t="s">
        <v>171</v>
      </c>
    </row>
    <row r="199" spans="4:6" x14ac:dyDescent="0.25">
      <c r="D199" t="s">
        <v>97</v>
      </c>
      <c r="E199" t="s">
        <v>117</v>
      </c>
    </row>
    <row r="200" spans="4:6" x14ac:dyDescent="0.25">
      <c r="D200" t="s">
        <v>99</v>
      </c>
      <c r="E200" t="s">
        <v>124</v>
      </c>
    </row>
    <row r="201" spans="4:6" x14ac:dyDescent="0.25">
      <c r="D201" t="s">
        <v>119</v>
      </c>
      <c r="E201">
        <v>10</v>
      </c>
      <c r="F201">
        <v>10</v>
      </c>
    </row>
    <row r="202" spans="4:6" x14ac:dyDescent="0.25">
      <c r="D202" t="s">
        <v>172</v>
      </c>
    </row>
    <row r="204" spans="4:6" x14ac:dyDescent="0.25">
      <c r="D204" t="s">
        <v>97</v>
      </c>
      <c r="E204" t="s">
        <v>117</v>
      </c>
    </row>
    <row r="205" spans="4:6" x14ac:dyDescent="0.25">
      <c r="D205" t="s">
        <v>99</v>
      </c>
      <c r="E205" t="s">
        <v>126</v>
      </c>
    </row>
    <row r="206" spans="4:6" x14ac:dyDescent="0.25">
      <c r="D206" t="s">
        <v>127</v>
      </c>
      <c r="E206" t="s">
        <v>54</v>
      </c>
      <c r="F206" t="s">
        <v>54</v>
      </c>
    </row>
    <row r="207" spans="4:6" x14ac:dyDescent="0.25">
      <c r="D207" t="s">
        <v>128</v>
      </c>
      <c r="E207">
        <v>1</v>
      </c>
      <c r="F207">
        <v>2</v>
      </c>
    </row>
    <row r="208" spans="4:6" x14ac:dyDescent="0.25">
      <c r="D208" t="s">
        <v>129</v>
      </c>
      <c r="E208" t="s">
        <v>71</v>
      </c>
      <c r="F208" t="s">
        <v>71</v>
      </c>
    </row>
    <row r="209" spans="2:6" x14ac:dyDescent="0.25">
      <c r="D209" t="s">
        <v>130</v>
      </c>
      <c r="E209">
        <v>1</v>
      </c>
      <c r="F209">
        <v>2</v>
      </c>
    </row>
    <row r="210" spans="2:6" x14ac:dyDescent="0.25">
      <c r="D210" t="s">
        <v>119</v>
      </c>
      <c r="E210">
        <v>10</v>
      </c>
      <c r="F210">
        <v>10</v>
      </c>
    </row>
    <row r="211" spans="2:6" x14ac:dyDescent="0.25">
      <c r="D211" t="s">
        <v>131</v>
      </c>
      <c r="E211">
        <v>100</v>
      </c>
      <c r="F211">
        <v>100</v>
      </c>
    </row>
    <row r="212" spans="2:6" x14ac:dyDescent="0.25">
      <c r="D212" t="s">
        <v>132</v>
      </c>
      <c r="E212" t="s">
        <v>26</v>
      </c>
      <c r="F212" t="s">
        <v>26</v>
      </c>
    </row>
    <row r="213" spans="2:6" x14ac:dyDescent="0.25">
      <c r="D213" t="s">
        <v>133</v>
      </c>
    </row>
    <row r="214" spans="2:6" x14ac:dyDescent="0.25">
      <c r="D214" t="s">
        <v>134</v>
      </c>
    </row>
    <row r="215" spans="2:6" x14ac:dyDescent="0.25">
      <c r="D215" t="s">
        <v>331</v>
      </c>
      <c r="E215">
        <v>0</v>
      </c>
    </row>
    <row r="216" spans="2:6" x14ac:dyDescent="0.25">
      <c r="D216" t="s">
        <v>135</v>
      </c>
      <c r="E216" t="s">
        <v>208</v>
      </c>
    </row>
    <row r="217" spans="2:6" x14ac:dyDescent="0.25">
      <c r="D217" t="s">
        <v>173</v>
      </c>
    </row>
    <row r="222" spans="2:6" x14ac:dyDescent="0.25">
      <c r="B222" t="s">
        <v>174</v>
      </c>
    </row>
    <row r="223" spans="2:6" x14ac:dyDescent="0.25">
      <c r="B223" t="s">
        <v>175</v>
      </c>
    </row>
    <row r="224" spans="2:6" x14ac:dyDescent="0.25">
      <c r="B224" t="s">
        <v>176</v>
      </c>
    </row>
    <row r="225" spans="2:3" x14ac:dyDescent="0.25">
      <c r="B225" t="s">
        <v>177</v>
      </c>
    </row>
    <row r="226" spans="2:3" x14ac:dyDescent="0.25">
      <c r="B226" t="s">
        <v>320</v>
      </c>
    </row>
    <row r="228" spans="2:3" x14ac:dyDescent="0.25">
      <c r="C228" t="s">
        <v>108</v>
      </c>
    </row>
    <row r="233" spans="2:3" x14ac:dyDescent="0.25">
      <c r="B233" t="s">
        <v>178</v>
      </c>
    </row>
    <row r="234" spans="2:3" x14ac:dyDescent="0.25">
      <c r="B234" t="s">
        <v>179</v>
      </c>
    </row>
    <row r="235" spans="2:3" x14ac:dyDescent="0.25">
      <c r="B235" t="s">
        <v>180</v>
      </c>
    </row>
    <row r="236" spans="2:3" x14ac:dyDescent="0.25">
      <c r="B236" t="s">
        <v>181</v>
      </c>
    </row>
    <row r="237" spans="2:3" x14ac:dyDescent="0.25">
      <c r="B237" t="s">
        <v>182</v>
      </c>
    </row>
    <row r="239" spans="2:3" x14ac:dyDescent="0.25">
      <c r="C239" t="s">
        <v>108</v>
      </c>
    </row>
    <row r="241" spans="4:5" x14ac:dyDescent="0.25">
      <c r="D241" t="s">
        <v>97</v>
      </c>
      <c r="E241" t="s">
        <v>183</v>
      </c>
    </row>
    <row r="242" spans="4:5" x14ac:dyDescent="0.25">
      <c r="D242" t="s">
        <v>99</v>
      </c>
      <c r="E242" t="s">
        <v>184</v>
      </c>
    </row>
    <row r="243" spans="4:5" x14ac:dyDescent="0.25">
      <c r="D243" t="s">
        <v>185</v>
      </c>
      <c r="E243" t="s">
        <v>186</v>
      </c>
    </row>
    <row r="244" spans="4:5" x14ac:dyDescent="0.25">
      <c r="D244" t="s">
        <v>187</v>
      </c>
    </row>
    <row r="246" spans="4:5" x14ac:dyDescent="0.25">
      <c r="D246" t="s">
        <v>97</v>
      </c>
      <c r="E246" t="s">
        <v>183</v>
      </c>
    </row>
    <row r="247" spans="4:5" x14ac:dyDescent="0.25">
      <c r="D247" t="s">
        <v>99</v>
      </c>
      <c r="E247" t="s">
        <v>188</v>
      </c>
    </row>
    <row r="248" spans="4:5" x14ac:dyDescent="0.25">
      <c r="D248" t="s">
        <v>185</v>
      </c>
      <c r="E248" t="s">
        <v>186</v>
      </c>
    </row>
    <row r="249" spans="4:5" x14ac:dyDescent="0.25">
      <c r="D249" t="s">
        <v>189</v>
      </c>
    </row>
    <row r="251" spans="4:5" x14ac:dyDescent="0.25">
      <c r="D251" t="s">
        <v>97</v>
      </c>
      <c r="E251" t="s">
        <v>98</v>
      </c>
    </row>
    <row r="252" spans="4:5" x14ac:dyDescent="0.25">
      <c r="D252" t="s">
        <v>99</v>
      </c>
      <c r="E252" t="s">
        <v>190</v>
      </c>
    </row>
    <row r="253" spans="4:5" x14ac:dyDescent="0.25">
      <c r="D253" t="s">
        <v>101</v>
      </c>
      <c r="E253" t="s">
        <v>186</v>
      </c>
    </row>
    <row r="254" spans="4:5" x14ac:dyDescent="0.25">
      <c r="D254" t="s">
        <v>191</v>
      </c>
    </row>
    <row r="256" spans="4:5" x14ac:dyDescent="0.25">
      <c r="D256" t="s">
        <v>97</v>
      </c>
      <c r="E256" t="s">
        <v>98</v>
      </c>
    </row>
    <row r="257" spans="4:5" x14ac:dyDescent="0.25">
      <c r="D257" t="s">
        <v>99</v>
      </c>
      <c r="E257" t="s">
        <v>332</v>
      </c>
    </row>
    <row r="258" spans="4:5" x14ac:dyDescent="0.25">
      <c r="D258" t="s">
        <v>101</v>
      </c>
      <c r="E258" t="s">
        <v>186</v>
      </c>
    </row>
    <row r="259" spans="4:5" x14ac:dyDescent="0.25">
      <c r="D259" t="s">
        <v>192</v>
      </c>
    </row>
    <row r="261" spans="4:5" x14ac:dyDescent="0.25">
      <c r="D261" t="s">
        <v>97</v>
      </c>
      <c r="E261" t="s">
        <v>193</v>
      </c>
    </row>
    <row r="262" spans="4:5" x14ac:dyDescent="0.25">
      <c r="D262" t="s">
        <v>99</v>
      </c>
      <c r="E262" t="s">
        <v>100</v>
      </c>
    </row>
    <row r="263" spans="4:5" x14ac:dyDescent="0.25">
      <c r="D263" t="s">
        <v>101</v>
      </c>
      <c r="E263" t="s">
        <v>186</v>
      </c>
    </row>
    <row r="264" spans="4:5" x14ac:dyDescent="0.25">
      <c r="D264" t="s">
        <v>194</v>
      </c>
    </row>
    <row r="266" spans="4:5" x14ac:dyDescent="0.25">
      <c r="D266" t="s">
        <v>97</v>
      </c>
      <c r="E266" t="s">
        <v>193</v>
      </c>
    </row>
    <row r="267" spans="4:5" x14ac:dyDescent="0.25">
      <c r="D267" t="s">
        <v>99</v>
      </c>
      <c r="E267" t="s">
        <v>195</v>
      </c>
    </row>
    <row r="268" spans="4:5" x14ac:dyDescent="0.25">
      <c r="D268" t="s">
        <v>101</v>
      </c>
      <c r="E268" t="s">
        <v>186</v>
      </c>
    </row>
    <row r="269" spans="4:5" x14ac:dyDescent="0.25">
      <c r="D269" t="s">
        <v>196</v>
      </c>
    </row>
    <row r="271" spans="4:5" x14ac:dyDescent="0.25">
      <c r="D271" t="s">
        <v>97</v>
      </c>
      <c r="E271" t="s">
        <v>193</v>
      </c>
    </row>
    <row r="272" spans="4:5" x14ac:dyDescent="0.25">
      <c r="D272" t="s">
        <v>99</v>
      </c>
      <c r="E272" t="s">
        <v>333</v>
      </c>
    </row>
    <row r="273" spans="4:5" x14ac:dyDescent="0.25">
      <c r="D273" t="s">
        <v>101</v>
      </c>
      <c r="E273" t="s">
        <v>186</v>
      </c>
    </row>
    <row r="274" spans="4:5" x14ac:dyDescent="0.25">
      <c r="D274" t="s">
        <v>197</v>
      </c>
    </row>
    <row r="276" spans="4:5" x14ac:dyDescent="0.25">
      <c r="D276" t="s">
        <v>97</v>
      </c>
      <c r="E276" t="s">
        <v>98</v>
      </c>
    </row>
    <row r="277" spans="4:5" x14ac:dyDescent="0.25">
      <c r="D277" t="s">
        <v>99</v>
      </c>
      <c r="E277" t="s">
        <v>195</v>
      </c>
    </row>
    <row r="278" spans="4:5" x14ac:dyDescent="0.25">
      <c r="D278" t="s">
        <v>101</v>
      </c>
      <c r="E278" t="s">
        <v>186</v>
      </c>
    </row>
    <row r="279" spans="4:5" x14ac:dyDescent="0.25">
      <c r="D279" t="s">
        <v>198</v>
      </c>
    </row>
    <row r="281" spans="4:5" x14ac:dyDescent="0.25">
      <c r="D281" t="s">
        <v>97</v>
      </c>
      <c r="E281" t="s">
        <v>98</v>
      </c>
    </row>
    <row r="282" spans="4:5" x14ac:dyDescent="0.25">
      <c r="D282" t="s">
        <v>99</v>
      </c>
      <c r="E282" t="s">
        <v>333</v>
      </c>
    </row>
    <row r="283" spans="4:5" x14ac:dyDescent="0.25">
      <c r="D283" t="s">
        <v>101</v>
      </c>
      <c r="E283" t="s">
        <v>186</v>
      </c>
    </row>
    <row r="284" spans="4:5" x14ac:dyDescent="0.25">
      <c r="D284" t="s">
        <v>199</v>
      </c>
    </row>
    <row r="286" spans="4:5" x14ac:dyDescent="0.25">
      <c r="D286" t="s">
        <v>97</v>
      </c>
      <c r="E286" t="s">
        <v>200</v>
      </c>
    </row>
    <row r="287" spans="4:5" x14ac:dyDescent="0.25">
      <c r="D287" t="s">
        <v>99</v>
      </c>
      <c r="E287" t="s">
        <v>201</v>
      </c>
    </row>
    <row r="288" spans="4:5" x14ac:dyDescent="0.25">
      <c r="D288" t="s">
        <v>202</v>
      </c>
    </row>
    <row r="289" spans="4:5" x14ac:dyDescent="0.25">
      <c r="D289" t="s">
        <v>203</v>
      </c>
    </row>
    <row r="290" spans="4:5" x14ac:dyDescent="0.25">
      <c r="D290" t="s">
        <v>204</v>
      </c>
    </row>
    <row r="291" spans="4:5" x14ac:dyDescent="0.25">
      <c r="D291" t="s">
        <v>205</v>
      </c>
    </row>
    <row r="292" spans="4:5" x14ac:dyDescent="0.25">
      <c r="D292" t="s">
        <v>206</v>
      </c>
      <c r="E292" t="b">
        <v>0</v>
      </c>
    </row>
    <row r="293" spans="4:5" x14ac:dyDescent="0.25">
      <c r="D293" t="s">
        <v>207</v>
      </c>
      <c r="E293" t="s">
        <v>208</v>
      </c>
    </row>
    <row r="294" spans="4:5" x14ac:dyDescent="0.25">
      <c r="D294" t="s">
        <v>209</v>
      </c>
    </row>
    <row r="296" spans="4:5" x14ac:dyDescent="0.25">
      <c r="D296" t="s">
        <v>97</v>
      </c>
      <c r="E296" t="s">
        <v>200</v>
      </c>
    </row>
    <row r="297" spans="4:5" x14ac:dyDescent="0.25">
      <c r="D297" t="s">
        <v>99</v>
      </c>
      <c r="E297" t="s">
        <v>201</v>
      </c>
    </row>
    <row r="298" spans="4:5" x14ac:dyDescent="0.25">
      <c r="D298" t="s">
        <v>202</v>
      </c>
    </row>
    <row r="299" spans="4:5" x14ac:dyDescent="0.25">
      <c r="D299" t="s">
        <v>203</v>
      </c>
    </row>
    <row r="300" spans="4:5" x14ac:dyDescent="0.25">
      <c r="D300" t="s">
        <v>204</v>
      </c>
    </row>
    <row r="301" spans="4:5" x14ac:dyDescent="0.25">
      <c r="D301" t="s">
        <v>205</v>
      </c>
    </row>
    <row r="302" spans="4:5" x14ac:dyDescent="0.25">
      <c r="D302" t="s">
        <v>206</v>
      </c>
      <c r="E302" t="b">
        <v>1</v>
      </c>
    </row>
    <row r="303" spans="4:5" x14ac:dyDescent="0.25">
      <c r="D303" t="s">
        <v>207</v>
      </c>
      <c r="E303" t="s">
        <v>208</v>
      </c>
    </row>
    <row r="304" spans="4:5" x14ac:dyDescent="0.25">
      <c r="D304" t="s">
        <v>210</v>
      </c>
    </row>
    <row r="306" spans="2:5" x14ac:dyDescent="0.25">
      <c r="D306" t="s">
        <v>97</v>
      </c>
      <c r="E306" t="s">
        <v>98</v>
      </c>
    </row>
    <row r="307" spans="2:5" x14ac:dyDescent="0.25">
      <c r="D307" t="s">
        <v>99</v>
      </c>
      <c r="E307" t="s">
        <v>211</v>
      </c>
    </row>
    <row r="308" spans="2:5" x14ac:dyDescent="0.25">
      <c r="D308" t="s">
        <v>101</v>
      </c>
      <c r="E308" t="s">
        <v>54</v>
      </c>
    </row>
    <row r="309" spans="2:5" x14ac:dyDescent="0.25">
      <c r="D309" t="s">
        <v>102</v>
      </c>
      <c r="E309">
        <v>37</v>
      </c>
    </row>
    <row r="310" spans="2:5" x14ac:dyDescent="0.25">
      <c r="D310" t="s">
        <v>103</v>
      </c>
      <c r="E310">
        <v>0</v>
      </c>
    </row>
    <row r="311" spans="2:5" x14ac:dyDescent="0.25">
      <c r="D311" t="s">
        <v>212</v>
      </c>
    </row>
    <row r="316" spans="2:5" x14ac:dyDescent="0.25">
      <c r="B316" t="s">
        <v>140</v>
      </c>
    </row>
    <row r="317" spans="2:5" x14ac:dyDescent="0.25">
      <c r="B317" t="s">
        <v>213</v>
      </c>
    </row>
    <row r="318" spans="2:5" x14ac:dyDescent="0.25">
      <c r="B318" t="s">
        <v>214</v>
      </c>
    </row>
    <row r="319" spans="2:5" x14ac:dyDescent="0.25">
      <c r="B319" t="s">
        <v>152</v>
      </c>
    </row>
    <row r="320" spans="2:5" x14ac:dyDescent="0.25">
      <c r="B320" t="s">
        <v>144</v>
      </c>
    </row>
    <row r="321" spans="2:6" x14ac:dyDescent="0.25">
      <c r="B321" t="s">
        <v>215</v>
      </c>
    </row>
    <row r="322" spans="2:6" x14ac:dyDescent="0.25">
      <c r="B322" t="s">
        <v>146</v>
      </c>
    </row>
    <row r="324" spans="2:6" x14ac:dyDescent="0.25">
      <c r="C324" t="s">
        <v>108</v>
      </c>
    </row>
    <row r="326" spans="2:6" x14ac:dyDescent="0.25">
      <c r="D326" t="s">
        <v>97</v>
      </c>
      <c r="E326" t="s">
        <v>117</v>
      </c>
    </row>
    <row r="327" spans="2:6" x14ac:dyDescent="0.25">
      <c r="D327" t="s">
        <v>99</v>
      </c>
      <c r="E327" t="s">
        <v>118</v>
      </c>
    </row>
    <row r="328" spans="2:6" x14ac:dyDescent="0.25">
      <c r="D328" t="s">
        <v>119</v>
      </c>
      <c r="E328">
        <v>100</v>
      </c>
      <c r="F328">
        <v>100</v>
      </c>
    </row>
    <row r="329" spans="2:6" x14ac:dyDescent="0.25">
      <c r="D329" t="s">
        <v>120</v>
      </c>
      <c r="E329" t="s">
        <v>121</v>
      </c>
      <c r="F329" t="s">
        <v>122</v>
      </c>
    </row>
    <row r="330" spans="2:6" x14ac:dyDescent="0.25">
      <c r="D330" t="s">
        <v>216</v>
      </c>
    </row>
    <row r="332" spans="2:6" x14ac:dyDescent="0.25">
      <c r="D332" t="s">
        <v>97</v>
      </c>
      <c r="E332" t="s">
        <v>117</v>
      </c>
    </row>
    <row r="333" spans="2:6" x14ac:dyDescent="0.25">
      <c r="D333" t="s">
        <v>99</v>
      </c>
      <c r="E333" t="s">
        <v>124</v>
      </c>
    </row>
    <row r="334" spans="2:6" x14ac:dyDescent="0.25">
      <c r="D334" t="s">
        <v>119</v>
      </c>
      <c r="E334">
        <v>100</v>
      </c>
      <c r="F334">
        <v>100</v>
      </c>
    </row>
    <row r="335" spans="2:6" x14ac:dyDescent="0.25">
      <c r="D335" t="s">
        <v>217</v>
      </c>
    </row>
    <row r="337" spans="4:6" x14ac:dyDescent="0.25">
      <c r="D337" t="s">
        <v>97</v>
      </c>
      <c r="E337" t="s">
        <v>117</v>
      </c>
    </row>
    <row r="338" spans="4:6" x14ac:dyDescent="0.25">
      <c r="D338" t="s">
        <v>99</v>
      </c>
      <c r="E338" t="s">
        <v>126</v>
      </c>
    </row>
    <row r="339" spans="4:6" x14ac:dyDescent="0.25">
      <c r="D339" t="s">
        <v>127</v>
      </c>
      <c r="E339" t="s">
        <v>319</v>
      </c>
      <c r="F339" t="s">
        <v>319</v>
      </c>
    </row>
    <row r="340" spans="4:6" x14ac:dyDescent="0.25">
      <c r="D340" t="s">
        <v>128</v>
      </c>
      <c r="E340">
        <v>1</v>
      </c>
      <c r="F340">
        <v>2</v>
      </c>
    </row>
    <row r="341" spans="4:6" x14ac:dyDescent="0.25">
      <c r="D341" t="s">
        <v>129</v>
      </c>
      <c r="E341" t="s">
        <v>77</v>
      </c>
      <c r="F341" t="s">
        <v>77</v>
      </c>
    </row>
    <row r="342" spans="4:6" x14ac:dyDescent="0.25">
      <c r="D342" t="s">
        <v>130</v>
      </c>
      <c r="E342">
        <v>1</v>
      </c>
      <c r="F342">
        <v>2</v>
      </c>
    </row>
    <row r="343" spans="4:6" x14ac:dyDescent="0.25">
      <c r="D343" t="s">
        <v>119</v>
      </c>
      <c r="E343">
        <v>100</v>
      </c>
      <c r="F343">
        <v>100</v>
      </c>
    </row>
    <row r="344" spans="4:6" x14ac:dyDescent="0.25">
      <c r="D344" t="s">
        <v>131</v>
      </c>
      <c r="E344">
        <v>0</v>
      </c>
      <c r="F344">
        <v>0</v>
      </c>
    </row>
    <row r="345" spans="4:6" x14ac:dyDescent="0.25">
      <c r="D345" t="s">
        <v>132</v>
      </c>
      <c r="E345" t="s">
        <v>26</v>
      </c>
      <c r="F345" t="s">
        <v>26</v>
      </c>
    </row>
    <row r="346" spans="4:6" x14ac:dyDescent="0.25">
      <c r="D346" t="s">
        <v>133</v>
      </c>
    </row>
    <row r="347" spans="4:6" x14ac:dyDescent="0.25">
      <c r="D347" t="s">
        <v>134</v>
      </c>
    </row>
    <row r="348" spans="4:6" x14ac:dyDescent="0.25">
      <c r="D348" t="s">
        <v>331</v>
      </c>
      <c r="E348">
        <v>0</v>
      </c>
    </row>
    <row r="349" spans="4:6" x14ac:dyDescent="0.25">
      <c r="D349" t="s">
        <v>135</v>
      </c>
      <c r="E349" t="s">
        <v>208</v>
      </c>
    </row>
    <row r="350" spans="4:6" x14ac:dyDescent="0.25">
      <c r="D350" t="s">
        <v>218</v>
      </c>
    </row>
    <row r="355" spans="2:3" x14ac:dyDescent="0.25">
      <c r="B355" t="s">
        <v>104</v>
      </c>
    </row>
    <row r="356" spans="2:3" x14ac:dyDescent="0.25">
      <c r="B356" t="s">
        <v>219</v>
      </c>
    </row>
    <row r="357" spans="2:3" x14ac:dyDescent="0.25">
      <c r="B357" t="s">
        <v>334</v>
      </c>
    </row>
    <row r="358" spans="2:3" x14ac:dyDescent="0.25">
      <c r="B358" t="s">
        <v>107</v>
      </c>
    </row>
    <row r="360" spans="2:3" x14ac:dyDescent="0.25">
      <c r="C360" t="s">
        <v>108</v>
      </c>
    </row>
    <row r="365" spans="2:3" x14ac:dyDescent="0.25">
      <c r="B365" t="s">
        <v>220</v>
      </c>
    </row>
    <row r="366" spans="2:3" x14ac:dyDescent="0.25">
      <c r="B366" t="s">
        <v>221</v>
      </c>
    </row>
    <row r="367" spans="2:3" x14ac:dyDescent="0.25">
      <c r="B367" t="s">
        <v>321</v>
      </c>
    </row>
    <row r="368" spans="2:3" x14ac:dyDescent="0.25">
      <c r="B368" t="s">
        <v>222</v>
      </c>
    </row>
    <row r="369" spans="2:5" x14ac:dyDescent="0.25">
      <c r="B369" t="s">
        <v>223</v>
      </c>
    </row>
    <row r="370" spans="2:5" x14ac:dyDescent="0.25">
      <c r="B370" t="s">
        <v>224</v>
      </c>
    </row>
    <row r="371" spans="2:5" x14ac:dyDescent="0.25">
      <c r="B371" t="s">
        <v>225</v>
      </c>
    </row>
    <row r="373" spans="2:5" x14ac:dyDescent="0.25">
      <c r="C373" t="s">
        <v>108</v>
      </c>
    </row>
    <row r="375" spans="2:5" x14ac:dyDescent="0.25">
      <c r="D375" t="s">
        <v>97</v>
      </c>
      <c r="E375" t="s">
        <v>183</v>
      </c>
    </row>
    <row r="376" spans="2:5" x14ac:dyDescent="0.25">
      <c r="D376" t="s">
        <v>99</v>
      </c>
      <c r="E376" t="s">
        <v>184</v>
      </c>
    </row>
    <row r="377" spans="2:5" x14ac:dyDescent="0.25">
      <c r="D377" t="s">
        <v>185</v>
      </c>
      <c r="E377" t="s">
        <v>335</v>
      </c>
    </row>
    <row r="378" spans="2:5" x14ac:dyDescent="0.25">
      <c r="D378" t="s">
        <v>226</v>
      </c>
    </row>
    <row r="380" spans="2:5" x14ac:dyDescent="0.25">
      <c r="D380" t="s">
        <v>97</v>
      </c>
      <c r="E380" t="s">
        <v>183</v>
      </c>
    </row>
    <row r="381" spans="2:5" x14ac:dyDescent="0.25">
      <c r="D381" t="s">
        <v>99</v>
      </c>
      <c r="E381" t="s">
        <v>188</v>
      </c>
    </row>
    <row r="382" spans="2:5" x14ac:dyDescent="0.25">
      <c r="D382" t="s">
        <v>185</v>
      </c>
      <c r="E382" t="s">
        <v>335</v>
      </c>
    </row>
    <row r="383" spans="2:5" x14ac:dyDescent="0.25">
      <c r="D383" t="s">
        <v>227</v>
      </c>
    </row>
    <row r="385" spans="4:5" x14ac:dyDescent="0.25">
      <c r="D385" t="s">
        <v>97</v>
      </c>
      <c r="E385" t="s">
        <v>336</v>
      </c>
    </row>
    <row r="386" spans="4:5" x14ac:dyDescent="0.25">
      <c r="D386" t="s">
        <v>99</v>
      </c>
      <c r="E386" t="s">
        <v>228</v>
      </c>
    </row>
    <row r="387" spans="4:5" x14ac:dyDescent="0.25">
      <c r="D387" t="s">
        <v>101</v>
      </c>
      <c r="E387" t="s">
        <v>335</v>
      </c>
    </row>
    <row r="388" spans="4:5" x14ac:dyDescent="0.25">
      <c r="D388" t="s">
        <v>229</v>
      </c>
    </row>
    <row r="390" spans="4:5" x14ac:dyDescent="0.25">
      <c r="D390" t="s">
        <v>97</v>
      </c>
      <c r="E390" t="s">
        <v>336</v>
      </c>
    </row>
    <row r="391" spans="4:5" x14ac:dyDescent="0.25">
      <c r="D391" t="s">
        <v>99</v>
      </c>
      <c r="E391" t="s">
        <v>230</v>
      </c>
    </row>
    <row r="392" spans="4:5" x14ac:dyDescent="0.25">
      <c r="D392" t="s">
        <v>101</v>
      </c>
      <c r="E392" t="s">
        <v>335</v>
      </c>
    </row>
    <row r="393" spans="4:5" x14ac:dyDescent="0.25">
      <c r="D393" t="s">
        <v>231</v>
      </c>
    </row>
    <row r="395" spans="4:5" x14ac:dyDescent="0.25">
      <c r="D395" t="s">
        <v>97</v>
      </c>
      <c r="E395" t="s">
        <v>200</v>
      </c>
    </row>
    <row r="396" spans="4:5" x14ac:dyDescent="0.25">
      <c r="D396" t="s">
        <v>99</v>
      </c>
      <c r="E396" t="s">
        <v>201</v>
      </c>
    </row>
    <row r="397" spans="4:5" x14ac:dyDescent="0.25">
      <c r="D397" t="s">
        <v>202</v>
      </c>
    </row>
    <row r="398" spans="4:5" x14ac:dyDescent="0.25">
      <c r="D398" t="s">
        <v>203</v>
      </c>
    </row>
    <row r="399" spans="4:5" x14ac:dyDescent="0.25">
      <c r="D399" t="s">
        <v>204</v>
      </c>
    </row>
    <row r="400" spans="4:5" x14ac:dyDescent="0.25">
      <c r="D400" t="s">
        <v>205</v>
      </c>
    </row>
    <row r="401" spans="4:5" x14ac:dyDescent="0.25">
      <c r="D401" t="s">
        <v>206</v>
      </c>
      <c r="E401" t="b">
        <v>1</v>
      </c>
    </row>
    <row r="402" spans="4:5" x14ac:dyDescent="0.25">
      <c r="D402" t="s">
        <v>207</v>
      </c>
      <c r="E402" t="s">
        <v>232</v>
      </c>
    </row>
    <row r="403" spans="4:5" x14ac:dyDescent="0.25">
      <c r="D403" t="s">
        <v>233</v>
      </c>
    </row>
    <row r="405" spans="4:5" x14ac:dyDescent="0.25">
      <c r="D405" t="s">
        <v>97</v>
      </c>
      <c r="E405" t="s">
        <v>234</v>
      </c>
    </row>
    <row r="406" spans="4:5" x14ac:dyDescent="0.25">
      <c r="D406" t="s">
        <v>99</v>
      </c>
      <c r="E406" t="s">
        <v>235</v>
      </c>
    </row>
    <row r="407" spans="4:5" x14ac:dyDescent="0.25">
      <c r="D407" t="s">
        <v>236</v>
      </c>
      <c r="E407">
        <v>120</v>
      </c>
    </row>
    <row r="408" spans="4:5" x14ac:dyDescent="0.25">
      <c r="D408" t="s">
        <v>237</v>
      </c>
    </row>
    <row r="410" spans="4:5" x14ac:dyDescent="0.25">
      <c r="D410" t="s">
        <v>97</v>
      </c>
      <c r="E410" t="s">
        <v>234</v>
      </c>
    </row>
    <row r="411" spans="4:5" x14ac:dyDescent="0.25">
      <c r="D411" t="s">
        <v>99</v>
      </c>
      <c r="E411" t="s">
        <v>238</v>
      </c>
    </row>
    <row r="412" spans="4:5" x14ac:dyDescent="0.25">
      <c r="D412" t="s">
        <v>239</v>
      </c>
    </row>
    <row r="414" spans="4:5" x14ac:dyDescent="0.25">
      <c r="D414" t="s">
        <v>97</v>
      </c>
      <c r="E414" t="s">
        <v>183</v>
      </c>
    </row>
    <row r="415" spans="4:5" x14ac:dyDescent="0.25">
      <c r="D415" t="s">
        <v>99</v>
      </c>
      <c r="E415" t="s">
        <v>184</v>
      </c>
    </row>
    <row r="416" spans="4:5" x14ac:dyDescent="0.25">
      <c r="D416" t="s">
        <v>185</v>
      </c>
      <c r="E416" t="s">
        <v>335</v>
      </c>
    </row>
    <row r="417" spans="4:5" x14ac:dyDescent="0.25">
      <c r="D417" t="s">
        <v>240</v>
      </c>
    </row>
    <row r="419" spans="4:5" x14ac:dyDescent="0.25">
      <c r="D419" t="s">
        <v>97</v>
      </c>
      <c r="E419" t="s">
        <v>183</v>
      </c>
    </row>
    <row r="420" spans="4:5" x14ac:dyDescent="0.25">
      <c r="D420" t="s">
        <v>99</v>
      </c>
      <c r="E420" t="s">
        <v>188</v>
      </c>
    </row>
    <row r="421" spans="4:5" x14ac:dyDescent="0.25">
      <c r="D421" t="s">
        <v>185</v>
      </c>
      <c r="E421" t="s">
        <v>335</v>
      </c>
    </row>
    <row r="422" spans="4:5" x14ac:dyDescent="0.25">
      <c r="D422" t="s">
        <v>241</v>
      </c>
    </row>
    <row r="424" spans="4:5" x14ac:dyDescent="0.25">
      <c r="D424" t="s">
        <v>97</v>
      </c>
      <c r="E424" t="s">
        <v>336</v>
      </c>
    </row>
    <row r="425" spans="4:5" x14ac:dyDescent="0.25">
      <c r="D425" t="s">
        <v>99</v>
      </c>
      <c r="E425" t="s">
        <v>228</v>
      </c>
    </row>
    <row r="426" spans="4:5" x14ac:dyDescent="0.25">
      <c r="D426" t="s">
        <v>101</v>
      </c>
      <c r="E426" t="s">
        <v>335</v>
      </c>
    </row>
    <row r="427" spans="4:5" x14ac:dyDescent="0.25">
      <c r="D427" t="s">
        <v>242</v>
      </c>
    </row>
    <row r="429" spans="4:5" x14ac:dyDescent="0.25">
      <c r="D429" t="s">
        <v>97</v>
      </c>
      <c r="E429" t="s">
        <v>336</v>
      </c>
    </row>
    <row r="430" spans="4:5" x14ac:dyDescent="0.25">
      <c r="D430" t="s">
        <v>99</v>
      </c>
      <c r="E430" t="s">
        <v>230</v>
      </c>
    </row>
    <row r="431" spans="4:5" x14ac:dyDescent="0.25">
      <c r="D431" t="s">
        <v>101</v>
      </c>
      <c r="E431" t="s">
        <v>335</v>
      </c>
    </row>
    <row r="432" spans="4:5" x14ac:dyDescent="0.25">
      <c r="D432" t="s">
        <v>243</v>
      </c>
    </row>
    <row r="434" spans="4:6" x14ac:dyDescent="0.25">
      <c r="D434" t="s">
        <v>97</v>
      </c>
      <c r="E434" t="s">
        <v>336</v>
      </c>
    </row>
    <row r="435" spans="4:6" x14ac:dyDescent="0.25">
      <c r="D435" t="s">
        <v>99</v>
      </c>
      <c r="E435" t="s">
        <v>244</v>
      </c>
    </row>
    <row r="436" spans="4:6" x14ac:dyDescent="0.25">
      <c r="D436" t="s">
        <v>101</v>
      </c>
      <c r="E436" t="s">
        <v>330</v>
      </c>
    </row>
    <row r="437" spans="4:6" x14ac:dyDescent="0.25">
      <c r="D437" t="s">
        <v>248</v>
      </c>
      <c r="E437">
        <v>100</v>
      </c>
      <c r="F437">
        <v>100</v>
      </c>
    </row>
    <row r="438" spans="4:6" x14ac:dyDescent="0.25">
      <c r="D438" t="s">
        <v>245</v>
      </c>
    </row>
    <row r="440" spans="4:6" x14ac:dyDescent="0.25">
      <c r="D440" t="s">
        <v>97</v>
      </c>
      <c r="E440" t="s">
        <v>117</v>
      </c>
    </row>
    <row r="441" spans="4:6" x14ac:dyDescent="0.25">
      <c r="D441" t="s">
        <v>99</v>
      </c>
      <c r="E441" t="s">
        <v>124</v>
      </c>
    </row>
    <row r="442" spans="4:6" x14ac:dyDescent="0.25">
      <c r="D442" t="s">
        <v>119</v>
      </c>
      <c r="E442">
        <v>100</v>
      </c>
      <c r="F442">
        <v>100</v>
      </c>
    </row>
    <row r="443" spans="4:6" x14ac:dyDescent="0.25">
      <c r="D443" t="s">
        <v>246</v>
      </c>
    </row>
    <row r="445" spans="4:6" x14ac:dyDescent="0.25">
      <c r="D445" t="s">
        <v>97</v>
      </c>
      <c r="E445" t="s">
        <v>336</v>
      </c>
    </row>
    <row r="446" spans="4:6" x14ac:dyDescent="0.25">
      <c r="D446" t="s">
        <v>99</v>
      </c>
      <c r="E446" t="s">
        <v>247</v>
      </c>
    </row>
    <row r="447" spans="4:6" x14ac:dyDescent="0.25">
      <c r="D447" t="s">
        <v>101</v>
      </c>
      <c r="E447" t="s">
        <v>330</v>
      </c>
    </row>
    <row r="448" spans="4:6" x14ac:dyDescent="0.25">
      <c r="D448" t="s">
        <v>248</v>
      </c>
      <c r="E448">
        <v>150</v>
      </c>
      <c r="F448">
        <v>150</v>
      </c>
    </row>
    <row r="449" spans="4:6" x14ac:dyDescent="0.25">
      <c r="D449" t="s">
        <v>249</v>
      </c>
    </row>
    <row r="451" spans="4:6" x14ac:dyDescent="0.25">
      <c r="D451" t="s">
        <v>97</v>
      </c>
      <c r="E451" t="s">
        <v>117</v>
      </c>
    </row>
    <row r="452" spans="4:6" x14ac:dyDescent="0.25">
      <c r="D452" t="s">
        <v>99</v>
      </c>
      <c r="E452" t="s">
        <v>124</v>
      </c>
    </row>
    <row r="453" spans="4:6" x14ac:dyDescent="0.25">
      <c r="D453" t="s">
        <v>119</v>
      </c>
      <c r="E453">
        <v>150</v>
      </c>
      <c r="F453">
        <v>150</v>
      </c>
    </row>
    <row r="454" spans="4:6" x14ac:dyDescent="0.25">
      <c r="D454" t="s">
        <v>250</v>
      </c>
    </row>
    <row r="456" spans="4:6" x14ac:dyDescent="0.25">
      <c r="D456" t="s">
        <v>97</v>
      </c>
      <c r="E456" t="s">
        <v>117</v>
      </c>
    </row>
    <row r="457" spans="4:6" x14ac:dyDescent="0.25">
      <c r="D457" t="s">
        <v>99</v>
      </c>
      <c r="E457" t="s">
        <v>126</v>
      </c>
    </row>
    <row r="458" spans="4:6" x14ac:dyDescent="0.25">
      <c r="D458" t="s">
        <v>127</v>
      </c>
      <c r="E458" t="s">
        <v>330</v>
      </c>
      <c r="F458" t="s">
        <v>330</v>
      </c>
    </row>
    <row r="459" spans="4:6" x14ac:dyDescent="0.25">
      <c r="D459" t="s">
        <v>128</v>
      </c>
      <c r="E459">
        <v>1</v>
      </c>
      <c r="F459">
        <v>2</v>
      </c>
    </row>
    <row r="460" spans="4:6" x14ac:dyDescent="0.25">
      <c r="D460" t="s">
        <v>129</v>
      </c>
      <c r="E460" t="s">
        <v>319</v>
      </c>
      <c r="F460" t="s">
        <v>319</v>
      </c>
    </row>
    <row r="461" spans="4:6" x14ac:dyDescent="0.25">
      <c r="D461" t="s">
        <v>130</v>
      </c>
      <c r="E461">
        <v>1</v>
      </c>
      <c r="F461">
        <v>2</v>
      </c>
    </row>
    <row r="462" spans="4:6" x14ac:dyDescent="0.25">
      <c r="D462" t="s">
        <v>119</v>
      </c>
      <c r="E462">
        <v>100</v>
      </c>
      <c r="F462">
        <v>100</v>
      </c>
    </row>
    <row r="463" spans="4:6" x14ac:dyDescent="0.25">
      <c r="D463" t="s">
        <v>131</v>
      </c>
      <c r="E463">
        <v>0</v>
      </c>
      <c r="F463">
        <v>0</v>
      </c>
    </row>
    <row r="464" spans="4:6" x14ac:dyDescent="0.25">
      <c r="D464" t="s">
        <v>132</v>
      </c>
      <c r="E464" t="s">
        <v>28</v>
      </c>
      <c r="F464" t="s">
        <v>28</v>
      </c>
    </row>
    <row r="465" spans="4:5" x14ac:dyDescent="0.25">
      <c r="D465" t="s">
        <v>133</v>
      </c>
    </row>
    <row r="466" spans="4:5" x14ac:dyDescent="0.25">
      <c r="D466" t="s">
        <v>134</v>
      </c>
    </row>
    <row r="467" spans="4:5" x14ac:dyDescent="0.25">
      <c r="D467" t="s">
        <v>331</v>
      </c>
      <c r="E467">
        <v>0</v>
      </c>
    </row>
    <row r="468" spans="4:5" x14ac:dyDescent="0.25">
      <c r="D468" t="s">
        <v>135</v>
      </c>
      <c r="E468" t="s">
        <v>208</v>
      </c>
    </row>
    <row r="469" spans="4:5" x14ac:dyDescent="0.25">
      <c r="D469" t="s">
        <v>251</v>
      </c>
    </row>
    <row r="471" spans="4:5" x14ac:dyDescent="0.25">
      <c r="D471" t="s">
        <v>97</v>
      </c>
      <c r="E471" t="s">
        <v>200</v>
      </c>
    </row>
    <row r="472" spans="4:5" x14ac:dyDescent="0.25">
      <c r="D472" t="s">
        <v>99</v>
      </c>
      <c r="E472" t="s">
        <v>201</v>
      </c>
    </row>
    <row r="473" spans="4:5" x14ac:dyDescent="0.25">
      <c r="D473" t="s">
        <v>202</v>
      </c>
    </row>
    <row r="474" spans="4:5" x14ac:dyDescent="0.25">
      <c r="D474" t="s">
        <v>203</v>
      </c>
    </row>
    <row r="475" spans="4:5" x14ac:dyDescent="0.25">
      <c r="D475" t="s">
        <v>204</v>
      </c>
    </row>
    <row r="476" spans="4:5" x14ac:dyDescent="0.25">
      <c r="D476" t="s">
        <v>205</v>
      </c>
    </row>
    <row r="477" spans="4:5" x14ac:dyDescent="0.25">
      <c r="D477" t="s">
        <v>206</v>
      </c>
      <c r="E477" t="b">
        <v>1</v>
      </c>
    </row>
    <row r="478" spans="4:5" x14ac:dyDescent="0.25">
      <c r="D478" t="s">
        <v>207</v>
      </c>
      <c r="E478" t="s">
        <v>232</v>
      </c>
    </row>
    <row r="479" spans="4:5" x14ac:dyDescent="0.25">
      <c r="D479" t="s">
        <v>252</v>
      </c>
    </row>
    <row r="481" spans="4:6" x14ac:dyDescent="0.25">
      <c r="D481" t="s">
        <v>97</v>
      </c>
      <c r="E481" t="s">
        <v>117</v>
      </c>
    </row>
    <row r="482" spans="4:6" x14ac:dyDescent="0.25">
      <c r="D482" t="s">
        <v>99</v>
      </c>
      <c r="E482" t="s">
        <v>126</v>
      </c>
    </row>
    <row r="483" spans="4:6" x14ac:dyDescent="0.25">
      <c r="D483" t="s">
        <v>127</v>
      </c>
      <c r="E483" t="s">
        <v>319</v>
      </c>
      <c r="F483" t="s">
        <v>319</v>
      </c>
    </row>
    <row r="484" spans="4:6" x14ac:dyDescent="0.25">
      <c r="D484" t="s">
        <v>128</v>
      </c>
      <c r="E484">
        <v>1</v>
      </c>
      <c r="F484">
        <v>2</v>
      </c>
    </row>
    <row r="485" spans="4:6" x14ac:dyDescent="0.25">
      <c r="D485" t="s">
        <v>129</v>
      </c>
      <c r="E485" t="s">
        <v>83</v>
      </c>
      <c r="F485" t="s">
        <v>83</v>
      </c>
    </row>
    <row r="486" spans="4:6" x14ac:dyDescent="0.25">
      <c r="D486" t="s">
        <v>130</v>
      </c>
      <c r="E486">
        <v>1</v>
      </c>
      <c r="F486">
        <v>2</v>
      </c>
    </row>
    <row r="487" spans="4:6" x14ac:dyDescent="0.25">
      <c r="D487" t="s">
        <v>119</v>
      </c>
      <c r="E487">
        <v>150</v>
      </c>
      <c r="F487">
        <v>150</v>
      </c>
    </row>
    <row r="488" spans="4:6" x14ac:dyDescent="0.25">
      <c r="D488" t="s">
        <v>131</v>
      </c>
      <c r="E488">
        <v>0</v>
      </c>
      <c r="F488">
        <v>0</v>
      </c>
    </row>
    <row r="489" spans="4:6" x14ac:dyDescent="0.25">
      <c r="D489" t="s">
        <v>132</v>
      </c>
      <c r="E489" t="s">
        <v>318</v>
      </c>
      <c r="F489" t="s">
        <v>318</v>
      </c>
    </row>
    <row r="490" spans="4:6" x14ac:dyDescent="0.25">
      <c r="D490" t="s">
        <v>133</v>
      </c>
    </row>
    <row r="491" spans="4:6" x14ac:dyDescent="0.25">
      <c r="D491" t="s">
        <v>134</v>
      </c>
    </row>
    <row r="492" spans="4:6" x14ac:dyDescent="0.25">
      <c r="D492" t="s">
        <v>331</v>
      </c>
      <c r="E492">
        <v>0</v>
      </c>
    </row>
    <row r="493" spans="4:6" x14ac:dyDescent="0.25">
      <c r="D493" t="s">
        <v>135</v>
      </c>
      <c r="E493" t="s">
        <v>208</v>
      </c>
    </row>
    <row r="494" spans="4:6" x14ac:dyDescent="0.25">
      <c r="D494" t="s">
        <v>253</v>
      </c>
    </row>
    <row r="496" spans="4:6" x14ac:dyDescent="0.25">
      <c r="D496" t="s">
        <v>97</v>
      </c>
      <c r="E496" t="s">
        <v>200</v>
      </c>
    </row>
    <row r="497" spans="4:5" x14ac:dyDescent="0.25">
      <c r="D497" t="s">
        <v>99</v>
      </c>
      <c r="E497" t="s">
        <v>201</v>
      </c>
    </row>
    <row r="498" spans="4:5" x14ac:dyDescent="0.25">
      <c r="D498" t="s">
        <v>202</v>
      </c>
    </row>
    <row r="499" spans="4:5" x14ac:dyDescent="0.25">
      <c r="D499" t="s">
        <v>203</v>
      </c>
    </row>
    <row r="500" spans="4:5" x14ac:dyDescent="0.25">
      <c r="D500" t="s">
        <v>204</v>
      </c>
    </row>
    <row r="501" spans="4:5" x14ac:dyDescent="0.25">
      <c r="D501" t="s">
        <v>205</v>
      </c>
    </row>
    <row r="502" spans="4:5" x14ac:dyDescent="0.25">
      <c r="D502" t="s">
        <v>206</v>
      </c>
      <c r="E502" t="b">
        <v>1</v>
      </c>
    </row>
    <row r="503" spans="4:5" x14ac:dyDescent="0.25">
      <c r="D503" t="s">
        <v>207</v>
      </c>
      <c r="E503" t="s">
        <v>232</v>
      </c>
    </row>
    <row r="504" spans="4:5" x14ac:dyDescent="0.25">
      <c r="D504" t="s">
        <v>254</v>
      </c>
    </row>
    <row r="506" spans="4:5" x14ac:dyDescent="0.25">
      <c r="D506" t="s">
        <v>97</v>
      </c>
      <c r="E506" t="s">
        <v>234</v>
      </c>
    </row>
    <row r="507" spans="4:5" x14ac:dyDescent="0.25">
      <c r="D507" t="s">
        <v>99</v>
      </c>
      <c r="E507" t="s">
        <v>235</v>
      </c>
    </row>
    <row r="508" spans="4:5" x14ac:dyDescent="0.25">
      <c r="D508" t="s">
        <v>236</v>
      </c>
      <c r="E508">
        <v>120</v>
      </c>
    </row>
    <row r="509" spans="4:5" x14ac:dyDescent="0.25">
      <c r="D509" t="s">
        <v>255</v>
      </c>
    </row>
    <row r="511" spans="4:5" x14ac:dyDescent="0.25">
      <c r="D511" t="s">
        <v>97</v>
      </c>
      <c r="E511" t="s">
        <v>234</v>
      </c>
    </row>
    <row r="512" spans="4:5" x14ac:dyDescent="0.25">
      <c r="D512" t="s">
        <v>99</v>
      </c>
      <c r="E512" t="s">
        <v>238</v>
      </c>
    </row>
    <row r="513" spans="4:5" x14ac:dyDescent="0.25">
      <c r="D513" t="s">
        <v>256</v>
      </c>
    </row>
    <row r="515" spans="4:5" x14ac:dyDescent="0.25">
      <c r="D515" t="s">
        <v>97</v>
      </c>
      <c r="E515" t="s">
        <v>183</v>
      </c>
    </row>
    <row r="516" spans="4:5" x14ac:dyDescent="0.25">
      <c r="D516" t="s">
        <v>99</v>
      </c>
      <c r="E516" t="s">
        <v>184</v>
      </c>
    </row>
    <row r="517" spans="4:5" x14ac:dyDescent="0.25">
      <c r="D517" t="s">
        <v>185</v>
      </c>
      <c r="E517" t="s">
        <v>335</v>
      </c>
    </row>
    <row r="518" spans="4:5" x14ac:dyDescent="0.25">
      <c r="D518" t="s">
        <v>257</v>
      </c>
    </row>
    <row r="520" spans="4:5" x14ac:dyDescent="0.25">
      <c r="D520" t="s">
        <v>97</v>
      </c>
      <c r="E520" t="s">
        <v>183</v>
      </c>
    </row>
    <row r="521" spans="4:5" x14ac:dyDescent="0.25">
      <c r="D521" t="s">
        <v>99</v>
      </c>
      <c r="E521" t="s">
        <v>188</v>
      </c>
    </row>
    <row r="522" spans="4:5" x14ac:dyDescent="0.25">
      <c r="D522" t="s">
        <v>185</v>
      </c>
      <c r="E522" t="s">
        <v>335</v>
      </c>
    </row>
    <row r="523" spans="4:5" x14ac:dyDescent="0.25">
      <c r="D523" t="s">
        <v>258</v>
      </c>
    </row>
    <row r="525" spans="4:5" x14ac:dyDescent="0.25">
      <c r="D525" t="s">
        <v>97</v>
      </c>
      <c r="E525" t="s">
        <v>336</v>
      </c>
    </row>
    <row r="526" spans="4:5" x14ac:dyDescent="0.25">
      <c r="D526" t="s">
        <v>99</v>
      </c>
      <c r="E526" t="s">
        <v>228</v>
      </c>
    </row>
    <row r="527" spans="4:5" x14ac:dyDescent="0.25">
      <c r="D527" t="s">
        <v>101</v>
      </c>
      <c r="E527" t="s">
        <v>335</v>
      </c>
    </row>
    <row r="528" spans="4:5" x14ac:dyDescent="0.25">
      <c r="D528" t="s">
        <v>259</v>
      </c>
    </row>
    <row r="530" spans="4:6" x14ac:dyDescent="0.25">
      <c r="D530" t="s">
        <v>97</v>
      </c>
      <c r="E530" t="s">
        <v>336</v>
      </c>
    </row>
    <row r="531" spans="4:6" x14ac:dyDescent="0.25">
      <c r="D531" t="s">
        <v>99</v>
      </c>
      <c r="E531" t="s">
        <v>230</v>
      </c>
    </row>
    <row r="532" spans="4:6" x14ac:dyDescent="0.25">
      <c r="D532" t="s">
        <v>101</v>
      </c>
      <c r="E532" t="s">
        <v>335</v>
      </c>
    </row>
    <row r="533" spans="4:6" x14ac:dyDescent="0.25">
      <c r="D533" t="s">
        <v>260</v>
      </c>
    </row>
    <row r="535" spans="4:6" x14ac:dyDescent="0.25">
      <c r="D535" t="s">
        <v>97</v>
      </c>
      <c r="E535" t="s">
        <v>336</v>
      </c>
    </row>
    <row r="536" spans="4:6" x14ac:dyDescent="0.25">
      <c r="D536" t="s">
        <v>99</v>
      </c>
      <c r="E536" t="s">
        <v>244</v>
      </c>
    </row>
    <row r="537" spans="4:6" x14ac:dyDescent="0.25">
      <c r="D537" t="s">
        <v>101</v>
      </c>
      <c r="E537" t="s">
        <v>330</v>
      </c>
    </row>
    <row r="538" spans="4:6" x14ac:dyDescent="0.25">
      <c r="D538" t="s">
        <v>248</v>
      </c>
      <c r="E538">
        <v>150</v>
      </c>
      <c r="F538">
        <v>150</v>
      </c>
    </row>
    <row r="539" spans="4:6" x14ac:dyDescent="0.25">
      <c r="D539" t="s">
        <v>261</v>
      </c>
    </row>
    <row r="541" spans="4:6" x14ac:dyDescent="0.25">
      <c r="D541" t="s">
        <v>97</v>
      </c>
      <c r="E541" t="s">
        <v>117</v>
      </c>
    </row>
    <row r="542" spans="4:6" x14ac:dyDescent="0.25">
      <c r="D542" t="s">
        <v>99</v>
      </c>
      <c r="E542" t="s">
        <v>124</v>
      </c>
    </row>
    <row r="543" spans="4:6" x14ac:dyDescent="0.25">
      <c r="D543" t="s">
        <v>119</v>
      </c>
      <c r="E543">
        <v>150</v>
      </c>
      <c r="F543">
        <v>150</v>
      </c>
    </row>
    <row r="544" spans="4:6" x14ac:dyDescent="0.25">
      <c r="D544" t="s">
        <v>262</v>
      </c>
    </row>
    <row r="546" spans="4:6" x14ac:dyDescent="0.25">
      <c r="D546" t="s">
        <v>97</v>
      </c>
      <c r="E546" t="s">
        <v>336</v>
      </c>
    </row>
    <row r="547" spans="4:6" x14ac:dyDescent="0.25">
      <c r="D547" t="s">
        <v>99</v>
      </c>
      <c r="E547" t="s">
        <v>247</v>
      </c>
    </row>
    <row r="548" spans="4:6" x14ac:dyDescent="0.25">
      <c r="D548" t="s">
        <v>101</v>
      </c>
      <c r="E548" t="s">
        <v>330</v>
      </c>
    </row>
    <row r="549" spans="4:6" x14ac:dyDescent="0.25">
      <c r="D549" t="s">
        <v>248</v>
      </c>
      <c r="E549">
        <v>150</v>
      </c>
      <c r="F549">
        <v>150</v>
      </c>
    </row>
    <row r="550" spans="4:6" x14ac:dyDescent="0.25">
      <c r="D550" t="s">
        <v>263</v>
      </c>
    </row>
    <row r="552" spans="4:6" x14ac:dyDescent="0.25">
      <c r="D552" t="s">
        <v>97</v>
      </c>
      <c r="E552" t="s">
        <v>117</v>
      </c>
    </row>
    <row r="553" spans="4:6" x14ac:dyDescent="0.25">
      <c r="D553" t="s">
        <v>99</v>
      </c>
      <c r="E553" t="s">
        <v>124</v>
      </c>
    </row>
    <row r="554" spans="4:6" x14ac:dyDescent="0.25">
      <c r="D554" t="s">
        <v>119</v>
      </c>
      <c r="E554">
        <v>150</v>
      </c>
      <c r="F554">
        <v>150</v>
      </c>
    </row>
    <row r="555" spans="4:6" x14ac:dyDescent="0.25">
      <c r="D555" t="s">
        <v>264</v>
      </c>
    </row>
    <row r="557" spans="4:6" x14ac:dyDescent="0.25">
      <c r="D557" t="s">
        <v>97</v>
      </c>
      <c r="E557" t="s">
        <v>117</v>
      </c>
    </row>
    <row r="558" spans="4:6" x14ac:dyDescent="0.25">
      <c r="D558" t="s">
        <v>99</v>
      </c>
      <c r="E558" t="s">
        <v>126</v>
      </c>
    </row>
    <row r="559" spans="4:6" x14ac:dyDescent="0.25">
      <c r="D559" t="s">
        <v>127</v>
      </c>
      <c r="E559" t="s">
        <v>330</v>
      </c>
      <c r="F559" t="s">
        <v>330</v>
      </c>
    </row>
    <row r="560" spans="4:6" x14ac:dyDescent="0.25">
      <c r="D560" t="s">
        <v>128</v>
      </c>
      <c r="E560">
        <v>1</v>
      </c>
      <c r="F560">
        <v>2</v>
      </c>
    </row>
    <row r="561" spans="4:6" x14ac:dyDescent="0.25">
      <c r="D561" t="s">
        <v>129</v>
      </c>
      <c r="E561" t="s">
        <v>319</v>
      </c>
      <c r="F561" t="s">
        <v>319</v>
      </c>
    </row>
    <row r="562" spans="4:6" x14ac:dyDescent="0.25">
      <c r="D562" t="s">
        <v>130</v>
      </c>
      <c r="E562">
        <v>1</v>
      </c>
      <c r="F562">
        <v>2</v>
      </c>
    </row>
    <row r="563" spans="4:6" x14ac:dyDescent="0.25">
      <c r="D563" t="s">
        <v>119</v>
      </c>
      <c r="E563">
        <v>150</v>
      </c>
      <c r="F563">
        <v>150</v>
      </c>
    </row>
    <row r="564" spans="4:6" x14ac:dyDescent="0.25">
      <c r="D564" t="s">
        <v>131</v>
      </c>
      <c r="E564">
        <v>100</v>
      </c>
      <c r="F564">
        <v>100</v>
      </c>
    </row>
    <row r="565" spans="4:6" x14ac:dyDescent="0.25">
      <c r="D565" t="s">
        <v>132</v>
      </c>
      <c r="E565" t="s">
        <v>28</v>
      </c>
      <c r="F565" t="s">
        <v>28</v>
      </c>
    </row>
    <row r="566" spans="4:6" x14ac:dyDescent="0.25">
      <c r="D566" t="s">
        <v>133</v>
      </c>
    </row>
    <row r="567" spans="4:6" x14ac:dyDescent="0.25">
      <c r="D567" t="s">
        <v>134</v>
      </c>
    </row>
    <row r="568" spans="4:6" x14ac:dyDescent="0.25">
      <c r="D568" t="s">
        <v>331</v>
      </c>
      <c r="E568">
        <v>0</v>
      </c>
    </row>
    <row r="569" spans="4:6" x14ac:dyDescent="0.25">
      <c r="D569" t="s">
        <v>135</v>
      </c>
      <c r="E569" t="s">
        <v>208</v>
      </c>
    </row>
    <row r="570" spans="4:6" x14ac:dyDescent="0.25">
      <c r="D570" t="s">
        <v>265</v>
      </c>
    </row>
    <row r="572" spans="4:6" x14ac:dyDescent="0.25">
      <c r="D572" t="s">
        <v>97</v>
      </c>
      <c r="E572" t="s">
        <v>200</v>
      </c>
    </row>
    <row r="573" spans="4:6" x14ac:dyDescent="0.25">
      <c r="D573" t="s">
        <v>99</v>
      </c>
      <c r="E573" t="s">
        <v>201</v>
      </c>
    </row>
    <row r="574" spans="4:6" x14ac:dyDescent="0.25">
      <c r="D574" t="s">
        <v>202</v>
      </c>
    </row>
    <row r="575" spans="4:6" x14ac:dyDescent="0.25">
      <c r="D575" t="s">
        <v>203</v>
      </c>
    </row>
    <row r="576" spans="4:6" x14ac:dyDescent="0.25">
      <c r="D576" t="s">
        <v>204</v>
      </c>
    </row>
    <row r="577" spans="4:6" x14ac:dyDescent="0.25">
      <c r="D577" t="s">
        <v>205</v>
      </c>
    </row>
    <row r="578" spans="4:6" x14ac:dyDescent="0.25">
      <c r="D578" t="s">
        <v>206</v>
      </c>
      <c r="E578" t="b">
        <v>1</v>
      </c>
    </row>
    <row r="579" spans="4:6" x14ac:dyDescent="0.25">
      <c r="D579" t="s">
        <v>207</v>
      </c>
      <c r="E579" t="s">
        <v>232</v>
      </c>
    </row>
    <row r="580" spans="4:6" x14ac:dyDescent="0.25">
      <c r="D580" t="s">
        <v>266</v>
      </c>
    </row>
    <row r="582" spans="4:6" x14ac:dyDescent="0.25">
      <c r="D582" t="s">
        <v>97</v>
      </c>
      <c r="E582" t="s">
        <v>117</v>
      </c>
    </row>
    <row r="583" spans="4:6" x14ac:dyDescent="0.25">
      <c r="D583" t="s">
        <v>99</v>
      </c>
      <c r="E583" t="s">
        <v>126</v>
      </c>
    </row>
    <row r="584" spans="4:6" x14ac:dyDescent="0.25">
      <c r="D584" t="s">
        <v>127</v>
      </c>
      <c r="E584" t="s">
        <v>319</v>
      </c>
      <c r="F584" t="s">
        <v>319</v>
      </c>
    </row>
    <row r="585" spans="4:6" x14ac:dyDescent="0.25">
      <c r="D585" t="s">
        <v>128</v>
      </c>
      <c r="E585">
        <v>1</v>
      </c>
      <c r="F585">
        <v>2</v>
      </c>
    </row>
    <row r="586" spans="4:6" x14ac:dyDescent="0.25">
      <c r="D586" t="s">
        <v>129</v>
      </c>
      <c r="E586" t="s">
        <v>83</v>
      </c>
      <c r="F586" t="s">
        <v>83</v>
      </c>
    </row>
    <row r="587" spans="4:6" x14ac:dyDescent="0.25">
      <c r="D587" t="s">
        <v>130</v>
      </c>
      <c r="E587">
        <v>1</v>
      </c>
      <c r="F587">
        <v>2</v>
      </c>
    </row>
    <row r="588" spans="4:6" x14ac:dyDescent="0.25">
      <c r="D588" t="s">
        <v>119</v>
      </c>
      <c r="E588">
        <v>150</v>
      </c>
      <c r="F588">
        <v>150</v>
      </c>
    </row>
    <row r="589" spans="4:6" x14ac:dyDescent="0.25">
      <c r="D589" t="s">
        <v>131</v>
      </c>
      <c r="E589">
        <v>0</v>
      </c>
      <c r="F589">
        <v>0</v>
      </c>
    </row>
    <row r="590" spans="4:6" x14ac:dyDescent="0.25">
      <c r="D590" t="s">
        <v>132</v>
      </c>
      <c r="E590" t="s">
        <v>318</v>
      </c>
      <c r="F590" t="s">
        <v>318</v>
      </c>
    </row>
    <row r="591" spans="4:6" x14ac:dyDescent="0.25">
      <c r="D591" t="s">
        <v>133</v>
      </c>
    </row>
    <row r="592" spans="4:6" x14ac:dyDescent="0.25">
      <c r="D592" t="s">
        <v>134</v>
      </c>
    </row>
    <row r="593" spans="4:5" x14ac:dyDescent="0.25">
      <c r="D593" t="s">
        <v>331</v>
      </c>
      <c r="E593">
        <v>0</v>
      </c>
    </row>
    <row r="594" spans="4:5" x14ac:dyDescent="0.25">
      <c r="D594" t="s">
        <v>135</v>
      </c>
      <c r="E594" t="s">
        <v>208</v>
      </c>
    </row>
    <row r="595" spans="4:5" x14ac:dyDescent="0.25">
      <c r="D595" t="s">
        <v>267</v>
      </c>
    </row>
    <row r="597" spans="4:5" x14ac:dyDescent="0.25">
      <c r="D597" t="s">
        <v>97</v>
      </c>
      <c r="E597" t="s">
        <v>200</v>
      </c>
    </row>
    <row r="598" spans="4:5" x14ac:dyDescent="0.25">
      <c r="D598" t="s">
        <v>99</v>
      </c>
      <c r="E598" t="s">
        <v>201</v>
      </c>
    </row>
    <row r="599" spans="4:5" x14ac:dyDescent="0.25">
      <c r="D599" t="s">
        <v>202</v>
      </c>
    </row>
    <row r="600" spans="4:5" x14ac:dyDescent="0.25">
      <c r="D600" t="s">
        <v>203</v>
      </c>
    </row>
    <row r="601" spans="4:5" x14ac:dyDescent="0.25">
      <c r="D601" t="s">
        <v>204</v>
      </c>
    </row>
    <row r="602" spans="4:5" x14ac:dyDescent="0.25">
      <c r="D602" t="s">
        <v>205</v>
      </c>
    </row>
    <row r="603" spans="4:5" x14ac:dyDescent="0.25">
      <c r="D603" t="s">
        <v>206</v>
      </c>
      <c r="E603" t="b">
        <v>1</v>
      </c>
    </row>
    <row r="604" spans="4:5" x14ac:dyDescent="0.25">
      <c r="D604" t="s">
        <v>207</v>
      </c>
      <c r="E604" t="s">
        <v>232</v>
      </c>
    </row>
    <row r="605" spans="4:5" x14ac:dyDescent="0.25">
      <c r="D605" t="s">
        <v>268</v>
      </c>
    </row>
    <row r="607" spans="4:5" x14ac:dyDescent="0.25">
      <c r="D607" t="s">
        <v>97</v>
      </c>
      <c r="E607" t="s">
        <v>234</v>
      </c>
    </row>
    <row r="608" spans="4:5" x14ac:dyDescent="0.25">
      <c r="D608" t="s">
        <v>99</v>
      </c>
      <c r="E608" t="s">
        <v>235</v>
      </c>
    </row>
    <row r="609" spans="4:5" x14ac:dyDescent="0.25">
      <c r="D609" t="s">
        <v>236</v>
      </c>
      <c r="E609">
        <v>120</v>
      </c>
    </row>
    <row r="610" spans="4:5" x14ac:dyDescent="0.25">
      <c r="D610" t="s">
        <v>269</v>
      </c>
    </row>
    <row r="612" spans="4:5" x14ac:dyDescent="0.25">
      <c r="D612" t="s">
        <v>97</v>
      </c>
      <c r="E612" t="s">
        <v>234</v>
      </c>
    </row>
    <row r="613" spans="4:5" x14ac:dyDescent="0.25">
      <c r="D613" t="s">
        <v>99</v>
      </c>
      <c r="E613" t="s">
        <v>238</v>
      </c>
    </row>
    <row r="614" spans="4:5" x14ac:dyDescent="0.25">
      <c r="D614" t="s">
        <v>270</v>
      </c>
    </row>
    <row r="616" spans="4:5" x14ac:dyDescent="0.25">
      <c r="D616" t="s">
        <v>97</v>
      </c>
      <c r="E616" t="s">
        <v>183</v>
      </c>
    </row>
    <row r="617" spans="4:5" x14ac:dyDescent="0.25">
      <c r="D617" t="s">
        <v>99</v>
      </c>
      <c r="E617" t="s">
        <v>184</v>
      </c>
    </row>
    <row r="618" spans="4:5" x14ac:dyDescent="0.25">
      <c r="D618" t="s">
        <v>185</v>
      </c>
      <c r="E618" t="s">
        <v>335</v>
      </c>
    </row>
    <row r="619" spans="4:5" x14ac:dyDescent="0.25">
      <c r="D619" t="s">
        <v>271</v>
      </c>
    </row>
    <row r="621" spans="4:5" x14ac:dyDescent="0.25">
      <c r="D621" t="s">
        <v>97</v>
      </c>
      <c r="E621" t="s">
        <v>183</v>
      </c>
    </row>
    <row r="622" spans="4:5" x14ac:dyDescent="0.25">
      <c r="D622" t="s">
        <v>99</v>
      </c>
      <c r="E622" t="s">
        <v>188</v>
      </c>
    </row>
    <row r="623" spans="4:5" x14ac:dyDescent="0.25">
      <c r="D623" t="s">
        <v>185</v>
      </c>
      <c r="E623" t="s">
        <v>335</v>
      </c>
    </row>
    <row r="624" spans="4:5" x14ac:dyDescent="0.25">
      <c r="D624" t="s">
        <v>272</v>
      </c>
    </row>
    <row r="626" spans="4:6" x14ac:dyDescent="0.25">
      <c r="D626" t="s">
        <v>97</v>
      </c>
      <c r="E626" t="s">
        <v>336</v>
      </c>
    </row>
    <row r="627" spans="4:6" x14ac:dyDescent="0.25">
      <c r="D627" t="s">
        <v>99</v>
      </c>
      <c r="E627" t="s">
        <v>228</v>
      </c>
    </row>
    <row r="628" spans="4:6" x14ac:dyDescent="0.25">
      <c r="D628" t="s">
        <v>101</v>
      </c>
      <c r="E628" t="s">
        <v>335</v>
      </c>
    </row>
    <row r="629" spans="4:6" x14ac:dyDescent="0.25">
      <c r="D629" t="s">
        <v>273</v>
      </c>
    </row>
    <row r="631" spans="4:6" x14ac:dyDescent="0.25">
      <c r="D631" t="s">
        <v>97</v>
      </c>
      <c r="E631" t="s">
        <v>336</v>
      </c>
    </row>
    <row r="632" spans="4:6" x14ac:dyDescent="0.25">
      <c r="D632" t="s">
        <v>99</v>
      </c>
      <c r="E632" t="s">
        <v>230</v>
      </c>
    </row>
    <row r="633" spans="4:6" x14ac:dyDescent="0.25">
      <c r="D633" t="s">
        <v>101</v>
      </c>
      <c r="E633" t="s">
        <v>335</v>
      </c>
    </row>
    <row r="634" spans="4:6" x14ac:dyDescent="0.25">
      <c r="D634" t="s">
        <v>274</v>
      </c>
    </row>
    <row r="636" spans="4:6" x14ac:dyDescent="0.25">
      <c r="D636" t="s">
        <v>97</v>
      </c>
      <c r="E636" t="s">
        <v>336</v>
      </c>
    </row>
    <row r="637" spans="4:6" x14ac:dyDescent="0.25">
      <c r="D637" t="s">
        <v>99</v>
      </c>
      <c r="E637" t="s">
        <v>244</v>
      </c>
    </row>
    <row r="638" spans="4:6" x14ac:dyDescent="0.25">
      <c r="D638" t="s">
        <v>101</v>
      </c>
      <c r="E638" t="s">
        <v>330</v>
      </c>
    </row>
    <row r="639" spans="4:6" x14ac:dyDescent="0.25">
      <c r="D639" t="s">
        <v>248</v>
      </c>
      <c r="E639">
        <v>150</v>
      </c>
      <c r="F639">
        <v>150</v>
      </c>
    </row>
    <row r="640" spans="4:6" x14ac:dyDescent="0.25">
      <c r="D640" t="s">
        <v>275</v>
      </c>
    </row>
    <row r="642" spans="4:6" x14ac:dyDescent="0.25">
      <c r="D642" t="s">
        <v>97</v>
      </c>
      <c r="E642" t="s">
        <v>117</v>
      </c>
    </row>
    <row r="643" spans="4:6" x14ac:dyDescent="0.25">
      <c r="D643" t="s">
        <v>99</v>
      </c>
      <c r="E643" t="s">
        <v>124</v>
      </c>
    </row>
    <row r="644" spans="4:6" x14ac:dyDescent="0.25">
      <c r="D644" t="s">
        <v>119</v>
      </c>
      <c r="E644">
        <v>150</v>
      </c>
      <c r="F644">
        <v>150</v>
      </c>
    </row>
    <row r="645" spans="4:6" x14ac:dyDescent="0.25">
      <c r="D645" t="s">
        <v>276</v>
      </c>
    </row>
    <row r="647" spans="4:6" x14ac:dyDescent="0.25">
      <c r="D647" t="s">
        <v>97</v>
      </c>
      <c r="E647" t="s">
        <v>336</v>
      </c>
    </row>
    <row r="648" spans="4:6" x14ac:dyDescent="0.25">
      <c r="D648" t="s">
        <v>99</v>
      </c>
      <c r="E648" t="s">
        <v>247</v>
      </c>
    </row>
    <row r="649" spans="4:6" x14ac:dyDescent="0.25">
      <c r="D649" t="s">
        <v>101</v>
      </c>
      <c r="E649" t="s">
        <v>330</v>
      </c>
    </row>
    <row r="650" spans="4:6" x14ac:dyDescent="0.25">
      <c r="D650" t="s">
        <v>248</v>
      </c>
      <c r="E650">
        <v>150</v>
      </c>
      <c r="F650">
        <v>150</v>
      </c>
    </row>
    <row r="651" spans="4:6" x14ac:dyDescent="0.25">
      <c r="D651" t="s">
        <v>277</v>
      </c>
    </row>
    <row r="653" spans="4:6" x14ac:dyDescent="0.25">
      <c r="D653" t="s">
        <v>97</v>
      </c>
      <c r="E653" t="s">
        <v>117</v>
      </c>
    </row>
    <row r="654" spans="4:6" x14ac:dyDescent="0.25">
      <c r="D654" t="s">
        <v>99</v>
      </c>
      <c r="E654" t="s">
        <v>124</v>
      </c>
    </row>
    <row r="655" spans="4:6" x14ac:dyDescent="0.25">
      <c r="D655" t="s">
        <v>119</v>
      </c>
      <c r="E655">
        <v>150</v>
      </c>
      <c r="F655">
        <v>150</v>
      </c>
    </row>
    <row r="656" spans="4:6" x14ac:dyDescent="0.25">
      <c r="D656" t="s">
        <v>278</v>
      </c>
    </row>
    <row r="658" spans="4:6" x14ac:dyDescent="0.25">
      <c r="D658" t="s">
        <v>97</v>
      </c>
      <c r="E658" t="s">
        <v>117</v>
      </c>
    </row>
    <row r="659" spans="4:6" x14ac:dyDescent="0.25">
      <c r="D659" t="s">
        <v>99</v>
      </c>
      <c r="E659" t="s">
        <v>126</v>
      </c>
    </row>
    <row r="660" spans="4:6" x14ac:dyDescent="0.25">
      <c r="D660" t="s">
        <v>127</v>
      </c>
      <c r="E660" t="s">
        <v>330</v>
      </c>
      <c r="F660" t="s">
        <v>330</v>
      </c>
    </row>
    <row r="661" spans="4:6" x14ac:dyDescent="0.25">
      <c r="D661" t="s">
        <v>128</v>
      </c>
      <c r="E661">
        <v>1</v>
      </c>
      <c r="F661">
        <v>2</v>
      </c>
    </row>
    <row r="662" spans="4:6" x14ac:dyDescent="0.25">
      <c r="D662" t="s">
        <v>129</v>
      </c>
      <c r="E662" t="s">
        <v>319</v>
      </c>
      <c r="F662" t="s">
        <v>319</v>
      </c>
    </row>
    <row r="663" spans="4:6" x14ac:dyDescent="0.25">
      <c r="D663" t="s">
        <v>130</v>
      </c>
      <c r="E663">
        <v>1</v>
      </c>
      <c r="F663">
        <v>2</v>
      </c>
    </row>
    <row r="664" spans="4:6" x14ac:dyDescent="0.25">
      <c r="D664" t="s">
        <v>119</v>
      </c>
      <c r="E664">
        <v>150</v>
      </c>
      <c r="F664">
        <v>150</v>
      </c>
    </row>
    <row r="665" spans="4:6" x14ac:dyDescent="0.25">
      <c r="D665" t="s">
        <v>131</v>
      </c>
      <c r="E665">
        <v>250</v>
      </c>
      <c r="F665">
        <v>250</v>
      </c>
    </row>
    <row r="666" spans="4:6" x14ac:dyDescent="0.25">
      <c r="D666" t="s">
        <v>132</v>
      </c>
      <c r="E666" t="s">
        <v>28</v>
      </c>
      <c r="F666" t="s">
        <v>28</v>
      </c>
    </row>
    <row r="667" spans="4:6" x14ac:dyDescent="0.25">
      <c r="D667" t="s">
        <v>133</v>
      </c>
    </row>
    <row r="668" spans="4:6" x14ac:dyDescent="0.25">
      <c r="D668" t="s">
        <v>134</v>
      </c>
    </row>
    <row r="669" spans="4:6" x14ac:dyDescent="0.25">
      <c r="D669" t="s">
        <v>331</v>
      </c>
      <c r="E669">
        <v>0</v>
      </c>
    </row>
    <row r="670" spans="4:6" x14ac:dyDescent="0.25">
      <c r="D670" t="s">
        <v>135</v>
      </c>
      <c r="E670" t="s">
        <v>208</v>
      </c>
    </row>
    <row r="671" spans="4:6" x14ac:dyDescent="0.25">
      <c r="D671" t="s">
        <v>279</v>
      </c>
    </row>
    <row r="673" spans="4:6" x14ac:dyDescent="0.25">
      <c r="D673" t="s">
        <v>97</v>
      </c>
      <c r="E673" t="s">
        <v>200</v>
      </c>
    </row>
    <row r="674" spans="4:6" x14ac:dyDescent="0.25">
      <c r="D674" t="s">
        <v>99</v>
      </c>
      <c r="E674" t="s">
        <v>201</v>
      </c>
    </row>
    <row r="675" spans="4:6" x14ac:dyDescent="0.25">
      <c r="D675" t="s">
        <v>202</v>
      </c>
    </row>
    <row r="676" spans="4:6" x14ac:dyDescent="0.25">
      <c r="D676" t="s">
        <v>203</v>
      </c>
    </row>
    <row r="677" spans="4:6" x14ac:dyDescent="0.25">
      <c r="D677" t="s">
        <v>204</v>
      </c>
    </row>
    <row r="678" spans="4:6" x14ac:dyDescent="0.25">
      <c r="D678" t="s">
        <v>205</v>
      </c>
    </row>
    <row r="679" spans="4:6" x14ac:dyDescent="0.25">
      <c r="D679" t="s">
        <v>206</v>
      </c>
      <c r="E679" t="b">
        <v>1</v>
      </c>
    </row>
    <row r="680" spans="4:6" x14ac:dyDescent="0.25">
      <c r="D680" t="s">
        <v>207</v>
      </c>
      <c r="E680" t="s">
        <v>232</v>
      </c>
    </row>
    <row r="681" spans="4:6" x14ac:dyDescent="0.25">
      <c r="D681" t="s">
        <v>280</v>
      </c>
    </row>
    <row r="683" spans="4:6" x14ac:dyDescent="0.25">
      <c r="D683" t="s">
        <v>97</v>
      </c>
      <c r="E683" t="s">
        <v>117</v>
      </c>
    </row>
    <row r="684" spans="4:6" x14ac:dyDescent="0.25">
      <c r="D684" t="s">
        <v>99</v>
      </c>
      <c r="E684" t="s">
        <v>126</v>
      </c>
    </row>
    <row r="685" spans="4:6" x14ac:dyDescent="0.25">
      <c r="D685" t="s">
        <v>127</v>
      </c>
      <c r="E685" t="s">
        <v>319</v>
      </c>
      <c r="F685" t="s">
        <v>319</v>
      </c>
    </row>
    <row r="686" spans="4:6" x14ac:dyDescent="0.25">
      <c r="D686" t="s">
        <v>128</v>
      </c>
      <c r="E686">
        <v>1</v>
      </c>
      <c r="F686">
        <v>2</v>
      </c>
    </row>
    <row r="687" spans="4:6" x14ac:dyDescent="0.25">
      <c r="D687" t="s">
        <v>129</v>
      </c>
      <c r="E687" t="s">
        <v>83</v>
      </c>
      <c r="F687" t="s">
        <v>83</v>
      </c>
    </row>
    <row r="688" spans="4:6" x14ac:dyDescent="0.25">
      <c r="D688" t="s">
        <v>130</v>
      </c>
      <c r="E688">
        <v>1</v>
      </c>
      <c r="F688">
        <v>2</v>
      </c>
    </row>
    <row r="689" spans="2:6" x14ac:dyDescent="0.25">
      <c r="D689" t="s">
        <v>119</v>
      </c>
      <c r="E689">
        <v>150</v>
      </c>
      <c r="F689">
        <v>150</v>
      </c>
    </row>
    <row r="690" spans="2:6" x14ac:dyDescent="0.25">
      <c r="D690" t="s">
        <v>131</v>
      </c>
      <c r="E690">
        <v>0</v>
      </c>
      <c r="F690">
        <v>0</v>
      </c>
    </row>
    <row r="691" spans="2:6" x14ac:dyDescent="0.25">
      <c r="D691" t="s">
        <v>132</v>
      </c>
      <c r="E691" t="s">
        <v>318</v>
      </c>
      <c r="F691" t="s">
        <v>318</v>
      </c>
    </row>
    <row r="692" spans="2:6" x14ac:dyDescent="0.25">
      <c r="D692" t="s">
        <v>133</v>
      </c>
    </row>
    <row r="693" spans="2:6" x14ac:dyDescent="0.25">
      <c r="D693" t="s">
        <v>134</v>
      </c>
    </row>
    <row r="694" spans="2:6" x14ac:dyDescent="0.25">
      <c r="D694" t="s">
        <v>331</v>
      </c>
      <c r="E694">
        <v>0</v>
      </c>
    </row>
    <row r="695" spans="2:6" x14ac:dyDescent="0.25">
      <c r="D695" t="s">
        <v>135</v>
      </c>
      <c r="E695" t="s">
        <v>208</v>
      </c>
    </row>
    <row r="696" spans="2:6" x14ac:dyDescent="0.25">
      <c r="D696" t="s">
        <v>281</v>
      </c>
    </row>
    <row r="701" spans="2:6" x14ac:dyDescent="0.25">
      <c r="B701" t="s">
        <v>220</v>
      </c>
    </row>
    <row r="702" spans="2:6" x14ac:dyDescent="0.25">
      <c r="B702" t="s">
        <v>282</v>
      </c>
    </row>
    <row r="703" spans="2:6" x14ac:dyDescent="0.25">
      <c r="B703" t="s">
        <v>321</v>
      </c>
    </row>
    <row r="704" spans="2:6" x14ac:dyDescent="0.25">
      <c r="B704" t="s">
        <v>283</v>
      </c>
    </row>
    <row r="705" spans="2:5" x14ac:dyDescent="0.25">
      <c r="B705" t="s">
        <v>223</v>
      </c>
    </row>
    <row r="706" spans="2:5" x14ac:dyDescent="0.25">
      <c r="B706" t="s">
        <v>224</v>
      </c>
    </row>
    <row r="707" spans="2:5" x14ac:dyDescent="0.25">
      <c r="B707" t="s">
        <v>284</v>
      </c>
    </row>
    <row r="709" spans="2:5" x14ac:dyDescent="0.25">
      <c r="C709" t="s">
        <v>108</v>
      </c>
    </row>
    <row r="711" spans="2:5" x14ac:dyDescent="0.25">
      <c r="D711" t="s">
        <v>97</v>
      </c>
      <c r="E711" t="s">
        <v>183</v>
      </c>
    </row>
    <row r="712" spans="2:5" x14ac:dyDescent="0.25">
      <c r="D712" t="s">
        <v>99</v>
      </c>
      <c r="E712" t="s">
        <v>184</v>
      </c>
    </row>
    <row r="713" spans="2:5" x14ac:dyDescent="0.25">
      <c r="D713" t="s">
        <v>185</v>
      </c>
      <c r="E713" t="s">
        <v>335</v>
      </c>
    </row>
    <row r="714" spans="2:5" x14ac:dyDescent="0.25">
      <c r="D714" t="s">
        <v>285</v>
      </c>
    </row>
    <row r="716" spans="2:5" x14ac:dyDescent="0.25">
      <c r="D716" t="s">
        <v>97</v>
      </c>
      <c r="E716" t="s">
        <v>183</v>
      </c>
    </row>
    <row r="717" spans="2:5" x14ac:dyDescent="0.25">
      <c r="D717" t="s">
        <v>99</v>
      </c>
      <c r="E717" t="s">
        <v>188</v>
      </c>
    </row>
    <row r="718" spans="2:5" x14ac:dyDescent="0.25">
      <c r="D718" t="s">
        <v>185</v>
      </c>
      <c r="E718" t="s">
        <v>335</v>
      </c>
    </row>
    <row r="719" spans="2:5" x14ac:dyDescent="0.25">
      <c r="D719" t="s">
        <v>286</v>
      </c>
    </row>
    <row r="721" spans="4:5" x14ac:dyDescent="0.25">
      <c r="D721" t="s">
        <v>97</v>
      </c>
      <c r="E721" t="s">
        <v>336</v>
      </c>
    </row>
    <row r="722" spans="4:5" x14ac:dyDescent="0.25">
      <c r="D722" t="s">
        <v>99</v>
      </c>
      <c r="E722" t="s">
        <v>228</v>
      </c>
    </row>
    <row r="723" spans="4:5" x14ac:dyDescent="0.25">
      <c r="D723" t="s">
        <v>101</v>
      </c>
      <c r="E723" t="s">
        <v>335</v>
      </c>
    </row>
    <row r="724" spans="4:5" x14ac:dyDescent="0.25">
      <c r="D724" t="s">
        <v>287</v>
      </c>
    </row>
    <row r="726" spans="4:5" x14ac:dyDescent="0.25">
      <c r="D726" t="s">
        <v>97</v>
      </c>
      <c r="E726" t="s">
        <v>336</v>
      </c>
    </row>
    <row r="727" spans="4:5" x14ac:dyDescent="0.25">
      <c r="D727" t="s">
        <v>99</v>
      </c>
      <c r="E727" t="s">
        <v>230</v>
      </c>
    </row>
    <row r="728" spans="4:5" x14ac:dyDescent="0.25">
      <c r="D728" t="s">
        <v>101</v>
      </c>
      <c r="E728" t="s">
        <v>335</v>
      </c>
    </row>
    <row r="729" spans="4:5" x14ac:dyDescent="0.25">
      <c r="D729" t="s">
        <v>288</v>
      </c>
    </row>
    <row r="731" spans="4:5" x14ac:dyDescent="0.25">
      <c r="D731" t="s">
        <v>97</v>
      </c>
      <c r="E731" t="s">
        <v>200</v>
      </c>
    </row>
    <row r="732" spans="4:5" x14ac:dyDescent="0.25">
      <c r="D732" t="s">
        <v>99</v>
      </c>
      <c r="E732" t="s">
        <v>201</v>
      </c>
    </row>
    <row r="733" spans="4:5" x14ac:dyDescent="0.25">
      <c r="D733" t="s">
        <v>202</v>
      </c>
    </row>
    <row r="734" spans="4:5" x14ac:dyDescent="0.25">
      <c r="D734" t="s">
        <v>203</v>
      </c>
    </row>
    <row r="735" spans="4:5" x14ac:dyDescent="0.25">
      <c r="D735" t="s">
        <v>204</v>
      </c>
    </row>
    <row r="736" spans="4:5" x14ac:dyDescent="0.25">
      <c r="D736" t="s">
        <v>205</v>
      </c>
    </row>
    <row r="737" spans="4:5" x14ac:dyDescent="0.25">
      <c r="D737" t="s">
        <v>206</v>
      </c>
      <c r="E737" t="b">
        <v>1</v>
      </c>
    </row>
    <row r="738" spans="4:5" x14ac:dyDescent="0.25">
      <c r="D738" t="s">
        <v>207</v>
      </c>
      <c r="E738" t="s">
        <v>232</v>
      </c>
    </row>
    <row r="739" spans="4:5" x14ac:dyDescent="0.25">
      <c r="D739" t="s">
        <v>289</v>
      </c>
    </row>
    <row r="741" spans="4:5" x14ac:dyDescent="0.25">
      <c r="D741" t="s">
        <v>97</v>
      </c>
      <c r="E741" t="s">
        <v>234</v>
      </c>
    </row>
    <row r="742" spans="4:5" x14ac:dyDescent="0.25">
      <c r="D742" t="s">
        <v>99</v>
      </c>
      <c r="E742" t="s">
        <v>235</v>
      </c>
    </row>
    <row r="743" spans="4:5" x14ac:dyDescent="0.25">
      <c r="D743" t="s">
        <v>236</v>
      </c>
      <c r="E743">
        <v>120</v>
      </c>
    </row>
    <row r="744" spans="4:5" x14ac:dyDescent="0.25">
      <c r="D744" t="s">
        <v>290</v>
      </c>
    </row>
    <row r="746" spans="4:5" x14ac:dyDescent="0.25">
      <c r="D746" t="s">
        <v>97</v>
      </c>
      <c r="E746" t="s">
        <v>234</v>
      </c>
    </row>
    <row r="747" spans="4:5" x14ac:dyDescent="0.25">
      <c r="D747" t="s">
        <v>99</v>
      </c>
      <c r="E747" t="s">
        <v>238</v>
      </c>
    </row>
    <row r="748" spans="4:5" x14ac:dyDescent="0.25">
      <c r="D748" t="s">
        <v>291</v>
      </c>
    </row>
    <row r="750" spans="4:5" x14ac:dyDescent="0.25">
      <c r="D750" t="s">
        <v>97</v>
      </c>
      <c r="E750" t="s">
        <v>183</v>
      </c>
    </row>
    <row r="751" spans="4:5" x14ac:dyDescent="0.25">
      <c r="D751" t="s">
        <v>99</v>
      </c>
      <c r="E751" t="s">
        <v>184</v>
      </c>
    </row>
    <row r="752" spans="4:5" x14ac:dyDescent="0.25">
      <c r="D752" t="s">
        <v>185</v>
      </c>
      <c r="E752" t="s">
        <v>335</v>
      </c>
    </row>
    <row r="753" spans="4:5" x14ac:dyDescent="0.25">
      <c r="D753" t="s">
        <v>292</v>
      </c>
    </row>
    <row r="755" spans="4:5" x14ac:dyDescent="0.25">
      <c r="D755" t="s">
        <v>97</v>
      </c>
      <c r="E755" t="s">
        <v>183</v>
      </c>
    </row>
    <row r="756" spans="4:5" x14ac:dyDescent="0.25">
      <c r="D756" t="s">
        <v>99</v>
      </c>
      <c r="E756" t="s">
        <v>188</v>
      </c>
    </row>
    <row r="757" spans="4:5" x14ac:dyDescent="0.25">
      <c r="D757" t="s">
        <v>185</v>
      </c>
      <c r="E757" t="s">
        <v>335</v>
      </c>
    </row>
    <row r="758" spans="4:5" x14ac:dyDescent="0.25">
      <c r="D758" t="s">
        <v>293</v>
      </c>
    </row>
    <row r="760" spans="4:5" x14ac:dyDescent="0.25">
      <c r="D760" t="s">
        <v>97</v>
      </c>
      <c r="E760" t="s">
        <v>336</v>
      </c>
    </row>
    <row r="761" spans="4:5" x14ac:dyDescent="0.25">
      <c r="D761" t="s">
        <v>99</v>
      </c>
      <c r="E761" t="s">
        <v>228</v>
      </c>
    </row>
    <row r="762" spans="4:5" x14ac:dyDescent="0.25">
      <c r="D762" t="s">
        <v>101</v>
      </c>
      <c r="E762" t="s">
        <v>335</v>
      </c>
    </row>
    <row r="763" spans="4:5" x14ac:dyDescent="0.25">
      <c r="D763" t="s">
        <v>294</v>
      </c>
    </row>
    <row r="765" spans="4:5" x14ac:dyDescent="0.25">
      <c r="D765" t="s">
        <v>97</v>
      </c>
      <c r="E765" t="s">
        <v>336</v>
      </c>
    </row>
    <row r="766" spans="4:5" x14ac:dyDescent="0.25">
      <c r="D766" t="s">
        <v>99</v>
      </c>
      <c r="E766" t="s">
        <v>230</v>
      </c>
    </row>
    <row r="767" spans="4:5" x14ac:dyDescent="0.25">
      <c r="D767" t="s">
        <v>101</v>
      </c>
      <c r="E767" t="s">
        <v>335</v>
      </c>
    </row>
    <row r="768" spans="4:5" x14ac:dyDescent="0.25">
      <c r="D768" t="s">
        <v>295</v>
      </c>
    </row>
    <row r="770" spans="4:6" x14ac:dyDescent="0.25">
      <c r="D770" t="s">
        <v>97</v>
      </c>
      <c r="E770" t="s">
        <v>336</v>
      </c>
    </row>
    <row r="771" spans="4:6" x14ac:dyDescent="0.25">
      <c r="D771" t="s">
        <v>99</v>
      </c>
      <c r="E771" t="s">
        <v>244</v>
      </c>
    </row>
    <row r="772" spans="4:6" x14ac:dyDescent="0.25">
      <c r="D772" t="s">
        <v>101</v>
      </c>
      <c r="E772" t="s">
        <v>330</v>
      </c>
    </row>
    <row r="773" spans="4:6" x14ac:dyDescent="0.25">
      <c r="D773" t="s">
        <v>248</v>
      </c>
      <c r="E773">
        <v>150</v>
      </c>
      <c r="F773">
        <v>150</v>
      </c>
    </row>
    <row r="774" spans="4:6" x14ac:dyDescent="0.25">
      <c r="D774" t="s">
        <v>296</v>
      </c>
    </row>
    <row r="776" spans="4:6" x14ac:dyDescent="0.25">
      <c r="D776" t="s">
        <v>97</v>
      </c>
      <c r="E776" t="s">
        <v>117</v>
      </c>
    </row>
    <row r="777" spans="4:6" x14ac:dyDescent="0.25">
      <c r="D777" t="s">
        <v>99</v>
      </c>
      <c r="E777" t="s">
        <v>124</v>
      </c>
    </row>
    <row r="778" spans="4:6" x14ac:dyDescent="0.25">
      <c r="D778" t="s">
        <v>119</v>
      </c>
      <c r="E778">
        <v>150</v>
      </c>
      <c r="F778">
        <v>150</v>
      </c>
    </row>
    <row r="779" spans="4:6" x14ac:dyDescent="0.25">
      <c r="D779" t="s">
        <v>297</v>
      </c>
    </row>
    <row r="781" spans="4:6" x14ac:dyDescent="0.25">
      <c r="D781" t="s">
        <v>97</v>
      </c>
      <c r="E781" t="s">
        <v>336</v>
      </c>
    </row>
    <row r="782" spans="4:6" x14ac:dyDescent="0.25">
      <c r="D782" t="s">
        <v>99</v>
      </c>
      <c r="E782" t="s">
        <v>247</v>
      </c>
    </row>
    <row r="783" spans="4:6" x14ac:dyDescent="0.25">
      <c r="D783" t="s">
        <v>101</v>
      </c>
      <c r="E783" t="s">
        <v>330</v>
      </c>
    </row>
    <row r="784" spans="4:6" x14ac:dyDescent="0.25">
      <c r="D784" t="s">
        <v>248</v>
      </c>
      <c r="E784">
        <v>150</v>
      </c>
      <c r="F784">
        <v>150</v>
      </c>
    </row>
    <row r="785" spans="4:6" x14ac:dyDescent="0.25">
      <c r="D785" t="s">
        <v>298</v>
      </c>
    </row>
    <row r="787" spans="4:6" x14ac:dyDescent="0.25">
      <c r="D787" t="s">
        <v>97</v>
      </c>
      <c r="E787" t="s">
        <v>117</v>
      </c>
    </row>
    <row r="788" spans="4:6" x14ac:dyDescent="0.25">
      <c r="D788" t="s">
        <v>99</v>
      </c>
      <c r="E788" t="s">
        <v>124</v>
      </c>
    </row>
    <row r="789" spans="4:6" x14ac:dyDescent="0.25">
      <c r="D789" t="s">
        <v>119</v>
      </c>
      <c r="E789">
        <v>150</v>
      </c>
      <c r="F789">
        <v>150</v>
      </c>
    </row>
    <row r="790" spans="4:6" x14ac:dyDescent="0.25">
      <c r="D790" t="s">
        <v>299</v>
      </c>
    </row>
    <row r="792" spans="4:6" x14ac:dyDescent="0.25">
      <c r="D792" t="s">
        <v>97</v>
      </c>
      <c r="E792" t="s">
        <v>117</v>
      </c>
    </row>
    <row r="793" spans="4:6" x14ac:dyDescent="0.25">
      <c r="D793" t="s">
        <v>99</v>
      </c>
      <c r="E793" t="s">
        <v>126</v>
      </c>
    </row>
    <row r="794" spans="4:6" x14ac:dyDescent="0.25">
      <c r="D794" t="s">
        <v>127</v>
      </c>
      <c r="E794" t="s">
        <v>330</v>
      </c>
      <c r="F794" t="s">
        <v>330</v>
      </c>
    </row>
    <row r="795" spans="4:6" x14ac:dyDescent="0.25">
      <c r="D795" t="s">
        <v>128</v>
      </c>
      <c r="E795">
        <v>1</v>
      </c>
      <c r="F795">
        <v>2</v>
      </c>
    </row>
    <row r="796" spans="4:6" x14ac:dyDescent="0.25">
      <c r="D796" t="s">
        <v>129</v>
      </c>
      <c r="E796" t="s">
        <v>319</v>
      </c>
      <c r="F796" t="s">
        <v>319</v>
      </c>
    </row>
    <row r="797" spans="4:6" x14ac:dyDescent="0.25">
      <c r="D797" t="s">
        <v>130</v>
      </c>
      <c r="E797">
        <v>1</v>
      </c>
      <c r="F797">
        <v>2</v>
      </c>
    </row>
    <row r="798" spans="4:6" x14ac:dyDescent="0.25">
      <c r="D798" t="s">
        <v>119</v>
      </c>
      <c r="E798">
        <v>150</v>
      </c>
      <c r="F798">
        <v>150</v>
      </c>
    </row>
    <row r="799" spans="4:6" x14ac:dyDescent="0.25">
      <c r="D799" t="s">
        <v>131</v>
      </c>
      <c r="E799">
        <v>400</v>
      </c>
      <c r="F799">
        <v>400</v>
      </c>
    </row>
    <row r="800" spans="4:6" x14ac:dyDescent="0.25">
      <c r="D800" t="s">
        <v>132</v>
      </c>
      <c r="E800" t="s">
        <v>28</v>
      </c>
      <c r="F800" t="s">
        <v>28</v>
      </c>
    </row>
    <row r="801" spans="4:5" x14ac:dyDescent="0.25">
      <c r="D801" t="s">
        <v>133</v>
      </c>
    </row>
    <row r="802" spans="4:5" x14ac:dyDescent="0.25">
      <c r="D802" t="s">
        <v>134</v>
      </c>
    </row>
    <row r="803" spans="4:5" x14ac:dyDescent="0.25">
      <c r="D803" t="s">
        <v>331</v>
      </c>
      <c r="E803">
        <v>0</v>
      </c>
    </row>
    <row r="804" spans="4:5" x14ac:dyDescent="0.25">
      <c r="D804" t="s">
        <v>135</v>
      </c>
      <c r="E804" t="s">
        <v>208</v>
      </c>
    </row>
    <row r="805" spans="4:5" x14ac:dyDescent="0.25">
      <c r="D805" t="s">
        <v>300</v>
      </c>
    </row>
    <row r="807" spans="4:5" x14ac:dyDescent="0.25">
      <c r="D807" t="s">
        <v>97</v>
      </c>
      <c r="E807" t="s">
        <v>200</v>
      </c>
    </row>
    <row r="808" spans="4:5" x14ac:dyDescent="0.25">
      <c r="D808" t="s">
        <v>99</v>
      </c>
      <c r="E808" t="s">
        <v>201</v>
      </c>
    </row>
    <row r="809" spans="4:5" x14ac:dyDescent="0.25">
      <c r="D809" t="s">
        <v>202</v>
      </c>
    </row>
    <row r="810" spans="4:5" x14ac:dyDescent="0.25">
      <c r="D810" t="s">
        <v>203</v>
      </c>
    </row>
    <row r="811" spans="4:5" x14ac:dyDescent="0.25">
      <c r="D811" t="s">
        <v>204</v>
      </c>
    </row>
    <row r="812" spans="4:5" x14ac:dyDescent="0.25">
      <c r="D812" t="s">
        <v>205</v>
      </c>
    </row>
    <row r="813" spans="4:5" x14ac:dyDescent="0.25">
      <c r="D813" t="s">
        <v>206</v>
      </c>
      <c r="E813" t="b">
        <v>1</v>
      </c>
    </row>
    <row r="814" spans="4:5" x14ac:dyDescent="0.25">
      <c r="D814" t="s">
        <v>207</v>
      </c>
      <c r="E814" t="s">
        <v>232</v>
      </c>
    </row>
    <row r="815" spans="4:5" x14ac:dyDescent="0.25">
      <c r="D815" t="s">
        <v>301</v>
      </c>
    </row>
    <row r="817" spans="4:6" x14ac:dyDescent="0.25">
      <c r="D817" t="s">
        <v>97</v>
      </c>
      <c r="E817" t="s">
        <v>117</v>
      </c>
    </row>
    <row r="818" spans="4:6" x14ac:dyDescent="0.25">
      <c r="D818" t="s">
        <v>99</v>
      </c>
      <c r="E818" t="s">
        <v>126</v>
      </c>
    </row>
    <row r="819" spans="4:6" x14ac:dyDescent="0.25">
      <c r="D819" t="s">
        <v>127</v>
      </c>
      <c r="E819" t="s">
        <v>319</v>
      </c>
      <c r="F819" t="s">
        <v>319</v>
      </c>
    </row>
    <row r="820" spans="4:6" x14ac:dyDescent="0.25">
      <c r="D820" t="s">
        <v>128</v>
      </c>
      <c r="E820">
        <v>1</v>
      </c>
      <c r="F820">
        <v>2</v>
      </c>
    </row>
    <row r="821" spans="4:6" x14ac:dyDescent="0.25">
      <c r="D821" t="s">
        <v>129</v>
      </c>
      <c r="E821" t="s">
        <v>85</v>
      </c>
      <c r="F821" t="s">
        <v>85</v>
      </c>
    </row>
    <row r="822" spans="4:6" x14ac:dyDescent="0.25">
      <c r="D822" t="s">
        <v>130</v>
      </c>
      <c r="E822">
        <v>1</v>
      </c>
      <c r="F822">
        <v>2</v>
      </c>
    </row>
    <row r="823" spans="4:6" x14ac:dyDescent="0.25">
      <c r="D823" t="s">
        <v>119</v>
      </c>
      <c r="E823">
        <v>150</v>
      </c>
      <c r="F823">
        <v>150</v>
      </c>
    </row>
    <row r="824" spans="4:6" x14ac:dyDescent="0.25">
      <c r="D824" t="s">
        <v>131</v>
      </c>
      <c r="E824">
        <v>0</v>
      </c>
      <c r="F824">
        <v>0</v>
      </c>
    </row>
    <row r="825" spans="4:6" x14ac:dyDescent="0.25">
      <c r="D825" t="s">
        <v>132</v>
      </c>
      <c r="E825" t="s">
        <v>318</v>
      </c>
      <c r="F825" t="s">
        <v>318</v>
      </c>
    </row>
    <row r="826" spans="4:6" x14ac:dyDescent="0.25">
      <c r="D826" t="s">
        <v>133</v>
      </c>
    </row>
    <row r="827" spans="4:6" x14ac:dyDescent="0.25">
      <c r="D827" t="s">
        <v>134</v>
      </c>
    </row>
    <row r="828" spans="4:6" x14ac:dyDescent="0.25">
      <c r="D828" t="s">
        <v>331</v>
      </c>
      <c r="E828">
        <v>0</v>
      </c>
    </row>
    <row r="829" spans="4:6" x14ac:dyDescent="0.25">
      <c r="D829" t="s">
        <v>135</v>
      </c>
      <c r="E829" t="s">
        <v>208</v>
      </c>
    </row>
    <row r="830" spans="4:6" x14ac:dyDescent="0.25">
      <c r="D830" t="s">
        <v>302</v>
      </c>
    </row>
    <row r="832" spans="4:6" x14ac:dyDescent="0.25">
      <c r="D832" t="s">
        <v>97</v>
      </c>
      <c r="E832" t="s">
        <v>200</v>
      </c>
    </row>
    <row r="833" spans="4:5" x14ac:dyDescent="0.25">
      <c r="D833" t="s">
        <v>99</v>
      </c>
      <c r="E833" t="s">
        <v>201</v>
      </c>
    </row>
    <row r="834" spans="4:5" x14ac:dyDescent="0.25">
      <c r="D834" t="s">
        <v>202</v>
      </c>
    </row>
    <row r="835" spans="4:5" x14ac:dyDescent="0.25">
      <c r="D835" t="s">
        <v>203</v>
      </c>
    </row>
    <row r="836" spans="4:5" x14ac:dyDescent="0.25">
      <c r="D836" t="s">
        <v>204</v>
      </c>
    </row>
    <row r="837" spans="4:5" x14ac:dyDescent="0.25">
      <c r="D837" t="s">
        <v>205</v>
      </c>
    </row>
    <row r="838" spans="4:5" x14ac:dyDescent="0.25">
      <c r="D838" t="s">
        <v>206</v>
      </c>
      <c r="E838" t="b">
        <v>1</v>
      </c>
    </row>
    <row r="839" spans="4:5" x14ac:dyDescent="0.25">
      <c r="D839" t="s">
        <v>207</v>
      </c>
      <c r="E839" t="s">
        <v>232</v>
      </c>
    </row>
    <row r="840" spans="4:5" x14ac:dyDescent="0.25">
      <c r="D840" t="s">
        <v>303</v>
      </c>
    </row>
    <row r="842" spans="4:5" x14ac:dyDescent="0.25">
      <c r="D842" t="s">
        <v>97</v>
      </c>
      <c r="E842" t="s">
        <v>234</v>
      </c>
    </row>
    <row r="843" spans="4:5" x14ac:dyDescent="0.25">
      <c r="D843" t="s">
        <v>99</v>
      </c>
      <c r="E843" t="s">
        <v>235</v>
      </c>
    </row>
    <row r="844" spans="4:5" x14ac:dyDescent="0.25">
      <c r="D844" t="s">
        <v>236</v>
      </c>
      <c r="E844">
        <v>120</v>
      </c>
    </row>
    <row r="845" spans="4:5" x14ac:dyDescent="0.25">
      <c r="D845" t="s">
        <v>304</v>
      </c>
    </row>
    <row r="847" spans="4:5" x14ac:dyDescent="0.25">
      <c r="D847" t="s">
        <v>97</v>
      </c>
      <c r="E847" t="s">
        <v>234</v>
      </c>
    </row>
    <row r="848" spans="4:5" x14ac:dyDescent="0.25">
      <c r="D848" t="s">
        <v>99</v>
      </c>
      <c r="E848" t="s">
        <v>238</v>
      </c>
    </row>
    <row r="849" spans="4:5" x14ac:dyDescent="0.25">
      <c r="D849" t="s">
        <v>305</v>
      </c>
    </row>
    <row r="851" spans="4:5" x14ac:dyDescent="0.25">
      <c r="D851" t="s">
        <v>97</v>
      </c>
      <c r="E851" t="s">
        <v>183</v>
      </c>
    </row>
    <row r="852" spans="4:5" x14ac:dyDescent="0.25">
      <c r="D852" t="s">
        <v>99</v>
      </c>
      <c r="E852" t="s">
        <v>184</v>
      </c>
    </row>
    <row r="853" spans="4:5" x14ac:dyDescent="0.25">
      <c r="D853" t="s">
        <v>185</v>
      </c>
      <c r="E853" t="s">
        <v>335</v>
      </c>
    </row>
    <row r="854" spans="4:5" x14ac:dyDescent="0.25">
      <c r="D854" t="s">
        <v>306</v>
      </c>
    </row>
    <row r="856" spans="4:5" x14ac:dyDescent="0.25">
      <c r="D856" t="s">
        <v>97</v>
      </c>
      <c r="E856" t="s">
        <v>183</v>
      </c>
    </row>
    <row r="857" spans="4:5" x14ac:dyDescent="0.25">
      <c r="D857" t="s">
        <v>99</v>
      </c>
      <c r="E857" t="s">
        <v>188</v>
      </c>
    </row>
    <row r="858" spans="4:5" x14ac:dyDescent="0.25">
      <c r="D858" t="s">
        <v>185</v>
      </c>
      <c r="E858" t="s">
        <v>335</v>
      </c>
    </row>
    <row r="859" spans="4:5" x14ac:dyDescent="0.25">
      <c r="D859" t="s">
        <v>307</v>
      </c>
    </row>
    <row r="861" spans="4:5" x14ac:dyDescent="0.25">
      <c r="D861" t="s">
        <v>97</v>
      </c>
      <c r="E861" t="s">
        <v>336</v>
      </c>
    </row>
    <row r="862" spans="4:5" x14ac:dyDescent="0.25">
      <c r="D862" t="s">
        <v>99</v>
      </c>
      <c r="E862" t="s">
        <v>228</v>
      </c>
    </row>
    <row r="863" spans="4:5" x14ac:dyDescent="0.25">
      <c r="D863" t="s">
        <v>101</v>
      </c>
      <c r="E863" t="s">
        <v>335</v>
      </c>
    </row>
    <row r="864" spans="4:5" x14ac:dyDescent="0.25">
      <c r="D864" t="s">
        <v>308</v>
      </c>
    </row>
    <row r="866" spans="4:6" x14ac:dyDescent="0.25">
      <c r="D866" t="s">
        <v>97</v>
      </c>
      <c r="E866" t="s">
        <v>336</v>
      </c>
    </row>
    <row r="867" spans="4:6" x14ac:dyDescent="0.25">
      <c r="D867" t="s">
        <v>99</v>
      </c>
      <c r="E867" t="s">
        <v>230</v>
      </c>
    </row>
    <row r="868" spans="4:6" x14ac:dyDescent="0.25">
      <c r="D868" t="s">
        <v>101</v>
      </c>
      <c r="E868" t="s">
        <v>335</v>
      </c>
    </row>
    <row r="869" spans="4:6" x14ac:dyDescent="0.25">
      <c r="D869" t="s">
        <v>309</v>
      </c>
    </row>
    <row r="871" spans="4:6" x14ac:dyDescent="0.25">
      <c r="D871" t="s">
        <v>97</v>
      </c>
      <c r="E871" t="s">
        <v>336</v>
      </c>
    </row>
    <row r="872" spans="4:6" x14ac:dyDescent="0.25">
      <c r="D872" t="s">
        <v>99</v>
      </c>
      <c r="E872" t="s">
        <v>244</v>
      </c>
    </row>
    <row r="873" spans="4:6" x14ac:dyDescent="0.25">
      <c r="D873" t="s">
        <v>101</v>
      </c>
      <c r="E873" t="s">
        <v>330</v>
      </c>
    </row>
    <row r="874" spans="4:6" x14ac:dyDescent="0.25">
      <c r="D874" t="s">
        <v>248</v>
      </c>
      <c r="E874">
        <v>150</v>
      </c>
      <c r="F874">
        <v>150</v>
      </c>
    </row>
    <row r="875" spans="4:6" x14ac:dyDescent="0.25">
      <c r="D875" t="s">
        <v>310</v>
      </c>
    </row>
    <row r="877" spans="4:6" x14ac:dyDescent="0.25">
      <c r="D877" t="s">
        <v>97</v>
      </c>
      <c r="E877" t="s">
        <v>117</v>
      </c>
    </row>
    <row r="878" spans="4:6" x14ac:dyDescent="0.25">
      <c r="D878" t="s">
        <v>99</v>
      </c>
      <c r="E878" t="s">
        <v>124</v>
      </c>
    </row>
    <row r="879" spans="4:6" x14ac:dyDescent="0.25">
      <c r="D879" t="s">
        <v>119</v>
      </c>
      <c r="E879">
        <v>150</v>
      </c>
      <c r="F879">
        <v>150</v>
      </c>
    </row>
    <row r="880" spans="4:6" x14ac:dyDescent="0.25">
      <c r="D880" t="s">
        <v>311</v>
      </c>
    </row>
    <row r="882" spans="4:6" x14ac:dyDescent="0.25">
      <c r="D882" t="s">
        <v>97</v>
      </c>
      <c r="E882" t="s">
        <v>336</v>
      </c>
    </row>
    <row r="883" spans="4:6" x14ac:dyDescent="0.25">
      <c r="D883" t="s">
        <v>99</v>
      </c>
      <c r="E883" t="s">
        <v>247</v>
      </c>
    </row>
    <row r="884" spans="4:6" x14ac:dyDescent="0.25">
      <c r="D884" t="s">
        <v>101</v>
      </c>
      <c r="E884" t="s">
        <v>330</v>
      </c>
    </row>
    <row r="885" spans="4:6" x14ac:dyDescent="0.25">
      <c r="D885" t="s">
        <v>248</v>
      </c>
      <c r="E885">
        <v>150</v>
      </c>
      <c r="F885">
        <v>150</v>
      </c>
    </row>
    <row r="886" spans="4:6" x14ac:dyDescent="0.25">
      <c r="D886" t="s">
        <v>312</v>
      </c>
    </row>
    <row r="888" spans="4:6" x14ac:dyDescent="0.25">
      <c r="D888" t="s">
        <v>97</v>
      </c>
      <c r="E888" t="s">
        <v>117</v>
      </c>
    </row>
    <row r="889" spans="4:6" x14ac:dyDescent="0.25">
      <c r="D889" t="s">
        <v>99</v>
      </c>
      <c r="E889" t="s">
        <v>124</v>
      </c>
    </row>
    <row r="890" spans="4:6" x14ac:dyDescent="0.25">
      <c r="D890" t="s">
        <v>119</v>
      </c>
      <c r="E890">
        <v>150</v>
      </c>
      <c r="F890">
        <v>150</v>
      </c>
    </row>
    <row r="891" spans="4:6" x14ac:dyDescent="0.25">
      <c r="D891" t="s">
        <v>313</v>
      </c>
    </row>
    <row r="893" spans="4:6" x14ac:dyDescent="0.25">
      <c r="D893" t="s">
        <v>97</v>
      </c>
      <c r="E893" t="s">
        <v>117</v>
      </c>
    </row>
    <row r="894" spans="4:6" x14ac:dyDescent="0.25">
      <c r="D894" t="s">
        <v>99</v>
      </c>
      <c r="E894" t="s">
        <v>126</v>
      </c>
    </row>
    <row r="895" spans="4:6" x14ac:dyDescent="0.25">
      <c r="D895" t="s">
        <v>127</v>
      </c>
      <c r="E895" t="s">
        <v>330</v>
      </c>
      <c r="F895" t="s">
        <v>330</v>
      </c>
    </row>
    <row r="896" spans="4:6" x14ac:dyDescent="0.25">
      <c r="D896" t="s">
        <v>128</v>
      </c>
      <c r="E896">
        <v>1</v>
      </c>
      <c r="F896">
        <v>2</v>
      </c>
    </row>
    <row r="897" spans="4:6" x14ac:dyDescent="0.25">
      <c r="D897" t="s">
        <v>129</v>
      </c>
      <c r="E897" t="s">
        <v>319</v>
      </c>
      <c r="F897" t="s">
        <v>319</v>
      </c>
    </row>
    <row r="898" spans="4:6" x14ac:dyDescent="0.25">
      <c r="D898" t="s">
        <v>130</v>
      </c>
      <c r="E898">
        <v>1</v>
      </c>
      <c r="F898">
        <v>2</v>
      </c>
    </row>
    <row r="899" spans="4:6" x14ac:dyDescent="0.25">
      <c r="D899" t="s">
        <v>119</v>
      </c>
      <c r="E899">
        <v>150</v>
      </c>
      <c r="F899">
        <v>150</v>
      </c>
    </row>
    <row r="900" spans="4:6" x14ac:dyDescent="0.25">
      <c r="D900" t="s">
        <v>131</v>
      </c>
      <c r="E900">
        <v>550</v>
      </c>
      <c r="F900">
        <v>550</v>
      </c>
    </row>
    <row r="901" spans="4:6" x14ac:dyDescent="0.25">
      <c r="D901" t="s">
        <v>132</v>
      </c>
      <c r="E901" t="s">
        <v>28</v>
      </c>
      <c r="F901" t="s">
        <v>28</v>
      </c>
    </row>
    <row r="902" spans="4:6" x14ac:dyDescent="0.25">
      <c r="D902" t="s">
        <v>133</v>
      </c>
    </row>
    <row r="903" spans="4:6" x14ac:dyDescent="0.25">
      <c r="D903" t="s">
        <v>134</v>
      </c>
    </row>
    <row r="904" spans="4:6" x14ac:dyDescent="0.25">
      <c r="D904" t="s">
        <v>331</v>
      </c>
      <c r="E904">
        <v>0</v>
      </c>
    </row>
    <row r="905" spans="4:6" x14ac:dyDescent="0.25">
      <c r="D905" t="s">
        <v>135</v>
      </c>
      <c r="E905" t="s">
        <v>208</v>
      </c>
    </row>
    <row r="906" spans="4:6" x14ac:dyDescent="0.25">
      <c r="D906" t="s">
        <v>314</v>
      </c>
    </row>
    <row r="908" spans="4:6" x14ac:dyDescent="0.25">
      <c r="D908" t="s">
        <v>97</v>
      </c>
      <c r="E908" t="s">
        <v>200</v>
      </c>
    </row>
    <row r="909" spans="4:6" x14ac:dyDescent="0.25">
      <c r="D909" t="s">
        <v>99</v>
      </c>
      <c r="E909" t="s">
        <v>201</v>
      </c>
    </row>
    <row r="910" spans="4:6" x14ac:dyDescent="0.25">
      <c r="D910" t="s">
        <v>202</v>
      </c>
    </row>
    <row r="911" spans="4:6" x14ac:dyDescent="0.25">
      <c r="D911" t="s">
        <v>203</v>
      </c>
    </row>
    <row r="912" spans="4:6" x14ac:dyDescent="0.25">
      <c r="D912" t="s">
        <v>204</v>
      </c>
    </row>
    <row r="913" spans="4:6" x14ac:dyDescent="0.25">
      <c r="D913" t="s">
        <v>205</v>
      </c>
    </row>
    <row r="914" spans="4:6" x14ac:dyDescent="0.25">
      <c r="D914" t="s">
        <v>206</v>
      </c>
      <c r="E914" t="b">
        <v>1</v>
      </c>
    </row>
    <row r="915" spans="4:6" x14ac:dyDescent="0.25">
      <c r="D915" t="s">
        <v>207</v>
      </c>
      <c r="E915" t="s">
        <v>232</v>
      </c>
    </row>
    <row r="916" spans="4:6" x14ac:dyDescent="0.25">
      <c r="D916" t="s">
        <v>315</v>
      </c>
    </row>
    <row r="918" spans="4:6" x14ac:dyDescent="0.25">
      <c r="D918" t="s">
        <v>97</v>
      </c>
      <c r="E918" t="s">
        <v>117</v>
      </c>
    </row>
    <row r="919" spans="4:6" x14ac:dyDescent="0.25">
      <c r="D919" t="s">
        <v>99</v>
      </c>
      <c r="E919" t="s">
        <v>126</v>
      </c>
    </row>
    <row r="920" spans="4:6" x14ac:dyDescent="0.25">
      <c r="D920" t="s">
        <v>127</v>
      </c>
      <c r="E920" t="s">
        <v>319</v>
      </c>
      <c r="F920" t="s">
        <v>319</v>
      </c>
    </row>
    <row r="921" spans="4:6" x14ac:dyDescent="0.25">
      <c r="D921" t="s">
        <v>128</v>
      </c>
      <c r="E921">
        <v>1</v>
      </c>
      <c r="F921">
        <v>2</v>
      </c>
    </row>
    <row r="922" spans="4:6" x14ac:dyDescent="0.25">
      <c r="D922" t="s">
        <v>129</v>
      </c>
      <c r="E922" t="s">
        <v>85</v>
      </c>
      <c r="F922" t="s">
        <v>85</v>
      </c>
    </row>
    <row r="923" spans="4:6" x14ac:dyDescent="0.25">
      <c r="D923" t="s">
        <v>130</v>
      </c>
      <c r="E923">
        <v>1</v>
      </c>
      <c r="F923">
        <v>2</v>
      </c>
    </row>
    <row r="924" spans="4:6" x14ac:dyDescent="0.25">
      <c r="D924" t="s">
        <v>119</v>
      </c>
      <c r="E924">
        <v>150</v>
      </c>
      <c r="F924">
        <v>150</v>
      </c>
    </row>
    <row r="925" spans="4:6" x14ac:dyDescent="0.25">
      <c r="D925" t="s">
        <v>131</v>
      </c>
      <c r="E925">
        <v>0</v>
      </c>
      <c r="F925">
        <v>0</v>
      </c>
    </row>
    <row r="926" spans="4:6" x14ac:dyDescent="0.25">
      <c r="D926" t="s">
        <v>132</v>
      </c>
      <c r="E926" t="s">
        <v>318</v>
      </c>
      <c r="F926" t="s">
        <v>318</v>
      </c>
    </row>
    <row r="927" spans="4:6" x14ac:dyDescent="0.25">
      <c r="D927" t="s">
        <v>133</v>
      </c>
    </row>
    <row r="928" spans="4:6" x14ac:dyDescent="0.25">
      <c r="D928" t="s">
        <v>134</v>
      </c>
    </row>
    <row r="929" spans="2:5" x14ac:dyDescent="0.25">
      <c r="D929" t="s">
        <v>331</v>
      </c>
      <c r="E929">
        <v>0</v>
      </c>
    </row>
    <row r="930" spans="2:5" x14ac:dyDescent="0.25">
      <c r="D930" t="s">
        <v>135</v>
      </c>
      <c r="E930" t="s">
        <v>208</v>
      </c>
    </row>
    <row r="931" spans="2:5" x14ac:dyDescent="0.25">
      <c r="D931" t="s">
        <v>316</v>
      </c>
    </row>
    <row r="936" spans="2:5" x14ac:dyDescent="0.25">
      <c r="B936" t="s">
        <v>337</v>
      </c>
    </row>
    <row r="937" spans="2:5" x14ac:dyDescent="0.25">
      <c r="B937" t="s">
        <v>317</v>
      </c>
    </row>
    <row r="938" spans="2:5" x14ac:dyDescent="0.25">
      <c r="B938" t="s">
        <v>338</v>
      </c>
    </row>
    <row r="939" spans="2:5" x14ac:dyDescent="0.25">
      <c r="B939" t="s">
        <v>339</v>
      </c>
    </row>
    <row r="942" spans="2:5" x14ac:dyDescent="0.25">
      <c r="D942" t="s">
        <v>97</v>
      </c>
      <c r="E942" t="s">
        <v>234</v>
      </c>
    </row>
    <row r="943" spans="2:5" x14ac:dyDescent="0.25">
      <c r="D943" t="s">
        <v>99</v>
      </c>
      <c r="E943" t="s">
        <v>235</v>
      </c>
    </row>
    <row r="944" spans="2:5" x14ac:dyDescent="0.25">
      <c r="D944" t="s">
        <v>236</v>
      </c>
      <c r="E944">
        <v>3578.3</v>
      </c>
    </row>
    <row r="945" spans="4:5" x14ac:dyDescent="0.25">
      <c r="D945" t="s">
        <v>340</v>
      </c>
    </row>
    <row r="947" spans="4:5" x14ac:dyDescent="0.25">
      <c r="D947" t="s">
        <v>97</v>
      </c>
      <c r="E947" t="s">
        <v>234</v>
      </c>
    </row>
    <row r="948" spans="4:5" x14ac:dyDescent="0.25">
      <c r="D948" t="s">
        <v>99</v>
      </c>
      <c r="E948" t="s">
        <v>238</v>
      </c>
    </row>
    <row r="949" spans="4:5" x14ac:dyDescent="0.25">
      <c r="D949" t="s">
        <v>341</v>
      </c>
    </row>
    <row r="951" spans="4:5" x14ac:dyDescent="0.25">
      <c r="D951" t="s">
        <v>97</v>
      </c>
      <c r="E951" t="s">
        <v>98</v>
      </c>
    </row>
    <row r="952" spans="4:5" x14ac:dyDescent="0.25">
      <c r="D952" t="s">
        <v>99</v>
      </c>
      <c r="E952" t="s">
        <v>342</v>
      </c>
    </row>
    <row r="953" spans="4:5" x14ac:dyDescent="0.25">
      <c r="D953" t="s">
        <v>101</v>
      </c>
      <c r="E953" t="s">
        <v>186</v>
      </c>
    </row>
    <row r="954" spans="4:5" x14ac:dyDescent="0.25">
      <c r="D954" t="s">
        <v>343</v>
      </c>
    </row>
    <row r="956" spans="4:5" x14ac:dyDescent="0.25">
      <c r="D956" t="s">
        <v>97</v>
      </c>
      <c r="E956" t="s">
        <v>193</v>
      </c>
    </row>
    <row r="957" spans="4:5" x14ac:dyDescent="0.25">
      <c r="D957" t="s">
        <v>99</v>
      </c>
      <c r="E957" t="s">
        <v>195</v>
      </c>
    </row>
    <row r="958" spans="4:5" x14ac:dyDescent="0.25">
      <c r="D958" t="s">
        <v>101</v>
      </c>
      <c r="E958" t="s">
        <v>186</v>
      </c>
    </row>
    <row r="959" spans="4:5" x14ac:dyDescent="0.25">
      <c r="D959" t="s">
        <v>344</v>
      </c>
    </row>
    <row r="961" spans="4:5" x14ac:dyDescent="0.25">
      <c r="D961" t="s">
        <v>97</v>
      </c>
      <c r="E961" t="s">
        <v>193</v>
      </c>
    </row>
    <row r="962" spans="4:5" x14ac:dyDescent="0.25">
      <c r="D962" t="s">
        <v>99</v>
      </c>
      <c r="E962" t="s">
        <v>333</v>
      </c>
    </row>
    <row r="963" spans="4:5" x14ac:dyDescent="0.25">
      <c r="D963" t="s">
        <v>101</v>
      </c>
      <c r="E963" t="s">
        <v>186</v>
      </c>
    </row>
    <row r="964" spans="4:5" x14ac:dyDescent="0.25">
      <c r="D964" t="s">
        <v>345</v>
      </c>
    </row>
    <row r="966" spans="4:5" x14ac:dyDescent="0.25">
      <c r="D966" t="s">
        <v>97</v>
      </c>
      <c r="E966" t="s">
        <v>98</v>
      </c>
    </row>
    <row r="967" spans="4:5" x14ac:dyDescent="0.25">
      <c r="D967" t="s">
        <v>99</v>
      </c>
      <c r="E967" t="s">
        <v>195</v>
      </c>
    </row>
    <row r="968" spans="4:5" x14ac:dyDescent="0.25">
      <c r="D968" t="s">
        <v>101</v>
      </c>
      <c r="E968" t="s">
        <v>186</v>
      </c>
    </row>
    <row r="969" spans="4:5" x14ac:dyDescent="0.25">
      <c r="D969" t="s">
        <v>346</v>
      </c>
    </row>
    <row r="971" spans="4:5" x14ac:dyDescent="0.25">
      <c r="D971" t="s">
        <v>97</v>
      </c>
      <c r="E971" t="s">
        <v>98</v>
      </c>
    </row>
    <row r="972" spans="4:5" x14ac:dyDescent="0.25">
      <c r="D972" t="s">
        <v>99</v>
      </c>
      <c r="E972" t="s">
        <v>333</v>
      </c>
    </row>
    <row r="973" spans="4:5" x14ac:dyDescent="0.25">
      <c r="D973" t="s">
        <v>101</v>
      </c>
      <c r="E973" t="s">
        <v>186</v>
      </c>
    </row>
    <row r="974" spans="4:5" x14ac:dyDescent="0.25">
      <c r="D974" t="s">
        <v>347</v>
      </c>
    </row>
    <row r="976" spans="4:5" x14ac:dyDescent="0.25">
      <c r="D976" t="s">
        <v>97</v>
      </c>
      <c r="E976" t="s">
        <v>183</v>
      </c>
    </row>
    <row r="977" spans="4:5" x14ac:dyDescent="0.25">
      <c r="D977" t="s">
        <v>99</v>
      </c>
      <c r="E977" t="s">
        <v>184</v>
      </c>
    </row>
    <row r="978" spans="4:5" x14ac:dyDescent="0.25">
      <c r="D978" t="s">
        <v>185</v>
      </c>
      <c r="E978" t="s">
        <v>186</v>
      </c>
    </row>
    <row r="979" spans="4:5" x14ac:dyDescent="0.25">
      <c r="D979" t="s">
        <v>348</v>
      </c>
    </row>
    <row r="981" spans="4:5" x14ac:dyDescent="0.25">
      <c r="D981" t="s">
        <v>97</v>
      </c>
      <c r="E981" t="s">
        <v>183</v>
      </c>
    </row>
    <row r="982" spans="4:5" x14ac:dyDescent="0.25">
      <c r="D982" t="s">
        <v>99</v>
      </c>
      <c r="E982" t="s">
        <v>188</v>
      </c>
    </row>
    <row r="983" spans="4:5" x14ac:dyDescent="0.25">
      <c r="D983" t="s">
        <v>185</v>
      </c>
      <c r="E983" t="s">
        <v>186</v>
      </c>
    </row>
    <row r="984" spans="4:5" x14ac:dyDescent="0.25">
      <c r="D984" t="s">
        <v>349</v>
      </c>
    </row>
    <row r="986" spans="4:5" x14ac:dyDescent="0.25">
      <c r="D986" t="s">
        <v>97</v>
      </c>
      <c r="E986" t="s">
        <v>98</v>
      </c>
    </row>
    <row r="987" spans="4:5" x14ac:dyDescent="0.25">
      <c r="D987" t="s">
        <v>99</v>
      </c>
      <c r="E987" t="s">
        <v>190</v>
      </c>
    </row>
    <row r="988" spans="4:5" x14ac:dyDescent="0.25">
      <c r="D988" t="s">
        <v>101</v>
      </c>
      <c r="E988" t="s">
        <v>186</v>
      </c>
    </row>
    <row r="989" spans="4:5" x14ac:dyDescent="0.25">
      <c r="D989" t="s">
        <v>350</v>
      </c>
    </row>
    <row r="991" spans="4:5" x14ac:dyDescent="0.25">
      <c r="D991" t="s">
        <v>97</v>
      </c>
      <c r="E991" t="s">
        <v>98</v>
      </c>
    </row>
    <row r="992" spans="4:5" x14ac:dyDescent="0.25">
      <c r="D992" t="s">
        <v>99</v>
      </c>
      <c r="E992" t="s">
        <v>332</v>
      </c>
    </row>
    <row r="993" spans="4:5" x14ac:dyDescent="0.25">
      <c r="D993" t="s">
        <v>101</v>
      </c>
      <c r="E993" t="s">
        <v>186</v>
      </c>
    </row>
    <row r="994" spans="4:5" x14ac:dyDescent="0.25">
      <c r="D994" t="s">
        <v>351</v>
      </c>
    </row>
    <row r="996" spans="4:5" x14ac:dyDescent="0.25">
      <c r="D996" t="s">
        <v>97</v>
      </c>
      <c r="E996" t="s">
        <v>200</v>
      </c>
    </row>
    <row r="997" spans="4:5" x14ac:dyDescent="0.25">
      <c r="D997" t="s">
        <v>99</v>
      </c>
      <c r="E997" t="s">
        <v>201</v>
      </c>
    </row>
    <row r="998" spans="4:5" x14ac:dyDescent="0.25">
      <c r="D998" t="s">
        <v>202</v>
      </c>
    </row>
    <row r="999" spans="4:5" x14ac:dyDescent="0.25">
      <c r="D999" t="s">
        <v>203</v>
      </c>
    </row>
    <row r="1000" spans="4:5" x14ac:dyDescent="0.25">
      <c r="D1000" t="s">
        <v>204</v>
      </c>
    </row>
    <row r="1001" spans="4:5" x14ac:dyDescent="0.25">
      <c r="D1001" t="s">
        <v>205</v>
      </c>
    </row>
    <row r="1002" spans="4:5" x14ac:dyDescent="0.25">
      <c r="D1002" t="s">
        <v>206</v>
      </c>
      <c r="E1002" t="b">
        <v>0</v>
      </c>
    </row>
    <row r="1003" spans="4:5" x14ac:dyDescent="0.25">
      <c r="D1003" t="s">
        <v>207</v>
      </c>
      <c r="E1003" t="s">
        <v>232</v>
      </c>
    </row>
    <row r="1004" spans="4:5" x14ac:dyDescent="0.25">
      <c r="D1004" t="s">
        <v>352</v>
      </c>
    </row>
    <row r="1006" spans="4:5" x14ac:dyDescent="0.25">
      <c r="D1006" t="s">
        <v>97</v>
      </c>
      <c r="E1006" t="s">
        <v>200</v>
      </c>
    </row>
    <row r="1007" spans="4:5" x14ac:dyDescent="0.25">
      <c r="D1007" t="s">
        <v>99</v>
      </c>
      <c r="E1007" t="s">
        <v>201</v>
      </c>
    </row>
    <row r="1008" spans="4:5" x14ac:dyDescent="0.25">
      <c r="D1008" t="s">
        <v>202</v>
      </c>
    </row>
    <row r="1009" spans="4:5" x14ac:dyDescent="0.25">
      <c r="D1009" t="s">
        <v>203</v>
      </c>
    </row>
    <row r="1010" spans="4:5" x14ac:dyDescent="0.25">
      <c r="D1010" t="s">
        <v>204</v>
      </c>
    </row>
    <row r="1011" spans="4:5" x14ac:dyDescent="0.25">
      <c r="D1011" t="s">
        <v>205</v>
      </c>
    </row>
    <row r="1012" spans="4:5" x14ac:dyDescent="0.25">
      <c r="D1012" t="s">
        <v>206</v>
      </c>
      <c r="E1012" t="b">
        <v>1</v>
      </c>
    </row>
    <row r="1013" spans="4:5" x14ac:dyDescent="0.25">
      <c r="D1013" t="s">
        <v>207</v>
      </c>
      <c r="E1013" t="s">
        <v>232</v>
      </c>
    </row>
    <row r="1014" spans="4:5" x14ac:dyDescent="0.25">
      <c r="D1014" t="s">
        <v>353</v>
      </c>
    </row>
    <row r="1016" spans="4:5" x14ac:dyDescent="0.25">
      <c r="D1016" t="s">
        <v>97</v>
      </c>
      <c r="E1016" t="s">
        <v>98</v>
      </c>
    </row>
    <row r="1017" spans="4:5" x14ac:dyDescent="0.25">
      <c r="D1017" t="s">
        <v>99</v>
      </c>
      <c r="E1017" t="s">
        <v>354</v>
      </c>
    </row>
    <row r="1018" spans="4:5" x14ac:dyDescent="0.25">
      <c r="D1018" t="s">
        <v>101</v>
      </c>
      <c r="E1018" t="s">
        <v>186</v>
      </c>
    </row>
    <row r="1020" spans="4:5" x14ac:dyDescent="0.25">
      <c r="D1020" t="s">
        <v>97</v>
      </c>
      <c r="E1020" t="s">
        <v>193</v>
      </c>
    </row>
    <row r="1021" spans="4:5" x14ac:dyDescent="0.25">
      <c r="D1021" t="s">
        <v>99</v>
      </c>
      <c r="E1021" t="s">
        <v>354</v>
      </c>
    </row>
    <row r="1022" spans="4:5" x14ac:dyDescent="0.25">
      <c r="D1022" t="s">
        <v>101</v>
      </c>
      <c r="E1022" t="s">
        <v>186</v>
      </c>
    </row>
    <row r="1023" spans="4:5" x14ac:dyDescent="0.25">
      <c r="D1023" t="s">
        <v>355</v>
      </c>
    </row>
    <row r="1025" spans="2:5" x14ac:dyDescent="0.25">
      <c r="D1025" t="s">
        <v>97</v>
      </c>
      <c r="E1025" t="s">
        <v>98</v>
      </c>
    </row>
    <row r="1026" spans="2:5" x14ac:dyDescent="0.25">
      <c r="D1026" t="s">
        <v>99</v>
      </c>
      <c r="E1026" t="s">
        <v>100</v>
      </c>
    </row>
    <row r="1027" spans="2:5" x14ac:dyDescent="0.25">
      <c r="D1027" t="s">
        <v>101</v>
      </c>
      <c r="E1027" t="s">
        <v>330</v>
      </c>
    </row>
    <row r="1028" spans="2:5" x14ac:dyDescent="0.25">
      <c r="D1028" t="s">
        <v>102</v>
      </c>
      <c r="E1028">
        <v>90</v>
      </c>
    </row>
    <row r="1029" spans="2:5" x14ac:dyDescent="0.25">
      <c r="D1029" t="s">
        <v>103</v>
      </c>
      <c r="E1029">
        <v>350</v>
      </c>
    </row>
    <row r="1030" spans="2:5" x14ac:dyDescent="0.25">
      <c r="C1030" t="s">
        <v>108</v>
      </c>
    </row>
    <row r="1035" spans="2:5" x14ac:dyDescent="0.25">
      <c r="B1035" t="s">
        <v>337</v>
      </c>
    </row>
    <row r="1036" spans="2:5" x14ac:dyDescent="0.25">
      <c r="B1036" t="s">
        <v>356</v>
      </c>
    </row>
    <row r="1037" spans="2:5" x14ac:dyDescent="0.25">
      <c r="B1037" t="s">
        <v>357</v>
      </c>
    </row>
    <row r="1038" spans="2:5" x14ac:dyDescent="0.25">
      <c r="B1038" t="s">
        <v>358</v>
      </c>
    </row>
    <row r="1044" spans="2:5" x14ac:dyDescent="0.25">
      <c r="B1044" t="s">
        <v>220</v>
      </c>
    </row>
    <row r="1045" spans="2:5" x14ac:dyDescent="0.25">
      <c r="B1045" t="s">
        <v>359</v>
      </c>
    </row>
    <row r="1046" spans="2:5" x14ac:dyDescent="0.25">
      <c r="B1046" t="s">
        <v>321</v>
      </c>
    </row>
    <row r="1047" spans="2:5" x14ac:dyDescent="0.25">
      <c r="B1047" t="s">
        <v>360</v>
      </c>
    </row>
    <row r="1048" spans="2:5" x14ac:dyDescent="0.25">
      <c r="B1048" t="s">
        <v>361</v>
      </c>
    </row>
    <row r="1049" spans="2:5" x14ac:dyDescent="0.25">
      <c r="B1049" t="s">
        <v>224</v>
      </c>
    </row>
    <row r="1050" spans="2:5" x14ac:dyDescent="0.25">
      <c r="B1050" t="s">
        <v>362</v>
      </c>
    </row>
    <row r="1052" spans="2:5" x14ac:dyDescent="0.25">
      <c r="C1052" t="s">
        <v>108</v>
      </c>
    </row>
    <row r="1054" spans="2:5" x14ac:dyDescent="0.25">
      <c r="D1054" t="s">
        <v>97</v>
      </c>
      <c r="E1054" t="s">
        <v>183</v>
      </c>
    </row>
    <row r="1055" spans="2:5" x14ac:dyDescent="0.25">
      <c r="D1055" t="s">
        <v>99</v>
      </c>
      <c r="E1055" t="s">
        <v>184</v>
      </c>
    </row>
    <row r="1056" spans="2:5" x14ac:dyDescent="0.25">
      <c r="D1056" t="s">
        <v>185</v>
      </c>
      <c r="E1056" t="s">
        <v>335</v>
      </c>
    </row>
    <row r="1057" spans="4:5" x14ac:dyDescent="0.25">
      <c r="D1057" t="s">
        <v>363</v>
      </c>
    </row>
    <row r="1059" spans="4:5" x14ac:dyDescent="0.25">
      <c r="D1059" t="s">
        <v>97</v>
      </c>
      <c r="E1059" t="s">
        <v>183</v>
      </c>
    </row>
    <row r="1060" spans="4:5" x14ac:dyDescent="0.25">
      <c r="D1060" t="s">
        <v>99</v>
      </c>
      <c r="E1060" t="s">
        <v>188</v>
      </c>
    </row>
    <row r="1061" spans="4:5" x14ac:dyDescent="0.25">
      <c r="D1061" t="s">
        <v>185</v>
      </c>
      <c r="E1061" t="s">
        <v>335</v>
      </c>
    </row>
    <row r="1062" spans="4:5" x14ac:dyDescent="0.25">
      <c r="D1062" t="s">
        <v>364</v>
      </c>
    </row>
    <row r="1064" spans="4:5" x14ac:dyDescent="0.25">
      <c r="D1064" t="s">
        <v>97</v>
      </c>
      <c r="E1064" t="s">
        <v>336</v>
      </c>
    </row>
    <row r="1065" spans="4:5" x14ac:dyDescent="0.25">
      <c r="D1065" t="s">
        <v>99</v>
      </c>
      <c r="E1065" t="s">
        <v>228</v>
      </c>
    </row>
    <row r="1066" spans="4:5" x14ac:dyDescent="0.25">
      <c r="D1066" t="s">
        <v>101</v>
      </c>
      <c r="E1066" t="s">
        <v>335</v>
      </c>
    </row>
    <row r="1067" spans="4:5" x14ac:dyDescent="0.25">
      <c r="D1067" t="s">
        <v>365</v>
      </c>
    </row>
    <row r="1069" spans="4:5" x14ac:dyDescent="0.25">
      <c r="D1069" t="s">
        <v>97</v>
      </c>
      <c r="E1069" t="s">
        <v>336</v>
      </c>
    </row>
    <row r="1070" spans="4:5" x14ac:dyDescent="0.25">
      <c r="D1070" t="s">
        <v>99</v>
      </c>
      <c r="E1070" t="s">
        <v>230</v>
      </c>
    </row>
    <row r="1071" spans="4:5" x14ac:dyDescent="0.25">
      <c r="D1071" t="s">
        <v>101</v>
      </c>
      <c r="E1071" t="s">
        <v>335</v>
      </c>
    </row>
    <row r="1072" spans="4:5" x14ac:dyDescent="0.25">
      <c r="D1072" t="s">
        <v>366</v>
      </c>
    </row>
    <row r="1074" spans="4:5" x14ac:dyDescent="0.25">
      <c r="D1074" t="s">
        <v>97</v>
      </c>
      <c r="E1074" t="s">
        <v>200</v>
      </c>
    </row>
    <row r="1075" spans="4:5" x14ac:dyDescent="0.25">
      <c r="D1075" t="s">
        <v>99</v>
      </c>
      <c r="E1075" t="s">
        <v>201</v>
      </c>
    </row>
    <row r="1076" spans="4:5" x14ac:dyDescent="0.25">
      <c r="D1076" t="s">
        <v>202</v>
      </c>
    </row>
    <row r="1077" spans="4:5" x14ac:dyDescent="0.25">
      <c r="D1077" t="s">
        <v>203</v>
      </c>
    </row>
    <row r="1078" spans="4:5" x14ac:dyDescent="0.25">
      <c r="D1078" t="s">
        <v>204</v>
      </c>
    </row>
    <row r="1079" spans="4:5" x14ac:dyDescent="0.25">
      <c r="D1079" t="s">
        <v>205</v>
      </c>
    </row>
    <row r="1080" spans="4:5" x14ac:dyDescent="0.25">
      <c r="D1080" t="s">
        <v>206</v>
      </c>
      <c r="E1080" t="b">
        <v>1</v>
      </c>
    </row>
    <row r="1081" spans="4:5" x14ac:dyDescent="0.25">
      <c r="D1081" t="s">
        <v>207</v>
      </c>
      <c r="E1081" t="s">
        <v>232</v>
      </c>
    </row>
    <row r="1082" spans="4:5" x14ac:dyDescent="0.25">
      <c r="D1082" t="s">
        <v>367</v>
      </c>
    </row>
    <row r="1084" spans="4:5" x14ac:dyDescent="0.25">
      <c r="D1084" t="s">
        <v>97</v>
      </c>
      <c r="E1084" t="s">
        <v>234</v>
      </c>
    </row>
    <row r="1085" spans="4:5" x14ac:dyDescent="0.25">
      <c r="D1085" t="s">
        <v>99</v>
      </c>
      <c r="E1085" t="s">
        <v>235</v>
      </c>
    </row>
    <row r="1086" spans="4:5" x14ac:dyDescent="0.25">
      <c r="D1086" t="s">
        <v>236</v>
      </c>
      <c r="E1086">
        <v>120</v>
      </c>
    </row>
    <row r="1087" spans="4:5" x14ac:dyDescent="0.25">
      <c r="D1087" t="s">
        <v>368</v>
      </c>
    </row>
    <row r="1089" spans="4:5" x14ac:dyDescent="0.25">
      <c r="D1089" t="s">
        <v>97</v>
      </c>
      <c r="E1089" t="s">
        <v>234</v>
      </c>
    </row>
    <row r="1090" spans="4:5" x14ac:dyDescent="0.25">
      <c r="D1090" t="s">
        <v>99</v>
      </c>
      <c r="E1090" t="s">
        <v>238</v>
      </c>
    </row>
    <row r="1091" spans="4:5" x14ac:dyDescent="0.25">
      <c r="D1091" t="s">
        <v>369</v>
      </c>
    </row>
    <row r="1093" spans="4:5" x14ac:dyDescent="0.25">
      <c r="D1093" t="s">
        <v>97</v>
      </c>
      <c r="E1093" t="s">
        <v>183</v>
      </c>
    </row>
    <row r="1094" spans="4:5" x14ac:dyDescent="0.25">
      <c r="D1094" t="s">
        <v>99</v>
      </c>
      <c r="E1094" t="s">
        <v>184</v>
      </c>
    </row>
    <row r="1095" spans="4:5" x14ac:dyDescent="0.25">
      <c r="D1095" t="s">
        <v>185</v>
      </c>
      <c r="E1095" t="s">
        <v>335</v>
      </c>
    </row>
    <row r="1096" spans="4:5" x14ac:dyDescent="0.25">
      <c r="D1096" t="s">
        <v>370</v>
      </c>
    </row>
    <row r="1098" spans="4:5" x14ac:dyDescent="0.25">
      <c r="D1098" t="s">
        <v>97</v>
      </c>
      <c r="E1098" t="s">
        <v>183</v>
      </c>
    </row>
    <row r="1099" spans="4:5" x14ac:dyDescent="0.25">
      <c r="D1099" t="s">
        <v>99</v>
      </c>
      <c r="E1099" t="s">
        <v>188</v>
      </c>
    </row>
    <row r="1100" spans="4:5" x14ac:dyDescent="0.25">
      <c r="D1100" t="s">
        <v>185</v>
      </c>
      <c r="E1100" t="s">
        <v>335</v>
      </c>
    </row>
    <row r="1101" spans="4:5" x14ac:dyDescent="0.25">
      <c r="D1101" t="s">
        <v>371</v>
      </c>
    </row>
    <row r="1103" spans="4:5" x14ac:dyDescent="0.25">
      <c r="D1103" t="s">
        <v>97</v>
      </c>
      <c r="E1103" t="s">
        <v>336</v>
      </c>
    </row>
    <row r="1104" spans="4:5" x14ac:dyDescent="0.25">
      <c r="D1104" t="s">
        <v>99</v>
      </c>
      <c r="E1104" t="s">
        <v>228</v>
      </c>
    </row>
    <row r="1105" spans="4:6" x14ac:dyDescent="0.25">
      <c r="D1105" t="s">
        <v>101</v>
      </c>
      <c r="E1105" t="s">
        <v>335</v>
      </c>
    </row>
    <row r="1106" spans="4:6" x14ac:dyDescent="0.25">
      <c r="D1106" t="s">
        <v>372</v>
      </c>
    </row>
    <row r="1108" spans="4:6" x14ac:dyDescent="0.25">
      <c r="D1108" t="s">
        <v>97</v>
      </c>
      <c r="E1108" t="s">
        <v>336</v>
      </c>
    </row>
    <row r="1109" spans="4:6" x14ac:dyDescent="0.25">
      <c r="D1109" t="s">
        <v>99</v>
      </c>
      <c r="E1109" t="s">
        <v>230</v>
      </c>
    </row>
    <row r="1110" spans="4:6" x14ac:dyDescent="0.25">
      <c r="D1110" t="s">
        <v>101</v>
      </c>
      <c r="E1110" t="s">
        <v>335</v>
      </c>
    </row>
    <row r="1111" spans="4:6" x14ac:dyDescent="0.25">
      <c r="D1111" t="s">
        <v>373</v>
      </c>
    </row>
    <row r="1113" spans="4:6" x14ac:dyDescent="0.25">
      <c r="D1113" t="s">
        <v>97</v>
      </c>
      <c r="E1113" t="s">
        <v>336</v>
      </c>
    </row>
    <row r="1114" spans="4:6" x14ac:dyDescent="0.25">
      <c r="D1114" t="s">
        <v>99</v>
      </c>
      <c r="E1114" t="s">
        <v>244</v>
      </c>
    </row>
    <row r="1115" spans="4:6" x14ac:dyDescent="0.25">
      <c r="D1115" t="s">
        <v>101</v>
      </c>
      <c r="E1115" t="s">
        <v>330</v>
      </c>
    </row>
    <row r="1116" spans="4:6" x14ac:dyDescent="0.25">
      <c r="D1116" t="s">
        <v>248</v>
      </c>
      <c r="E1116">
        <v>150</v>
      </c>
      <c r="F1116">
        <v>150</v>
      </c>
    </row>
    <row r="1117" spans="4:6" x14ac:dyDescent="0.25">
      <c r="D1117" t="s">
        <v>374</v>
      </c>
    </row>
    <row r="1119" spans="4:6" x14ac:dyDescent="0.25">
      <c r="D1119" t="s">
        <v>97</v>
      </c>
      <c r="E1119" t="s">
        <v>117</v>
      </c>
    </row>
    <row r="1120" spans="4:6" x14ac:dyDescent="0.25">
      <c r="D1120" t="s">
        <v>99</v>
      </c>
      <c r="E1120" t="s">
        <v>124</v>
      </c>
    </row>
    <row r="1121" spans="4:6" x14ac:dyDescent="0.25">
      <c r="D1121" t="s">
        <v>119</v>
      </c>
      <c r="E1121">
        <v>150</v>
      </c>
      <c r="F1121">
        <v>150</v>
      </c>
    </row>
    <row r="1122" spans="4:6" x14ac:dyDescent="0.25">
      <c r="D1122" t="s">
        <v>375</v>
      </c>
    </row>
    <row r="1124" spans="4:6" x14ac:dyDescent="0.25">
      <c r="D1124" t="s">
        <v>97</v>
      </c>
      <c r="E1124" t="s">
        <v>336</v>
      </c>
    </row>
    <row r="1125" spans="4:6" x14ac:dyDescent="0.25">
      <c r="D1125" t="s">
        <v>99</v>
      </c>
      <c r="E1125" t="s">
        <v>247</v>
      </c>
    </row>
    <row r="1126" spans="4:6" x14ac:dyDescent="0.25">
      <c r="D1126" t="s">
        <v>101</v>
      </c>
      <c r="E1126" t="s">
        <v>330</v>
      </c>
    </row>
    <row r="1127" spans="4:6" x14ac:dyDescent="0.25">
      <c r="D1127" t="s">
        <v>248</v>
      </c>
      <c r="E1127">
        <v>100</v>
      </c>
      <c r="F1127">
        <v>100</v>
      </c>
    </row>
    <row r="1128" spans="4:6" x14ac:dyDescent="0.25">
      <c r="D1128" t="s">
        <v>376</v>
      </c>
    </row>
    <row r="1130" spans="4:6" x14ac:dyDescent="0.25">
      <c r="D1130" t="s">
        <v>97</v>
      </c>
      <c r="E1130" t="s">
        <v>117</v>
      </c>
    </row>
    <row r="1131" spans="4:6" x14ac:dyDescent="0.25">
      <c r="D1131" t="s">
        <v>99</v>
      </c>
      <c r="E1131" t="s">
        <v>124</v>
      </c>
    </row>
    <row r="1132" spans="4:6" x14ac:dyDescent="0.25">
      <c r="D1132" t="s">
        <v>119</v>
      </c>
      <c r="E1132">
        <v>100</v>
      </c>
      <c r="F1132">
        <v>100</v>
      </c>
    </row>
    <row r="1133" spans="4:6" x14ac:dyDescent="0.25">
      <c r="D1133" t="s">
        <v>377</v>
      </c>
    </row>
    <row r="1135" spans="4:6" x14ac:dyDescent="0.25">
      <c r="D1135" t="s">
        <v>97</v>
      </c>
      <c r="E1135" t="s">
        <v>117</v>
      </c>
    </row>
    <row r="1136" spans="4:6" x14ac:dyDescent="0.25">
      <c r="D1136" t="s">
        <v>99</v>
      </c>
      <c r="E1136" t="s">
        <v>126</v>
      </c>
    </row>
    <row r="1137" spans="4:6" x14ac:dyDescent="0.25">
      <c r="D1137" t="s">
        <v>127</v>
      </c>
      <c r="E1137" t="s">
        <v>330</v>
      </c>
      <c r="F1137" t="s">
        <v>330</v>
      </c>
    </row>
    <row r="1138" spans="4:6" x14ac:dyDescent="0.25">
      <c r="D1138" t="s">
        <v>128</v>
      </c>
      <c r="E1138">
        <v>1</v>
      </c>
      <c r="F1138">
        <v>2</v>
      </c>
    </row>
    <row r="1139" spans="4:6" x14ac:dyDescent="0.25">
      <c r="D1139" t="s">
        <v>129</v>
      </c>
      <c r="E1139" t="s">
        <v>319</v>
      </c>
      <c r="F1139" t="s">
        <v>319</v>
      </c>
    </row>
    <row r="1140" spans="4:6" x14ac:dyDescent="0.25">
      <c r="D1140" t="s">
        <v>130</v>
      </c>
      <c r="E1140">
        <v>1</v>
      </c>
      <c r="F1140">
        <v>2</v>
      </c>
    </row>
    <row r="1141" spans="4:6" x14ac:dyDescent="0.25">
      <c r="D1141" t="s">
        <v>119</v>
      </c>
      <c r="E1141">
        <v>150</v>
      </c>
      <c r="F1141">
        <v>150</v>
      </c>
    </row>
    <row r="1142" spans="4:6" x14ac:dyDescent="0.25">
      <c r="D1142" t="s">
        <v>131</v>
      </c>
      <c r="E1142">
        <v>700</v>
      </c>
      <c r="F1142">
        <v>700</v>
      </c>
    </row>
    <row r="1143" spans="4:6" x14ac:dyDescent="0.25">
      <c r="D1143" t="s">
        <v>132</v>
      </c>
      <c r="E1143" t="s">
        <v>28</v>
      </c>
      <c r="F1143" t="s">
        <v>28</v>
      </c>
    </row>
    <row r="1144" spans="4:6" x14ac:dyDescent="0.25">
      <c r="D1144" t="s">
        <v>133</v>
      </c>
    </row>
    <row r="1145" spans="4:6" x14ac:dyDescent="0.25">
      <c r="D1145" t="s">
        <v>134</v>
      </c>
    </row>
    <row r="1146" spans="4:6" x14ac:dyDescent="0.25">
      <c r="D1146" t="s">
        <v>331</v>
      </c>
      <c r="E1146">
        <v>0</v>
      </c>
    </row>
    <row r="1147" spans="4:6" x14ac:dyDescent="0.25">
      <c r="D1147" t="s">
        <v>135</v>
      </c>
      <c r="E1147" t="s">
        <v>208</v>
      </c>
    </row>
    <row r="1148" spans="4:6" x14ac:dyDescent="0.25">
      <c r="D1148" t="s">
        <v>378</v>
      </c>
    </row>
    <row r="1150" spans="4:6" x14ac:dyDescent="0.25">
      <c r="D1150" t="s">
        <v>97</v>
      </c>
      <c r="E1150" t="s">
        <v>200</v>
      </c>
    </row>
    <row r="1151" spans="4:6" x14ac:dyDescent="0.25">
      <c r="D1151" t="s">
        <v>99</v>
      </c>
      <c r="E1151" t="s">
        <v>201</v>
      </c>
    </row>
    <row r="1152" spans="4:6" x14ac:dyDescent="0.25">
      <c r="D1152" t="s">
        <v>202</v>
      </c>
    </row>
    <row r="1153" spans="4:6" x14ac:dyDescent="0.25">
      <c r="D1153" t="s">
        <v>203</v>
      </c>
    </row>
    <row r="1154" spans="4:6" x14ac:dyDescent="0.25">
      <c r="D1154" t="s">
        <v>204</v>
      </c>
    </row>
    <row r="1155" spans="4:6" x14ac:dyDescent="0.25">
      <c r="D1155" t="s">
        <v>205</v>
      </c>
    </row>
    <row r="1156" spans="4:6" x14ac:dyDescent="0.25">
      <c r="D1156" t="s">
        <v>206</v>
      </c>
      <c r="E1156" t="b">
        <v>1</v>
      </c>
    </row>
    <row r="1157" spans="4:6" x14ac:dyDescent="0.25">
      <c r="D1157" t="s">
        <v>207</v>
      </c>
      <c r="E1157" t="s">
        <v>232</v>
      </c>
    </row>
    <row r="1158" spans="4:6" x14ac:dyDescent="0.25">
      <c r="D1158" t="s">
        <v>379</v>
      </c>
    </row>
    <row r="1160" spans="4:6" x14ac:dyDescent="0.25">
      <c r="D1160" t="s">
        <v>97</v>
      </c>
      <c r="E1160" t="s">
        <v>117</v>
      </c>
    </row>
    <row r="1161" spans="4:6" x14ac:dyDescent="0.25">
      <c r="D1161" t="s">
        <v>99</v>
      </c>
      <c r="E1161" t="s">
        <v>126</v>
      </c>
    </row>
    <row r="1162" spans="4:6" x14ac:dyDescent="0.25">
      <c r="D1162" t="s">
        <v>127</v>
      </c>
      <c r="E1162" t="s">
        <v>319</v>
      </c>
      <c r="F1162" t="s">
        <v>319</v>
      </c>
    </row>
    <row r="1163" spans="4:6" x14ac:dyDescent="0.25">
      <c r="D1163" t="s">
        <v>128</v>
      </c>
      <c r="E1163">
        <v>1</v>
      </c>
      <c r="F1163">
        <v>2</v>
      </c>
    </row>
    <row r="1164" spans="4:6" x14ac:dyDescent="0.25">
      <c r="D1164" t="s">
        <v>129</v>
      </c>
      <c r="E1164" t="s">
        <v>54</v>
      </c>
      <c r="F1164" t="s">
        <v>54</v>
      </c>
    </row>
    <row r="1165" spans="4:6" x14ac:dyDescent="0.25">
      <c r="D1165" t="s">
        <v>130</v>
      </c>
      <c r="E1165">
        <v>1</v>
      </c>
      <c r="F1165">
        <v>2</v>
      </c>
    </row>
    <row r="1166" spans="4:6" x14ac:dyDescent="0.25">
      <c r="D1166" t="s">
        <v>119</v>
      </c>
      <c r="E1166">
        <v>100</v>
      </c>
      <c r="F1166">
        <v>100</v>
      </c>
    </row>
    <row r="1167" spans="4:6" x14ac:dyDescent="0.25">
      <c r="D1167" t="s">
        <v>131</v>
      </c>
      <c r="E1167">
        <v>0</v>
      </c>
      <c r="F1167">
        <v>0</v>
      </c>
    </row>
    <row r="1168" spans="4:6" x14ac:dyDescent="0.25">
      <c r="D1168" t="s">
        <v>132</v>
      </c>
      <c r="E1168" t="s">
        <v>318</v>
      </c>
      <c r="F1168" t="s">
        <v>318</v>
      </c>
    </row>
    <row r="1169" spans="2:5" x14ac:dyDescent="0.25">
      <c r="D1169" t="s">
        <v>133</v>
      </c>
    </row>
    <row r="1170" spans="2:5" x14ac:dyDescent="0.25">
      <c r="D1170" t="s">
        <v>134</v>
      </c>
    </row>
    <row r="1171" spans="2:5" x14ac:dyDescent="0.25">
      <c r="D1171" t="s">
        <v>331</v>
      </c>
      <c r="E1171">
        <v>0</v>
      </c>
    </row>
    <row r="1172" spans="2:5" x14ac:dyDescent="0.25">
      <c r="D1172" t="s">
        <v>135</v>
      </c>
      <c r="E1172" t="s">
        <v>208</v>
      </c>
    </row>
    <row r="1173" spans="2:5" x14ac:dyDescent="0.25">
      <c r="D1173" t="s">
        <v>380</v>
      </c>
    </row>
    <row r="1178" spans="2:5" x14ac:dyDescent="0.25">
      <c r="B1178" t="s">
        <v>178</v>
      </c>
    </row>
    <row r="1179" spans="2:5" x14ac:dyDescent="0.25">
      <c r="B1179" t="s">
        <v>381</v>
      </c>
    </row>
    <row r="1180" spans="2:5" x14ac:dyDescent="0.25">
      <c r="B1180" t="s">
        <v>382</v>
      </c>
    </row>
    <row r="1181" spans="2:5" x14ac:dyDescent="0.25">
      <c r="B1181" t="s">
        <v>383</v>
      </c>
    </row>
    <row r="1182" spans="2:5" x14ac:dyDescent="0.25">
      <c r="B1182" t="s">
        <v>384</v>
      </c>
    </row>
    <row r="1184" spans="2:5" x14ac:dyDescent="0.25">
      <c r="C1184" t="s">
        <v>108</v>
      </c>
    </row>
    <row r="1186" spans="4:5" x14ac:dyDescent="0.25">
      <c r="D1186" t="s">
        <v>97</v>
      </c>
      <c r="E1186" t="s">
        <v>183</v>
      </c>
    </row>
    <row r="1187" spans="4:5" x14ac:dyDescent="0.25">
      <c r="D1187" t="s">
        <v>99</v>
      </c>
      <c r="E1187" t="s">
        <v>184</v>
      </c>
    </row>
    <row r="1188" spans="4:5" x14ac:dyDescent="0.25">
      <c r="D1188" t="s">
        <v>185</v>
      </c>
      <c r="E1188" t="s">
        <v>335</v>
      </c>
    </row>
    <row r="1189" spans="4:5" x14ac:dyDescent="0.25">
      <c r="D1189" t="s">
        <v>385</v>
      </c>
    </row>
    <row r="1191" spans="4:5" x14ac:dyDescent="0.25">
      <c r="D1191" t="s">
        <v>97</v>
      </c>
      <c r="E1191" t="s">
        <v>183</v>
      </c>
    </row>
    <row r="1192" spans="4:5" x14ac:dyDescent="0.25">
      <c r="D1192" t="s">
        <v>99</v>
      </c>
      <c r="E1192" t="s">
        <v>188</v>
      </c>
    </row>
    <row r="1193" spans="4:5" x14ac:dyDescent="0.25">
      <c r="D1193" t="s">
        <v>185</v>
      </c>
      <c r="E1193" t="s">
        <v>335</v>
      </c>
    </row>
    <row r="1194" spans="4:5" x14ac:dyDescent="0.25">
      <c r="D1194" t="s">
        <v>386</v>
      </c>
    </row>
    <row r="1196" spans="4:5" x14ac:dyDescent="0.25">
      <c r="D1196" t="s">
        <v>97</v>
      </c>
      <c r="E1196" t="s">
        <v>98</v>
      </c>
    </row>
    <row r="1197" spans="4:5" x14ac:dyDescent="0.25">
      <c r="D1197" t="s">
        <v>99</v>
      </c>
      <c r="E1197" t="s">
        <v>190</v>
      </c>
    </row>
    <row r="1198" spans="4:5" x14ac:dyDescent="0.25">
      <c r="D1198" t="s">
        <v>101</v>
      </c>
      <c r="E1198" t="s">
        <v>335</v>
      </c>
    </row>
    <row r="1199" spans="4:5" x14ac:dyDescent="0.25">
      <c r="D1199" t="s">
        <v>387</v>
      </c>
    </row>
    <row r="1201" spans="4:5" x14ac:dyDescent="0.25">
      <c r="D1201" t="s">
        <v>97</v>
      </c>
      <c r="E1201" t="s">
        <v>98</v>
      </c>
    </row>
    <row r="1202" spans="4:5" x14ac:dyDescent="0.25">
      <c r="D1202" t="s">
        <v>99</v>
      </c>
      <c r="E1202" t="s">
        <v>332</v>
      </c>
    </row>
    <row r="1203" spans="4:5" x14ac:dyDescent="0.25">
      <c r="D1203" t="s">
        <v>101</v>
      </c>
      <c r="E1203" t="s">
        <v>335</v>
      </c>
    </row>
    <row r="1204" spans="4:5" x14ac:dyDescent="0.25">
      <c r="D1204" t="s">
        <v>388</v>
      </c>
    </row>
    <row r="1206" spans="4:5" x14ac:dyDescent="0.25">
      <c r="D1206" t="s">
        <v>97</v>
      </c>
      <c r="E1206" t="s">
        <v>193</v>
      </c>
    </row>
    <row r="1207" spans="4:5" x14ac:dyDescent="0.25">
      <c r="D1207" t="s">
        <v>99</v>
      </c>
      <c r="E1207" t="s">
        <v>100</v>
      </c>
    </row>
    <row r="1208" spans="4:5" x14ac:dyDescent="0.25">
      <c r="D1208" t="s">
        <v>101</v>
      </c>
      <c r="E1208" t="s">
        <v>335</v>
      </c>
    </row>
    <row r="1209" spans="4:5" x14ac:dyDescent="0.25">
      <c r="D1209" t="s">
        <v>389</v>
      </c>
    </row>
    <row r="1211" spans="4:5" x14ac:dyDescent="0.25">
      <c r="D1211" t="s">
        <v>97</v>
      </c>
      <c r="E1211" t="s">
        <v>193</v>
      </c>
    </row>
    <row r="1212" spans="4:5" x14ac:dyDescent="0.25">
      <c r="D1212" t="s">
        <v>99</v>
      </c>
      <c r="E1212" t="s">
        <v>195</v>
      </c>
    </row>
    <row r="1213" spans="4:5" x14ac:dyDescent="0.25">
      <c r="D1213" t="s">
        <v>101</v>
      </c>
      <c r="E1213" t="s">
        <v>335</v>
      </c>
    </row>
    <row r="1214" spans="4:5" x14ac:dyDescent="0.25">
      <c r="D1214" t="s">
        <v>390</v>
      </c>
    </row>
    <row r="1216" spans="4:5" x14ac:dyDescent="0.25">
      <c r="D1216" t="s">
        <v>97</v>
      </c>
      <c r="E1216" t="s">
        <v>193</v>
      </c>
    </row>
    <row r="1217" spans="4:5" x14ac:dyDescent="0.25">
      <c r="D1217" t="s">
        <v>99</v>
      </c>
      <c r="E1217" t="s">
        <v>333</v>
      </c>
    </row>
    <row r="1218" spans="4:5" x14ac:dyDescent="0.25">
      <c r="D1218" t="s">
        <v>101</v>
      </c>
      <c r="E1218" t="s">
        <v>335</v>
      </c>
    </row>
    <row r="1219" spans="4:5" x14ac:dyDescent="0.25">
      <c r="D1219" t="s">
        <v>391</v>
      </c>
    </row>
    <row r="1221" spans="4:5" x14ac:dyDescent="0.25">
      <c r="D1221" t="s">
        <v>97</v>
      </c>
      <c r="E1221" t="s">
        <v>98</v>
      </c>
    </row>
    <row r="1222" spans="4:5" x14ac:dyDescent="0.25">
      <c r="D1222" t="s">
        <v>99</v>
      </c>
      <c r="E1222" t="s">
        <v>195</v>
      </c>
    </row>
    <row r="1223" spans="4:5" x14ac:dyDescent="0.25">
      <c r="D1223" t="s">
        <v>101</v>
      </c>
      <c r="E1223" t="s">
        <v>335</v>
      </c>
    </row>
    <row r="1224" spans="4:5" x14ac:dyDescent="0.25">
      <c r="D1224" t="s">
        <v>392</v>
      </c>
    </row>
    <row r="1226" spans="4:5" x14ac:dyDescent="0.25">
      <c r="D1226" t="s">
        <v>97</v>
      </c>
      <c r="E1226" t="s">
        <v>98</v>
      </c>
    </row>
    <row r="1227" spans="4:5" x14ac:dyDescent="0.25">
      <c r="D1227" t="s">
        <v>99</v>
      </c>
      <c r="E1227" t="s">
        <v>333</v>
      </c>
    </row>
    <row r="1228" spans="4:5" x14ac:dyDescent="0.25">
      <c r="D1228" t="s">
        <v>101</v>
      </c>
      <c r="E1228" t="s">
        <v>335</v>
      </c>
    </row>
    <row r="1229" spans="4:5" x14ac:dyDescent="0.25">
      <c r="D1229" t="s">
        <v>393</v>
      </c>
    </row>
    <row r="1231" spans="4:5" x14ac:dyDescent="0.25">
      <c r="D1231" t="s">
        <v>97</v>
      </c>
      <c r="E1231" t="s">
        <v>200</v>
      </c>
    </row>
    <row r="1232" spans="4:5" x14ac:dyDescent="0.25">
      <c r="D1232" t="s">
        <v>99</v>
      </c>
      <c r="E1232" t="s">
        <v>201</v>
      </c>
    </row>
    <row r="1233" spans="4:5" x14ac:dyDescent="0.25">
      <c r="D1233" t="s">
        <v>202</v>
      </c>
    </row>
    <row r="1234" spans="4:5" x14ac:dyDescent="0.25">
      <c r="D1234" t="s">
        <v>203</v>
      </c>
    </row>
    <row r="1235" spans="4:5" x14ac:dyDescent="0.25">
      <c r="D1235" t="s">
        <v>204</v>
      </c>
    </row>
    <row r="1236" spans="4:5" x14ac:dyDescent="0.25">
      <c r="D1236" t="s">
        <v>205</v>
      </c>
    </row>
    <row r="1237" spans="4:5" x14ac:dyDescent="0.25">
      <c r="D1237" t="s">
        <v>206</v>
      </c>
      <c r="E1237" t="b">
        <v>0</v>
      </c>
    </row>
    <row r="1238" spans="4:5" x14ac:dyDescent="0.25">
      <c r="D1238" t="s">
        <v>207</v>
      </c>
      <c r="E1238" t="s">
        <v>208</v>
      </c>
    </row>
    <row r="1239" spans="4:5" x14ac:dyDescent="0.25">
      <c r="D1239" t="s">
        <v>394</v>
      </c>
    </row>
    <row r="1241" spans="4:5" x14ac:dyDescent="0.25">
      <c r="D1241" t="s">
        <v>97</v>
      </c>
      <c r="E1241" t="s">
        <v>200</v>
      </c>
    </row>
    <row r="1242" spans="4:5" x14ac:dyDescent="0.25">
      <c r="D1242" t="s">
        <v>99</v>
      </c>
      <c r="E1242" t="s">
        <v>201</v>
      </c>
    </row>
    <row r="1243" spans="4:5" x14ac:dyDescent="0.25">
      <c r="D1243" t="s">
        <v>202</v>
      </c>
    </row>
    <row r="1244" spans="4:5" x14ac:dyDescent="0.25">
      <c r="D1244" t="s">
        <v>203</v>
      </c>
    </row>
    <row r="1245" spans="4:5" x14ac:dyDescent="0.25">
      <c r="D1245" t="s">
        <v>204</v>
      </c>
    </row>
    <row r="1246" spans="4:5" x14ac:dyDescent="0.25">
      <c r="D1246" t="s">
        <v>205</v>
      </c>
    </row>
    <row r="1247" spans="4:5" x14ac:dyDescent="0.25">
      <c r="D1247" t="s">
        <v>206</v>
      </c>
      <c r="E1247" t="b">
        <v>1</v>
      </c>
    </row>
    <row r="1248" spans="4:5" x14ac:dyDescent="0.25">
      <c r="D1248" t="s">
        <v>207</v>
      </c>
      <c r="E1248" t="s">
        <v>208</v>
      </c>
    </row>
    <row r="1249" spans="4:5" x14ac:dyDescent="0.25">
      <c r="D1249" t="s">
        <v>395</v>
      </c>
    </row>
    <row r="1251" spans="4:5" x14ac:dyDescent="0.25">
      <c r="D1251" t="s">
        <v>97</v>
      </c>
      <c r="E1251" t="s">
        <v>98</v>
      </c>
    </row>
    <row r="1252" spans="4:5" x14ac:dyDescent="0.25">
      <c r="D1252" t="s">
        <v>99</v>
      </c>
      <c r="E1252" t="s">
        <v>211</v>
      </c>
    </row>
    <row r="1253" spans="4:5" x14ac:dyDescent="0.25">
      <c r="D1253" t="s">
        <v>101</v>
      </c>
      <c r="E1253" t="s">
        <v>330</v>
      </c>
    </row>
    <row r="1254" spans="4:5" x14ac:dyDescent="0.25">
      <c r="D1254" t="s">
        <v>102</v>
      </c>
      <c r="E1254">
        <v>25</v>
      </c>
    </row>
    <row r="1255" spans="4:5" x14ac:dyDescent="0.25">
      <c r="D1255" t="s">
        <v>103</v>
      </c>
      <c r="E1255">
        <v>650</v>
      </c>
    </row>
    <row r="1256" spans="4:5" x14ac:dyDescent="0.25">
      <c r="D1256" t="s">
        <v>396</v>
      </c>
    </row>
    <row r="1258" spans="4:5" x14ac:dyDescent="0.25">
      <c r="D1258" t="s">
        <v>97</v>
      </c>
      <c r="E1258" t="s">
        <v>234</v>
      </c>
    </row>
    <row r="1259" spans="4:5" x14ac:dyDescent="0.25">
      <c r="D1259" t="s">
        <v>99</v>
      </c>
      <c r="E1259" t="s">
        <v>235</v>
      </c>
    </row>
    <row r="1260" spans="4:5" x14ac:dyDescent="0.25">
      <c r="D1260" t="s">
        <v>236</v>
      </c>
      <c r="E1260">
        <v>1800</v>
      </c>
    </row>
    <row r="1261" spans="4:5" x14ac:dyDescent="0.25">
      <c r="D1261" t="s">
        <v>397</v>
      </c>
    </row>
    <row r="1263" spans="4:5" x14ac:dyDescent="0.25">
      <c r="D1263" t="s">
        <v>97</v>
      </c>
      <c r="E1263" t="s">
        <v>234</v>
      </c>
    </row>
    <row r="1264" spans="4:5" x14ac:dyDescent="0.25">
      <c r="D1264" t="s">
        <v>99</v>
      </c>
      <c r="E1264" t="s">
        <v>238</v>
      </c>
    </row>
    <row r="1265" spans="4:5" x14ac:dyDescent="0.25">
      <c r="D1265" t="s">
        <v>398</v>
      </c>
    </row>
    <row r="1267" spans="4:5" x14ac:dyDescent="0.25">
      <c r="D1267" t="s">
        <v>97</v>
      </c>
      <c r="E1267" t="s">
        <v>98</v>
      </c>
    </row>
    <row r="1268" spans="4:5" x14ac:dyDescent="0.25">
      <c r="D1268" t="s">
        <v>99</v>
      </c>
      <c r="E1268" t="s">
        <v>342</v>
      </c>
    </row>
    <row r="1269" spans="4:5" x14ac:dyDescent="0.25">
      <c r="D1269" t="s">
        <v>101</v>
      </c>
      <c r="E1269" t="s">
        <v>335</v>
      </c>
    </row>
    <row r="1270" spans="4:5" x14ac:dyDescent="0.25">
      <c r="D1270" t="s">
        <v>399</v>
      </c>
    </row>
    <row r="1272" spans="4:5" x14ac:dyDescent="0.25">
      <c r="D1272" t="s">
        <v>97</v>
      </c>
      <c r="E1272" t="s">
        <v>193</v>
      </c>
    </row>
    <row r="1273" spans="4:5" x14ac:dyDescent="0.25">
      <c r="D1273" t="s">
        <v>99</v>
      </c>
      <c r="E1273" t="s">
        <v>195</v>
      </c>
    </row>
    <row r="1274" spans="4:5" x14ac:dyDescent="0.25">
      <c r="D1274" t="s">
        <v>101</v>
      </c>
      <c r="E1274" t="s">
        <v>335</v>
      </c>
    </row>
    <row r="1275" spans="4:5" x14ac:dyDescent="0.25">
      <c r="D1275" t="s">
        <v>400</v>
      </c>
    </row>
    <row r="1277" spans="4:5" x14ac:dyDescent="0.25">
      <c r="D1277" t="s">
        <v>97</v>
      </c>
      <c r="E1277" t="s">
        <v>193</v>
      </c>
    </row>
    <row r="1278" spans="4:5" x14ac:dyDescent="0.25">
      <c r="D1278" t="s">
        <v>99</v>
      </c>
      <c r="E1278" t="s">
        <v>333</v>
      </c>
    </row>
    <row r="1279" spans="4:5" x14ac:dyDescent="0.25">
      <c r="D1279" t="s">
        <v>101</v>
      </c>
      <c r="E1279" t="s">
        <v>335</v>
      </c>
    </row>
    <row r="1280" spans="4:5" x14ac:dyDescent="0.25">
      <c r="D1280" t="s">
        <v>401</v>
      </c>
    </row>
    <row r="1282" spans="4:5" x14ac:dyDescent="0.25">
      <c r="D1282" t="s">
        <v>97</v>
      </c>
      <c r="E1282" t="s">
        <v>98</v>
      </c>
    </row>
    <row r="1283" spans="4:5" x14ac:dyDescent="0.25">
      <c r="D1283" t="s">
        <v>99</v>
      </c>
      <c r="E1283" t="s">
        <v>195</v>
      </c>
    </row>
    <row r="1284" spans="4:5" x14ac:dyDescent="0.25">
      <c r="D1284" t="s">
        <v>101</v>
      </c>
      <c r="E1284" t="s">
        <v>335</v>
      </c>
    </row>
    <row r="1285" spans="4:5" x14ac:dyDescent="0.25">
      <c r="D1285" t="s">
        <v>402</v>
      </c>
    </row>
    <row r="1287" spans="4:5" x14ac:dyDescent="0.25">
      <c r="D1287" t="s">
        <v>97</v>
      </c>
      <c r="E1287" t="s">
        <v>98</v>
      </c>
    </row>
    <row r="1288" spans="4:5" x14ac:dyDescent="0.25">
      <c r="D1288" t="s">
        <v>99</v>
      </c>
      <c r="E1288" t="s">
        <v>333</v>
      </c>
    </row>
    <row r="1289" spans="4:5" x14ac:dyDescent="0.25">
      <c r="D1289" t="s">
        <v>101</v>
      </c>
      <c r="E1289" t="s">
        <v>335</v>
      </c>
    </row>
    <row r="1290" spans="4:5" x14ac:dyDescent="0.25">
      <c r="D1290" t="s">
        <v>403</v>
      </c>
    </row>
    <row r="1292" spans="4:5" x14ac:dyDescent="0.25">
      <c r="D1292" t="s">
        <v>97</v>
      </c>
      <c r="E1292" t="s">
        <v>183</v>
      </c>
    </row>
    <row r="1293" spans="4:5" x14ac:dyDescent="0.25">
      <c r="D1293" t="s">
        <v>99</v>
      </c>
      <c r="E1293" t="s">
        <v>184</v>
      </c>
    </row>
    <row r="1294" spans="4:5" x14ac:dyDescent="0.25">
      <c r="D1294" t="s">
        <v>185</v>
      </c>
      <c r="E1294" t="s">
        <v>335</v>
      </c>
    </row>
    <row r="1295" spans="4:5" x14ac:dyDescent="0.25">
      <c r="D1295" t="s">
        <v>404</v>
      </c>
    </row>
    <row r="1297" spans="4:5" x14ac:dyDescent="0.25">
      <c r="D1297" t="s">
        <v>97</v>
      </c>
      <c r="E1297" t="s">
        <v>183</v>
      </c>
    </row>
    <row r="1298" spans="4:5" x14ac:dyDescent="0.25">
      <c r="D1298" t="s">
        <v>99</v>
      </c>
      <c r="E1298" t="s">
        <v>188</v>
      </c>
    </row>
    <row r="1299" spans="4:5" x14ac:dyDescent="0.25">
      <c r="D1299" t="s">
        <v>185</v>
      </c>
      <c r="E1299" t="s">
        <v>335</v>
      </c>
    </row>
    <row r="1300" spans="4:5" x14ac:dyDescent="0.25">
      <c r="D1300" t="s">
        <v>405</v>
      </c>
    </row>
    <row r="1302" spans="4:5" x14ac:dyDescent="0.25">
      <c r="D1302" t="s">
        <v>97</v>
      </c>
      <c r="E1302" t="s">
        <v>98</v>
      </c>
    </row>
    <row r="1303" spans="4:5" x14ac:dyDescent="0.25">
      <c r="D1303" t="s">
        <v>99</v>
      </c>
      <c r="E1303" t="s">
        <v>190</v>
      </c>
    </row>
    <row r="1304" spans="4:5" x14ac:dyDescent="0.25">
      <c r="D1304" t="s">
        <v>101</v>
      </c>
      <c r="E1304" t="s">
        <v>335</v>
      </c>
    </row>
    <row r="1305" spans="4:5" x14ac:dyDescent="0.25">
      <c r="D1305" t="s">
        <v>406</v>
      </c>
    </row>
    <row r="1307" spans="4:5" x14ac:dyDescent="0.25">
      <c r="D1307" t="s">
        <v>97</v>
      </c>
      <c r="E1307" t="s">
        <v>98</v>
      </c>
    </row>
    <row r="1308" spans="4:5" x14ac:dyDescent="0.25">
      <c r="D1308" t="s">
        <v>99</v>
      </c>
      <c r="E1308" t="s">
        <v>332</v>
      </c>
    </row>
    <row r="1309" spans="4:5" x14ac:dyDescent="0.25">
      <c r="D1309" t="s">
        <v>101</v>
      </c>
      <c r="E1309" t="s">
        <v>335</v>
      </c>
    </row>
    <row r="1310" spans="4:5" x14ac:dyDescent="0.25">
      <c r="D1310" t="s">
        <v>407</v>
      </c>
    </row>
    <row r="1312" spans="4:5" x14ac:dyDescent="0.25">
      <c r="D1312" t="s">
        <v>97</v>
      </c>
      <c r="E1312" t="s">
        <v>200</v>
      </c>
    </row>
    <row r="1313" spans="4:5" x14ac:dyDescent="0.25">
      <c r="D1313" t="s">
        <v>99</v>
      </c>
      <c r="E1313" t="s">
        <v>201</v>
      </c>
    </row>
    <row r="1314" spans="4:5" x14ac:dyDescent="0.25">
      <c r="D1314" t="s">
        <v>202</v>
      </c>
    </row>
    <row r="1315" spans="4:5" x14ac:dyDescent="0.25">
      <c r="D1315" t="s">
        <v>203</v>
      </c>
    </row>
    <row r="1316" spans="4:5" x14ac:dyDescent="0.25">
      <c r="D1316" t="s">
        <v>204</v>
      </c>
    </row>
    <row r="1317" spans="4:5" x14ac:dyDescent="0.25">
      <c r="D1317" t="s">
        <v>205</v>
      </c>
    </row>
    <row r="1318" spans="4:5" x14ac:dyDescent="0.25">
      <c r="D1318" t="s">
        <v>206</v>
      </c>
      <c r="E1318" t="b">
        <v>0</v>
      </c>
    </row>
    <row r="1319" spans="4:5" x14ac:dyDescent="0.25">
      <c r="D1319" t="s">
        <v>207</v>
      </c>
      <c r="E1319" t="s">
        <v>232</v>
      </c>
    </row>
    <row r="1320" spans="4:5" x14ac:dyDescent="0.25">
      <c r="D1320" t="s">
        <v>408</v>
      </c>
    </row>
    <row r="1322" spans="4:5" x14ac:dyDescent="0.25">
      <c r="D1322" t="s">
        <v>97</v>
      </c>
      <c r="E1322" t="s">
        <v>200</v>
      </c>
    </row>
    <row r="1323" spans="4:5" x14ac:dyDescent="0.25">
      <c r="D1323" t="s">
        <v>99</v>
      </c>
      <c r="E1323" t="s">
        <v>201</v>
      </c>
    </row>
    <row r="1324" spans="4:5" x14ac:dyDescent="0.25">
      <c r="D1324" t="s">
        <v>202</v>
      </c>
    </row>
    <row r="1325" spans="4:5" x14ac:dyDescent="0.25">
      <c r="D1325" t="s">
        <v>203</v>
      </c>
    </row>
    <row r="1326" spans="4:5" x14ac:dyDescent="0.25">
      <c r="D1326" t="s">
        <v>204</v>
      </c>
    </row>
    <row r="1327" spans="4:5" x14ac:dyDescent="0.25">
      <c r="D1327" t="s">
        <v>205</v>
      </c>
    </row>
    <row r="1328" spans="4:5" x14ac:dyDescent="0.25">
      <c r="D1328" t="s">
        <v>206</v>
      </c>
      <c r="E1328" t="b">
        <v>1</v>
      </c>
    </row>
    <row r="1329" spans="2:5" x14ac:dyDescent="0.25">
      <c r="D1329" t="s">
        <v>207</v>
      </c>
      <c r="E1329" t="s">
        <v>232</v>
      </c>
    </row>
    <row r="1330" spans="2:5" x14ac:dyDescent="0.25">
      <c r="D1330" t="s">
        <v>409</v>
      </c>
    </row>
    <row r="1332" spans="2:5" x14ac:dyDescent="0.25">
      <c r="D1332" t="s">
        <v>97</v>
      </c>
      <c r="E1332" t="s">
        <v>98</v>
      </c>
    </row>
    <row r="1333" spans="2:5" x14ac:dyDescent="0.25">
      <c r="D1333" t="s">
        <v>99</v>
      </c>
      <c r="E1333" t="s">
        <v>354</v>
      </c>
    </row>
    <row r="1334" spans="2:5" x14ac:dyDescent="0.25">
      <c r="D1334" t="s">
        <v>101</v>
      </c>
      <c r="E1334" t="s">
        <v>335</v>
      </c>
    </row>
    <row r="1336" spans="2:5" x14ac:dyDescent="0.25">
      <c r="D1336" t="s">
        <v>97</v>
      </c>
      <c r="E1336" t="s">
        <v>193</v>
      </c>
    </row>
    <row r="1337" spans="2:5" x14ac:dyDescent="0.25">
      <c r="D1337" t="s">
        <v>99</v>
      </c>
      <c r="E1337" t="s">
        <v>354</v>
      </c>
    </row>
    <row r="1338" spans="2:5" x14ac:dyDescent="0.25">
      <c r="D1338" t="s">
        <v>101</v>
      </c>
      <c r="E1338" t="s">
        <v>335</v>
      </c>
    </row>
    <row r="1339" spans="2:5" x14ac:dyDescent="0.25">
      <c r="D1339" t="s">
        <v>410</v>
      </c>
    </row>
    <row r="1344" spans="2:5" x14ac:dyDescent="0.25">
      <c r="B1344" t="s">
        <v>220</v>
      </c>
    </row>
    <row r="1345" spans="2:5" x14ac:dyDescent="0.25">
      <c r="B1345" t="s">
        <v>411</v>
      </c>
    </row>
    <row r="1346" spans="2:5" x14ac:dyDescent="0.25">
      <c r="B1346" t="s">
        <v>321</v>
      </c>
    </row>
    <row r="1347" spans="2:5" x14ac:dyDescent="0.25">
      <c r="B1347" t="s">
        <v>222</v>
      </c>
    </row>
    <row r="1348" spans="2:5" x14ac:dyDescent="0.25">
      <c r="B1348" t="s">
        <v>412</v>
      </c>
    </row>
    <row r="1349" spans="2:5" x14ac:dyDescent="0.25">
      <c r="B1349" t="s">
        <v>224</v>
      </c>
    </row>
    <row r="1350" spans="2:5" x14ac:dyDescent="0.25">
      <c r="B1350" t="s">
        <v>284</v>
      </c>
    </row>
    <row r="1352" spans="2:5" x14ac:dyDescent="0.25">
      <c r="C1352" t="s">
        <v>108</v>
      </c>
    </row>
    <row r="1354" spans="2:5" x14ac:dyDescent="0.25">
      <c r="D1354" t="s">
        <v>97</v>
      </c>
      <c r="E1354" t="s">
        <v>183</v>
      </c>
    </row>
    <row r="1355" spans="2:5" x14ac:dyDescent="0.25">
      <c r="D1355" t="s">
        <v>99</v>
      </c>
      <c r="E1355" t="s">
        <v>184</v>
      </c>
    </row>
    <row r="1356" spans="2:5" x14ac:dyDescent="0.25">
      <c r="D1356" t="s">
        <v>185</v>
      </c>
      <c r="E1356" t="s">
        <v>335</v>
      </c>
    </row>
    <row r="1357" spans="2:5" x14ac:dyDescent="0.25">
      <c r="D1357" t="s">
        <v>413</v>
      </c>
    </row>
    <row r="1359" spans="2:5" x14ac:dyDescent="0.25">
      <c r="D1359" t="s">
        <v>97</v>
      </c>
      <c r="E1359" t="s">
        <v>183</v>
      </c>
    </row>
    <row r="1360" spans="2:5" x14ac:dyDescent="0.25">
      <c r="D1360" t="s">
        <v>99</v>
      </c>
      <c r="E1360" t="s">
        <v>188</v>
      </c>
    </row>
    <row r="1361" spans="4:5" x14ac:dyDescent="0.25">
      <c r="D1361" t="s">
        <v>185</v>
      </c>
      <c r="E1361" t="s">
        <v>335</v>
      </c>
    </row>
    <row r="1362" spans="4:5" x14ac:dyDescent="0.25">
      <c r="D1362" t="s">
        <v>414</v>
      </c>
    </row>
    <row r="1364" spans="4:5" x14ac:dyDescent="0.25">
      <c r="D1364" t="s">
        <v>97</v>
      </c>
      <c r="E1364" t="s">
        <v>336</v>
      </c>
    </row>
    <row r="1365" spans="4:5" x14ac:dyDescent="0.25">
      <c r="D1365" t="s">
        <v>99</v>
      </c>
      <c r="E1365" t="s">
        <v>228</v>
      </c>
    </row>
    <row r="1366" spans="4:5" x14ac:dyDescent="0.25">
      <c r="D1366" t="s">
        <v>101</v>
      </c>
      <c r="E1366" t="s">
        <v>335</v>
      </c>
    </row>
    <row r="1367" spans="4:5" x14ac:dyDescent="0.25">
      <c r="D1367" t="s">
        <v>415</v>
      </c>
    </row>
    <row r="1369" spans="4:5" x14ac:dyDescent="0.25">
      <c r="D1369" t="s">
        <v>97</v>
      </c>
      <c r="E1369" t="s">
        <v>336</v>
      </c>
    </row>
    <row r="1370" spans="4:5" x14ac:dyDescent="0.25">
      <c r="D1370" t="s">
        <v>99</v>
      </c>
      <c r="E1370" t="s">
        <v>230</v>
      </c>
    </row>
    <row r="1371" spans="4:5" x14ac:dyDescent="0.25">
      <c r="D1371" t="s">
        <v>101</v>
      </c>
      <c r="E1371" t="s">
        <v>335</v>
      </c>
    </row>
    <row r="1372" spans="4:5" x14ac:dyDescent="0.25">
      <c r="D1372" t="s">
        <v>416</v>
      </c>
    </row>
    <row r="1374" spans="4:5" x14ac:dyDescent="0.25">
      <c r="D1374" t="s">
        <v>97</v>
      </c>
      <c r="E1374" t="s">
        <v>200</v>
      </c>
    </row>
    <row r="1375" spans="4:5" x14ac:dyDescent="0.25">
      <c r="D1375" t="s">
        <v>99</v>
      </c>
      <c r="E1375" t="s">
        <v>201</v>
      </c>
    </row>
    <row r="1376" spans="4:5" x14ac:dyDescent="0.25">
      <c r="D1376" t="s">
        <v>202</v>
      </c>
    </row>
    <row r="1377" spans="4:5" x14ac:dyDescent="0.25">
      <c r="D1377" t="s">
        <v>203</v>
      </c>
    </row>
    <row r="1378" spans="4:5" x14ac:dyDescent="0.25">
      <c r="D1378" t="s">
        <v>204</v>
      </c>
    </row>
    <row r="1379" spans="4:5" x14ac:dyDescent="0.25">
      <c r="D1379" t="s">
        <v>205</v>
      </c>
    </row>
    <row r="1380" spans="4:5" x14ac:dyDescent="0.25">
      <c r="D1380" t="s">
        <v>206</v>
      </c>
      <c r="E1380" t="b">
        <v>1</v>
      </c>
    </row>
    <row r="1381" spans="4:5" x14ac:dyDescent="0.25">
      <c r="D1381" t="s">
        <v>207</v>
      </c>
      <c r="E1381" t="s">
        <v>232</v>
      </c>
    </row>
    <row r="1382" spans="4:5" x14ac:dyDescent="0.25">
      <c r="D1382" t="s">
        <v>417</v>
      </c>
    </row>
    <row r="1384" spans="4:5" x14ac:dyDescent="0.25">
      <c r="D1384" t="s">
        <v>97</v>
      </c>
      <c r="E1384" t="s">
        <v>234</v>
      </c>
    </row>
    <row r="1385" spans="4:5" x14ac:dyDescent="0.25">
      <c r="D1385" t="s">
        <v>99</v>
      </c>
      <c r="E1385" t="s">
        <v>235</v>
      </c>
    </row>
    <row r="1386" spans="4:5" x14ac:dyDescent="0.25">
      <c r="D1386" t="s">
        <v>236</v>
      </c>
      <c r="E1386">
        <v>120</v>
      </c>
    </row>
    <row r="1387" spans="4:5" x14ac:dyDescent="0.25">
      <c r="D1387" t="s">
        <v>418</v>
      </c>
    </row>
    <row r="1389" spans="4:5" x14ac:dyDescent="0.25">
      <c r="D1389" t="s">
        <v>97</v>
      </c>
      <c r="E1389" t="s">
        <v>234</v>
      </c>
    </row>
    <row r="1390" spans="4:5" x14ac:dyDescent="0.25">
      <c r="D1390" t="s">
        <v>99</v>
      </c>
      <c r="E1390" t="s">
        <v>238</v>
      </c>
    </row>
    <row r="1391" spans="4:5" x14ac:dyDescent="0.25">
      <c r="D1391" t="s">
        <v>419</v>
      </c>
    </row>
    <row r="1393" spans="4:5" x14ac:dyDescent="0.25">
      <c r="D1393" t="s">
        <v>97</v>
      </c>
      <c r="E1393" t="s">
        <v>183</v>
      </c>
    </row>
    <row r="1394" spans="4:5" x14ac:dyDescent="0.25">
      <c r="D1394" t="s">
        <v>99</v>
      </c>
      <c r="E1394" t="s">
        <v>184</v>
      </c>
    </row>
    <row r="1395" spans="4:5" x14ac:dyDescent="0.25">
      <c r="D1395" t="s">
        <v>185</v>
      </c>
      <c r="E1395" t="s">
        <v>335</v>
      </c>
    </row>
    <row r="1396" spans="4:5" x14ac:dyDescent="0.25">
      <c r="D1396" t="s">
        <v>420</v>
      </c>
    </row>
    <row r="1398" spans="4:5" x14ac:dyDescent="0.25">
      <c r="D1398" t="s">
        <v>97</v>
      </c>
      <c r="E1398" t="s">
        <v>183</v>
      </c>
    </row>
    <row r="1399" spans="4:5" x14ac:dyDescent="0.25">
      <c r="D1399" t="s">
        <v>99</v>
      </c>
      <c r="E1399" t="s">
        <v>188</v>
      </c>
    </row>
    <row r="1400" spans="4:5" x14ac:dyDescent="0.25">
      <c r="D1400" t="s">
        <v>185</v>
      </c>
      <c r="E1400" t="s">
        <v>335</v>
      </c>
    </row>
    <row r="1401" spans="4:5" x14ac:dyDescent="0.25">
      <c r="D1401" t="s">
        <v>421</v>
      </c>
    </row>
    <row r="1403" spans="4:5" x14ac:dyDescent="0.25">
      <c r="D1403" t="s">
        <v>97</v>
      </c>
      <c r="E1403" t="s">
        <v>336</v>
      </c>
    </row>
    <row r="1404" spans="4:5" x14ac:dyDescent="0.25">
      <c r="D1404" t="s">
        <v>99</v>
      </c>
      <c r="E1404" t="s">
        <v>228</v>
      </c>
    </row>
    <row r="1405" spans="4:5" x14ac:dyDescent="0.25">
      <c r="D1405" t="s">
        <v>101</v>
      </c>
      <c r="E1405" t="s">
        <v>335</v>
      </c>
    </row>
    <row r="1406" spans="4:5" x14ac:dyDescent="0.25">
      <c r="D1406" t="s">
        <v>422</v>
      </c>
    </row>
    <row r="1408" spans="4:5" x14ac:dyDescent="0.25">
      <c r="D1408" t="s">
        <v>97</v>
      </c>
      <c r="E1408" t="s">
        <v>336</v>
      </c>
    </row>
    <row r="1409" spans="4:6" x14ac:dyDescent="0.25">
      <c r="D1409" t="s">
        <v>99</v>
      </c>
      <c r="E1409" t="s">
        <v>230</v>
      </c>
    </row>
    <row r="1410" spans="4:6" x14ac:dyDescent="0.25">
      <c r="D1410" t="s">
        <v>101</v>
      </c>
      <c r="E1410" t="s">
        <v>335</v>
      </c>
    </row>
    <row r="1411" spans="4:6" x14ac:dyDescent="0.25">
      <c r="D1411" t="s">
        <v>423</v>
      </c>
    </row>
    <row r="1413" spans="4:6" x14ac:dyDescent="0.25">
      <c r="D1413" t="s">
        <v>97</v>
      </c>
      <c r="E1413" t="s">
        <v>336</v>
      </c>
    </row>
    <row r="1414" spans="4:6" x14ac:dyDescent="0.25">
      <c r="D1414" t="s">
        <v>99</v>
      </c>
      <c r="E1414" t="s">
        <v>244</v>
      </c>
    </row>
    <row r="1415" spans="4:6" x14ac:dyDescent="0.25">
      <c r="D1415" t="s">
        <v>101</v>
      </c>
      <c r="E1415" t="s">
        <v>330</v>
      </c>
    </row>
    <row r="1416" spans="4:6" x14ac:dyDescent="0.25">
      <c r="D1416" t="s">
        <v>248</v>
      </c>
      <c r="E1416">
        <v>100</v>
      </c>
      <c r="F1416">
        <v>100</v>
      </c>
    </row>
    <row r="1417" spans="4:6" x14ac:dyDescent="0.25">
      <c r="D1417" t="s">
        <v>424</v>
      </c>
    </row>
    <row r="1419" spans="4:6" x14ac:dyDescent="0.25">
      <c r="D1419" t="s">
        <v>97</v>
      </c>
      <c r="E1419" t="s">
        <v>117</v>
      </c>
    </row>
    <row r="1420" spans="4:6" x14ac:dyDescent="0.25">
      <c r="D1420" t="s">
        <v>99</v>
      </c>
      <c r="E1420" t="s">
        <v>124</v>
      </c>
    </row>
    <row r="1421" spans="4:6" x14ac:dyDescent="0.25">
      <c r="D1421" t="s">
        <v>119</v>
      </c>
      <c r="E1421">
        <v>100</v>
      </c>
      <c r="F1421">
        <v>100</v>
      </c>
    </row>
    <row r="1422" spans="4:6" x14ac:dyDescent="0.25">
      <c r="D1422" t="s">
        <v>425</v>
      </c>
    </row>
    <row r="1424" spans="4:6" x14ac:dyDescent="0.25">
      <c r="D1424" t="s">
        <v>97</v>
      </c>
      <c r="E1424" t="s">
        <v>336</v>
      </c>
    </row>
    <row r="1425" spans="4:6" x14ac:dyDescent="0.25">
      <c r="D1425" t="s">
        <v>99</v>
      </c>
      <c r="E1425" t="s">
        <v>247</v>
      </c>
    </row>
    <row r="1426" spans="4:6" x14ac:dyDescent="0.25">
      <c r="D1426" t="s">
        <v>101</v>
      </c>
      <c r="E1426" t="s">
        <v>330</v>
      </c>
    </row>
    <row r="1427" spans="4:6" x14ac:dyDescent="0.25">
      <c r="D1427" t="s">
        <v>248</v>
      </c>
      <c r="E1427">
        <v>200</v>
      </c>
      <c r="F1427">
        <v>200</v>
      </c>
    </row>
    <row r="1428" spans="4:6" x14ac:dyDescent="0.25">
      <c r="D1428" t="s">
        <v>426</v>
      </c>
    </row>
    <row r="1430" spans="4:6" x14ac:dyDescent="0.25">
      <c r="D1430" t="s">
        <v>97</v>
      </c>
      <c r="E1430" t="s">
        <v>117</v>
      </c>
    </row>
    <row r="1431" spans="4:6" x14ac:dyDescent="0.25">
      <c r="D1431" t="s">
        <v>99</v>
      </c>
      <c r="E1431" t="s">
        <v>124</v>
      </c>
    </row>
    <row r="1432" spans="4:6" x14ac:dyDescent="0.25">
      <c r="D1432" t="s">
        <v>119</v>
      </c>
      <c r="E1432">
        <v>200</v>
      </c>
      <c r="F1432">
        <v>200</v>
      </c>
    </row>
    <row r="1433" spans="4:6" x14ac:dyDescent="0.25">
      <c r="D1433" t="s">
        <v>427</v>
      </c>
    </row>
    <row r="1435" spans="4:6" x14ac:dyDescent="0.25">
      <c r="D1435" t="s">
        <v>97</v>
      </c>
      <c r="E1435" t="s">
        <v>117</v>
      </c>
    </row>
    <row r="1436" spans="4:6" x14ac:dyDescent="0.25">
      <c r="D1436" t="s">
        <v>99</v>
      </c>
      <c r="E1436" t="s">
        <v>126</v>
      </c>
    </row>
    <row r="1437" spans="4:6" x14ac:dyDescent="0.25">
      <c r="D1437" t="s">
        <v>127</v>
      </c>
      <c r="E1437" t="s">
        <v>330</v>
      </c>
      <c r="F1437" t="s">
        <v>330</v>
      </c>
    </row>
    <row r="1438" spans="4:6" x14ac:dyDescent="0.25">
      <c r="D1438" t="s">
        <v>128</v>
      </c>
      <c r="E1438">
        <v>1</v>
      </c>
      <c r="F1438">
        <v>2</v>
      </c>
    </row>
    <row r="1439" spans="4:6" x14ac:dyDescent="0.25">
      <c r="D1439" t="s">
        <v>129</v>
      </c>
      <c r="E1439" t="s">
        <v>319</v>
      </c>
      <c r="F1439" t="s">
        <v>319</v>
      </c>
    </row>
    <row r="1440" spans="4:6" x14ac:dyDescent="0.25">
      <c r="D1440" t="s">
        <v>130</v>
      </c>
      <c r="E1440">
        <v>1</v>
      </c>
      <c r="F1440">
        <v>2</v>
      </c>
    </row>
    <row r="1441" spans="4:6" x14ac:dyDescent="0.25">
      <c r="D1441" t="s">
        <v>119</v>
      </c>
      <c r="E1441">
        <v>100</v>
      </c>
      <c r="F1441">
        <v>100</v>
      </c>
    </row>
    <row r="1442" spans="4:6" x14ac:dyDescent="0.25">
      <c r="D1442" t="s">
        <v>131</v>
      </c>
      <c r="E1442">
        <v>850</v>
      </c>
      <c r="F1442">
        <v>850</v>
      </c>
    </row>
    <row r="1443" spans="4:6" x14ac:dyDescent="0.25">
      <c r="D1443" t="s">
        <v>132</v>
      </c>
      <c r="E1443" t="s">
        <v>28</v>
      </c>
      <c r="F1443" t="s">
        <v>28</v>
      </c>
    </row>
    <row r="1444" spans="4:6" x14ac:dyDescent="0.25">
      <c r="D1444" t="s">
        <v>133</v>
      </c>
    </row>
    <row r="1445" spans="4:6" x14ac:dyDescent="0.25">
      <c r="D1445" t="s">
        <v>134</v>
      </c>
    </row>
    <row r="1446" spans="4:6" x14ac:dyDescent="0.25">
      <c r="D1446" t="s">
        <v>331</v>
      </c>
      <c r="E1446">
        <v>0</v>
      </c>
    </row>
    <row r="1447" spans="4:6" x14ac:dyDescent="0.25">
      <c r="D1447" t="s">
        <v>135</v>
      </c>
      <c r="E1447" t="s">
        <v>208</v>
      </c>
    </row>
    <row r="1448" spans="4:6" x14ac:dyDescent="0.25">
      <c r="D1448" t="s">
        <v>428</v>
      </c>
    </row>
    <row r="1450" spans="4:6" x14ac:dyDescent="0.25">
      <c r="D1450" t="s">
        <v>97</v>
      </c>
      <c r="E1450" t="s">
        <v>200</v>
      </c>
    </row>
    <row r="1451" spans="4:6" x14ac:dyDescent="0.25">
      <c r="D1451" t="s">
        <v>99</v>
      </c>
      <c r="E1451" t="s">
        <v>201</v>
      </c>
    </row>
    <row r="1452" spans="4:6" x14ac:dyDescent="0.25">
      <c r="D1452" t="s">
        <v>202</v>
      </c>
    </row>
    <row r="1453" spans="4:6" x14ac:dyDescent="0.25">
      <c r="D1453" t="s">
        <v>203</v>
      </c>
    </row>
    <row r="1454" spans="4:6" x14ac:dyDescent="0.25">
      <c r="D1454" t="s">
        <v>204</v>
      </c>
    </row>
    <row r="1455" spans="4:6" x14ac:dyDescent="0.25">
      <c r="D1455" t="s">
        <v>205</v>
      </c>
    </row>
    <row r="1456" spans="4:6" x14ac:dyDescent="0.25">
      <c r="D1456" t="s">
        <v>206</v>
      </c>
      <c r="E1456" t="b">
        <v>1</v>
      </c>
    </row>
    <row r="1457" spans="4:6" x14ac:dyDescent="0.25">
      <c r="D1457" t="s">
        <v>207</v>
      </c>
      <c r="E1457" t="s">
        <v>232</v>
      </c>
    </row>
    <row r="1458" spans="4:6" x14ac:dyDescent="0.25">
      <c r="D1458" t="s">
        <v>429</v>
      </c>
    </row>
    <row r="1460" spans="4:6" x14ac:dyDescent="0.25">
      <c r="D1460" t="s">
        <v>97</v>
      </c>
      <c r="E1460" t="s">
        <v>117</v>
      </c>
    </row>
    <row r="1461" spans="4:6" x14ac:dyDescent="0.25">
      <c r="D1461" t="s">
        <v>99</v>
      </c>
      <c r="E1461" t="s">
        <v>126</v>
      </c>
    </row>
    <row r="1462" spans="4:6" x14ac:dyDescent="0.25">
      <c r="D1462" t="s">
        <v>127</v>
      </c>
      <c r="E1462" t="s">
        <v>319</v>
      </c>
      <c r="F1462" t="s">
        <v>319</v>
      </c>
    </row>
    <row r="1463" spans="4:6" x14ac:dyDescent="0.25">
      <c r="D1463" t="s">
        <v>128</v>
      </c>
      <c r="E1463">
        <v>1</v>
      </c>
      <c r="F1463">
        <v>2</v>
      </c>
    </row>
    <row r="1464" spans="4:6" x14ac:dyDescent="0.25">
      <c r="D1464" t="s">
        <v>129</v>
      </c>
      <c r="E1464" t="s">
        <v>83</v>
      </c>
      <c r="F1464" t="s">
        <v>83</v>
      </c>
    </row>
    <row r="1465" spans="4:6" x14ac:dyDescent="0.25">
      <c r="D1465" t="s">
        <v>130</v>
      </c>
      <c r="E1465">
        <v>1</v>
      </c>
      <c r="F1465">
        <v>2</v>
      </c>
    </row>
    <row r="1466" spans="4:6" x14ac:dyDescent="0.25">
      <c r="D1466" t="s">
        <v>119</v>
      </c>
      <c r="E1466">
        <v>200</v>
      </c>
      <c r="F1466">
        <v>200</v>
      </c>
    </row>
    <row r="1467" spans="4:6" x14ac:dyDescent="0.25">
      <c r="D1467" t="s">
        <v>131</v>
      </c>
      <c r="E1467">
        <v>0</v>
      </c>
      <c r="F1467">
        <v>0</v>
      </c>
    </row>
    <row r="1468" spans="4:6" x14ac:dyDescent="0.25">
      <c r="D1468" t="s">
        <v>132</v>
      </c>
      <c r="E1468" t="s">
        <v>318</v>
      </c>
      <c r="F1468" t="s">
        <v>318</v>
      </c>
    </row>
    <row r="1469" spans="4:6" x14ac:dyDescent="0.25">
      <c r="D1469" t="s">
        <v>133</v>
      </c>
    </row>
    <row r="1470" spans="4:6" x14ac:dyDescent="0.25">
      <c r="D1470" t="s">
        <v>134</v>
      </c>
    </row>
    <row r="1471" spans="4:6" x14ac:dyDescent="0.25">
      <c r="D1471" t="s">
        <v>331</v>
      </c>
      <c r="E1471">
        <v>0</v>
      </c>
    </row>
    <row r="1472" spans="4:6" x14ac:dyDescent="0.25">
      <c r="D1472" t="s">
        <v>135</v>
      </c>
      <c r="E1472" t="s">
        <v>208</v>
      </c>
    </row>
    <row r="1473" spans="4:5" x14ac:dyDescent="0.25">
      <c r="D1473" t="s">
        <v>430</v>
      </c>
    </row>
    <row r="1475" spans="4:5" x14ac:dyDescent="0.25">
      <c r="D1475" t="s">
        <v>97</v>
      </c>
      <c r="E1475" t="s">
        <v>200</v>
      </c>
    </row>
    <row r="1476" spans="4:5" x14ac:dyDescent="0.25">
      <c r="D1476" t="s">
        <v>99</v>
      </c>
      <c r="E1476" t="s">
        <v>201</v>
      </c>
    </row>
    <row r="1477" spans="4:5" x14ac:dyDescent="0.25">
      <c r="D1477" t="s">
        <v>202</v>
      </c>
    </row>
    <row r="1478" spans="4:5" x14ac:dyDescent="0.25">
      <c r="D1478" t="s">
        <v>203</v>
      </c>
    </row>
    <row r="1479" spans="4:5" x14ac:dyDescent="0.25">
      <c r="D1479" t="s">
        <v>204</v>
      </c>
    </row>
    <row r="1480" spans="4:5" x14ac:dyDescent="0.25">
      <c r="D1480" t="s">
        <v>205</v>
      </c>
    </row>
    <row r="1481" spans="4:5" x14ac:dyDescent="0.25">
      <c r="D1481" t="s">
        <v>206</v>
      </c>
      <c r="E1481" t="b">
        <v>1</v>
      </c>
    </row>
    <row r="1482" spans="4:5" x14ac:dyDescent="0.25">
      <c r="D1482" t="s">
        <v>207</v>
      </c>
      <c r="E1482" t="s">
        <v>232</v>
      </c>
    </row>
    <row r="1483" spans="4:5" x14ac:dyDescent="0.25">
      <c r="D1483" t="s">
        <v>431</v>
      </c>
    </row>
    <row r="1485" spans="4:5" x14ac:dyDescent="0.25">
      <c r="D1485" t="s">
        <v>97</v>
      </c>
      <c r="E1485" t="s">
        <v>234</v>
      </c>
    </row>
    <row r="1486" spans="4:5" x14ac:dyDescent="0.25">
      <c r="D1486" t="s">
        <v>99</v>
      </c>
      <c r="E1486" t="s">
        <v>235</v>
      </c>
    </row>
    <row r="1487" spans="4:5" x14ac:dyDescent="0.25">
      <c r="D1487" t="s">
        <v>236</v>
      </c>
      <c r="E1487">
        <v>120</v>
      </c>
    </row>
    <row r="1488" spans="4:5" x14ac:dyDescent="0.25">
      <c r="D1488" t="s">
        <v>432</v>
      </c>
    </row>
    <row r="1490" spans="4:5" x14ac:dyDescent="0.25">
      <c r="D1490" t="s">
        <v>97</v>
      </c>
      <c r="E1490" t="s">
        <v>234</v>
      </c>
    </row>
    <row r="1491" spans="4:5" x14ac:dyDescent="0.25">
      <c r="D1491" t="s">
        <v>99</v>
      </c>
      <c r="E1491" t="s">
        <v>238</v>
      </c>
    </row>
    <row r="1492" spans="4:5" x14ac:dyDescent="0.25">
      <c r="D1492" t="s">
        <v>433</v>
      </c>
    </row>
    <row r="1494" spans="4:5" x14ac:dyDescent="0.25">
      <c r="D1494" t="s">
        <v>97</v>
      </c>
      <c r="E1494" t="s">
        <v>183</v>
      </c>
    </row>
    <row r="1495" spans="4:5" x14ac:dyDescent="0.25">
      <c r="D1495" t="s">
        <v>99</v>
      </c>
      <c r="E1495" t="s">
        <v>184</v>
      </c>
    </row>
    <row r="1496" spans="4:5" x14ac:dyDescent="0.25">
      <c r="D1496" t="s">
        <v>185</v>
      </c>
      <c r="E1496" t="s">
        <v>335</v>
      </c>
    </row>
    <row r="1497" spans="4:5" x14ac:dyDescent="0.25">
      <c r="D1497" t="s">
        <v>434</v>
      </c>
    </row>
    <row r="1499" spans="4:5" x14ac:dyDescent="0.25">
      <c r="D1499" t="s">
        <v>97</v>
      </c>
      <c r="E1499" t="s">
        <v>183</v>
      </c>
    </row>
    <row r="1500" spans="4:5" x14ac:dyDescent="0.25">
      <c r="D1500" t="s">
        <v>99</v>
      </c>
      <c r="E1500" t="s">
        <v>188</v>
      </c>
    </row>
    <row r="1501" spans="4:5" x14ac:dyDescent="0.25">
      <c r="D1501" t="s">
        <v>185</v>
      </c>
      <c r="E1501" t="s">
        <v>335</v>
      </c>
    </row>
    <row r="1502" spans="4:5" x14ac:dyDescent="0.25">
      <c r="D1502" t="s">
        <v>435</v>
      </c>
    </row>
    <row r="1504" spans="4:5" x14ac:dyDescent="0.25">
      <c r="D1504" t="s">
        <v>97</v>
      </c>
      <c r="E1504" t="s">
        <v>336</v>
      </c>
    </row>
    <row r="1505" spans="4:6" x14ac:dyDescent="0.25">
      <c r="D1505" t="s">
        <v>99</v>
      </c>
      <c r="E1505" t="s">
        <v>228</v>
      </c>
    </row>
    <row r="1506" spans="4:6" x14ac:dyDescent="0.25">
      <c r="D1506" t="s">
        <v>101</v>
      </c>
      <c r="E1506" t="s">
        <v>335</v>
      </c>
    </row>
    <row r="1507" spans="4:6" x14ac:dyDescent="0.25">
      <c r="D1507" t="s">
        <v>436</v>
      </c>
    </row>
    <row r="1509" spans="4:6" x14ac:dyDescent="0.25">
      <c r="D1509" t="s">
        <v>97</v>
      </c>
      <c r="E1509" t="s">
        <v>336</v>
      </c>
    </row>
    <row r="1510" spans="4:6" x14ac:dyDescent="0.25">
      <c r="D1510" t="s">
        <v>99</v>
      </c>
      <c r="E1510" t="s">
        <v>230</v>
      </c>
    </row>
    <row r="1511" spans="4:6" x14ac:dyDescent="0.25">
      <c r="D1511" t="s">
        <v>101</v>
      </c>
      <c r="E1511" t="s">
        <v>335</v>
      </c>
    </row>
    <row r="1512" spans="4:6" x14ac:dyDescent="0.25">
      <c r="D1512" t="s">
        <v>437</v>
      </c>
    </row>
    <row r="1514" spans="4:6" x14ac:dyDescent="0.25">
      <c r="D1514" t="s">
        <v>97</v>
      </c>
      <c r="E1514" t="s">
        <v>336</v>
      </c>
    </row>
    <row r="1515" spans="4:6" x14ac:dyDescent="0.25">
      <c r="D1515" t="s">
        <v>99</v>
      </c>
      <c r="E1515" t="s">
        <v>244</v>
      </c>
    </row>
    <row r="1516" spans="4:6" x14ac:dyDescent="0.25">
      <c r="D1516" t="s">
        <v>101</v>
      </c>
      <c r="E1516" t="s">
        <v>330</v>
      </c>
    </row>
    <row r="1517" spans="4:6" x14ac:dyDescent="0.25">
      <c r="D1517" t="s">
        <v>248</v>
      </c>
      <c r="E1517">
        <v>200</v>
      </c>
      <c r="F1517">
        <v>200</v>
      </c>
    </row>
    <row r="1518" spans="4:6" x14ac:dyDescent="0.25">
      <c r="D1518" t="s">
        <v>438</v>
      </c>
    </row>
    <row r="1520" spans="4:6" x14ac:dyDescent="0.25">
      <c r="D1520" t="s">
        <v>97</v>
      </c>
      <c r="E1520" t="s">
        <v>117</v>
      </c>
    </row>
    <row r="1521" spans="4:6" x14ac:dyDescent="0.25">
      <c r="D1521" t="s">
        <v>99</v>
      </c>
      <c r="E1521" t="s">
        <v>124</v>
      </c>
    </row>
    <row r="1522" spans="4:6" x14ac:dyDescent="0.25">
      <c r="D1522" t="s">
        <v>119</v>
      </c>
      <c r="E1522">
        <v>200</v>
      </c>
      <c r="F1522">
        <v>200</v>
      </c>
    </row>
    <row r="1523" spans="4:6" x14ac:dyDescent="0.25">
      <c r="D1523" t="s">
        <v>439</v>
      </c>
    </row>
    <row r="1525" spans="4:6" x14ac:dyDescent="0.25">
      <c r="D1525" t="s">
        <v>97</v>
      </c>
      <c r="E1525" t="s">
        <v>336</v>
      </c>
    </row>
    <row r="1526" spans="4:6" x14ac:dyDescent="0.25">
      <c r="D1526" t="s">
        <v>99</v>
      </c>
      <c r="E1526" t="s">
        <v>247</v>
      </c>
    </row>
    <row r="1527" spans="4:6" x14ac:dyDescent="0.25">
      <c r="D1527" t="s">
        <v>101</v>
      </c>
      <c r="E1527" t="s">
        <v>330</v>
      </c>
    </row>
    <row r="1528" spans="4:6" x14ac:dyDescent="0.25">
      <c r="D1528" t="s">
        <v>248</v>
      </c>
      <c r="E1528">
        <v>200</v>
      </c>
      <c r="F1528">
        <v>200</v>
      </c>
    </row>
    <row r="1529" spans="4:6" x14ac:dyDescent="0.25">
      <c r="D1529" t="s">
        <v>440</v>
      </c>
    </row>
    <row r="1531" spans="4:6" x14ac:dyDescent="0.25">
      <c r="D1531" t="s">
        <v>97</v>
      </c>
      <c r="E1531" t="s">
        <v>117</v>
      </c>
    </row>
    <row r="1532" spans="4:6" x14ac:dyDescent="0.25">
      <c r="D1532" t="s">
        <v>99</v>
      </c>
      <c r="E1532" t="s">
        <v>124</v>
      </c>
    </row>
    <row r="1533" spans="4:6" x14ac:dyDescent="0.25">
      <c r="D1533" t="s">
        <v>119</v>
      </c>
      <c r="E1533">
        <v>200</v>
      </c>
      <c r="F1533">
        <v>200</v>
      </c>
    </row>
    <row r="1534" spans="4:6" x14ac:dyDescent="0.25">
      <c r="D1534" t="s">
        <v>441</v>
      </c>
    </row>
    <row r="1536" spans="4:6" x14ac:dyDescent="0.25">
      <c r="D1536" t="s">
        <v>97</v>
      </c>
      <c r="E1536" t="s">
        <v>117</v>
      </c>
    </row>
    <row r="1537" spans="4:6" x14ac:dyDescent="0.25">
      <c r="D1537" t="s">
        <v>99</v>
      </c>
      <c r="E1537" t="s">
        <v>126</v>
      </c>
    </row>
    <row r="1538" spans="4:6" x14ac:dyDescent="0.25">
      <c r="D1538" t="s">
        <v>127</v>
      </c>
      <c r="E1538" t="s">
        <v>330</v>
      </c>
      <c r="F1538" t="s">
        <v>330</v>
      </c>
    </row>
    <row r="1539" spans="4:6" x14ac:dyDescent="0.25">
      <c r="D1539" t="s">
        <v>128</v>
      </c>
      <c r="E1539">
        <v>1</v>
      </c>
      <c r="F1539">
        <v>2</v>
      </c>
    </row>
    <row r="1540" spans="4:6" x14ac:dyDescent="0.25">
      <c r="D1540" t="s">
        <v>129</v>
      </c>
      <c r="E1540" t="s">
        <v>319</v>
      </c>
      <c r="F1540" t="s">
        <v>319</v>
      </c>
    </row>
    <row r="1541" spans="4:6" x14ac:dyDescent="0.25">
      <c r="D1541" t="s">
        <v>130</v>
      </c>
      <c r="E1541">
        <v>1</v>
      </c>
      <c r="F1541">
        <v>2</v>
      </c>
    </row>
    <row r="1542" spans="4:6" x14ac:dyDescent="0.25">
      <c r="D1542" t="s">
        <v>119</v>
      </c>
      <c r="E1542">
        <v>200</v>
      </c>
      <c r="F1542">
        <v>200</v>
      </c>
    </row>
    <row r="1543" spans="4:6" x14ac:dyDescent="0.25">
      <c r="D1543" t="s">
        <v>131</v>
      </c>
      <c r="E1543">
        <v>950</v>
      </c>
      <c r="F1543">
        <v>950</v>
      </c>
    </row>
    <row r="1544" spans="4:6" x14ac:dyDescent="0.25">
      <c r="D1544" t="s">
        <v>132</v>
      </c>
      <c r="E1544" t="s">
        <v>28</v>
      </c>
      <c r="F1544" t="s">
        <v>28</v>
      </c>
    </row>
    <row r="1545" spans="4:6" x14ac:dyDescent="0.25">
      <c r="D1545" t="s">
        <v>133</v>
      </c>
    </row>
    <row r="1546" spans="4:6" x14ac:dyDescent="0.25">
      <c r="D1546" t="s">
        <v>134</v>
      </c>
    </row>
    <row r="1547" spans="4:6" x14ac:dyDescent="0.25">
      <c r="D1547" t="s">
        <v>331</v>
      </c>
      <c r="E1547">
        <v>0</v>
      </c>
    </row>
    <row r="1548" spans="4:6" x14ac:dyDescent="0.25">
      <c r="D1548" t="s">
        <v>135</v>
      </c>
      <c r="E1548" t="s">
        <v>208</v>
      </c>
    </row>
    <row r="1549" spans="4:6" x14ac:dyDescent="0.25">
      <c r="D1549" t="s">
        <v>442</v>
      </c>
    </row>
    <row r="1551" spans="4:6" x14ac:dyDescent="0.25">
      <c r="D1551" t="s">
        <v>97</v>
      </c>
      <c r="E1551" t="s">
        <v>200</v>
      </c>
    </row>
    <row r="1552" spans="4:6" x14ac:dyDescent="0.25">
      <c r="D1552" t="s">
        <v>99</v>
      </c>
      <c r="E1552" t="s">
        <v>201</v>
      </c>
    </row>
    <row r="1553" spans="4:6" x14ac:dyDescent="0.25">
      <c r="D1553" t="s">
        <v>202</v>
      </c>
    </row>
    <row r="1554" spans="4:6" x14ac:dyDescent="0.25">
      <c r="D1554" t="s">
        <v>203</v>
      </c>
    </row>
    <row r="1555" spans="4:6" x14ac:dyDescent="0.25">
      <c r="D1555" t="s">
        <v>204</v>
      </c>
    </row>
    <row r="1556" spans="4:6" x14ac:dyDescent="0.25">
      <c r="D1556" t="s">
        <v>205</v>
      </c>
    </row>
    <row r="1557" spans="4:6" x14ac:dyDescent="0.25">
      <c r="D1557" t="s">
        <v>206</v>
      </c>
      <c r="E1557" t="b">
        <v>1</v>
      </c>
    </row>
    <row r="1558" spans="4:6" x14ac:dyDescent="0.25">
      <c r="D1558" t="s">
        <v>207</v>
      </c>
      <c r="E1558" t="s">
        <v>232</v>
      </c>
    </row>
    <row r="1559" spans="4:6" x14ac:dyDescent="0.25">
      <c r="D1559" t="s">
        <v>443</v>
      </c>
    </row>
    <row r="1561" spans="4:6" x14ac:dyDescent="0.25">
      <c r="D1561" t="s">
        <v>97</v>
      </c>
      <c r="E1561" t="s">
        <v>117</v>
      </c>
    </row>
    <row r="1562" spans="4:6" x14ac:dyDescent="0.25">
      <c r="D1562" t="s">
        <v>99</v>
      </c>
      <c r="E1562" t="s">
        <v>126</v>
      </c>
    </row>
    <row r="1563" spans="4:6" x14ac:dyDescent="0.25">
      <c r="D1563" t="s">
        <v>127</v>
      </c>
      <c r="E1563" t="s">
        <v>319</v>
      </c>
      <c r="F1563" t="s">
        <v>319</v>
      </c>
    </row>
    <row r="1564" spans="4:6" x14ac:dyDescent="0.25">
      <c r="D1564" t="s">
        <v>128</v>
      </c>
      <c r="E1564">
        <v>1</v>
      </c>
      <c r="F1564">
        <v>2</v>
      </c>
    </row>
    <row r="1565" spans="4:6" x14ac:dyDescent="0.25">
      <c r="D1565" t="s">
        <v>129</v>
      </c>
      <c r="E1565" t="s">
        <v>83</v>
      </c>
      <c r="F1565" t="s">
        <v>83</v>
      </c>
    </row>
    <row r="1566" spans="4:6" x14ac:dyDescent="0.25">
      <c r="D1566" t="s">
        <v>130</v>
      </c>
      <c r="E1566">
        <v>1</v>
      </c>
      <c r="F1566">
        <v>2</v>
      </c>
    </row>
    <row r="1567" spans="4:6" x14ac:dyDescent="0.25">
      <c r="D1567" t="s">
        <v>119</v>
      </c>
      <c r="E1567">
        <v>200</v>
      </c>
      <c r="F1567">
        <v>200</v>
      </c>
    </row>
    <row r="1568" spans="4:6" x14ac:dyDescent="0.25">
      <c r="D1568" t="s">
        <v>131</v>
      </c>
      <c r="E1568">
        <v>0</v>
      </c>
      <c r="F1568">
        <v>0</v>
      </c>
    </row>
    <row r="1569" spans="2:6" x14ac:dyDescent="0.25">
      <c r="D1569" t="s">
        <v>132</v>
      </c>
      <c r="E1569" t="s">
        <v>318</v>
      </c>
      <c r="F1569" t="s">
        <v>318</v>
      </c>
    </row>
    <row r="1570" spans="2:6" x14ac:dyDescent="0.25">
      <c r="D1570" t="s">
        <v>133</v>
      </c>
    </row>
    <row r="1571" spans="2:6" x14ac:dyDescent="0.25">
      <c r="D1571" t="s">
        <v>134</v>
      </c>
    </row>
    <row r="1572" spans="2:6" x14ac:dyDescent="0.25">
      <c r="D1572" t="s">
        <v>331</v>
      </c>
      <c r="E1572">
        <v>0</v>
      </c>
    </row>
    <row r="1573" spans="2:6" x14ac:dyDescent="0.25">
      <c r="D1573" t="s">
        <v>135</v>
      </c>
      <c r="E1573" t="s">
        <v>208</v>
      </c>
    </row>
    <row r="1574" spans="2:6" x14ac:dyDescent="0.25">
      <c r="D1574" t="s">
        <v>444</v>
      </c>
    </row>
    <row r="1579" spans="2:6" x14ac:dyDescent="0.25">
      <c r="B1579" t="s">
        <v>220</v>
      </c>
    </row>
    <row r="1580" spans="2:6" x14ac:dyDescent="0.25">
      <c r="B1580" t="s">
        <v>445</v>
      </c>
    </row>
    <row r="1581" spans="2:6" x14ac:dyDescent="0.25">
      <c r="B1581" t="s">
        <v>321</v>
      </c>
    </row>
    <row r="1582" spans="2:6" x14ac:dyDescent="0.25">
      <c r="B1582" t="s">
        <v>446</v>
      </c>
    </row>
    <row r="1583" spans="2:6" x14ac:dyDescent="0.25">
      <c r="B1583" t="s">
        <v>412</v>
      </c>
    </row>
    <row r="1584" spans="2:6" x14ac:dyDescent="0.25">
      <c r="B1584" t="s">
        <v>224</v>
      </c>
    </row>
    <row r="1585" spans="2:5" x14ac:dyDescent="0.25">
      <c r="B1585" t="s">
        <v>447</v>
      </c>
    </row>
    <row r="1587" spans="2:5" x14ac:dyDescent="0.25">
      <c r="C1587" t="s">
        <v>108</v>
      </c>
    </row>
    <row r="1589" spans="2:5" x14ac:dyDescent="0.25">
      <c r="D1589" t="s">
        <v>97</v>
      </c>
      <c r="E1589" t="s">
        <v>183</v>
      </c>
    </row>
    <row r="1590" spans="2:5" x14ac:dyDescent="0.25">
      <c r="D1590" t="s">
        <v>99</v>
      </c>
      <c r="E1590" t="s">
        <v>184</v>
      </c>
    </row>
    <row r="1591" spans="2:5" x14ac:dyDescent="0.25">
      <c r="D1591" t="s">
        <v>185</v>
      </c>
      <c r="E1591" t="s">
        <v>335</v>
      </c>
    </row>
    <row r="1592" spans="2:5" x14ac:dyDescent="0.25">
      <c r="D1592" t="s">
        <v>448</v>
      </c>
    </row>
    <row r="1594" spans="2:5" x14ac:dyDescent="0.25">
      <c r="D1594" t="s">
        <v>97</v>
      </c>
      <c r="E1594" t="s">
        <v>183</v>
      </c>
    </row>
    <row r="1595" spans="2:5" x14ac:dyDescent="0.25">
      <c r="D1595" t="s">
        <v>99</v>
      </c>
      <c r="E1595" t="s">
        <v>188</v>
      </c>
    </row>
    <row r="1596" spans="2:5" x14ac:dyDescent="0.25">
      <c r="D1596" t="s">
        <v>185</v>
      </c>
      <c r="E1596" t="s">
        <v>335</v>
      </c>
    </row>
    <row r="1597" spans="2:5" x14ac:dyDescent="0.25">
      <c r="D1597" t="s">
        <v>449</v>
      </c>
    </row>
    <row r="1599" spans="2:5" x14ac:dyDescent="0.25">
      <c r="D1599" t="s">
        <v>97</v>
      </c>
      <c r="E1599" t="s">
        <v>336</v>
      </c>
    </row>
    <row r="1600" spans="2:5" x14ac:dyDescent="0.25">
      <c r="D1600" t="s">
        <v>99</v>
      </c>
      <c r="E1600" t="s">
        <v>228</v>
      </c>
    </row>
    <row r="1601" spans="4:5" x14ac:dyDescent="0.25">
      <c r="D1601" t="s">
        <v>101</v>
      </c>
      <c r="E1601" t="s">
        <v>335</v>
      </c>
    </row>
    <row r="1602" spans="4:5" x14ac:dyDescent="0.25">
      <c r="D1602" t="s">
        <v>450</v>
      </c>
    </row>
    <row r="1604" spans="4:5" x14ac:dyDescent="0.25">
      <c r="D1604" t="s">
        <v>97</v>
      </c>
      <c r="E1604" t="s">
        <v>336</v>
      </c>
    </row>
    <row r="1605" spans="4:5" x14ac:dyDescent="0.25">
      <c r="D1605" t="s">
        <v>99</v>
      </c>
      <c r="E1605" t="s">
        <v>230</v>
      </c>
    </row>
    <row r="1606" spans="4:5" x14ac:dyDescent="0.25">
      <c r="D1606" t="s">
        <v>101</v>
      </c>
      <c r="E1606" t="s">
        <v>335</v>
      </c>
    </row>
    <row r="1607" spans="4:5" x14ac:dyDescent="0.25">
      <c r="D1607" t="s">
        <v>451</v>
      </c>
    </row>
    <row r="1609" spans="4:5" x14ac:dyDescent="0.25">
      <c r="D1609" t="s">
        <v>97</v>
      </c>
      <c r="E1609" t="s">
        <v>200</v>
      </c>
    </row>
    <row r="1610" spans="4:5" x14ac:dyDescent="0.25">
      <c r="D1610" t="s">
        <v>99</v>
      </c>
      <c r="E1610" t="s">
        <v>201</v>
      </c>
    </row>
    <row r="1611" spans="4:5" x14ac:dyDescent="0.25">
      <c r="D1611" t="s">
        <v>202</v>
      </c>
    </row>
    <row r="1612" spans="4:5" x14ac:dyDescent="0.25">
      <c r="D1612" t="s">
        <v>203</v>
      </c>
    </row>
    <row r="1613" spans="4:5" x14ac:dyDescent="0.25">
      <c r="D1613" t="s">
        <v>204</v>
      </c>
    </row>
    <row r="1614" spans="4:5" x14ac:dyDescent="0.25">
      <c r="D1614" t="s">
        <v>205</v>
      </c>
    </row>
    <row r="1615" spans="4:5" x14ac:dyDescent="0.25">
      <c r="D1615" t="s">
        <v>206</v>
      </c>
      <c r="E1615" t="b">
        <v>1</v>
      </c>
    </row>
    <row r="1616" spans="4:5" x14ac:dyDescent="0.25">
      <c r="D1616" t="s">
        <v>207</v>
      </c>
      <c r="E1616" t="s">
        <v>232</v>
      </c>
    </row>
    <row r="1617" spans="4:5" x14ac:dyDescent="0.25">
      <c r="D1617" t="s">
        <v>452</v>
      </c>
    </row>
    <row r="1619" spans="4:5" x14ac:dyDescent="0.25">
      <c r="D1619" t="s">
        <v>97</v>
      </c>
      <c r="E1619" t="s">
        <v>234</v>
      </c>
    </row>
    <row r="1620" spans="4:5" x14ac:dyDescent="0.25">
      <c r="D1620" t="s">
        <v>99</v>
      </c>
      <c r="E1620" t="s">
        <v>235</v>
      </c>
    </row>
    <row r="1621" spans="4:5" x14ac:dyDescent="0.25">
      <c r="D1621" t="s">
        <v>236</v>
      </c>
      <c r="E1621">
        <v>120</v>
      </c>
    </row>
    <row r="1622" spans="4:5" x14ac:dyDescent="0.25">
      <c r="D1622" t="s">
        <v>453</v>
      </c>
    </row>
    <row r="1624" spans="4:5" x14ac:dyDescent="0.25">
      <c r="D1624" t="s">
        <v>97</v>
      </c>
      <c r="E1624" t="s">
        <v>234</v>
      </c>
    </row>
    <row r="1625" spans="4:5" x14ac:dyDescent="0.25">
      <c r="D1625" t="s">
        <v>99</v>
      </c>
      <c r="E1625" t="s">
        <v>238</v>
      </c>
    </row>
    <row r="1626" spans="4:5" x14ac:dyDescent="0.25">
      <c r="D1626" t="s">
        <v>454</v>
      </c>
    </row>
    <row r="1628" spans="4:5" x14ac:dyDescent="0.25">
      <c r="D1628" t="s">
        <v>97</v>
      </c>
      <c r="E1628" t="s">
        <v>183</v>
      </c>
    </row>
    <row r="1629" spans="4:5" x14ac:dyDescent="0.25">
      <c r="D1629" t="s">
        <v>99</v>
      </c>
      <c r="E1629" t="s">
        <v>184</v>
      </c>
    </row>
    <row r="1630" spans="4:5" x14ac:dyDescent="0.25">
      <c r="D1630" t="s">
        <v>185</v>
      </c>
      <c r="E1630" t="s">
        <v>335</v>
      </c>
    </row>
    <row r="1631" spans="4:5" x14ac:dyDescent="0.25">
      <c r="D1631" t="s">
        <v>455</v>
      </c>
    </row>
    <row r="1633" spans="4:5" x14ac:dyDescent="0.25">
      <c r="D1633" t="s">
        <v>97</v>
      </c>
      <c r="E1633" t="s">
        <v>183</v>
      </c>
    </row>
    <row r="1634" spans="4:5" x14ac:dyDescent="0.25">
      <c r="D1634" t="s">
        <v>99</v>
      </c>
      <c r="E1634" t="s">
        <v>188</v>
      </c>
    </row>
    <row r="1635" spans="4:5" x14ac:dyDescent="0.25">
      <c r="D1635" t="s">
        <v>185</v>
      </c>
      <c r="E1635" t="s">
        <v>335</v>
      </c>
    </row>
    <row r="1636" spans="4:5" x14ac:dyDescent="0.25">
      <c r="D1636" t="s">
        <v>456</v>
      </c>
    </row>
    <row r="1638" spans="4:5" x14ac:dyDescent="0.25">
      <c r="D1638" t="s">
        <v>97</v>
      </c>
      <c r="E1638" t="s">
        <v>336</v>
      </c>
    </row>
    <row r="1639" spans="4:5" x14ac:dyDescent="0.25">
      <c r="D1639" t="s">
        <v>99</v>
      </c>
      <c r="E1639" t="s">
        <v>228</v>
      </c>
    </row>
    <row r="1640" spans="4:5" x14ac:dyDescent="0.25">
      <c r="D1640" t="s">
        <v>101</v>
      </c>
      <c r="E1640" t="s">
        <v>335</v>
      </c>
    </row>
    <row r="1641" spans="4:5" x14ac:dyDescent="0.25">
      <c r="D1641" t="s">
        <v>457</v>
      </c>
    </row>
    <row r="1643" spans="4:5" x14ac:dyDescent="0.25">
      <c r="D1643" t="s">
        <v>97</v>
      </c>
      <c r="E1643" t="s">
        <v>336</v>
      </c>
    </row>
    <row r="1644" spans="4:5" x14ac:dyDescent="0.25">
      <c r="D1644" t="s">
        <v>99</v>
      </c>
      <c r="E1644" t="s">
        <v>230</v>
      </c>
    </row>
    <row r="1645" spans="4:5" x14ac:dyDescent="0.25">
      <c r="D1645" t="s">
        <v>101</v>
      </c>
      <c r="E1645" t="s">
        <v>335</v>
      </c>
    </row>
    <row r="1646" spans="4:5" x14ac:dyDescent="0.25">
      <c r="D1646" t="s">
        <v>458</v>
      </c>
    </row>
    <row r="1648" spans="4:5" x14ac:dyDescent="0.25">
      <c r="D1648" t="s">
        <v>97</v>
      </c>
      <c r="E1648" t="s">
        <v>336</v>
      </c>
    </row>
    <row r="1649" spans="4:6" x14ac:dyDescent="0.25">
      <c r="D1649" t="s">
        <v>99</v>
      </c>
      <c r="E1649" t="s">
        <v>244</v>
      </c>
    </row>
    <row r="1650" spans="4:6" x14ac:dyDescent="0.25">
      <c r="D1650" t="s">
        <v>101</v>
      </c>
      <c r="E1650" t="s">
        <v>330</v>
      </c>
    </row>
    <row r="1651" spans="4:6" x14ac:dyDescent="0.25">
      <c r="D1651" t="s">
        <v>248</v>
      </c>
      <c r="E1651">
        <v>200</v>
      </c>
      <c r="F1651">
        <v>200</v>
      </c>
    </row>
    <row r="1652" spans="4:6" x14ac:dyDescent="0.25">
      <c r="D1652" t="s">
        <v>459</v>
      </c>
    </row>
    <row r="1654" spans="4:6" x14ac:dyDescent="0.25">
      <c r="D1654" t="s">
        <v>97</v>
      </c>
      <c r="E1654" t="s">
        <v>117</v>
      </c>
    </row>
    <row r="1655" spans="4:6" x14ac:dyDescent="0.25">
      <c r="D1655" t="s">
        <v>99</v>
      </c>
      <c r="E1655" t="s">
        <v>124</v>
      </c>
    </row>
    <row r="1656" spans="4:6" x14ac:dyDescent="0.25">
      <c r="D1656" t="s">
        <v>119</v>
      </c>
      <c r="E1656">
        <v>200</v>
      </c>
      <c r="F1656">
        <v>200</v>
      </c>
    </row>
    <row r="1657" spans="4:6" x14ac:dyDescent="0.25">
      <c r="D1657" t="s">
        <v>460</v>
      </c>
    </row>
    <row r="1659" spans="4:6" x14ac:dyDescent="0.25">
      <c r="D1659" t="s">
        <v>97</v>
      </c>
      <c r="E1659" t="s">
        <v>336</v>
      </c>
    </row>
    <row r="1660" spans="4:6" x14ac:dyDescent="0.25">
      <c r="D1660" t="s">
        <v>99</v>
      </c>
      <c r="E1660" t="s">
        <v>247</v>
      </c>
    </row>
    <row r="1661" spans="4:6" x14ac:dyDescent="0.25">
      <c r="D1661" t="s">
        <v>101</v>
      </c>
      <c r="E1661" t="s">
        <v>330</v>
      </c>
    </row>
    <row r="1662" spans="4:6" x14ac:dyDescent="0.25">
      <c r="D1662" t="s">
        <v>248</v>
      </c>
      <c r="E1662">
        <v>200</v>
      </c>
      <c r="F1662">
        <v>200</v>
      </c>
    </row>
    <row r="1663" spans="4:6" x14ac:dyDescent="0.25">
      <c r="D1663" t="s">
        <v>461</v>
      </c>
    </row>
    <row r="1665" spans="4:6" x14ac:dyDescent="0.25">
      <c r="D1665" t="s">
        <v>97</v>
      </c>
      <c r="E1665" t="s">
        <v>117</v>
      </c>
    </row>
    <row r="1666" spans="4:6" x14ac:dyDescent="0.25">
      <c r="D1666" t="s">
        <v>99</v>
      </c>
      <c r="E1666" t="s">
        <v>124</v>
      </c>
    </row>
    <row r="1667" spans="4:6" x14ac:dyDescent="0.25">
      <c r="D1667" t="s">
        <v>119</v>
      </c>
      <c r="E1667">
        <v>200</v>
      </c>
      <c r="F1667">
        <v>200</v>
      </c>
    </row>
    <row r="1668" spans="4:6" x14ac:dyDescent="0.25">
      <c r="D1668" t="s">
        <v>462</v>
      </c>
    </row>
    <row r="1670" spans="4:6" x14ac:dyDescent="0.25">
      <c r="D1670" t="s">
        <v>97</v>
      </c>
      <c r="E1670" t="s">
        <v>117</v>
      </c>
    </row>
    <row r="1671" spans="4:6" x14ac:dyDescent="0.25">
      <c r="D1671" t="s">
        <v>99</v>
      </c>
      <c r="E1671" t="s">
        <v>126</v>
      </c>
    </row>
    <row r="1672" spans="4:6" x14ac:dyDescent="0.25">
      <c r="D1672" t="s">
        <v>127</v>
      </c>
      <c r="E1672" t="s">
        <v>330</v>
      </c>
      <c r="F1672" t="s">
        <v>330</v>
      </c>
    </row>
    <row r="1673" spans="4:6" x14ac:dyDescent="0.25">
      <c r="D1673" t="s">
        <v>128</v>
      </c>
      <c r="E1673">
        <v>1</v>
      </c>
      <c r="F1673">
        <v>2</v>
      </c>
    </row>
    <row r="1674" spans="4:6" x14ac:dyDescent="0.25">
      <c r="D1674" t="s">
        <v>129</v>
      </c>
      <c r="E1674" t="s">
        <v>319</v>
      </c>
      <c r="F1674" t="s">
        <v>319</v>
      </c>
    </row>
    <row r="1675" spans="4:6" x14ac:dyDescent="0.25">
      <c r="D1675" t="s">
        <v>130</v>
      </c>
      <c r="E1675">
        <v>1</v>
      </c>
      <c r="F1675">
        <v>2</v>
      </c>
    </row>
    <row r="1676" spans="4:6" x14ac:dyDescent="0.25">
      <c r="D1676" t="s">
        <v>119</v>
      </c>
      <c r="E1676">
        <v>200</v>
      </c>
      <c r="F1676">
        <v>200</v>
      </c>
    </row>
    <row r="1677" spans="4:6" x14ac:dyDescent="0.25">
      <c r="D1677" t="s">
        <v>131</v>
      </c>
      <c r="E1677">
        <v>1150</v>
      </c>
      <c r="F1677">
        <v>1150</v>
      </c>
    </row>
    <row r="1678" spans="4:6" x14ac:dyDescent="0.25">
      <c r="D1678" t="s">
        <v>132</v>
      </c>
      <c r="E1678" t="s">
        <v>28</v>
      </c>
      <c r="F1678" t="s">
        <v>28</v>
      </c>
    </row>
    <row r="1679" spans="4:6" x14ac:dyDescent="0.25">
      <c r="D1679" t="s">
        <v>133</v>
      </c>
    </row>
    <row r="1680" spans="4:6" x14ac:dyDescent="0.25">
      <c r="D1680" t="s">
        <v>134</v>
      </c>
    </row>
    <row r="1681" spans="4:5" x14ac:dyDescent="0.25">
      <c r="D1681" t="s">
        <v>331</v>
      </c>
      <c r="E1681">
        <v>0</v>
      </c>
    </row>
    <row r="1682" spans="4:5" x14ac:dyDescent="0.25">
      <c r="D1682" t="s">
        <v>135</v>
      </c>
      <c r="E1682" t="s">
        <v>208</v>
      </c>
    </row>
    <row r="1683" spans="4:5" x14ac:dyDescent="0.25">
      <c r="D1683" t="s">
        <v>463</v>
      </c>
    </row>
    <row r="1685" spans="4:5" x14ac:dyDescent="0.25">
      <c r="D1685" t="s">
        <v>97</v>
      </c>
      <c r="E1685" t="s">
        <v>200</v>
      </c>
    </row>
    <row r="1686" spans="4:5" x14ac:dyDescent="0.25">
      <c r="D1686" t="s">
        <v>99</v>
      </c>
      <c r="E1686" t="s">
        <v>201</v>
      </c>
    </row>
    <row r="1687" spans="4:5" x14ac:dyDescent="0.25">
      <c r="D1687" t="s">
        <v>202</v>
      </c>
    </row>
    <row r="1688" spans="4:5" x14ac:dyDescent="0.25">
      <c r="D1688" t="s">
        <v>203</v>
      </c>
    </row>
    <row r="1689" spans="4:5" x14ac:dyDescent="0.25">
      <c r="D1689" t="s">
        <v>204</v>
      </c>
    </row>
    <row r="1690" spans="4:5" x14ac:dyDescent="0.25">
      <c r="D1690" t="s">
        <v>205</v>
      </c>
    </row>
    <row r="1691" spans="4:5" x14ac:dyDescent="0.25">
      <c r="D1691" t="s">
        <v>206</v>
      </c>
      <c r="E1691" t="b">
        <v>1</v>
      </c>
    </row>
    <row r="1692" spans="4:5" x14ac:dyDescent="0.25">
      <c r="D1692" t="s">
        <v>207</v>
      </c>
      <c r="E1692" t="s">
        <v>232</v>
      </c>
    </row>
    <row r="1693" spans="4:5" x14ac:dyDescent="0.25">
      <c r="D1693" t="s">
        <v>464</v>
      </c>
    </row>
    <row r="1695" spans="4:5" x14ac:dyDescent="0.25">
      <c r="D1695" t="s">
        <v>97</v>
      </c>
      <c r="E1695" t="s">
        <v>117</v>
      </c>
    </row>
    <row r="1696" spans="4:5" x14ac:dyDescent="0.25">
      <c r="D1696" t="s">
        <v>99</v>
      </c>
      <c r="E1696" t="s">
        <v>126</v>
      </c>
    </row>
    <row r="1697" spans="4:6" x14ac:dyDescent="0.25">
      <c r="D1697" t="s">
        <v>127</v>
      </c>
      <c r="E1697" t="s">
        <v>319</v>
      </c>
      <c r="F1697" t="s">
        <v>319</v>
      </c>
    </row>
    <row r="1698" spans="4:6" x14ac:dyDescent="0.25">
      <c r="D1698" t="s">
        <v>128</v>
      </c>
      <c r="E1698">
        <v>1</v>
      </c>
      <c r="F1698">
        <v>2</v>
      </c>
    </row>
    <row r="1699" spans="4:6" x14ac:dyDescent="0.25">
      <c r="D1699" t="s">
        <v>129</v>
      </c>
      <c r="E1699" t="s">
        <v>57</v>
      </c>
      <c r="F1699" t="s">
        <v>57</v>
      </c>
    </row>
    <row r="1700" spans="4:6" x14ac:dyDescent="0.25">
      <c r="D1700" t="s">
        <v>130</v>
      </c>
      <c r="E1700">
        <v>1</v>
      </c>
      <c r="F1700">
        <v>2</v>
      </c>
    </row>
    <row r="1701" spans="4:6" x14ac:dyDescent="0.25">
      <c r="D1701" t="s">
        <v>119</v>
      </c>
      <c r="E1701">
        <v>200</v>
      </c>
      <c r="F1701">
        <v>200</v>
      </c>
    </row>
    <row r="1702" spans="4:6" x14ac:dyDescent="0.25">
      <c r="D1702" t="s">
        <v>131</v>
      </c>
      <c r="E1702">
        <v>0</v>
      </c>
      <c r="F1702">
        <v>0</v>
      </c>
    </row>
    <row r="1703" spans="4:6" x14ac:dyDescent="0.25">
      <c r="D1703" t="s">
        <v>132</v>
      </c>
      <c r="E1703" t="s">
        <v>318</v>
      </c>
      <c r="F1703" t="s">
        <v>318</v>
      </c>
    </row>
    <row r="1704" spans="4:6" x14ac:dyDescent="0.25">
      <c r="D1704" t="s">
        <v>133</v>
      </c>
    </row>
    <row r="1705" spans="4:6" x14ac:dyDescent="0.25">
      <c r="D1705" t="s">
        <v>134</v>
      </c>
    </row>
    <row r="1706" spans="4:6" x14ac:dyDescent="0.25">
      <c r="D1706" t="s">
        <v>331</v>
      </c>
      <c r="E1706">
        <v>0</v>
      </c>
    </row>
    <row r="1707" spans="4:6" x14ac:dyDescent="0.25">
      <c r="D1707" t="s">
        <v>135</v>
      </c>
      <c r="E1707" t="s">
        <v>208</v>
      </c>
    </row>
    <row r="1708" spans="4:6" x14ac:dyDescent="0.25">
      <c r="D1708" t="s">
        <v>465</v>
      </c>
    </row>
    <row r="1710" spans="4:6" x14ac:dyDescent="0.25">
      <c r="D1710" t="s">
        <v>97</v>
      </c>
      <c r="E1710" t="s">
        <v>200</v>
      </c>
    </row>
    <row r="1711" spans="4:6" x14ac:dyDescent="0.25">
      <c r="D1711" t="s">
        <v>99</v>
      </c>
      <c r="E1711" t="s">
        <v>201</v>
      </c>
    </row>
    <row r="1712" spans="4:6" x14ac:dyDescent="0.25">
      <c r="D1712" t="s">
        <v>202</v>
      </c>
    </row>
    <row r="1713" spans="4:5" x14ac:dyDescent="0.25">
      <c r="D1713" t="s">
        <v>203</v>
      </c>
    </row>
    <row r="1714" spans="4:5" x14ac:dyDescent="0.25">
      <c r="D1714" t="s">
        <v>204</v>
      </c>
    </row>
    <row r="1715" spans="4:5" x14ac:dyDescent="0.25">
      <c r="D1715" t="s">
        <v>205</v>
      </c>
    </row>
    <row r="1716" spans="4:5" x14ac:dyDescent="0.25">
      <c r="D1716" t="s">
        <v>206</v>
      </c>
      <c r="E1716" t="b">
        <v>1</v>
      </c>
    </row>
    <row r="1717" spans="4:5" x14ac:dyDescent="0.25">
      <c r="D1717" t="s">
        <v>207</v>
      </c>
      <c r="E1717" t="s">
        <v>232</v>
      </c>
    </row>
    <row r="1718" spans="4:5" x14ac:dyDescent="0.25">
      <c r="D1718" t="s">
        <v>466</v>
      </c>
    </row>
    <row r="1720" spans="4:5" x14ac:dyDescent="0.25">
      <c r="D1720" t="s">
        <v>97</v>
      </c>
      <c r="E1720" t="s">
        <v>234</v>
      </c>
    </row>
    <row r="1721" spans="4:5" x14ac:dyDescent="0.25">
      <c r="D1721" t="s">
        <v>99</v>
      </c>
      <c r="E1721" t="s">
        <v>235</v>
      </c>
    </row>
    <row r="1722" spans="4:5" x14ac:dyDescent="0.25">
      <c r="D1722" t="s">
        <v>236</v>
      </c>
      <c r="E1722">
        <v>120</v>
      </c>
    </row>
    <row r="1723" spans="4:5" x14ac:dyDescent="0.25">
      <c r="D1723" t="s">
        <v>467</v>
      </c>
    </row>
    <row r="1725" spans="4:5" x14ac:dyDescent="0.25">
      <c r="D1725" t="s">
        <v>97</v>
      </c>
      <c r="E1725" t="s">
        <v>234</v>
      </c>
    </row>
    <row r="1726" spans="4:5" x14ac:dyDescent="0.25">
      <c r="D1726" t="s">
        <v>99</v>
      </c>
      <c r="E1726" t="s">
        <v>238</v>
      </c>
    </row>
    <row r="1727" spans="4:5" x14ac:dyDescent="0.25">
      <c r="D1727" t="s">
        <v>468</v>
      </c>
    </row>
    <row r="1729" spans="4:5" x14ac:dyDescent="0.25">
      <c r="D1729" t="s">
        <v>97</v>
      </c>
      <c r="E1729" t="s">
        <v>183</v>
      </c>
    </row>
    <row r="1730" spans="4:5" x14ac:dyDescent="0.25">
      <c r="D1730" t="s">
        <v>99</v>
      </c>
      <c r="E1730" t="s">
        <v>184</v>
      </c>
    </row>
    <row r="1731" spans="4:5" x14ac:dyDescent="0.25">
      <c r="D1731" t="s">
        <v>185</v>
      </c>
      <c r="E1731" t="s">
        <v>335</v>
      </c>
    </row>
    <row r="1732" spans="4:5" x14ac:dyDescent="0.25">
      <c r="D1732" t="s">
        <v>469</v>
      </c>
    </row>
    <row r="1734" spans="4:5" x14ac:dyDescent="0.25">
      <c r="D1734" t="s">
        <v>97</v>
      </c>
      <c r="E1734" t="s">
        <v>183</v>
      </c>
    </row>
    <row r="1735" spans="4:5" x14ac:dyDescent="0.25">
      <c r="D1735" t="s">
        <v>99</v>
      </c>
      <c r="E1735" t="s">
        <v>188</v>
      </c>
    </row>
    <row r="1736" spans="4:5" x14ac:dyDescent="0.25">
      <c r="D1736" t="s">
        <v>185</v>
      </c>
      <c r="E1736" t="s">
        <v>335</v>
      </c>
    </row>
    <row r="1737" spans="4:5" x14ac:dyDescent="0.25">
      <c r="D1737" t="s">
        <v>470</v>
      </c>
    </row>
    <row r="1739" spans="4:5" x14ac:dyDescent="0.25">
      <c r="D1739" t="s">
        <v>97</v>
      </c>
      <c r="E1739" t="s">
        <v>336</v>
      </c>
    </row>
    <row r="1740" spans="4:5" x14ac:dyDescent="0.25">
      <c r="D1740" t="s">
        <v>99</v>
      </c>
      <c r="E1740" t="s">
        <v>228</v>
      </c>
    </row>
    <row r="1741" spans="4:5" x14ac:dyDescent="0.25">
      <c r="D1741" t="s">
        <v>101</v>
      </c>
      <c r="E1741" t="s">
        <v>335</v>
      </c>
    </row>
    <row r="1742" spans="4:5" x14ac:dyDescent="0.25">
      <c r="D1742" t="s">
        <v>471</v>
      </c>
    </row>
    <row r="1744" spans="4:5" x14ac:dyDescent="0.25">
      <c r="D1744" t="s">
        <v>97</v>
      </c>
      <c r="E1744" t="s">
        <v>336</v>
      </c>
    </row>
    <row r="1745" spans="4:6" x14ac:dyDescent="0.25">
      <c r="D1745" t="s">
        <v>99</v>
      </c>
      <c r="E1745" t="s">
        <v>230</v>
      </c>
    </row>
    <row r="1746" spans="4:6" x14ac:dyDescent="0.25">
      <c r="D1746" t="s">
        <v>101</v>
      </c>
      <c r="E1746" t="s">
        <v>335</v>
      </c>
    </row>
    <row r="1747" spans="4:6" x14ac:dyDescent="0.25">
      <c r="D1747" t="s">
        <v>472</v>
      </c>
    </row>
    <row r="1749" spans="4:6" x14ac:dyDescent="0.25">
      <c r="D1749" t="s">
        <v>97</v>
      </c>
      <c r="E1749" t="s">
        <v>336</v>
      </c>
    </row>
    <row r="1750" spans="4:6" x14ac:dyDescent="0.25">
      <c r="D1750" t="s">
        <v>99</v>
      </c>
      <c r="E1750" t="s">
        <v>244</v>
      </c>
    </row>
    <row r="1751" spans="4:6" x14ac:dyDescent="0.25">
      <c r="D1751" t="s">
        <v>101</v>
      </c>
      <c r="E1751" t="s">
        <v>330</v>
      </c>
    </row>
    <row r="1752" spans="4:6" x14ac:dyDescent="0.25">
      <c r="D1752" t="s">
        <v>248</v>
      </c>
      <c r="E1752">
        <v>200</v>
      </c>
      <c r="F1752">
        <v>200</v>
      </c>
    </row>
    <row r="1753" spans="4:6" x14ac:dyDescent="0.25">
      <c r="D1753" t="s">
        <v>473</v>
      </c>
    </row>
    <row r="1755" spans="4:6" x14ac:dyDescent="0.25">
      <c r="D1755" t="s">
        <v>97</v>
      </c>
      <c r="E1755" t="s">
        <v>117</v>
      </c>
    </row>
    <row r="1756" spans="4:6" x14ac:dyDescent="0.25">
      <c r="D1756" t="s">
        <v>99</v>
      </c>
      <c r="E1756" t="s">
        <v>124</v>
      </c>
    </row>
    <row r="1757" spans="4:6" x14ac:dyDescent="0.25">
      <c r="D1757" t="s">
        <v>119</v>
      </c>
      <c r="E1757">
        <v>200</v>
      </c>
      <c r="F1757">
        <v>200</v>
      </c>
    </row>
    <row r="1758" spans="4:6" x14ac:dyDescent="0.25">
      <c r="D1758" t="s">
        <v>474</v>
      </c>
    </row>
    <row r="1760" spans="4:6" x14ac:dyDescent="0.25">
      <c r="D1760" t="s">
        <v>97</v>
      </c>
      <c r="E1760" t="s">
        <v>336</v>
      </c>
    </row>
    <row r="1761" spans="4:6" x14ac:dyDescent="0.25">
      <c r="D1761" t="s">
        <v>99</v>
      </c>
      <c r="E1761" t="s">
        <v>247</v>
      </c>
    </row>
    <row r="1762" spans="4:6" x14ac:dyDescent="0.25">
      <c r="D1762" t="s">
        <v>101</v>
      </c>
      <c r="E1762" t="s">
        <v>330</v>
      </c>
    </row>
    <row r="1763" spans="4:6" x14ac:dyDescent="0.25">
      <c r="D1763" t="s">
        <v>248</v>
      </c>
      <c r="E1763">
        <v>200</v>
      </c>
      <c r="F1763">
        <v>200</v>
      </c>
    </row>
    <row r="1764" spans="4:6" x14ac:dyDescent="0.25">
      <c r="D1764" t="s">
        <v>475</v>
      </c>
    </row>
    <row r="1766" spans="4:6" x14ac:dyDescent="0.25">
      <c r="D1766" t="s">
        <v>97</v>
      </c>
      <c r="E1766" t="s">
        <v>117</v>
      </c>
    </row>
    <row r="1767" spans="4:6" x14ac:dyDescent="0.25">
      <c r="D1767" t="s">
        <v>99</v>
      </c>
      <c r="E1767" t="s">
        <v>124</v>
      </c>
    </row>
    <row r="1768" spans="4:6" x14ac:dyDescent="0.25">
      <c r="D1768" t="s">
        <v>119</v>
      </c>
      <c r="E1768">
        <v>200</v>
      </c>
      <c r="F1768">
        <v>200</v>
      </c>
    </row>
    <row r="1769" spans="4:6" x14ac:dyDescent="0.25">
      <c r="D1769" t="s">
        <v>476</v>
      </c>
    </row>
    <row r="1771" spans="4:6" x14ac:dyDescent="0.25">
      <c r="D1771" t="s">
        <v>97</v>
      </c>
      <c r="E1771" t="s">
        <v>117</v>
      </c>
    </row>
    <row r="1772" spans="4:6" x14ac:dyDescent="0.25">
      <c r="D1772" t="s">
        <v>99</v>
      </c>
      <c r="E1772" t="s">
        <v>126</v>
      </c>
    </row>
    <row r="1773" spans="4:6" x14ac:dyDescent="0.25">
      <c r="D1773" t="s">
        <v>127</v>
      </c>
      <c r="E1773" t="s">
        <v>330</v>
      </c>
      <c r="F1773" t="s">
        <v>330</v>
      </c>
    </row>
    <row r="1774" spans="4:6" x14ac:dyDescent="0.25">
      <c r="D1774" t="s">
        <v>128</v>
      </c>
      <c r="E1774">
        <v>1</v>
      </c>
      <c r="F1774">
        <v>2</v>
      </c>
    </row>
    <row r="1775" spans="4:6" x14ac:dyDescent="0.25">
      <c r="D1775" t="s">
        <v>129</v>
      </c>
      <c r="E1775" t="s">
        <v>319</v>
      </c>
      <c r="F1775" t="s">
        <v>319</v>
      </c>
    </row>
    <row r="1776" spans="4:6" x14ac:dyDescent="0.25">
      <c r="D1776" t="s">
        <v>130</v>
      </c>
      <c r="E1776">
        <v>1</v>
      </c>
      <c r="F1776">
        <v>2</v>
      </c>
    </row>
    <row r="1777" spans="4:6" x14ac:dyDescent="0.25">
      <c r="D1777" t="s">
        <v>119</v>
      </c>
      <c r="E1777">
        <v>200</v>
      </c>
      <c r="F1777">
        <v>200</v>
      </c>
    </row>
    <row r="1778" spans="4:6" x14ac:dyDescent="0.25">
      <c r="D1778" t="s">
        <v>131</v>
      </c>
      <c r="E1778">
        <v>1350</v>
      </c>
      <c r="F1778">
        <v>1350</v>
      </c>
    </row>
    <row r="1779" spans="4:6" x14ac:dyDescent="0.25">
      <c r="D1779" t="s">
        <v>132</v>
      </c>
      <c r="E1779" t="s">
        <v>28</v>
      </c>
      <c r="F1779" t="s">
        <v>28</v>
      </c>
    </row>
    <row r="1780" spans="4:6" x14ac:dyDescent="0.25">
      <c r="D1780" t="s">
        <v>133</v>
      </c>
    </row>
    <row r="1781" spans="4:6" x14ac:dyDescent="0.25">
      <c r="D1781" t="s">
        <v>134</v>
      </c>
    </row>
    <row r="1782" spans="4:6" x14ac:dyDescent="0.25">
      <c r="D1782" t="s">
        <v>331</v>
      </c>
      <c r="E1782">
        <v>0</v>
      </c>
    </row>
    <row r="1783" spans="4:6" x14ac:dyDescent="0.25">
      <c r="D1783" t="s">
        <v>135</v>
      </c>
      <c r="E1783" t="s">
        <v>208</v>
      </c>
    </row>
    <row r="1784" spans="4:6" x14ac:dyDescent="0.25">
      <c r="D1784" t="s">
        <v>477</v>
      </c>
    </row>
    <row r="1786" spans="4:6" x14ac:dyDescent="0.25">
      <c r="D1786" t="s">
        <v>97</v>
      </c>
      <c r="E1786" t="s">
        <v>200</v>
      </c>
    </row>
    <row r="1787" spans="4:6" x14ac:dyDescent="0.25">
      <c r="D1787" t="s">
        <v>99</v>
      </c>
      <c r="E1787" t="s">
        <v>201</v>
      </c>
    </row>
    <row r="1788" spans="4:6" x14ac:dyDescent="0.25">
      <c r="D1788" t="s">
        <v>202</v>
      </c>
    </row>
    <row r="1789" spans="4:6" x14ac:dyDescent="0.25">
      <c r="D1789" t="s">
        <v>203</v>
      </c>
    </row>
    <row r="1790" spans="4:6" x14ac:dyDescent="0.25">
      <c r="D1790" t="s">
        <v>204</v>
      </c>
    </row>
    <row r="1791" spans="4:6" x14ac:dyDescent="0.25">
      <c r="D1791" t="s">
        <v>205</v>
      </c>
    </row>
    <row r="1792" spans="4:6" x14ac:dyDescent="0.25">
      <c r="D1792" t="s">
        <v>206</v>
      </c>
      <c r="E1792" t="b">
        <v>1</v>
      </c>
    </row>
    <row r="1793" spans="4:6" x14ac:dyDescent="0.25">
      <c r="D1793" t="s">
        <v>207</v>
      </c>
      <c r="E1793" t="s">
        <v>232</v>
      </c>
    </row>
    <row r="1794" spans="4:6" x14ac:dyDescent="0.25">
      <c r="D1794" t="s">
        <v>478</v>
      </c>
    </row>
    <row r="1796" spans="4:6" x14ac:dyDescent="0.25">
      <c r="D1796" t="s">
        <v>97</v>
      </c>
      <c r="E1796" t="s">
        <v>117</v>
      </c>
    </row>
    <row r="1797" spans="4:6" x14ac:dyDescent="0.25">
      <c r="D1797" t="s">
        <v>99</v>
      </c>
      <c r="E1797" t="s">
        <v>126</v>
      </c>
    </row>
    <row r="1798" spans="4:6" x14ac:dyDescent="0.25">
      <c r="D1798" t="s">
        <v>127</v>
      </c>
      <c r="E1798" t="s">
        <v>319</v>
      </c>
      <c r="F1798" t="s">
        <v>319</v>
      </c>
    </row>
    <row r="1799" spans="4:6" x14ac:dyDescent="0.25">
      <c r="D1799" t="s">
        <v>128</v>
      </c>
      <c r="E1799">
        <v>1</v>
      </c>
      <c r="F1799">
        <v>2</v>
      </c>
    </row>
    <row r="1800" spans="4:6" x14ac:dyDescent="0.25">
      <c r="D1800" t="s">
        <v>129</v>
      </c>
      <c r="E1800" t="s">
        <v>57</v>
      </c>
      <c r="F1800" t="s">
        <v>57</v>
      </c>
    </row>
    <row r="1801" spans="4:6" x14ac:dyDescent="0.25">
      <c r="D1801" t="s">
        <v>130</v>
      </c>
      <c r="E1801">
        <v>1</v>
      </c>
      <c r="F1801">
        <v>2</v>
      </c>
    </row>
    <row r="1802" spans="4:6" x14ac:dyDescent="0.25">
      <c r="D1802" t="s">
        <v>119</v>
      </c>
      <c r="E1802">
        <v>200</v>
      </c>
      <c r="F1802">
        <v>200</v>
      </c>
    </row>
    <row r="1803" spans="4:6" x14ac:dyDescent="0.25">
      <c r="D1803" t="s">
        <v>131</v>
      </c>
      <c r="E1803">
        <v>0</v>
      </c>
      <c r="F1803">
        <v>0</v>
      </c>
    </row>
    <row r="1804" spans="4:6" x14ac:dyDescent="0.25">
      <c r="D1804" t="s">
        <v>132</v>
      </c>
      <c r="E1804" t="s">
        <v>318</v>
      </c>
      <c r="F1804" t="s">
        <v>318</v>
      </c>
    </row>
    <row r="1805" spans="4:6" x14ac:dyDescent="0.25">
      <c r="D1805" t="s">
        <v>133</v>
      </c>
    </row>
    <row r="1806" spans="4:6" x14ac:dyDescent="0.25">
      <c r="D1806" t="s">
        <v>134</v>
      </c>
    </row>
    <row r="1807" spans="4:6" x14ac:dyDescent="0.25">
      <c r="D1807" t="s">
        <v>331</v>
      </c>
      <c r="E1807">
        <v>0</v>
      </c>
    </row>
    <row r="1808" spans="4:6" x14ac:dyDescent="0.25">
      <c r="D1808" t="s">
        <v>135</v>
      </c>
      <c r="E1808" t="s">
        <v>208</v>
      </c>
    </row>
    <row r="1809" spans="4:5" x14ac:dyDescent="0.25">
      <c r="D1809" t="s">
        <v>479</v>
      </c>
    </row>
    <row r="1811" spans="4:5" x14ac:dyDescent="0.25">
      <c r="D1811" t="s">
        <v>97</v>
      </c>
      <c r="E1811" t="s">
        <v>200</v>
      </c>
    </row>
    <row r="1812" spans="4:5" x14ac:dyDescent="0.25">
      <c r="D1812" t="s">
        <v>99</v>
      </c>
      <c r="E1812" t="s">
        <v>201</v>
      </c>
    </row>
    <row r="1813" spans="4:5" x14ac:dyDescent="0.25">
      <c r="D1813" t="s">
        <v>202</v>
      </c>
    </row>
    <row r="1814" spans="4:5" x14ac:dyDescent="0.25">
      <c r="D1814" t="s">
        <v>203</v>
      </c>
    </row>
    <row r="1815" spans="4:5" x14ac:dyDescent="0.25">
      <c r="D1815" t="s">
        <v>204</v>
      </c>
    </row>
    <row r="1816" spans="4:5" x14ac:dyDescent="0.25">
      <c r="D1816" t="s">
        <v>205</v>
      </c>
    </row>
    <row r="1817" spans="4:5" x14ac:dyDescent="0.25">
      <c r="D1817" t="s">
        <v>206</v>
      </c>
      <c r="E1817" t="b">
        <v>1</v>
      </c>
    </row>
    <row r="1818" spans="4:5" x14ac:dyDescent="0.25">
      <c r="D1818" t="s">
        <v>207</v>
      </c>
      <c r="E1818" t="s">
        <v>232</v>
      </c>
    </row>
    <row r="1819" spans="4:5" x14ac:dyDescent="0.25">
      <c r="D1819" t="s">
        <v>480</v>
      </c>
    </row>
    <row r="1821" spans="4:5" x14ac:dyDescent="0.25">
      <c r="D1821" t="s">
        <v>97</v>
      </c>
      <c r="E1821" t="s">
        <v>234</v>
      </c>
    </row>
    <row r="1822" spans="4:5" x14ac:dyDescent="0.25">
      <c r="D1822" t="s">
        <v>99</v>
      </c>
      <c r="E1822" t="s">
        <v>235</v>
      </c>
    </row>
    <row r="1823" spans="4:5" x14ac:dyDescent="0.25">
      <c r="D1823" t="s">
        <v>236</v>
      </c>
      <c r="E1823">
        <v>120</v>
      </c>
    </row>
    <row r="1824" spans="4:5" x14ac:dyDescent="0.25">
      <c r="D1824" t="s">
        <v>481</v>
      </c>
    </row>
    <row r="1826" spans="4:5" x14ac:dyDescent="0.25">
      <c r="D1826" t="s">
        <v>97</v>
      </c>
      <c r="E1826" t="s">
        <v>234</v>
      </c>
    </row>
    <row r="1827" spans="4:5" x14ac:dyDescent="0.25">
      <c r="D1827" t="s">
        <v>99</v>
      </c>
      <c r="E1827" t="s">
        <v>238</v>
      </c>
    </row>
    <row r="1828" spans="4:5" x14ac:dyDescent="0.25">
      <c r="D1828" t="s">
        <v>482</v>
      </c>
    </row>
    <row r="1830" spans="4:5" x14ac:dyDescent="0.25">
      <c r="D1830" t="s">
        <v>97</v>
      </c>
      <c r="E1830" t="s">
        <v>183</v>
      </c>
    </row>
    <row r="1831" spans="4:5" x14ac:dyDescent="0.25">
      <c r="D1831" t="s">
        <v>99</v>
      </c>
      <c r="E1831" t="s">
        <v>184</v>
      </c>
    </row>
    <row r="1832" spans="4:5" x14ac:dyDescent="0.25">
      <c r="D1832" t="s">
        <v>185</v>
      </c>
      <c r="E1832" t="s">
        <v>335</v>
      </c>
    </row>
    <row r="1833" spans="4:5" x14ac:dyDescent="0.25">
      <c r="D1833" t="s">
        <v>483</v>
      </c>
    </row>
    <row r="1835" spans="4:5" x14ac:dyDescent="0.25">
      <c r="D1835" t="s">
        <v>97</v>
      </c>
      <c r="E1835" t="s">
        <v>183</v>
      </c>
    </row>
    <row r="1836" spans="4:5" x14ac:dyDescent="0.25">
      <c r="D1836" t="s">
        <v>99</v>
      </c>
      <c r="E1836" t="s">
        <v>188</v>
      </c>
    </row>
    <row r="1837" spans="4:5" x14ac:dyDescent="0.25">
      <c r="D1837" t="s">
        <v>185</v>
      </c>
      <c r="E1837" t="s">
        <v>335</v>
      </c>
    </row>
    <row r="1838" spans="4:5" x14ac:dyDescent="0.25">
      <c r="D1838" t="s">
        <v>484</v>
      </c>
    </row>
    <row r="1840" spans="4:5" x14ac:dyDescent="0.25">
      <c r="D1840" t="s">
        <v>97</v>
      </c>
      <c r="E1840" t="s">
        <v>336</v>
      </c>
    </row>
    <row r="1841" spans="4:6" x14ac:dyDescent="0.25">
      <c r="D1841" t="s">
        <v>99</v>
      </c>
      <c r="E1841" t="s">
        <v>228</v>
      </c>
    </row>
    <row r="1842" spans="4:6" x14ac:dyDescent="0.25">
      <c r="D1842" t="s">
        <v>101</v>
      </c>
      <c r="E1842" t="s">
        <v>335</v>
      </c>
    </row>
    <row r="1843" spans="4:6" x14ac:dyDescent="0.25">
      <c r="D1843" t="s">
        <v>485</v>
      </c>
    </row>
    <row r="1845" spans="4:6" x14ac:dyDescent="0.25">
      <c r="D1845" t="s">
        <v>97</v>
      </c>
      <c r="E1845" t="s">
        <v>336</v>
      </c>
    </row>
    <row r="1846" spans="4:6" x14ac:dyDescent="0.25">
      <c r="D1846" t="s">
        <v>99</v>
      </c>
      <c r="E1846" t="s">
        <v>230</v>
      </c>
    </row>
    <row r="1847" spans="4:6" x14ac:dyDescent="0.25">
      <c r="D1847" t="s">
        <v>101</v>
      </c>
      <c r="E1847" t="s">
        <v>335</v>
      </c>
    </row>
    <row r="1848" spans="4:6" x14ac:dyDescent="0.25">
      <c r="D1848" t="s">
        <v>486</v>
      </c>
    </row>
    <row r="1850" spans="4:6" x14ac:dyDescent="0.25">
      <c r="D1850" t="s">
        <v>97</v>
      </c>
      <c r="E1850" t="s">
        <v>336</v>
      </c>
    </row>
    <row r="1851" spans="4:6" x14ac:dyDescent="0.25">
      <c r="D1851" t="s">
        <v>99</v>
      </c>
      <c r="E1851" t="s">
        <v>244</v>
      </c>
    </row>
    <row r="1852" spans="4:6" x14ac:dyDescent="0.25">
      <c r="D1852" t="s">
        <v>101</v>
      </c>
      <c r="E1852" t="s">
        <v>330</v>
      </c>
    </row>
    <row r="1853" spans="4:6" x14ac:dyDescent="0.25">
      <c r="D1853" t="s">
        <v>248</v>
      </c>
      <c r="E1853">
        <v>200</v>
      </c>
      <c r="F1853">
        <v>200</v>
      </c>
    </row>
    <row r="1854" spans="4:6" x14ac:dyDescent="0.25">
      <c r="D1854" t="s">
        <v>487</v>
      </c>
    </row>
    <row r="1856" spans="4:6" x14ac:dyDescent="0.25">
      <c r="D1856" t="s">
        <v>97</v>
      </c>
      <c r="E1856" t="s">
        <v>117</v>
      </c>
    </row>
    <row r="1857" spans="4:6" x14ac:dyDescent="0.25">
      <c r="D1857" t="s">
        <v>99</v>
      </c>
      <c r="E1857" t="s">
        <v>124</v>
      </c>
    </row>
    <row r="1858" spans="4:6" x14ac:dyDescent="0.25">
      <c r="D1858" t="s">
        <v>119</v>
      </c>
      <c r="E1858">
        <v>200</v>
      </c>
      <c r="F1858">
        <v>200</v>
      </c>
    </row>
    <row r="1859" spans="4:6" x14ac:dyDescent="0.25">
      <c r="D1859" t="s">
        <v>488</v>
      </c>
    </row>
    <row r="1861" spans="4:6" x14ac:dyDescent="0.25">
      <c r="D1861" t="s">
        <v>97</v>
      </c>
      <c r="E1861" t="s">
        <v>336</v>
      </c>
    </row>
    <row r="1862" spans="4:6" x14ac:dyDescent="0.25">
      <c r="D1862" t="s">
        <v>99</v>
      </c>
      <c r="E1862" t="s">
        <v>247</v>
      </c>
    </row>
    <row r="1863" spans="4:6" x14ac:dyDescent="0.25">
      <c r="D1863" t="s">
        <v>101</v>
      </c>
      <c r="E1863" t="s">
        <v>330</v>
      </c>
    </row>
    <row r="1864" spans="4:6" x14ac:dyDescent="0.25">
      <c r="D1864" t="s">
        <v>248</v>
      </c>
      <c r="E1864">
        <v>200</v>
      </c>
      <c r="F1864">
        <v>200</v>
      </c>
    </row>
    <row r="1865" spans="4:6" x14ac:dyDescent="0.25">
      <c r="D1865" t="s">
        <v>489</v>
      </c>
    </row>
    <row r="1867" spans="4:6" x14ac:dyDescent="0.25">
      <c r="D1867" t="s">
        <v>97</v>
      </c>
      <c r="E1867" t="s">
        <v>117</v>
      </c>
    </row>
    <row r="1868" spans="4:6" x14ac:dyDescent="0.25">
      <c r="D1868" t="s">
        <v>99</v>
      </c>
      <c r="E1868" t="s">
        <v>124</v>
      </c>
    </row>
    <row r="1869" spans="4:6" x14ac:dyDescent="0.25">
      <c r="D1869" t="s">
        <v>119</v>
      </c>
      <c r="E1869">
        <v>200</v>
      </c>
      <c r="F1869">
        <v>200</v>
      </c>
    </row>
    <row r="1870" spans="4:6" x14ac:dyDescent="0.25">
      <c r="D1870" t="s">
        <v>490</v>
      </c>
    </row>
    <row r="1872" spans="4:6" x14ac:dyDescent="0.25">
      <c r="D1872" t="s">
        <v>97</v>
      </c>
      <c r="E1872" t="s">
        <v>117</v>
      </c>
    </row>
    <row r="1873" spans="4:6" x14ac:dyDescent="0.25">
      <c r="D1873" t="s">
        <v>99</v>
      </c>
      <c r="E1873" t="s">
        <v>126</v>
      </c>
    </row>
    <row r="1874" spans="4:6" x14ac:dyDescent="0.25">
      <c r="D1874" t="s">
        <v>127</v>
      </c>
      <c r="E1874" t="s">
        <v>330</v>
      </c>
      <c r="F1874" t="s">
        <v>330</v>
      </c>
    </row>
    <row r="1875" spans="4:6" x14ac:dyDescent="0.25">
      <c r="D1875" t="s">
        <v>128</v>
      </c>
      <c r="E1875">
        <v>1</v>
      </c>
      <c r="F1875">
        <v>2</v>
      </c>
    </row>
    <row r="1876" spans="4:6" x14ac:dyDescent="0.25">
      <c r="D1876" t="s">
        <v>129</v>
      </c>
      <c r="E1876" t="s">
        <v>319</v>
      </c>
      <c r="F1876" t="s">
        <v>319</v>
      </c>
    </row>
    <row r="1877" spans="4:6" x14ac:dyDescent="0.25">
      <c r="D1877" t="s">
        <v>130</v>
      </c>
      <c r="E1877">
        <v>1</v>
      </c>
      <c r="F1877">
        <v>2</v>
      </c>
    </row>
    <row r="1878" spans="4:6" x14ac:dyDescent="0.25">
      <c r="D1878" t="s">
        <v>119</v>
      </c>
      <c r="E1878">
        <v>200</v>
      </c>
      <c r="F1878">
        <v>200</v>
      </c>
    </row>
    <row r="1879" spans="4:6" x14ac:dyDescent="0.25">
      <c r="D1879" t="s">
        <v>131</v>
      </c>
      <c r="E1879">
        <v>1550</v>
      </c>
      <c r="F1879">
        <v>1550</v>
      </c>
    </row>
    <row r="1880" spans="4:6" x14ac:dyDescent="0.25">
      <c r="D1880" t="s">
        <v>132</v>
      </c>
      <c r="E1880" t="s">
        <v>28</v>
      </c>
      <c r="F1880" t="s">
        <v>28</v>
      </c>
    </row>
    <row r="1881" spans="4:6" x14ac:dyDescent="0.25">
      <c r="D1881" t="s">
        <v>133</v>
      </c>
    </row>
    <row r="1882" spans="4:6" x14ac:dyDescent="0.25">
      <c r="D1882" t="s">
        <v>134</v>
      </c>
    </row>
    <row r="1883" spans="4:6" x14ac:dyDescent="0.25">
      <c r="D1883" t="s">
        <v>331</v>
      </c>
      <c r="E1883">
        <v>0</v>
      </c>
    </row>
    <row r="1884" spans="4:6" x14ac:dyDescent="0.25">
      <c r="D1884" t="s">
        <v>135</v>
      </c>
      <c r="E1884" t="s">
        <v>208</v>
      </c>
    </row>
    <row r="1885" spans="4:6" x14ac:dyDescent="0.25">
      <c r="D1885" t="s">
        <v>491</v>
      </c>
    </row>
    <row r="1887" spans="4:6" x14ac:dyDescent="0.25">
      <c r="D1887" t="s">
        <v>97</v>
      </c>
      <c r="E1887" t="s">
        <v>200</v>
      </c>
    </row>
    <row r="1888" spans="4:6" x14ac:dyDescent="0.25">
      <c r="D1888" t="s">
        <v>99</v>
      </c>
      <c r="E1888" t="s">
        <v>201</v>
      </c>
    </row>
    <row r="1889" spans="4:6" x14ac:dyDescent="0.25">
      <c r="D1889" t="s">
        <v>202</v>
      </c>
    </row>
    <row r="1890" spans="4:6" x14ac:dyDescent="0.25">
      <c r="D1890" t="s">
        <v>203</v>
      </c>
    </row>
    <row r="1891" spans="4:6" x14ac:dyDescent="0.25">
      <c r="D1891" t="s">
        <v>204</v>
      </c>
    </row>
    <row r="1892" spans="4:6" x14ac:dyDescent="0.25">
      <c r="D1892" t="s">
        <v>205</v>
      </c>
    </row>
    <row r="1893" spans="4:6" x14ac:dyDescent="0.25">
      <c r="D1893" t="s">
        <v>206</v>
      </c>
      <c r="E1893" t="b">
        <v>1</v>
      </c>
    </row>
    <row r="1894" spans="4:6" x14ac:dyDescent="0.25">
      <c r="D1894" t="s">
        <v>207</v>
      </c>
      <c r="E1894" t="s">
        <v>232</v>
      </c>
    </row>
    <row r="1895" spans="4:6" x14ac:dyDescent="0.25">
      <c r="D1895" t="s">
        <v>492</v>
      </c>
    </row>
    <row r="1897" spans="4:6" x14ac:dyDescent="0.25">
      <c r="D1897" t="s">
        <v>97</v>
      </c>
      <c r="E1897" t="s">
        <v>117</v>
      </c>
    </row>
    <row r="1898" spans="4:6" x14ac:dyDescent="0.25">
      <c r="D1898" t="s">
        <v>99</v>
      </c>
      <c r="E1898" t="s">
        <v>126</v>
      </c>
    </row>
    <row r="1899" spans="4:6" x14ac:dyDescent="0.25">
      <c r="D1899" t="s">
        <v>127</v>
      </c>
      <c r="E1899" t="s">
        <v>319</v>
      </c>
      <c r="F1899" t="s">
        <v>319</v>
      </c>
    </row>
    <row r="1900" spans="4:6" x14ac:dyDescent="0.25">
      <c r="D1900" t="s">
        <v>128</v>
      </c>
      <c r="E1900">
        <v>1</v>
      </c>
      <c r="F1900">
        <v>2</v>
      </c>
    </row>
    <row r="1901" spans="4:6" x14ac:dyDescent="0.25">
      <c r="D1901" t="s">
        <v>129</v>
      </c>
      <c r="E1901" t="s">
        <v>57</v>
      </c>
      <c r="F1901" t="s">
        <v>57</v>
      </c>
    </row>
    <row r="1902" spans="4:6" x14ac:dyDescent="0.25">
      <c r="D1902" t="s">
        <v>130</v>
      </c>
      <c r="E1902">
        <v>1</v>
      </c>
      <c r="F1902">
        <v>2</v>
      </c>
    </row>
    <row r="1903" spans="4:6" x14ac:dyDescent="0.25">
      <c r="D1903" t="s">
        <v>119</v>
      </c>
      <c r="E1903">
        <v>200</v>
      </c>
      <c r="F1903">
        <v>200</v>
      </c>
    </row>
    <row r="1904" spans="4:6" x14ac:dyDescent="0.25">
      <c r="D1904" t="s">
        <v>131</v>
      </c>
      <c r="E1904">
        <v>0</v>
      </c>
      <c r="F1904">
        <v>0</v>
      </c>
    </row>
    <row r="1905" spans="4:6" x14ac:dyDescent="0.25">
      <c r="D1905" t="s">
        <v>132</v>
      </c>
      <c r="E1905" t="s">
        <v>318</v>
      </c>
      <c r="F1905" t="s">
        <v>318</v>
      </c>
    </row>
    <row r="1906" spans="4:6" x14ac:dyDescent="0.25">
      <c r="D1906" t="s">
        <v>133</v>
      </c>
    </row>
    <row r="1907" spans="4:6" x14ac:dyDescent="0.25">
      <c r="D1907" t="s">
        <v>134</v>
      </c>
    </row>
    <row r="1908" spans="4:6" x14ac:dyDescent="0.25">
      <c r="D1908" t="s">
        <v>331</v>
      </c>
      <c r="E1908">
        <v>0</v>
      </c>
    </row>
    <row r="1909" spans="4:6" x14ac:dyDescent="0.25">
      <c r="D1909" t="s">
        <v>135</v>
      </c>
      <c r="E1909" t="s">
        <v>208</v>
      </c>
    </row>
    <row r="1910" spans="4:6" x14ac:dyDescent="0.25">
      <c r="D1910" t="s">
        <v>493</v>
      </c>
    </row>
    <row r="1912" spans="4:6" x14ac:dyDescent="0.25">
      <c r="D1912" t="s">
        <v>97</v>
      </c>
      <c r="E1912" t="s">
        <v>200</v>
      </c>
    </row>
    <row r="1913" spans="4:6" x14ac:dyDescent="0.25">
      <c r="D1913" t="s">
        <v>99</v>
      </c>
      <c r="E1913" t="s">
        <v>201</v>
      </c>
    </row>
    <row r="1914" spans="4:6" x14ac:dyDescent="0.25">
      <c r="D1914" t="s">
        <v>202</v>
      </c>
    </row>
    <row r="1915" spans="4:6" x14ac:dyDescent="0.25">
      <c r="D1915" t="s">
        <v>203</v>
      </c>
    </row>
    <row r="1916" spans="4:6" x14ac:dyDescent="0.25">
      <c r="D1916" t="s">
        <v>204</v>
      </c>
    </row>
    <row r="1917" spans="4:6" x14ac:dyDescent="0.25">
      <c r="D1917" t="s">
        <v>205</v>
      </c>
    </row>
    <row r="1918" spans="4:6" x14ac:dyDescent="0.25">
      <c r="D1918" t="s">
        <v>206</v>
      </c>
      <c r="E1918" t="b">
        <v>1</v>
      </c>
    </row>
    <row r="1919" spans="4:6" x14ac:dyDescent="0.25">
      <c r="D1919" t="s">
        <v>207</v>
      </c>
      <c r="E1919" t="s">
        <v>232</v>
      </c>
    </row>
    <row r="1920" spans="4:6" x14ac:dyDescent="0.25">
      <c r="D1920" t="s">
        <v>494</v>
      </c>
    </row>
    <row r="1922" spans="4:5" x14ac:dyDescent="0.25">
      <c r="D1922" t="s">
        <v>97</v>
      </c>
      <c r="E1922" t="s">
        <v>234</v>
      </c>
    </row>
    <row r="1923" spans="4:5" x14ac:dyDescent="0.25">
      <c r="D1923" t="s">
        <v>99</v>
      </c>
      <c r="E1923" t="s">
        <v>235</v>
      </c>
    </row>
    <row r="1924" spans="4:5" x14ac:dyDescent="0.25">
      <c r="D1924" t="s">
        <v>236</v>
      </c>
      <c r="E1924">
        <v>120</v>
      </c>
    </row>
    <row r="1925" spans="4:5" x14ac:dyDescent="0.25">
      <c r="D1925" t="s">
        <v>495</v>
      </c>
    </row>
    <row r="1927" spans="4:5" x14ac:dyDescent="0.25">
      <c r="D1927" t="s">
        <v>97</v>
      </c>
      <c r="E1927" t="s">
        <v>234</v>
      </c>
    </row>
    <row r="1928" spans="4:5" x14ac:dyDescent="0.25">
      <c r="D1928" t="s">
        <v>99</v>
      </c>
      <c r="E1928" t="s">
        <v>238</v>
      </c>
    </row>
    <row r="1929" spans="4:5" x14ac:dyDescent="0.25">
      <c r="D1929" t="s">
        <v>496</v>
      </c>
    </row>
    <row r="1931" spans="4:5" x14ac:dyDescent="0.25">
      <c r="D1931" t="s">
        <v>97</v>
      </c>
      <c r="E1931" t="s">
        <v>183</v>
      </c>
    </row>
    <row r="1932" spans="4:5" x14ac:dyDescent="0.25">
      <c r="D1932" t="s">
        <v>99</v>
      </c>
      <c r="E1932" t="s">
        <v>184</v>
      </c>
    </row>
    <row r="1933" spans="4:5" x14ac:dyDescent="0.25">
      <c r="D1933" t="s">
        <v>185</v>
      </c>
      <c r="E1933" t="s">
        <v>335</v>
      </c>
    </row>
    <row r="1934" spans="4:5" x14ac:dyDescent="0.25">
      <c r="D1934" t="s">
        <v>497</v>
      </c>
    </row>
    <row r="1936" spans="4:5" x14ac:dyDescent="0.25">
      <c r="D1936" t="s">
        <v>97</v>
      </c>
      <c r="E1936" t="s">
        <v>183</v>
      </c>
    </row>
    <row r="1937" spans="4:5" x14ac:dyDescent="0.25">
      <c r="D1937" t="s">
        <v>99</v>
      </c>
      <c r="E1937" t="s">
        <v>188</v>
      </c>
    </row>
    <row r="1938" spans="4:5" x14ac:dyDescent="0.25">
      <c r="D1938" t="s">
        <v>185</v>
      </c>
      <c r="E1938" t="s">
        <v>335</v>
      </c>
    </row>
    <row r="1939" spans="4:5" x14ac:dyDescent="0.25">
      <c r="D1939" t="s">
        <v>498</v>
      </c>
    </row>
    <row r="1941" spans="4:5" x14ac:dyDescent="0.25">
      <c r="D1941" t="s">
        <v>97</v>
      </c>
      <c r="E1941" t="s">
        <v>336</v>
      </c>
    </row>
    <row r="1942" spans="4:5" x14ac:dyDescent="0.25">
      <c r="D1942" t="s">
        <v>99</v>
      </c>
      <c r="E1942" t="s">
        <v>228</v>
      </c>
    </row>
    <row r="1943" spans="4:5" x14ac:dyDescent="0.25">
      <c r="D1943" t="s">
        <v>101</v>
      </c>
      <c r="E1943" t="s">
        <v>335</v>
      </c>
    </row>
    <row r="1944" spans="4:5" x14ac:dyDescent="0.25">
      <c r="D1944" t="s">
        <v>499</v>
      </c>
    </row>
    <row r="1946" spans="4:5" x14ac:dyDescent="0.25">
      <c r="D1946" t="s">
        <v>97</v>
      </c>
      <c r="E1946" t="s">
        <v>336</v>
      </c>
    </row>
    <row r="1947" spans="4:5" x14ac:dyDescent="0.25">
      <c r="D1947" t="s">
        <v>99</v>
      </c>
      <c r="E1947" t="s">
        <v>230</v>
      </c>
    </row>
    <row r="1948" spans="4:5" x14ac:dyDescent="0.25">
      <c r="D1948" t="s">
        <v>101</v>
      </c>
      <c r="E1948" t="s">
        <v>335</v>
      </c>
    </row>
    <row r="1949" spans="4:5" x14ac:dyDescent="0.25">
      <c r="D1949" t="s">
        <v>500</v>
      </c>
    </row>
    <row r="1951" spans="4:5" x14ac:dyDescent="0.25">
      <c r="D1951" t="s">
        <v>97</v>
      </c>
      <c r="E1951" t="s">
        <v>336</v>
      </c>
    </row>
    <row r="1952" spans="4:5" x14ac:dyDescent="0.25">
      <c r="D1952" t="s">
        <v>99</v>
      </c>
      <c r="E1952" t="s">
        <v>244</v>
      </c>
    </row>
    <row r="1953" spans="4:6" x14ac:dyDescent="0.25">
      <c r="D1953" t="s">
        <v>101</v>
      </c>
      <c r="E1953" t="s">
        <v>330</v>
      </c>
    </row>
    <row r="1954" spans="4:6" x14ac:dyDescent="0.25">
      <c r="D1954" t="s">
        <v>248</v>
      </c>
      <c r="E1954">
        <v>200</v>
      </c>
      <c r="F1954">
        <v>200</v>
      </c>
    </row>
    <row r="1955" spans="4:6" x14ac:dyDescent="0.25">
      <c r="D1955" t="s">
        <v>501</v>
      </c>
    </row>
    <row r="1957" spans="4:6" x14ac:dyDescent="0.25">
      <c r="D1957" t="s">
        <v>97</v>
      </c>
      <c r="E1957" t="s">
        <v>117</v>
      </c>
    </row>
    <row r="1958" spans="4:6" x14ac:dyDescent="0.25">
      <c r="D1958" t="s">
        <v>99</v>
      </c>
      <c r="E1958" t="s">
        <v>124</v>
      </c>
    </row>
    <row r="1959" spans="4:6" x14ac:dyDescent="0.25">
      <c r="D1959" t="s">
        <v>119</v>
      </c>
      <c r="E1959">
        <v>200</v>
      </c>
      <c r="F1959">
        <v>200</v>
      </c>
    </row>
    <row r="1960" spans="4:6" x14ac:dyDescent="0.25">
      <c r="D1960" t="s">
        <v>502</v>
      </c>
    </row>
    <row r="1962" spans="4:6" x14ac:dyDescent="0.25">
      <c r="D1962" t="s">
        <v>97</v>
      </c>
      <c r="E1962" t="s">
        <v>336</v>
      </c>
    </row>
    <row r="1963" spans="4:6" x14ac:dyDescent="0.25">
      <c r="D1963" t="s">
        <v>99</v>
      </c>
      <c r="E1963" t="s">
        <v>247</v>
      </c>
    </row>
    <row r="1964" spans="4:6" x14ac:dyDescent="0.25">
      <c r="D1964" t="s">
        <v>101</v>
      </c>
      <c r="E1964" t="s">
        <v>330</v>
      </c>
    </row>
    <row r="1965" spans="4:6" x14ac:dyDescent="0.25">
      <c r="D1965" t="s">
        <v>248</v>
      </c>
      <c r="E1965">
        <v>200</v>
      </c>
      <c r="F1965">
        <v>200</v>
      </c>
    </row>
    <row r="1966" spans="4:6" x14ac:dyDescent="0.25">
      <c r="D1966" t="s">
        <v>503</v>
      </c>
    </row>
    <row r="1968" spans="4:6" x14ac:dyDescent="0.25">
      <c r="D1968" t="s">
        <v>97</v>
      </c>
      <c r="E1968" t="s">
        <v>117</v>
      </c>
    </row>
    <row r="1969" spans="4:6" x14ac:dyDescent="0.25">
      <c r="D1969" t="s">
        <v>99</v>
      </c>
      <c r="E1969" t="s">
        <v>124</v>
      </c>
    </row>
    <row r="1970" spans="4:6" x14ac:dyDescent="0.25">
      <c r="D1970" t="s">
        <v>119</v>
      </c>
      <c r="E1970">
        <v>200</v>
      </c>
      <c r="F1970">
        <v>200</v>
      </c>
    </row>
    <row r="1971" spans="4:6" x14ac:dyDescent="0.25">
      <c r="D1971" t="s">
        <v>504</v>
      </c>
    </row>
    <row r="1973" spans="4:6" x14ac:dyDescent="0.25">
      <c r="D1973" t="s">
        <v>97</v>
      </c>
      <c r="E1973" t="s">
        <v>117</v>
      </c>
    </row>
    <row r="1974" spans="4:6" x14ac:dyDescent="0.25">
      <c r="D1974" t="s">
        <v>99</v>
      </c>
      <c r="E1974" t="s">
        <v>126</v>
      </c>
    </row>
    <row r="1975" spans="4:6" x14ac:dyDescent="0.25">
      <c r="D1975" t="s">
        <v>127</v>
      </c>
      <c r="E1975" t="s">
        <v>330</v>
      </c>
      <c r="F1975" t="s">
        <v>330</v>
      </c>
    </row>
    <row r="1976" spans="4:6" x14ac:dyDescent="0.25">
      <c r="D1976" t="s">
        <v>128</v>
      </c>
      <c r="E1976">
        <v>1</v>
      </c>
      <c r="F1976">
        <v>2</v>
      </c>
    </row>
    <row r="1977" spans="4:6" x14ac:dyDescent="0.25">
      <c r="D1977" t="s">
        <v>129</v>
      </c>
      <c r="E1977" t="s">
        <v>319</v>
      </c>
      <c r="F1977" t="s">
        <v>319</v>
      </c>
    </row>
    <row r="1978" spans="4:6" x14ac:dyDescent="0.25">
      <c r="D1978" t="s">
        <v>130</v>
      </c>
      <c r="E1978">
        <v>1</v>
      </c>
      <c r="F1978">
        <v>2</v>
      </c>
    </row>
    <row r="1979" spans="4:6" x14ac:dyDescent="0.25">
      <c r="D1979" t="s">
        <v>119</v>
      </c>
      <c r="E1979">
        <v>200</v>
      </c>
      <c r="F1979">
        <v>200</v>
      </c>
    </row>
    <row r="1980" spans="4:6" x14ac:dyDescent="0.25">
      <c r="D1980" t="s">
        <v>131</v>
      </c>
      <c r="E1980">
        <v>1750</v>
      </c>
      <c r="F1980">
        <v>1750</v>
      </c>
    </row>
    <row r="1981" spans="4:6" x14ac:dyDescent="0.25">
      <c r="D1981" t="s">
        <v>132</v>
      </c>
      <c r="E1981" t="s">
        <v>28</v>
      </c>
      <c r="F1981" t="s">
        <v>28</v>
      </c>
    </row>
    <row r="1982" spans="4:6" x14ac:dyDescent="0.25">
      <c r="D1982" t="s">
        <v>133</v>
      </c>
    </row>
    <row r="1983" spans="4:6" x14ac:dyDescent="0.25">
      <c r="D1983" t="s">
        <v>134</v>
      </c>
    </row>
    <row r="1984" spans="4:6" x14ac:dyDescent="0.25">
      <c r="D1984" t="s">
        <v>331</v>
      </c>
      <c r="E1984">
        <v>0</v>
      </c>
    </row>
    <row r="1985" spans="4:6" x14ac:dyDescent="0.25">
      <c r="D1985" t="s">
        <v>135</v>
      </c>
      <c r="E1985" t="s">
        <v>208</v>
      </c>
    </row>
    <row r="1986" spans="4:6" x14ac:dyDescent="0.25">
      <c r="D1986" t="s">
        <v>505</v>
      </c>
    </row>
    <row r="1988" spans="4:6" x14ac:dyDescent="0.25">
      <c r="D1988" t="s">
        <v>97</v>
      </c>
      <c r="E1988" t="s">
        <v>200</v>
      </c>
    </row>
    <row r="1989" spans="4:6" x14ac:dyDescent="0.25">
      <c r="D1989" t="s">
        <v>99</v>
      </c>
      <c r="E1989" t="s">
        <v>201</v>
      </c>
    </row>
    <row r="1990" spans="4:6" x14ac:dyDescent="0.25">
      <c r="D1990" t="s">
        <v>202</v>
      </c>
    </row>
    <row r="1991" spans="4:6" x14ac:dyDescent="0.25">
      <c r="D1991" t="s">
        <v>203</v>
      </c>
    </row>
    <row r="1992" spans="4:6" x14ac:dyDescent="0.25">
      <c r="D1992" t="s">
        <v>204</v>
      </c>
    </row>
    <row r="1993" spans="4:6" x14ac:dyDescent="0.25">
      <c r="D1993" t="s">
        <v>205</v>
      </c>
    </row>
    <row r="1994" spans="4:6" x14ac:dyDescent="0.25">
      <c r="D1994" t="s">
        <v>206</v>
      </c>
      <c r="E1994" t="b">
        <v>1</v>
      </c>
    </row>
    <row r="1995" spans="4:6" x14ac:dyDescent="0.25">
      <c r="D1995" t="s">
        <v>207</v>
      </c>
      <c r="E1995" t="s">
        <v>232</v>
      </c>
    </row>
    <row r="1996" spans="4:6" x14ac:dyDescent="0.25">
      <c r="D1996" t="s">
        <v>506</v>
      </c>
    </row>
    <row r="1998" spans="4:6" x14ac:dyDescent="0.25">
      <c r="D1998" t="s">
        <v>97</v>
      </c>
      <c r="E1998" t="s">
        <v>117</v>
      </c>
    </row>
    <row r="1999" spans="4:6" x14ac:dyDescent="0.25">
      <c r="D1999" t="s">
        <v>99</v>
      </c>
      <c r="E1999" t="s">
        <v>126</v>
      </c>
    </row>
    <row r="2000" spans="4:6" x14ac:dyDescent="0.25">
      <c r="D2000" t="s">
        <v>127</v>
      </c>
      <c r="E2000" t="s">
        <v>319</v>
      </c>
      <c r="F2000" t="s">
        <v>319</v>
      </c>
    </row>
    <row r="2001" spans="2:6" x14ac:dyDescent="0.25">
      <c r="D2001" t="s">
        <v>128</v>
      </c>
      <c r="E2001">
        <v>1</v>
      </c>
      <c r="F2001">
        <v>2</v>
      </c>
    </row>
    <row r="2002" spans="2:6" x14ac:dyDescent="0.25">
      <c r="D2002" t="s">
        <v>129</v>
      </c>
      <c r="E2002" t="s">
        <v>57</v>
      </c>
      <c r="F2002" t="s">
        <v>57</v>
      </c>
    </row>
    <row r="2003" spans="2:6" x14ac:dyDescent="0.25">
      <c r="D2003" t="s">
        <v>130</v>
      </c>
      <c r="E2003">
        <v>1</v>
      </c>
      <c r="F2003">
        <v>2</v>
      </c>
    </row>
    <row r="2004" spans="2:6" x14ac:dyDescent="0.25">
      <c r="D2004" t="s">
        <v>119</v>
      </c>
      <c r="E2004">
        <v>200</v>
      </c>
      <c r="F2004">
        <v>200</v>
      </c>
    </row>
    <row r="2005" spans="2:6" x14ac:dyDescent="0.25">
      <c r="D2005" t="s">
        <v>131</v>
      </c>
      <c r="E2005">
        <v>0</v>
      </c>
      <c r="F2005">
        <v>0</v>
      </c>
    </row>
    <row r="2006" spans="2:6" x14ac:dyDescent="0.25">
      <c r="D2006" t="s">
        <v>132</v>
      </c>
      <c r="E2006" t="s">
        <v>318</v>
      </c>
      <c r="F2006" t="s">
        <v>318</v>
      </c>
    </row>
    <row r="2007" spans="2:6" x14ac:dyDescent="0.25">
      <c r="D2007" t="s">
        <v>133</v>
      </c>
    </row>
    <row r="2008" spans="2:6" x14ac:dyDescent="0.25">
      <c r="D2008" t="s">
        <v>134</v>
      </c>
    </row>
    <row r="2009" spans="2:6" x14ac:dyDescent="0.25">
      <c r="D2009" t="s">
        <v>331</v>
      </c>
      <c r="E2009">
        <v>0</v>
      </c>
    </row>
    <row r="2010" spans="2:6" x14ac:dyDescent="0.25">
      <c r="D2010" t="s">
        <v>135</v>
      </c>
      <c r="E2010" t="s">
        <v>208</v>
      </c>
    </row>
    <row r="2011" spans="2:6" x14ac:dyDescent="0.25">
      <c r="D2011" t="s">
        <v>507</v>
      </c>
    </row>
    <row r="2016" spans="2:6" x14ac:dyDescent="0.25">
      <c r="B2016" t="s">
        <v>220</v>
      </c>
    </row>
    <row r="2017" spans="2:5" x14ac:dyDescent="0.25">
      <c r="B2017" t="s">
        <v>508</v>
      </c>
    </row>
    <row r="2018" spans="2:5" x14ac:dyDescent="0.25">
      <c r="B2018" t="s">
        <v>321</v>
      </c>
    </row>
    <row r="2019" spans="2:5" x14ac:dyDescent="0.25">
      <c r="B2019" t="s">
        <v>509</v>
      </c>
    </row>
    <row r="2020" spans="2:5" x14ac:dyDescent="0.25">
      <c r="B2020" t="s">
        <v>361</v>
      </c>
    </row>
    <row r="2021" spans="2:5" x14ac:dyDescent="0.25">
      <c r="B2021" t="s">
        <v>224</v>
      </c>
    </row>
    <row r="2022" spans="2:5" x14ac:dyDescent="0.25">
      <c r="B2022" t="s">
        <v>362</v>
      </c>
    </row>
    <row r="2024" spans="2:5" x14ac:dyDescent="0.25">
      <c r="C2024" t="s">
        <v>108</v>
      </c>
    </row>
    <row r="2026" spans="2:5" x14ac:dyDescent="0.25">
      <c r="D2026" t="s">
        <v>97</v>
      </c>
      <c r="E2026" t="s">
        <v>183</v>
      </c>
    </row>
    <row r="2027" spans="2:5" x14ac:dyDescent="0.25">
      <c r="D2027" t="s">
        <v>99</v>
      </c>
      <c r="E2027" t="s">
        <v>184</v>
      </c>
    </row>
    <row r="2028" spans="2:5" x14ac:dyDescent="0.25">
      <c r="D2028" t="s">
        <v>185</v>
      </c>
      <c r="E2028" t="s">
        <v>335</v>
      </c>
    </row>
    <row r="2029" spans="2:5" x14ac:dyDescent="0.25">
      <c r="D2029" t="s">
        <v>510</v>
      </c>
    </row>
    <row r="2031" spans="2:5" x14ac:dyDescent="0.25">
      <c r="D2031" t="s">
        <v>97</v>
      </c>
      <c r="E2031" t="s">
        <v>183</v>
      </c>
    </row>
    <row r="2032" spans="2:5" x14ac:dyDescent="0.25">
      <c r="D2032" t="s">
        <v>99</v>
      </c>
      <c r="E2032" t="s">
        <v>188</v>
      </c>
    </row>
    <row r="2033" spans="4:5" x14ac:dyDescent="0.25">
      <c r="D2033" t="s">
        <v>185</v>
      </c>
      <c r="E2033" t="s">
        <v>335</v>
      </c>
    </row>
    <row r="2034" spans="4:5" x14ac:dyDescent="0.25">
      <c r="D2034" t="s">
        <v>511</v>
      </c>
    </row>
    <row r="2036" spans="4:5" x14ac:dyDescent="0.25">
      <c r="D2036" t="s">
        <v>97</v>
      </c>
      <c r="E2036" t="s">
        <v>336</v>
      </c>
    </row>
    <row r="2037" spans="4:5" x14ac:dyDescent="0.25">
      <c r="D2037" t="s">
        <v>99</v>
      </c>
      <c r="E2037" t="s">
        <v>228</v>
      </c>
    </row>
    <row r="2038" spans="4:5" x14ac:dyDescent="0.25">
      <c r="D2038" t="s">
        <v>101</v>
      </c>
      <c r="E2038" t="s">
        <v>335</v>
      </c>
    </row>
    <row r="2039" spans="4:5" x14ac:dyDescent="0.25">
      <c r="D2039" t="s">
        <v>512</v>
      </c>
    </row>
    <row r="2041" spans="4:5" x14ac:dyDescent="0.25">
      <c r="D2041" t="s">
        <v>97</v>
      </c>
      <c r="E2041" t="s">
        <v>336</v>
      </c>
    </row>
    <row r="2042" spans="4:5" x14ac:dyDescent="0.25">
      <c r="D2042" t="s">
        <v>99</v>
      </c>
      <c r="E2042" t="s">
        <v>230</v>
      </c>
    </row>
    <row r="2043" spans="4:5" x14ac:dyDescent="0.25">
      <c r="D2043" t="s">
        <v>101</v>
      </c>
      <c r="E2043" t="s">
        <v>335</v>
      </c>
    </row>
    <row r="2044" spans="4:5" x14ac:dyDescent="0.25">
      <c r="D2044" t="s">
        <v>513</v>
      </c>
    </row>
    <row r="2046" spans="4:5" x14ac:dyDescent="0.25">
      <c r="D2046" t="s">
        <v>97</v>
      </c>
      <c r="E2046" t="s">
        <v>200</v>
      </c>
    </row>
    <row r="2047" spans="4:5" x14ac:dyDescent="0.25">
      <c r="D2047" t="s">
        <v>99</v>
      </c>
      <c r="E2047" t="s">
        <v>201</v>
      </c>
    </row>
    <row r="2048" spans="4:5" x14ac:dyDescent="0.25">
      <c r="D2048" t="s">
        <v>202</v>
      </c>
    </row>
    <row r="2049" spans="4:5" x14ac:dyDescent="0.25">
      <c r="D2049" t="s">
        <v>203</v>
      </c>
    </row>
    <row r="2050" spans="4:5" x14ac:dyDescent="0.25">
      <c r="D2050" t="s">
        <v>204</v>
      </c>
    </row>
    <row r="2051" spans="4:5" x14ac:dyDescent="0.25">
      <c r="D2051" t="s">
        <v>205</v>
      </c>
    </row>
    <row r="2052" spans="4:5" x14ac:dyDescent="0.25">
      <c r="D2052" t="s">
        <v>206</v>
      </c>
      <c r="E2052" t="b">
        <v>1</v>
      </c>
    </row>
    <row r="2053" spans="4:5" x14ac:dyDescent="0.25">
      <c r="D2053" t="s">
        <v>207</v>
      </c>
      <c r="E2053" t="s">
        <v>232</v>
      </c>
    </row>
    <row r="2054" spans="4:5" x14ac:dyDescent="0.25">
      <c r="D2054" t="s">
        <v>514</v>
      </c>
    </row>
    <row r="2056" spans="4:5" x14ac:dyDescent="0.25">
      <c r="D2056" t="s">
        <v>97</v>
      </c>
      <c r="E2056" t="s">
        <v>234</v>
      </c>
    </row>
    <row r="2057" spans="4:5" x14ac:dyDescent="0.25">
      <c r="D2057" t="s">
        <v>99</v>
      </c>
      <c r="E2057" t="s">
        <v>235</v>
      </c>
    </row>
    <row r="2058" spans="4:5" x14ac:dyDescent="0.25">
      <c r="D2058" t="s">
        <v>236</v>
      </c>
      <c r="E2058">
        <v>120</v>
      </c>
    </row>
    <row r="2059" spans="4:5" x14ac:dyDescent="0.25">
      <c r="D2059" t="s">
        <v>515</v>
      </c>
    </row>
    <row r="2061" spans="4:5" x14ac:dyDescent="0.25">
      <c r="D2061" t="s">
        <v>97</v>
      </c>
      <c r="E2061" t="s">
        <v>234</v>
      </c>
    </row>
    <row r="2062" spans="4:5" x14ac:dyDescent="0.25">
      <c r="D2062" t="s">
        <v>99</v>
      </c>
      <c r="E2062" t="s">
        <v>238</v>
      </c>
    </row>
    <row r="2063" spans="4:5" x14ac:dyDescent="0.25">
      <c r="D2063" t="s">
        <v>516</v>
      </c>
    </row>
    <row r="2065" spans="4:5" x14ac:dyDescent="0.25">
      <c r="D2065" t="s">
        <v>97</v>
      </c>
      <c r="E2065" t="s">
        <v>183</v>
      </c>
    </row>
    <row r="2066" spans="4:5" x14ac:dyDescent="0.25">
      <c r="D2066" t="s">
        <v>99</v>
      </c>
      <c r="E2066" t="s">
        <v>184</v>
      </c>
    </row>
    <row r="2067" spans="4:5" x14ac:dyDescent="0.25">
      <c r="D2067" t="s">
        <v>185</v>
      </c>
      <c r="E2067" t="s">
        <v>335</v>
      </c>
    </row>
    <row r="2068" spans="4:5" x14ac:dyDescent="0.25">
      <c r="D2068" t="s">
        <v>517</v>
      </c>
    </row>
    <row r="2070" spans="4:5" x14ac:dyDescent="0.25">
      <c r="D2070" t="s">
        <v>97</v>
      </c>
      <c r="E2070" t="s">
        <v>183</v>
      </c>
    </row>
    <row r="2071" spans="4:5" x14ac:dyDescent="0.25">
      <c r="D2071" t="s">
        <v>99</v>
      </c>
      <c r="E2071" t="s">
        <v>188</v>
      </c>
    </row>
    <row r="2072" spans="4:5" x14ac:dyDescent="0.25">
      <c r="D2072" t="s">
        <v>185</v>
      </c>
      <c r="E2072" t="s">
        <v>335</v>
      </c>
    </row>
    <row r="2073" spans="4:5" x14ac:dyDescent="0.25">
      <c r="D2073" t="s">
        <v>518</v>
      </c>
    </row>
    <row r="2075" spans="4:5" x14ac:dyDescent="0.25">
      <c r="D2075" t="s">
        <v>97</v>
      </c>
      <c r="E2075" t="s">
        <v>336</v>
      </c>
    </row>
    <row r="2076" spans="4:5" x14ac:dyDescent="0.25">
      <c r="D2076" t="s">
        <v>99</v>
      </c>
      <c r="E2076" t="s">
        <v>228</v>
      </c>
    </row>
    <row r="2077" spans="4:5" x14ac:dyDescent="0.25">
      <c r="D2077" t="s">
        <v>101</v>
      </c>
      <c r="E2077" t="s">
        <v>335</v>
      </c>
    </row>
    <row r="2078" spans="4:5" x14ac:dyDescent="0.25">
      <c r="D2078" t="s">
        <v>519</v>
      </c>
    </row>
    <row r="2080" spans="4:5" x14ac:dyDescent="0.25">
      <c r="D2080" t="s">
        <v>97</v>
      </c>
      <c r="E2080" t="s">
        <v>336</v>
      </c>
    </row>
    <row r="2081" spans="4:6" x14ac:dyDescent="0.25">
      <c r="D2081" t="s">
        <v>99</v>
      </c>
      <c r="E2081" t="s">
        <v>230</v>
      </c>
    </row>
    <row r="2082" spans="4:6" x14ac:dyDescent="0.25">
      <c r="D2082" t="s">
        <v>101</v>
      </c>
      <c r="E2082" t="s">
        <v>335</v>
      </c>
    </row>
    <row r="2083" spans="4:6" x14ac:dyDescent="0.25">
      <c r="D2083" t="s">
        <v>520</v>
      </c>
    </row>
    <row r="2085" spans="4:6" x14ac:dyDescent="0.25">
      <c r="D2085" t="s">
        <v>97</v>
      </c>
      <c r="E2085" t="s">
        <v>336</v>
      </c>
    </row>
    <row r="2086" spans="4:6" x14ac:dyDescent="0.25">
      <c r="D2086" t="s">
        <v>99</v>
      </c>
      <c r="E2086" t="s">
        <v>244</v>
      </c>
    </row>
    <row r="2087" spans="4:6" x14ac:dyDescent="0.25">
      <c r="D2087" t="s">
        <v>101</v>
      </c>
      <c r="E2087" t="s">
        <v>330</v>
      </c>
    </row>
    <row r="2088" spans="4:6" x14ac:dyDescent="0.25">
      <c r="D2088" t="s">
        <v>248</v>
      </c>
      <c r="E2088">
        <v>200</v>
      </c>
      <c r="F2088">
        <v>200</v>
      </c>
    </row>
    <row r="2089" spans="4:6" x14ac:dyDescent="0.25">
      <c r="D2089" t="s">
        <v>521</v>
      </c>
    </row>
    <row r="2091" spans="4:6" x14ac:dyDescent="0.25">
      <c r="D2091" t="s">
        <v>97</v>
      </c>
      <c r="E2091" t="s">
        <v>117</v>
      </c>
    </row>
    <row r="2092" spans="4:6" x14ac:dyDescent="0.25">
      <c r="D2092" t="s">
        <v>99</v>
      </c>
      <c r="E2092" t="s">
        <v>124</v>
      </c>
    </row>
    <row r="2093" spans="4:6" x14ac:dyDescent="0.25">
      <c r="D2093" t="s">
        <v>119</v>
      </c>
      <c r="E2093">
        <v>200</v>
      </c>
      <c r="F2093">
        <v>200</v>
      </c>
    </row>
    <row r="2094" spans="4:6" x14ac:dyDescent="0.25">
      <c r="D2094" t="s">
        <v>522</v>
      </c>
    </row>
    <row r="2096" spans="4:6" x14ac:dyDescent="0.25">
      <c r="D2096" t="s">
        <v>97</v>
      </c>
      <c r="E2096" t="s">
        <v>336</v>
      </c>
    </row>
    <row r="2097" spans="4:6" x14ac:dyDescent="0.25">
      <c r="D2097" t="s">
        <v>99</v>
      </c>
      <c r="E2097" t="s">
        <v>247</v>
      </c>
    </row>
    <row r="2098" spans="4:6" x14ac:dyDescent="0.25">
      <c r="D2098" t="s">
        <v>101</v>
      </c>
      <c r="E2098" t="s">
        <v>330</v>
      </c>
    </row>
    <row r="2099" spans="4:6" x14ac:dyDescent="0.25">
      <c r="D2099" t="s">
        <v>248</v>
      </c>
      <c r="E2099">
        <v>100</v>
      </c>
      <c r="F2099">
        <v>100</v>
      </c>
    </row>
    <row r="2100" spans="4:6" x14ac:dyDescent="0.25">
      <c r="D2100" t="s">
        <v>523</v>
      </c>
    </row>
    <row r="2102" spans="4:6" x14ac:dyDescent="0.25">
      <c r="D2102" t="s">
        <v>97</v>
      </c>
      <c r="E2102" t="s">
        <v>117</v>
      </c>
    </row>
    <row r="2103" spans="4:6" x14ac:dyDescent="0.25">
      <c r="D2103" t="s">
        <v>99</v>
      </c>
      <c r="E2103" t="s">
        <v>124</v>
      </c>
    </row>
    <row r="2104" spans="4:6" x14ac:dyDescent="0.25">
      <c r="D2104" t="s">
        <v>119</v>
      </c>
      <c r="E2104">
        <v>100</v>
      </c>
      <c r="F2104">
        <v>100</v>
      </c>
    </row>
    <row r="2105" spans="4:6" x14ac:dyDescent="0.25">
      <c r="D2105" t="s">
        <v>524</v>
      </c>
    </row>
    <row r="2107" spans="4:6" x14ac:dyDescent="0.25">
      <c r="D2107" t="s">
        <v>97</v>
      </c>
      <c r="E2107" t="s">
        <v>117</v>
      </c>
    </row>
    <row r="2108" spans="4:6" x14ac:dyDescent="0.25">
      <c r="D2108" t="s">
        <v>99</v>
      </c>
      <c r="E2108" t="s">
        <v>126</v>
      </c>
    </row>
    <row r="2109" spans="4:6" x14ac:dyDescent="0.25">
      <c r="D2109" t="s">
        <v>127</v>
      </c>
      <c r="E2109" t="s">
        <v>330</v>
      </c>
      <c r="F2109" t="s">
        <v>330</v>
      </c>
    </row>
    <row r="2110" spans="4:6" x14ac:dyDescent="0.25">
      <c r="D2110" t="s">
        <v>128</v>
      </c>
      <c r="E2110">
        <v>1</v>
      </c>
      <c r="F2110">
        <v>2</v>
      </c>
    </row>
    <row r="2111" spans="4:6" x14ac:dyDescent="0.25">
      <c r="D2111" t="s">
        <v>129</v>
      </c>
      <c r="E2111" t="s">
        <v>319</v>
      </c>
      <c r="F2111" t="s">
        <v>319</v>
      </c>
    </row>
    <row r="2112" spans="4:6" x14ac:dyDescent="0.25">
      <c r="D2112" t="s">
        <v>130</v>
      </c>
      <c r="E2112">
        <v>1</v>
      </c>
      <c r="F2112">
        <v>2</v>
      </c>
    </row>
    <row r="2113" spans="4:6" x14ac:dyDescent="0.25">
      <c r="D2113" t="s">
        <v>119</v>
      </c>
      <c r="E2113">
        <v>200</v>
      </c>
      <c r="F2113">
        <v>200</v>
      </c>
    </row>
    <row r="2114" spans="4:6" x14ac:dyDescent="0.25">
      <c r="D2114" t="s">
        <v>131</v>
      </c>
      <c r="E2114">
        <v>1950</v>
      </c>
      <c r="F2114">
        <v>1950</v>
      </c>
    </row>
    <row r="2115" spans="4:6" x14ac:dyDescent="0.25">
      <c r="D2115" t="s">
        <v>132</v>
      </c>
      <c r="E2115" t="s">
        <v>28</v>
      </c>
      <c r="F2115" t="s">
        <v>28</v>
      </c>
    </row>
    <row r="2116" spans="4:6" x14ac:dyDescent="0.25">
      <c r="D2116" t="s">
        <v>133</v>
      </c>
    </row>
    <row r="2117" spans="4:6" x14ac:dyDescent="0.25">
      <c r="D2117" t="s">
        <v>134</v>
      </c>
    </row>
    <row r="2118" spans="4:6" x14ac:dyDescent="0.25">
      <c r="D2118" t="s">
        <v>331</v>
      </c>
      <c r="E2118">
        <v>0</v>
      </c>
    </row>
    <row r="2119" spans="4:6" x14ac:dyDescent="0.25">
      <c r="D2119" t="s">
        <v>135</v>
      </c>
      <c r="E2119" t="s">
        <v>208</v>
      </c>
    </row>
    <row r="2120" spans="4:6" x14ac:dyDescent="0.25">
      <c r="D2120" t="s">
        <v>525</v>
      </c>
    </row>
    <row r="2122" spans="4:6" x14ac:dyDescent="0.25">
      <c r="D2122" t="s">
        <v>97</v>
      </c>
      <c r="E2122" t="s">
        <v>200</v>
      </c>
    </row>
    <row r="2123" spans="4:6" x14ac:dyDescent="0.25">
      <c r="D2123" t="s">
        <v>99</v>
      </c>
      <c r="E2123" t="s">
        <v>201</v>
      </c>
    </row>
    <row r="2124" spans="4:6" x14ac:dyDescent="0.25">
      <c r="D2124" t="s">
        <v>202</v>
      </c>
    </row>
    <row r="2125" spans="4:6" x14ac:dyDescent="0.25">
      <c r="D2125" t="s">
        <v>203</v>
      </c>
    </row>
    <row r="2126" spans="4:6" x14ac:dyDescent="0.25">
      <c r="D2126" t="s">
        <v>204</v>
      </c>
    </row>
    <row r="2127" spans="4:6" x14ac:dyDescent="0.25">
      <c r="D2127" t="s">
        <v>205</v>
      </c>
    </row>
    <row r="2128" spans="4:6" x14ac:dyDescent="0.25">
      <c r="D2128" t="s">
        <v>206</v>
      </c>
      <c r="E2128" t="b">
        <v>1</v>
      </c>
    </row>
    <row r="2129" spans="4:6" x14ac:dyDescent="0.25">
      <c r="D2129" t="s">
        <v>207</v>
      </c>
      <c r="E2129" t="s">
        <v>232</v>
      </c>
    </row>
    <row r="2130" spans="4:6" x14ac:dyDescent="0.25">
      <c r="D2130" t="s">
        <v>526</v>
      </c>
    </row>
    <row r="2132" spans="4:6" x14ac:dyDescent="0.25">
      <c r="D2132" t="s">
        <v>97</v>
      </c>
      <c r="E2132" t="s">
        <v>117</v>
      </c>
    </row>
    <row r="2133" spans="4:6" x14ac:dyDescent="0.25">
      <c r="D2133" t="s">
        <v>99</v>
      </c>
      <c r="E2133" t="s">
        <v>126</v>
      </c>
    </row>
    <row r="2134" spans="4:6" x14ac:dyDescent="0.25">
      <c r="D2134" t="s">
        <v>127</v>
      </c>
      <c r="E2134" t="s">
        <v>319</v>
      </c>
      <c r="F2134" t="s">
        <v>319</v>
      </c>
    </row>
    <row r="2135" spans="4:6" x14ac:dyDescent="0.25">
      <c r="D2135" t="s">
        <v>128</v>
      </c>
      <c r="E2135">
        <v>1</v>
      </c>
      <c r="F2135">
        <v>2</v>
      </c>
    </row>
    <row r="2136" spans="4:6" x14ac:dyDescent="0.25">
      <c r="D2136" t="s">
        <v>129</v>
      </c>
      <c r="E2136" t="s">
        <v>86</v>
      </c>
      <c r="F2136" t="s">
        <v>86</v>
      </c>
    </row>
    <row r="2137" spans="4:6" x14ac:dyDescent="0.25">
      <c r="D2137" t="s">
        <v>130</v>
      </c>
      <c r="E2137">
        <v>1</v>
      </c>
      <c r="F2137">
        <v>2</v>
      </c>
    </row>
    <row r="2138" spans="4:6" x14ac:dyDescent="0.25">
      <c r="D2138" t="s">
        <v>119</v>
      </c>
      <c r="E2138">
        <v>100</v>
      </c>
      <c r="F2138">
        <v>100</v>
      </c>
    </row>
    <row r="2139" spans="4:6" x14ac:dyDescent="0.25">
      <c r="D2139" t="s">
        <v>131</v>
      </c>
      <c r="E2139">
        <v>0</v>
      </c>
      <c r="F2139">
        <v>0</v>
      </c>
    </row>
    <row r="2140" spans="4:6" x14ac:dyDescent="0.25">
      <c r="D2140" t="s">
        <v>132</v>
      </c>
      <c r="E2140" t="s">
        <v>318</v>
      </c>
      <c r="F2140" t="s">
        <v>318</v>
      </c>
    </row>
    <row r="2141" spans="4:6" x14ac:dyDescent="0.25">
      <c r="D2141" t="s">
        <v>133</v>
      </c>
    </row>
    <row r="2142" spans="4:6" x14ac:dyDescent="0.25">
      <c r="D2142" t="s">
        <v>134</v>
      </c>
    </row>
    <row r="2143" spans="4:6" x14ac:dyDescent="0.25">
      <c r="D2143" t="s">
        <v>331</v>
      </c>
      <c r="E2143">
        <v>0</v>
      </c>
    </row>
    <row r="2144" spans="4:6" x14ac:dyDescent="0.25">
      <c r="D2144" t="s">
        <v>135</v>
      </c>
      <c r="E2144" t="s">
        <v>208</v>
      </c>
    </row>
    <row r="2145" spans="2:5" x14ac:dyDescent="0.25">
      <c r="D2145" t="s">
        <v>527</v>
      </c>
    </row>
    <row r="2150" spans="2:5" x14ac:dyDescent="0.25">
      <c r="B2150" t="s">
        <v>178</v>
      </c>
    </row>
    <row r="2151" spans="2:5" x14ac:dyDescent="0.25">
      <c r="B2151" t="s">
        <v>528</v>
      </c>
    </row>
    <row r="2152" spans="2:5" x14ac:dyDescent="0.25">
      <c r="B2152" t="s">
        <v>529</v>
      </c>
    </row>
    <row r="2153" spans="2:5" x14ac:dyDescent="0.25">
      <c r="B2153" t="s">
        <v>530</v>
      </c>
    </row>
    <row r="2154" spans="2:5" x14ac:dyDescent="0.25">
      <c r="B2154" t="s">
        <v>531</v>
      </c>
    </row>
    <row r="2156" spans="2:5" x14ac:dyDescent="0.25">
      <c r="C2156" t="s">
        <v>108</v>
      </c>
    </row>
    <row r="2158" spans="2:5" x14ac:dyDescent="0.25">
      <c r="D2158" t="s">
        <v>97</v>
      </c>
      <c r="E2158" t="s">
        <v>183</v>
      </c>
    </row>
    <row r="2159" spans="2:5" x14ac:dyDescent="0.25">
      <c r="D2159" t="s">
        <v>99</v>
      </c>
      <c r="E2159" t="s">
        <v>184</v>
      </c>
    </row>
    <row r="2160" spans="2:5" x14ac:dyDescent="0.25">
      <c r="D2160" t="s">
        <v>185</v>
      </c>
      <c r="E2160" t="s">
        <v>335</v>
      </c>
    </row>
    <row r="2161" spans="4:5" x14ac:dyDescent="0.25">
      <c r="D2161" t="s">
        <v>532</v>
      </c>
    </row>
    <row r="2163" spans="4:5" x14ac:dyDescent="0.25">
      <c r="D2163" t="s">
        <v>97</v>
      </c>
      <c r="E2163" t="s">
        <v>183</v>
      </c>
    </row>
    <row r="2164" spans="4:5" x14ac:dyDescent="0.25">
      <c r="D2164" t="s">
        <v>99</v>
      </c>
      <c r="E2164" t="s">
        <v>188</v>
      </c>
    </row>
    <row r="2165" spans="4:5" x14ac:dyDescent="0.25">
      <c r="D2165" t="s">
        <v>185</v>
      </c>
      <c r="E2165" t="s">
        <v>335</v>
      </c>
    </row>
    <row r="2166" spans="4:5" x14ac:dyDescent="0.25">
      <c r="D2166" t="s">
        <v>533</v>
      </c>
    </row>
    <row r="2168" spans="4:5" x14ac:dyDescent="0.25">
      <c r="D2168" t="s">
        <v>97</v>
      </c>
      <c r="E2168" t="s">
        <v>98</v>
      </c>
    </row>
    <row r="2169" spans="4:5" x14ac:dyDescent="0.25">
      <c r="D2169" t="s">
        <v>99</v>
      </c>
      <c r="E2169" t="s">
        <v>190</v>
      </c>
    </row>
    <row r="2170" spans="4:5" x14ac:dyDescent="0.25">
      <c r="D2170" t="s">
        <v>101</v>
      </c>
      <c r="E2170" t="s">
        <v>335</v>
      </c>
    </row>
    <row r="2171" spans="4:5" x14ac:dyDescent="0.25">
      <c r="D2171" t="s">
        <v>534</v>
      </c>
    </row>
    <row r="2173" spans="4:5" x14ac:dyDescent="0.25">
      <c r="D2173" t="s">
        <v>97</v>
      </c>
      <c r="E2173" t="s">
        <v>98</v>
      </c>
    </row>
    <row r="2174" spans="4:5" x14ac:dyDescent="0.25">
      <c r="D2174" t="s">
        <v>99</v>
      </c>
      <c r="E2174" t="s">
        <v>332</v>
      </c>
    </row>
    <row r="2175" spans="4:5" x14ac:dyDescent="0.25">
      <c r="D2175" t="s">
        <v>101</v>
      </c>
      <c r="E2175" t="s">
        <v>335</v>
      </c>
    </row>
    <row r="2176" spans="4:5" x14ac:dyDescent="0.25">
      <c r="D2176" t="s">
        <v>535</v>
      </c>
    </row>
    <row r="2178" spans="4:5" x14ac:dyDescent="0.25">
      <c r="D2178" t="s">
        <v>97</v>
      </c>
      <c r="E2178" t="s">
        <v>193</v>
      </c>
    </row>
    <row r="2179" spans="4:5" x14ac:dyDescent="0.25">
      <c r="D2179" t="s">
        <v>99</v>
      </c>
      <c r="E2179" t="s">
        <v>100</v>
      </c>
    </row>
    <row r="2180" spans="4:5" x14ac:dyDescent="0.25">
      <c r="D2180" t="s">
        <v>101</v>
      </c>
      <c r="E2180" t="s">
        <v>335</v>
      </c>
    </row>
    <row r="2181" spans="4:5" x14ac:dyDescent="0.25">
      <c r="D2181" t="s">
        <v>536</v>
      </c>
    </row>
    <row r="2183" spans="4:5" x14ac:dyDescent="0.25">
      <c r="D2183" t="s">
        <v>97</v>
      </c>
      <c r="E2183" t="s">
        <v>193</v>
      </c>
    </row>
    <row r="2184" spans="4:5" x14ac:dyDescent="0.25">
      <c r="D2184" t="s">
        <v>99</v>
      </c>
      <c r="E2184" t="s">
        <v>195</v>
      </c>
    </row>
    <row r="2185" spans="4:5" x14ac:dyDescent="0.25">
      <c r="D2185" t="s">
        <v>101</v>
      </c>
      <c r="E2185" t="s">
        <v>335</v>
      </c>
    </row>
    <row r="2186" spans="4:5" x14ac:dyDescent="0.25">
      <c r="D2186" t="s">
        <v>537</v>
      </c>
    </row>
    <row r="2188" spans="4:5" x14ac:dyDescent="0.25">
      <c r="D2188" t="s">
        <v>97</v>
      </c>
      <c r="E2188" t="s">
        <v>193</v>
      </c>
    </row>
    <row r="2189" spans="4:5" x14ac:dyDescent="0.25">
      <c r="D2189" t="s">
        <v>99</v>
      </c>
      <c r="E2189" t="s">
        <v>333</v>
      </c>
    </row>
    <row r="2190" spans="4:5" x14ac:dyDescent="0.25">
      <c r="D2190" t="s">
        <v>101</v>
      </c>
      <c r="E2190" t="s">
        <v>335</v>
      </c>
    </row>
    <row r="2191" spans="4:5" x14ac:dyDescent="0.25">
      <c r="D2191" t="s">
        <v>538</v>
      </c>
    </row>
    <row r="2193" spans="4:5" x14ac:dyDescent="0.25">
      <c r="D2193" t="s">
        <v>97</v>
      </c>
      <c r="E2193" t="s">
        <v>98</v>
      </c>
    </row>
    <row r="2194" spans="4:5" x14ac:dyDescent="0.25">
      <c r="D2194" t="s">
        <v>99</v>
      </c>
      <c r="E2194" t="s">
        <v>195</v>
      </c>
    </row>
    <row r="2195" spans="4:5" x14ac:dyDescent="0.25">
      <c r="D2195" t="s">
        <v>101</v>
      </c>
      <c r="E2195" t="s">
        <v>335</v>
      </c>
    </row>
    <row r="2196" spans="4:5" x14ac:dyDescent="0.25">
      <c r="D2196" t="s">
        <v>539</v>
      </c>
    </row>
    <row r="2198" spans="4:5" x14ac:dyDescent="0.25">
      <c r="D2198" t="s">
        <v>97</v>
      </c>
      <c r="E2198" t="s">
        <v>98</v>
      </c>
    </row>
    <row r="2199" spans="4:5" x14ac:dyDescent="0.25">
      <c r="D2199" t="s">
        <v>99</v>
      </c>
      <c r="E2199" t="s">
        <v>333</v>
      </c>
    </row>
    <row r="2200" spans="4:5" x14ac:dyDescent="0.25">
      <c r="D2200" t="s">
        <v>101</v>
      </c>
      <c r="E2200" t="s">
        <v>335</v>
      </c>
    </row>
    <row r="2201" spans="4:5" x14ac:dyDescent="0.25">
      <c r="D2201" t="s">
        <v>540</v>
      </c>
    </row>
    <row r="2203" spans="4:5" x14ac:dyDescent="0.25">
      <c r="D2203" t="s">
        <v>97</v>
      </c>
      <c r="E2203" t="s">
        <v>200</v>
      </c>
    </row>
    <row r="2204" spans="4:5" x14ac:dyDescent="0.25">
      <c r="D2204" t="s">
        <v>99</v>
      </c>
      <c r="E2204" t="s">
        <v>201</v>
      </c>
    </row>
    <row r="2205" spans="4:5" x14ac:dyDescent="0.25">
      <c r="D2205" t="s">
        <v>202</v>
      </c>
    </row>
    <row r="2206" spans="4:5" x14ac:dyDescent="0.25">
      <c r="D2206" t="s">
        <v>203</v>
      </c>
    </row>
    <row r="2207" spans="4:5" x14ac:dyDescent="0.25">
      <c r="D2207" t="s">
        <v>204</v>
      </c>
    </row>
    <row r="2208" spans="4:5" x14ac:dyDescent="0.25">
      <c r="D2208" t="s">
        <v>205</v>
      </c>
    </row>
    <row r="2209" spans="4:5" x14ac:dyDescent="0.25">
      <c r="D2209" t="s">
        <v>206</v>
      </c>
      <c r="E2209" t="b">
        <v>0</v>
      </c>
    </row>
    <row r="2210" spans="4:5" x14ac:dyDescent="0.25">
      <c r="D2210" t="s">
        <v>207</v>
      </c>
      <c r="E2210" t="s">
        <v>208</v>
      </c>
    </row>
    <row r="2211" spans="4:5" x14ac:dyDescent="0.25">
      <c r="D2211" t="s">
        <v>541</v>
      </c>
    </row>
    <row r="2213" spans="4:5" x14ac:dyDescent="0.25">
      <c r="D2213" t="s">
        <v>97</v>
      </c>
      <c r="E2213" t="s">
        <v>200</v>
      </c>
    </row>
    <row r="2214" spans="4:5" x14ac:dyDescent="0.25">
      <c r="D2214" t="s">
        <v>99</v>
      </c>
      <c r="E2214" t="s">
        <v>201</v>
      </c>
    </row>
    <row r="2215" spans="4:5" x14ac:dyDescent="0.25">
      <c r="D2215" t="s">
        <v>202</v>
      </c>
    </row>
    <row r="2216" spans="4:5" x14ac:dyDescent="0.25">
      <c r="D2216" t="s">
        <v>203</v>
      </c>
    </row>
    <row r="2217" spans="4:5" x14ac:dyDescent="0.25">
      <c r="D2217" t="s">
        <v>204</v>
      </c>
    </row>
    <row r="2218" spans="4:5" x14ac:dyDescent="0.25">
      <c r="D2218" t="s">
        <v>205</v>
      </c>
    </row>
    <row r="2219" spans="4:5" x14ac:dyDescent="0.25">
      <c r="D2219" t="s">
        <v>206</v>
      </c>
      <c r="E2219" t="b">
        <v>1</v>
      </c>
    </row>
    <row r="2220" spans="4:5" x14ac:dyDescent="0.25">
      <c r="D2220" t="s">
        <v>207</v>
      </c>
      <c r="E2220" t="s">
        <v>208</v>
      </c>
    </row>
    <row r="2221" spans="4:5" x14ac:dyDescent="0.25">
      <c r="D2221" t="s">
        <v>542</v>
      </c>
    </row>
    <row r="2223" spans="4:5" x14ac:dyDescent="0.25">
      <c r="D2223" t="s">
        <v>97</v>
      </c>
      <c r="E2223" t="s">
        <v>98</v>
      </c>
    </row>
    <row r="2224" spans="4:5" x14ac:dyDescent="0.25">
      <c r="D2224" t="s">
        <v>99</v>
      </c>
      <c r="E2224" t="s">
        <v>211</v>
      </c>
    </row>
    <row r="2225" spans="4:5" x14ac:dyDescent="0.25">
      <c r="D2225" t="s">
        <v>101</v>
      </c>
      <c r="E2225" t="s">
        <v>330</v>
      </c>
    </row>
    <row r="2226" spans="4:5" x14ac:dyDescent="0.25">
      <c r="D2226" t="s">
        <v>102</v>
      </c>
      <c r="E2226">
        <v>90</v>
      </c>
    </row>
    <row r="2227" spans="4:5" x14ac:dyDescent="0.25">
      <c r="D2227" t="s">
        <v>103</v>
      </c>
      <c r="E2227">
        <v>350</v>
      </c>
    </row>
    <row r="2228" spans="4:5" x14ac:dyDescent="0.25">
      <c r="D2228" t="s">
        <v>543</v>
      </c>
    </row>
    <row r="2230" spans="4:5" x14ac:dyDescent="0.25">
      <c r="D2230" t="s">
        <v>97</v>
      </c>
      <c r="E2230" t="s">
        <v>234</v>
      </c>
    </row>
    <row r="2231" spans="4:5" x14ac:dyDescent="0.25">
      <c r="D2231" t="s">
        <v>99</v>
      </c>
      <c r="E2231" t="s">
        <v>235</v>
      </c>
    </row>
    <row r="2232" spans="4:5" x14ac:dyDescent="0.25">
      <c r="D2232" t="s">
        <v>236</v>
      </c>
      <c r="E2232">
        <v>300</v>
      </c>
    </row>
    <row r="2233" spans="4:5" x14ac:dyDescent="0.25">
      <c r="D2233" t="s">
        <v>544</v>
      </c>
    </row>
    <row r="2235" spans="4:5" x14ac:dyDescent="0.25">
      <c r="D2235" t="s">
        <v>97</v>
      </c>
      <c r="E2235" t="s">
        <v>234</v>
      </c>
    </row>
    <row r="2236" spans="4:5" x14ac:dyDescent="0.25">
      <c r="D2236" t="s">
        <v>99</v>
      </c>
      <c r="E2236" t="s">
        <v>238</v>
      </c>
    </row>
    <row r="2237" spans="4:5" x14ac:dyDescent="0.25">
      <c r="D2237" t="s">
        <v>545</v>
      </c>
    </row>
    <row r="2239" spans="4:5" x14ac:dyDescent="0.25">
      <c r="D2239" t="s">
        <v>97</v>
      </c>
      <c r="E2239" t="s">
        <v>98</v>
      </c>
    </row>
    <row r="2240" spans="4:5" x14ac:dyDescent="0.25">
      <c r="D2240" t="s">
        <v>99</v>
      </c>
      <c r="E2240" t="s">
        <v>342</v>
      </c>
    </row>
    <row r="2241" spans="4:5" x14ac:dyDescent="0.25">
      <c r="D2241" t="s">
        <v>101</v>
      </c>
      <c r="E2241" t="s">
        <v>335</v>
      </c>
    </row>
    <row r="2242" spans="4:5" x14ac:dyDescent="0.25">
      <c r="D2242" t="s">
        <v>546</v>
      </c>
    </row>
    <row r="2244" spans="4:5" x14ac:dyDescent="0.25">
      <c r="D2244" t="s">
        <v>97</v>
      </c>
      <c r="E2244" t="s">
        <v>193</v>
      </c>
    </row>
    <row r="2245" spans="4:5" x14ac:dyDescent="0.25">
      <c r="D2245" t="s">
        <v>99</v>
      </c>
      <c r="E2245" t="s">
        <v>195</v>
      </c>
    </row>
    <row r="2246" spans="4:5" x14ac:dyDescent="0.25">
      <c r="D2246" t="s">
        <v>101</v>
      </c>
      <c r="E2246" t="s">
        <v>335</v>
      </c>
    </row>
    <row r="2247" spans="4:5" x14ac:dyDescent="0.25">
      <c r="D2247" t="s">
        <v>547</v>
      </c>
    </row>
    <row r="2249" spans="4:5" x14ac:dyDescent="0.25">
      <c r="D2249" t="s">
        <v>97</v>
      </c>
      <c r="E2249" t="s">
        <v>193</v>
      </c>
    </row>
    <row r="2250" spans="4:5" x14ac:dyDescent="0.25">
      <c r="D2250" t="s">
        <v>99</v>
      </c>
      <c r="E2250" t="s">
        <v>333</v>
      </c>
    </row>
    <row r="2251" spans="4:5" x14ac:dyDescent="0.25">
      <c r="D2251" t="s">
        <v>101</v>
      </c>
      <c r="E2251" t="s">
        <v>335</v>
      </c>
    </row>
    <row r="2252" spans="4:5" x14ac:dyDescent="0.25">
      <c r="D2252" t="s">
        <v>548</v>
      </c>
    </row>
    <row r="2254" spans="4:5" x14ac:dyDescent="0.25">
      <c r="D2254" t="s">
        <v>97</v>
      </c>
      <c r="E2254" t="s">
        <v>98</v>
      </c>
    </row>
    <row r="2255" spans="4:5" x14ac:dyDescent="0.25">
      <c r="D2255" t="s">
        <v>99</v>
      </c>
      <c r="E2255" t="s">
        <v>195</v>
      </c>
    </row>
    <row r="2256" spans="4:5" x14ac:dyDescent="0.25">
      <c r="D2256" t="s">
        <v>101</v>
      </c>
      <c r="E2256" t="s">
        <v>335</v>
      </c>
    </row>
    <row r="2257" spans="4:5" x14ac:dyDescent="0.25">
      <c r="D2257" t="s">
        <v>549</v>
      </c>
    </row>
    <row r="2259" spans="4:5" x14ac:dyDescent="0.25">
      <c r="D2259" t="s">
        <v>97</v>
      </c>
      <c r="E2259" t="s">
        <v>98</v>
      </c>
    </row>
    <row r="2260" spans="4:5" x14ac:dyDescent="0.25">
      <c r="D2260" t="s">
        <v>99</v>
      </c>
      <c r="E2260" t="s">
        <v>333</v>
      </c>
    </row>
    <row r="2261" spans="4:5" x14ac:dyDescent="0.25">
      <c r="D2261" t="s">
        <v>101</v>
      </c>
      <c r="E2261" t="s">
        <v>335</v>
      </c>
    </row>
    <row r="2262" spans="4:5" x14ac:dyDescent="0.25">
      <c r="D2262" t="s">
        <v>550</v>
      </c>
    </row>
    <row r="2264" spans="4:5" x14ac:dyDescent="0.25">
      <c r="D2264" t="s">
        <v>97</v>
      </c>
      <c r="E2264" t="s">
        <v>183</v>
      </c>
    </row>
    <row r="2265" spans="4:5" x14ac:dyDescent="0.25">
      <c r="D2265" t="s">
        <v>99</v>
      </c>
      <c r="E2265" t="s">
        <v>184</v>
      </c>
    </row>
    <row r="2266" spans="4:5" x14ac:dyDescent="0.25">
      <c r="D2266" t="s">
        <v>185</v>
      </c>
      <c r="E2266" t="s">
        <v>335</v>
      </c>
    </row>
    <row r="2267" spans="4:5" x14ac:dyDescent="0.25">
      <c r="D2267" t="s">
        <v>551</v>
      </c>
    </row>
    <row r="2269" spans="4:5" x14ac:dyDescent="0.25">
      <c r="D2269" t="s">
        <v>97</v>
      </c>
      <c r="E2269" t="s">
        <v>183</v>
      </c>
    </row>
    <row r="2270" spans="4:5" x14ac:dyDescent="0.25">
      <c r="D2270" t="s">
        <v>99</v>
      </c>
      <c r="E2270" t="s">
        <v>188</v>
      </c>
    </row>
    <row r="2271" spans="4:5" x14ac:dyDescent="0.25">
      <c r="D2271" t="s">
        <v>185</v>
      </c>
      <c r="E2271" t="s">
        <v>335</v>
      </c>
    </row>
    <row r="2272" spans="4:5" x14ac:dyDescent="0.25">
      <c r="D2272" t="s">
        <v>552</v>
      </c>
    </row>
    <row r="2274" spans="4:5" x14ac:dyDescent="0.25">
      <c r="D2274" t="s">
        <v>97</v>
      </c>
      <c r="E2274" t="s">
        <v>98</v>
      </c>
    </row>
    <row r="2275" spans="4:5" x14ac:dyDescent="0.25">
      <c r="D2275" t="s">
        <v>99</v>
      </c>
      <c r="E2275" t="s">
        <v>190</v>
      </c>
    </row>
    <row r="2276" spans="4:5" x14ac:dyDescent="0.25">
      <c r="D2276" t="s">
        <v>101</v>
      </c>
      <c r="E2276" t="s">
        <v>335</v>
      </c>
    </row>
    <row r="2277" spans="4:5" x14ac:dyDescent="0.25">
      <c r="D2277" t="s">
        <v>553</v>
      </c>
    </row>
    <row r="2279" spans="4:5" x14ac:dyDescent="0.25">
      <c r="D2279" t="s">
        <v>97</v>
      </c>
      <c r="E2279" t="s">
        <v>98</v>
      </c>
    </row>
    <row r="2280" spans="4:5" x14ac:dyDescent="0.25">
      <c r="D2280" t="s">
        <v>99</v>
      </c>
      <c r="E2280" t="s">
        <v>332</v>
      </c>
    </row>
    <row r="2281" spans="4:5" x14ac:dyDescent="0.25">
      <c r="D2281" t="s">
        <v>101</v>
      </c>
      <c r="E2281" t="s">
        <v>335</v>
      </c>
    </row>
    <row r="2282" spans="4:5" x14ac:dyDescent="0.25">
      <c r="D2282" t="s">
        <v>554</v>
      </c>
    </row>
    <row r="2284" spans="4:5" x14ac:dyDescent="0.25">
      <c r="D2284" t="s">
        <v>97</v>
      </c>
      <c r="E2284" t="s">
        <v>200</v>
      </c>
    </row>
    <row r="2285" spans="4:5" x14ac:dyDescent="0.25">
      <c r="D2285" t="s">
        <v>99</v>
      </c>
      <c r="E2285" t="s">
        <v>201</v>
      </c>
    </row>
    <row r="2286" spans="4:5" x14ac:dyDescent="0.25">
      <c r="D2286" t="s">
        <v>202</v>
      </c>
    </row>
    <row r="2287" spans="4:5" x14ac:dyDescent="0.25">
      <c r="D2287" t="s">
        <v>203</v>
      </c>
    </row>
    <row r="2288" spans="4:5" x14ac:dyDescent="0.25">
      <c r="D2288" t="s">
        <v>204</v>
      </c>
    </row>
    <row r="2289" spans="4:5" x14ac:dyDescent="0.25">
      <c r="D2289" t="s">
        <v>205</v>
      </c>
    </row>
    <row r="2290" spans="4:5" x14ac:dyDescent="0.25">
      <c r="D2290" t="s">
        <v>206</v>
      </c>
      <c r="E2290" t="b">
        <v>0</v>
      </c>
    </row>
    <row r="2291" spans="4:5" x14ac:dyDescent="0.25">
      <c r="D2291" t="s">
        <v>207</v>
      </c>
      <c r="E2291" t="s">
        <v>232</v>
      </c>
    </row>
    <row r="2292" spans="4:5" x14ac:dyDescent="0.25">
      <c r="D2292" t="s">
        <v>555</v>
      </c>
    </row>
    <row r="2294" spans="4:5" x14ac:dyDescent="0.25">
      <c r="D2294" t="s">
        <v>97</v>
      </c>
      <c r="E2294" t="s">
        <v>200</v>
      </c>
    </row>
    <row r="2295" spans="4:5" x14ac:dyDescent="0.25">
      <c r="D2295" t="s">
        <v>99</v>
      </c>
      <c r="E2295" t="s">
        <v>201</v>
      </c>
    </row>
    <row r="2296" spans="4:5" x14ac:dyDescent="0.25">
      <c r="D2296" t="s">
        <v>202</v>
      </c>
    </row>
    <row r="2297" spans="4:5" x14ac:dyDescent="0.25">
      <c r="D2297" t="s">
        <v>203</v>
      </c>
    </row>
    <row r="2298" spans="4:5" x14ac:dyDescent="0.25">
      <c r="D2298" t="s">
        <v>204</v>
      </c>
    </row>
    <row r="2299" spans="4:5" x14ac:dyDescent="0.25">
      <c r="D2299" t="s">
        <v>205</v>
      </c>
    </row>
    <row r="2300" spans="4:5" x14ac:dyDescent="0.25">
      <c r="D2300" t="s">
        <v>206</v>
      </c>
      <c r="E2300" t="b">
        <v>1</v>
      </c>
    </row>
    <row r="2301" spans="4:5" x14ac:dyDescent="0.25">
      <c r="D2301" t="s">
        <v>207</v>
      </c>
      <c r="E2301" t="s">
        <v>232</v>
      </c>
    </row>
    <row r="2302" spans="4:5" x14ac:dyDescent="0.25">
      <c r="D2302" t="s">
        <v>556</v>
      </c>
    </row>
    <row r="2304" spans="4:5" x14ac:dyDescent="0.25">
      <c r="D2304" t="s">
        <v>97</v>
      </c>
      <c r="E2304" t="s">
        <v>98</v>
      </c>
    </row>
    <row r="2305" spans="2:5" x14ac:dyDescent="0.25">
      <c r="D2305" t="s">
        <v>99</v>
      </c>
      <c r="E2305" t="s">
        <v>354</v>
      </c>
    </row>
    <row r="2306" spans="2:5" x14ac:dyDescent="0.25">
      <c r="D2306" t="s">
        <v>101</v>
      </c>
      <c r="E2306" t="s">
        <v>335</v>
      </c>
    </row>
    <row r="2308" spans="2:5" x14ac:dyDescent="0.25">
      <c r="D2308" t="s">
        <v>97</v>
      </c>
      <c r="E2308" t="s">
        <v>193</v>
      </c>
    </row>
    <row r="2309" spans="2:5" x14ac:dyDescent="0.25">
      <c r="D2309" t="s">
        <v>99</v>
      </c>
      <c r="E2309" t="s">
        <v>354</v>
      </c>
    </row>
    <row r="2310" spans="2:5" x14ac:dyDescent="0.25">
      <c r="D2310" t="s">
        <v>101</v>
      </c>
      <c r="E2310" t="s">
        <v>335</v>
      </c>
    </row>
    <row r="2311" spans="2:5" x14ac:dyDescent="0.25">
      <c r="D2311" t="s">
        <v>557</v>
      </c>
    </row>
    <row r="2316" spans="2:5" x14ac:dyDescent="0.25">
      <c r="B2316" t="s">
        <v>104</v>
      </c>
    </row>
    <row r="2317" spans="2:5" x14ac:dyDescent="0.25">
      <c r="B2317" t="s">
        <v>558</v>
      </c>
    </row>
    <row r="2318" spans="2:5" x14ac:dyDescent="0.25">
      <c r="B2318" t="s">
        <v>559</v>
      </c>
    </row>
    <row r="2319" spans="2:5" x14ac:dyDescent="0.25">
      <c r="B2319" t="s">
        <v>560</v>
      </c>
    </row>
    <row r="2321" spans="2:5" x14ac:dyDescent="0.25">
      <c r="C2321" t="s">
        <v>108</v>
      </c>
    </row>
    <row r="2326" spans="2:5" x14ac:dyDescent="0.25">
      <c r="B2326" t="s">
        <v>220</v>
      </c>
    </row>
    <row r="2327" spans="2:5" x14ac:dyDescent="0.25">
      <c r="B2327" t="s">
        <v>561</v>
      </c>
    </row>
    <row r="2328" spans="2:5" x14ac:dyDescent="0.25">
      <c r="B2328" t="s">
        <v>321</v>
      </c>
    </row>
    <row r="2329" spans="2:5" x14ac:dyDescent="0.25">
      <c r="B2329" t="s">
        <v>562</v>
      </c>
    </row>
    <row r="2330" spans="2:5" x14ac:dyDescent="0.25">
      <c r="B2330" t="s">
        <v>563</v>
      </c>
    </row>
    <row r="2331" spans="2:5" x14ac:dyDescent="0.25">
      <c r="B2331" t="s">
        <v>224</v>
      </c>
    </row>
    <row r="2332" spans="2:5" x14ac:dyDescent="0.25">
      <c r="B2332" t="s">
        <v>362</v>
      </c>
    </row>
    <row r="2334" spans="2:5" x14ac:dyDescent="0.25">
      <c r="C2334" t="s">
        <v>108</v>
      </c>
    </row>
    <row r="2336" spans="2:5" x14ac:dyDescent="0.25">
      <c r="D2336" t="s">
        <v>97</v>
      </c>
      <c r="E2336" t="s">
        <v>183</v>
      </c>
    </row>
    <row r="2337" spans="4:5" x14ac:dyDescent="0.25">
      <c r="D2337" t="s">
        <v>99</v>
      </c>
      <c r="E2337" t="s">
        <v>184</v>
      </c>
    </row>
    <row r="2338" spans="4:5" x14ac:dyDescent="0.25">
      <c r="D2338" t="s">
        <v>185</v>
      </c>
      <c r="E2338" t="s">
        <v>564</v>
      </c>
    </row>
    <row r="2339" spans="4:5" x14ac:dyDescent="0.25">
      <c r="D2339" t="s">
        <v>565</v>
      </c>
    </row>
    <row r="2341" spans="4:5" x14ac:dyDescent="0.25">
      <c r="D2341" t="s">
        <v>97</v>
      </c>
      <c r="E2341" t="s">
        <v>183</v>
      </c>
    </row>
    <row r="2342" spans="4:5" x14ac:dyDescent="0.25">
      <c r="D2342" t="s">
        <v>99</v>
      </c>
      <c r="E2342" t="s">
        <v>188</v>
      </c>
    </row>
    <row r="2343" spans="4:5" x14ac:dyDescent="0.25">
      <c r="D2343" t="s">
        <v>185</v>
      </c>
      <c r="E2343" t="s">
        <v>564</v>
      </c>
    </row>
    <row r="2344" spans="4:5" x14ac:dyDescent="0.25">
      <c r="D2344" t="s">
        <v>566</v>
      </c>
    </row>
    <row r="2346" spans="4:5" x14ac:dyDescent="0.25">
      <c r="D2346" t="s">
        <v>97</v>
      </c>
      <c r="E2346" t="s">
        <v>336</v>
      </c>
    </row>
    <row r="2347" spans="4:5" x14ac:dyDescent="0.25">
      <c r="D2347" t="s">
        <v>99</v>
      </c>
      <c r="E2347" t="s">
        <v>228</v>
      </c>
    </row>
    <row r="2348" spans="4:5" x14ac:dyDescent="0.25">
      <c r="D2348" t="s">
        <v>101</v>
      </c>
      <c r="E2348" t="s">
        <v>564</v>
      </c>
    </row>
    <row r="2349" spans="4:5" x14ac:dyDescent="0.25">
      <c r="D2349" t="s">
        <v>567</v>
      </c>
    </row>
    <row r="2351" spans="4:5" x14ac:dyDescent="0.25">
      <c r="D2351" t="s">
        <v>97</v>
      </c>
      <c r="E2351" t="s">
        <v>336</v>
      </c>
    </row>
    <row r="2352" spans="4:5" x14ac:dyDescent="0.25">
      <c r="D2352" t="s">
        <v>99</v>
      </c>
      <c r="E2352" t="s">
        <v>230</v>
      </c>
    </row>
    <row r="2353" spans="4:5" x14ac:dyDescent="0.25">
      <c r="D2353" t="s">
        <v>101</v>
      </c>
      <c r="E2353" t="s">
        <v>564</v>
      </c>
    </row>
    <row r="2354" spans="4:5" x14ac:dyDescent="0.25">
      <c r="D2354" t="s">
        <v>568</v>
      </c>
    </row>
    <row r="2356" spans="4:5" x14ac:dyDescent="0.25">
      <c r="D2356" t="s">
        <v>97</v>
      </c>
      <c r="E2356" t="s">
        <v>200</v>
      </c>
    </row>
    <row r="2357" spans="4:5" x14ac:dyDescent="0.25">
      <c r="D2357" t="s">
        <v>99</v>
      </c>
      <c r="E2357" t="s">
        <v>201</v>
      </c>
    </row>
    <row r="2358" spans="4:5" x14ac:dyDescent="0.25">
      <c r="D2358" t="s">
        <v>202</v>
      </c>
    </row>
    <row r="2359" spans="4:5" x14ac:dyDescent="0.25">
      <c r="D2359" t="s">
        <v>203</v>
      </c>
    </row>
    <row r="2360" spans="4:5" x14ac:dyDescent="0.25">
      <c r="D2360" t="s">
        <v>204</v>
      </c>
    </row>
    <row r="2361" spans="4:5" x14ac:dyDescent="0.25">
      <c r="D2361" t="s">
        <v>205</v>
      </c>
    </row>
    <row r="2362" spans="4:5" x14ac:dyDescent="0.25">
      <c r="D2362" t="s">
        <v>206</v>
      </c>
      <c r="E2362" t="b">
        <v>1</v>
      </c>
    </row>
    <row r="2363" spans="4:5" x14ac:dyDescent="0.25">
      <c r="D2363" t="s">
        <v>207</v>
      </c>
      <c r="E2363" t="s">
        <v>232</v>
      </c>
    </row>
    <row r="2364" spans="4:5" x14ac:dyDescent="0.25">
      <c r="D2364" t="s">
        <v>569</v>
      </c>
    </row>
    <row r="2366" spans="4:5" x14ac:dyDescent="0.25">
      <c r="D2366" t="s">
        <v>97</v>
      </c>
      <c r="E2366" t="s">
        <v>234</v>
      </c>
    </row>
    <row r="2367" spans="4:5" x14ac:dyDescent="0.25">
      <c r="D2367" t="s">
        <v>99</v>
      </c>
      <c r="E2367" t="s">
        <v>235</v>
      </c>
    </row>
    <row r="2368" spans="4:5" x14ac:dyDescent="0.25">
      <c r="D2368" t="s">
        <v>236</v>
      </c>
      <c r="E2368">
        <v>120</v>
      </c>
    </row>
    <row r="2369" spans="4:5" x14ac:dyDescent="0.25">
      <c r="D2369" t="s">
        <v>570</v>
      </c>
    </row>
    <row r="2371" spans="4:5" x14ac:dyDescent="0.25">
      <c r="D2371" t="s">
        <v>97</v>
      </c>
      <c r="E2371" t="s">
        <v>234</v>
      </c>
    </row>
    <row r="2372" spans="4:5" x14ac:dyDescent="0.25">
      <c r="D2372" t="s">
        <v>99</v>
      </c>
      <c r="E2372" t="s">
        <v>238</v>
      </c>
    </row>
    <row r="2373" spans="4:5" x14ac:dyDescent="0.25">
      <c r="D2373" t="s">
        <v>571</v>
      </c>
    </row>
    <row r="2375" spans="4:5" x14ac:dyDescent="0.25">
      <c r="D2375" t="s">
        <v>97</v>
      </c>
      <c r="E2375" t="s">
        <v>183</v>
      </c>
    </row>
    <row r="2376" spans="4:5" x14ac:dyDescent="0.25">
      <c r="D2376" t="s">
        <v>99</v>
      </c>
      <c r="E2376" t="s">
        <v>184</v>
      </c>
    </row>
    <row r="2377" spans="4:5" x14ac:dyDescent="0.25">
      <c r="D2377" t="s">
        <v>185</v>
      </c>
      <c r="E2377" t="s">
        <v>564</v>
      </c>
    </row>
    <row r="2378" spans="4:5" x14ac:dyDescent="0.25">
      <c r="D2378" t="s">
        <v>572</v>
      </c>
    </row>
    <row r="2380" spans="4:5" x14ac:dyDescent="0.25">
      <c r="D2380" t="s">
        <v>97</v>
      </c>
      <c r="E2380" t="s">
        <v>183</v>
      </c>
    </row>
    <row r="2381" spans="4:5" x14ac:dyDescent="0.25">
      <c r="D2381" t="s">
        <v>99</v>
      </c>
      <c r="E2381" t="s">
        <v>188</v>
      </c>
    </row>
    <row r="2382" spans="4:5" x14ac:dyDescent="0.25">
      <c r="D2382" t="s">
        <v>185</v>
      </c>
      <c r="E2382" t="s">
        <v>564</v>
      </c>
    </row>
    <row r="2383" spans="4:5" x14ac:dyDescent="0.25">
      <c r="D2383" t="s">
        <v>573</v>
      </c>
    </row>
    <row r="2385" spans="4:6" x14ac:dyDescent="0.25">
      <c r="D2385" t="s">
        <v>97</v>
      </c>
      <c r="E2385" t="s">
        <v>336</v>
      </c>
    </row>
    <row r="2386" spans="4:6" x14ac:dyDescent="0.25">
      <c r="D2386" t="s">
        <v>99</v>
      </c>
      <c r="E2386" t="s">
        <v>228</v>
      </c>
    </row>
    <row r="2387" spans="4:6" x14ac:dyDescent="0.25">
      <c r="D2387" t="s">
        <v>101</v>
      </c>
      <c r="E2387" t="s">
        <v>564</v>
      </c>
    </row>
    <row r="2388" spans="4:6" x14ac:dyDescent="0.25">
      <c r="D2388" t="s">
        <v>574</v>
      </c>
    </row>
    <row r="2390" spans="4:6" x14ac:dyDescent="0.25">
      <c r="D2390" t="s">
        <v>97</v>
      </c>
      <c r="E2390" t="s">
        <v>336</v>
      </c>
    </row>
    <row r="2391" spans="4:6" x14ac:dyDescent="0.25">
      <c r="D2391" t="s">
        <v>99</v>
      </c>
      <c r="E2391" t="s">
        <v>230</v>
      </c>
    </row>
    <row r="2392" spans="4:6" x14ac:dyDescent="0.25">
      <c r="D2392" t="s">
        <v>101</v>
      </c>
      <c r="E2392" t="s">
        <v>564</v>
      </c>
    </row>
    <row r="2393" spans="4:6" x14ac:dyDescent="0.25">
      <c r="D2393" t="s">
        <v>575</v>
      </c>
    </row>
    <row r="2395" spans="4:6" x14ac:dyDescent="0.25">
      <c r="D2395" t="s">
        <v>97</v>
      </c>
      <c r="E2395" t="s">
        <v>336</v>
      </c>
    </row>
    <row r="2396" spans="4:6" x14ac:dyDescent="0.25">
      <c r="D2396" t="s">
        <v>99</v>
      </c>
      <c r="E2396" t="s">
        <v>244</v>
      </c>
    </row>
    <row r="2397" spans="4:6" x14ac:dyDescent="0.25">
      <c r="D2397" t="s">
        <v>101</v>
      </c>
      <c r="E2397" t="s">
        <v>87</v>
      </c>
    </row>
    <row r="2398" spans="4:6" x14ac:dyDescent="0.25">
      <c r="D2398" t="s">
        <v>248</v>
      </c>
      <c r="E2398">
        <v>100</v>
      </c>
      <c r="F2398">
        <v>100</v>
      </c>
    </row>
    <row r="2399" spans="4:6" x14ac:dyDescent="0.25">
      <c r="D2399" t="s">
        <v>576</v>
      </c>
    </row>
    <row r="2401" spans="4:6" x14ac:dyDescent="0.25">
      <c r="D2401" t="s">
        <v>97</v>
      </c>
      <c r="E2401" t="s">
        <v>117</v>
      </c>
    </row>
    <row r="2402" spans="4:6" x14ac:dyDescent="0.25">
      <c r="D2402" t="s">
        <v>99</v>
      </c>
      <c r="E2402" t="s">
        <v>124</v>
      </c>
    </row>
    <row r="2403" spans="4:6" x14ac:dyDescent="0.25">
      <c r="D2403" t="s">
        <v>119</v>
      </c>
      <c r="E2403">
        <v>100</v>
      </c>
      <c r="F2403">
        <v>100</v>
      </c>
    </row>
    <row r="2404" spans="4:6" x14ac:dyDescent="0.25">
      <c r="D2404" t="s">
        <v>577</v>
      </c>
    </row>
    <row r="2406" spans="4:6" x14ac:dyDescent="0.25">
      <c r="D2406" t="s">
        <v>97</v>
      </c>
      <c r="E2406" t="s">
        <v>336</v>
      </c>
    </row>
    <row r="2407" spans="4:6" x14ac:dyDescent="0.25">
      <c r="D2407" t="s">
        <v>99</v>
      </c>
      <c r="E2407" t="s">
        <v>247</v>
      </c>
    </row>
    <row r="2408" spans="4:6" x14ac:dyDescent="0.25">
      <c r="D2408" t="s">
        <v>101</v>
      </c>
      <c r="E2408" t="s">
        <v>87</v>
      </c>
    </row>
    <row r="2409" spans="4:6" x14ac:dyDescent="0.25">
      <c r="D2409" t="s">
        <v>578</v>
      </c>
    </row>
    <row r="2410" spans="4:6" x14ac:dyDescent="0.25">
      <c r="D2410" t="s">
        <v>579</v>
      </c>
    </row>
    <row r="2412" spans="4:6" x14ac:dyDescent="0.25">
      <c r="D2412" t="s">
        <v>97</v>
      </c>
      <c r="E2412" t="s">
        <v>117</v>
      </c>
    </row>
    <row r="2413" spans="4:6" x14ac:dyDescent="0.25">
      <c r="D2413" t="s">
        <v>99</v>
      </c>
      <c r="E2413" t="s">
        <v>124</v>
      </c>
    </row>
    <row r="2414" spans="4:6" x14ac:dyDescent="0.25">
      <c r="D2414" t="s">
        <v>580</v>
      </c>
    </row>
    <row r="2415" spans="4:6" x14ac:dyDescent="0.25">
      <c r="D2415" t="s">
        <v>581</v>
      </c>
    </row>
    <row r="2417" spans="4:6" x14ac:dyDescent="0.25">
      <c r="D2417" t="s">
        <v>97</v>
      </c>
      <c r="E2417" t="s">
        <v>117</v>
      </c>
    </row>
    <row r="2418" spans="4:6" x14ac:dyDescent="0.25">
      <c r="D2418" t="s">
        <v>99</v>
      </c>
      <c r="E2418" t="s">
        <v>126</v>
      </c>
    </row>
    <row r="2419" spans="4:6" x14ac:dyDescent="0.25">
      <c r="D2419" t="s">
        <v>127</v>
      </c>
      <c r="E2419" t="s">
        <v>87</v>
      </c>
      <c r="F2419" t="s">
        <v>87</v>
      </c>
    </row>
    <row r="2420" spans="4:6" x14ac:dyDescent="0.25">
      <c r="D2420" t="s">
        <v>128</v>
      </c>
      <c r="E2420">
        <v>1</v>
      </c>
      <c r="F2420">
        <v>2</v>
      </c>
    </row>
    <row r="2421" spans="4:6" x14ac:dyDescent="0.25">
      <c r="D2421" t="s">
        <v>129</v>
      </c>
      <c r="E2421" t="s">
        <v>319</v>
      </c>
      <c r="F2421" t="s">
        <v>319</v>
      </c>
    </row>
    <row r="2422" spans="4:6" x14ac:dyDescent="0.25">
      <c r="D2422" t="s">
        <v>130</v>
      </c>
      <c r="E2422">
        <v>1</v>
      </c>
      <c r="F2422">
        <v>2</v>
      </c>
    </row>
    <row r="2423" spans="4:6" x14ac:dyDescent="0.25">
      <c r="D2423" t="s">
        <v>119</v>
      </c>
      <c r="E2423">
        <v>100</v>
      </c>
      <c r="F2423">
        <v>100</v>
      </c>
    </row>
    <row r="2424" spans="4:6" x14ac:dyDescent="0.25">
      <c r="D2424" t="s">
        <v>131</v>
      </c>
      <c r="E2424">
        <v>0</v>
      </c>
      <c r="F2424">
        <v>0</v>
      </c>
    </row>
    <row r="2425" spans="4:6" x14ac:dyDescent="0.25">
      <c r="D2425" t="s">
        <v>132</v>
      </c>
      <c r="E2425" t="s">
        <v>28</v>
      </c>
      <c r="F2425" t="s">
        <v>28</v>
      </c>
    </row>
    <row r="2426" spans="4:6" x14ac:dyDescent="0.25">
      <c r="D2426" t="s">
        <v>133</v>
      </c>
    </row>
    <row r="2427" spans="4:6" x14ac:dyDescent="0.25">
      <c r="D2427" t="s">
        <v>134</v>
      </c>
    </row>
    <row r="2428" spans="4:6" x14ac:dyDescent="0.25">
      <c r="D2428" t="s">
        <v>331</v>
      </c>
      <c r="E2428">
        <v>0</v>
      </c>
    </row>
    <row r="2429" spans="4:6" x14ac:dyDescent="0.25">
      <c r="D2429" t="s">
        <v>135</v>
      </c>
      <c r="E2429" t="s">
        <v>208</v>
      </c>
    </row>
    <row r="2430" spans="4:6" x14ac:dyDescent="0.25">
      <c r="D2430" t="s">
        <v>582</v>
      </c>
    </row>
    <row r="2432" spans="4:6" x14ac:dyDescent="0.25">
      <c r="D2432" t="s">
        <v>97</v>
      </c>
      <c r="E2432" t="s">
        <v>200</v>
      </c>
    </row>
    <row r="2433" spans="4:5" x14ac:dyDescent="0.25">
      <c r="D2433" t="s">
        <v>99</v>
      </c>
      <c r="E2433" t="s">
        <v>201</v>
      </c>
    </row>
    <row r="2434" spans="4:5" x14ac:dyDescent="0.25">
      <c r="D2434" t="s">
        <v>202</v>
      </c>
    </row>
    <row r="2435" spans="4:5" x14ac:dyDescent="0.25">
      <c r="D2435" t="s">
        <v>203</v>
      </c>
    </row>
    <row r="2436" spans="4:5" x14ac:dyDescent="0.25">
      <c r="D2436" t="s">
        <v>204</v>
      </c>
    </row>
    <row r="2437" spans="4:5" x14ac:dyDescent="0.25">
      <c r="D2437" t="s">
        <v>205</v>
      </c>
    </row>
    <row r="2438" spans="4:5" x14ac:dyDescent="0.25">
      <c r="D2438" t="s">
        <v>206</v>
      </c>
      <c r="E2438" t="b">
        <v>1</v>
      </c>
    </row>
    <row r="2439" spans="4:5" x14ac:dyDescent="0.25">
      <c r="D2439" t="s">
        <v>207</v>
      </c>
      <c r="E2439" t="s">
        <v>232</v>
      </c>
    </row>
    <row r="2440" spans="4:5" x14ac:dyDescent="0.25">
      <c r="D2440" t="s">
        <v>583</v>
      </c>
    </row>
    <row r="2442" spans="4:5" x14ac:dyDescent="0.25">
      <c r="D2442" t="s">
        <v>97</v>
      </c>
      <c r="E2442" t="s">
        <v>117</v>
      </c>
    </row>
    <row r="2443" spans="4:5" x14ac:dyDescent="0.25">
      <c r="D2443" t="s">
        <v>99</v>
      </c>
      <c r="E2443" t="s">
        <v>126</v>
      </c>
    </row>
    <row r="2444" spans="4:5" x14ac:dyDescent="0.25">
      <c r="D2444" t="s">
        <v>127</v>
      </c>
    </row>
    <row r="2445" spans="4:5" x14ac:dyDescent="0.25">
      <c r="D2445" t="s">
        <v>128</v>
      </c>
    </row>
    <row r="2446" spans="4:5" x14ac:dyDescent="0.25">
      <c r="D2446" t="s">
        <v>129</v>
      </c>
    </row>
    <row r="2447" spans="4:5" x14ac:dyDescent="0.25">
      <c r="D2447" t="s">
        <v>130</v>
      </c>
    </row>
    <row r="2448" spans="4:5" x14ac:dyDescent="0.25">
      <c r="D2448" t="s">
        <v>119</v>
      </c>
    </row>
    <row r="2449" spans="2:5" x14ac:dyDescent="0.25">
      <c r="D2449" t="s">
        <v>131</v>
      </c>
    </row>
    <row r="2450" spans="2:5" x14ac:dyDescent="0.25">
      <c r="D2450" t="s">
        <v>132</v>
      </c>
    </row>
    <row r="2451" spans="2:5" x14ac:dyDescent="0.25">
      <c r="D2451" t="s">
        <v>133</v>
      </c>
    </row>
    <row r="2452" spans="2:5" x14ac:dyDescent="0.25">
      <c r="D2452" t="s">
        <v>134</v>
      </c>
    </row>
    <row r="2453" spans="2:5" x14ac:dyDescent="0.25">
      <c r="D2453" t="s">
        <v>331</v>
      </c>
      <c r="E2453">
        <v>0</v>
      </c>
    </row>
    <row r="2454" spans="2:5" x14ac:dyDescent="0.25">
      <c r="D2454" t="s">
        <v>135</v>
      </c>
      <c r="E2454" t="s">
        <v>208</v>
      </c>
    </row>
    <row r="2455" spans="2:5" x14ac:dyDescent="0.25">
      <c r="D2455" t="s">
        <v>584</v>
      </c>
    </row>
    <row r="2460" spans="2:5" x14ac:dyDescent="0.25">
      <c r="B2460" t="s">
        <v>140</v>
      </c>
    </row>
    <row r="2461" spans="2:5" x14ac:dyDescent="0.25">
      <c r="B2461" t="s">
        <v>585</v>
      </c>
    </row>
    <row r="2462" spans="2:5" x14ac:dyDescent="0.25">
      <c r="B2462" t="s">
        <v>586</v>
      </c>
    </row>
    <row r="2463" spans="2:5" x14ac:dyDescent="0.25">
      <c r="B2463" t="s">
        <v>152</v>
      </c>
    </row>
    <row r="2464" spans="2:5" x14ac:dyDescent="0.25">
      <c r="B2464" t="s">
        <v>144</v>
      </c>
    </row>
    <row r="2465" spans="2:5" x14ac:dyDescent="0.25">
      <c r="B2465" t="s">
        <v>587</v>
      </c>
    </row>
    <row r="2466" spans="2:5" x14ac:dyDescent="0.25">
      <c r="B2466" t="s">
        <v>146</v>
      </c>
    </row>
    <row r="2468" spans="2:5" x14ac:dyDescent="0.25">
      <c r="C2468" t="s">
        <v>108</v>
      </c>
    </row>
    <row r="2470" spans="2:5" x14ac:dyDescent="0.25">
      <c r="D2470" t="s">
        <v>97</v>
      </c>
      <c r="E2470" t="s">
        <v>117</v>
      </c>
    </row>
    <row r="2471" spans="2:5" x14ac:dyDescent="0.25">
      <c r="D2471" t="s">
        <v>99</v>
      </c>
      <c r="E2471" t="s">
        <v>118</v>
      </c>
    </row>
    <row r="2472" spans="2:5" x14ac:dyDescent="0.25">
      <c r="D2472" t="s">
        <v>119</v>
      </c>
      <c r="E2472">
        <v>10</v>
      </c>
    </row>
    <row r="2473" spans="2:5" x14ac:dyDescent="0.25">
      <c r="D2473" t="s">
        <v>120</v>
      </c>
      <c r="E2473" t="s">
        <v>122</v>
      </c>
    </row>
    <row r="2474" spans="2:5" x14ac:dyDescent="0.25">
      <c r="D2474" t="s">
        <v>588</v>
      </c>
    </row>
    <row r="2476" spans="2:5" x14ac:dyDescent="0.25">
      <c r="D2476" t="s">
        <v>97</v>
      </c>
      <c r="E2476" t="s">
        <v>117</v>
      </c>
    </row>
    <row r="2477" spans="2:5" x14ac:dyDescent="0.25">
      <c r="D2477" t="s">
        <v>99</v>
      </c>
      <c r="E2477" t="s">
        <v>124</v>
      </c>
    </row>
    <row r="2478" spans="2:5" x14ac:dyDescent="0.25">
      <c r="D2478" t="s">
        <v>119</v>
      </c>
      <c r="E2478">
        <v>10</v>
      </c>
    </row>
    <row r="2479" spans="2:5" x14ac:dyDescent="0.25">
      <c r="D2479" t="s">
        <v>589</v>
      </c>
    </row>
    <row r="2481" spans="4:5" x14ac:dyDescent="0.25">
      <c r="D2481" t="s">
        <v>97</v>
      </c>
      <c r="E2481" t="s">
        <v>117</v>
      </c>
    </row>
    <row r="2482" spans="4:5" x14ac:dyDescent="0.25">
      <c r="D2482" t="s">
        <v>99</v>
      </c>
      <c r="E2482" t="s">
        <v>126</v>
      </c>
    </row>
    <row r="2483" spans="4:5" x14ac:dyDescent="0.25">
      <c r="D2483" t="s">
        <v>127</v>
      </c>
      <c r="E2483" t="s">
        <v>87</v>
      </c>
    </row>
    <row r="2484" spans="4:5" x14ac:dyDescent="0.25">
      <c r="D2484" t="s">
        <v>128</v>
      </c>
      <c r="E2484">
        <v>1</v>
      </c>
    </row>
    <row r="2485" spans="4:5" x14ac:dyDescent="0.25">
      <c r="D2485" t="s">
        <v>129</v>
      </c>
      <c r="E2485" t="s">
        <v>322</v>
      </c>
    </row>
    <row r="2486" spans="4:5" x14ac:dyDescent="0.25">
      <c r="D2486" t="s">
        <v>130</v>
      </c>
      <c r="E2486">
        <v>1</v>
      </c>
    </row>
    <row r="2487" spans="4:5" x14ac:dyDescent="0.25">
      <c r="D2487" t="s">
        <v>119</v>
      </c>
      <c r="E2487">
        <v>10</v>
      </c>
    </row>
    <row r="2488" spans="4:5" x14ac:dyDescent="0.25">
      <c r="D2488" t="s">
        <v>131</v>
      </c>
      <c r="E2488">
        <v>100</v>
      </c>
    </row>
    <row r="2489" spans="4:5" x14ac:dyDescent="0.25">
      <c r="D2489" t="s">
        <v>132</v>
      </c>
      <c r="E2489" t="s">
        <v>26</v>
      </c>
    </row>
    <row r="2490" spans="4:5" x14ac:dyDescent="0.25">
      <c r="D2490" t="s">
        <v>133</v>
      </c>
    </row>
    <row r="2491" spans="4:5" x14ac:dyDescent="0.25">
      <c r="D2491" t="s">
        <v>134</v>
      </c>
    </row>
    <row r="2492" spans="4:5" x14ac:dyDescent="0.25">
      <c r="D2492" t="s">
        <v>331</v>
      </c>
      <c r="E2492">
        <v>0</v>
      </c>
    </row>
    <row r="2493" spans="4:5" x14ac:dyDescent="0.25">
      <c r="D2493" t="s">
        <v>135</v>
      </c>
      <c r="E2493" t="s">
        <v>208</v>
      </c>
    </row>
    <row r="2494" spans="4:5" x14ac:dyDescent="0.25">
      <c r="D2494" t="s">
        <v>590</v>
      </c>
    </row>
    <row r="2499" spans="2:3" x14ac:dyDescent="0.25">
      <c r="B2499" t="s">
        <v>163</v>
      </c>
    </row>
    <row r="2500" spans="2:3" x14ac:dyDescent="0.25">
      <c r="B2500" t="s">
        <v>591</v>
      </c>
    </row>
    <row r="2501" spans="2:3" x14ac:dyDescent="0.25">
      <c r="B2501" t="s">
        <v>592</v>
      </c>
    </row>
    <row r="2502" spans="2:3" x14ac:dyDescent="0.25">
      <c r="B2502" t="s">
        <v>593</v>
      </c>
    </row>
    <row r="2503" spans="2:3" x14ac:dyDescent="0.25">
      <c r="B2503" t="s">
        <v>594</v>
      </c>
    </row>
    <row r="2505" spans="2:3" x14ac:dyDescent="0.25">
      <c r="C2505" t="s">
        <v>108</v>
      </c>
    </row>
    <row r="2510" spans="2:3" x14ac:dyDescent="0.25">
      <c r="B2510" t="s">
        <v>595</v>
      </c>
    </row>
    <row r="2511" spans="2:3" x14ac:dyDescent="0.25">
      <c r="B2511" t="s">
        <v>596</v>
      </c>
    </row>
    <row r="2513" spans="3:5" x14ac:dyDescent="0.25">
      <c r="C2513" t="s">
        <v>597</v>
      </c>
    </row>
    <row r="2515" spans="3:5" x14ac:dyDescent="0.25">
      <c r="D2515" t="s">
        <v>97</v>
      </c>
      <c r="E2515" t="s">
        <v>598</v>
      </c>
    </row>
    <row r="2516" spans="3:5" x14ac:dyDescent="0.25">
      <c r="D2516" t="s">
        <v>99</v>
      </c>
      <c r="E2516" t="s">
        <v>599</v>
      </c>
    </row>
    <row r="2517" spans="3:5" x14ac:dyDescent="0.25">
      <c r="D2517" t="s">
        <v>600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3A61C9D3DF41942A30B0F19463269B8" ma:contentTypeVersion="2" ma:contentTypeDescription="Create a new document." ma:contentTypeScope="" ma:versionID="db64cd9a9471e43bac007a484dff8f6d">
  <xsd:schema xmlns:xsd="http://www.w3.org/2001/XMLSchema" xmlns:xs="http://www.w3.org/2001/XMLSchema" xmlns:p="http://schemas.microsoft.com/office/2006/metadata/properties" xmlns:ns2="a9bd107e-1940-4cd6-8058-0558cc3d6638" targetNamespace="http://schemas.microsoft.com/office/2006/metadata/properties" ma:root="true" ma:fieldsID="5ae7a757381906b34bab361f4120feaa" ns2:_="">
    <xsd:import namespace="a9bd107e-1940-4cd6-8058-0558cc3d663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9bd107e-1940-4cd6-8058-0558cc3d663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6E792D2-13D9-445F-AE7B-CF179A33399C}">
  <ds:schemaRefs>
    <ds:schemaRef ds:uri="http://schemas.microsoft.com/office/2006/documentManagement/types"/>
    <ds:schemaRef ds:uri="http://purl.org/dc/elements/1.1/"/>
    <ds:schemaRef ds:uri="http://purl.org/dc/dcmitype/"/>
    <ds:schemaRef ds:uri="http://schemas.microsoft.com/office/2006/metadata/properties"/>
    <ds:schemaRef ds:uri="http://purl.org/dc/terms/"/>
    <ds:schemaRef ds:uri="http://www.w3.org/XML/1998/namespace"/>
    <ds:schemaRef ds:uri="http://schemas.microsoft.com/office/infopath/2007/PartnerControls"/>
    <ds:schemaRef ds:uri="http://schemas.openxmlformats.org/package/2006/metadata/core-properties"/>
    <ds:schemaRef ds:uri="a9bd107e-1940-4cd6-8058-0558cc3d6638"/>
  </ds:schemaRefs>
</ds:datastoreItem>
</file>

<file path=customXml/itemProps2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B7026A9-D827-4785-96B6-89A9596ADD1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9bd107e-1940-4cd6-8058-0558cc3d663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___Dropdown values</vt:lpstr>
      <vt:lpstr>Method</vt:lpstr>
      <vt:lpstr>Worklist</vt:lpstr>
      <vt:lpstr>TestLog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Bare, Bradley</dc:creator>
  <cp:keywords/>
  <dc:description/>
  <cp:lastModifiedBy>Bare, Bradley</cp:lastModifiedBy>
  <cp:revision/>
  <dcterms:created xsi:type="dcterms:W3CDTF">2021-02-05T21:39:59Z</dcterms:created>
  <dcterms:modified xsi:type="dcterms:W3CDTF">2022-02-03T17:53:48Z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0x01010093A61C9D3DF41942A30B0F19463269B8</vt:lpwstr>
  </property>
</Properties>
</file>