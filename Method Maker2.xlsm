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DF1ABC04-619F-4665-B97B-D7422D614308}" xr6:coauthVersionLast="47" xr6:coauthVersionMax="47" xr10:uidLastSave="{00000000-0000-0000-0000-000000000000}"/>
  <bookViews>
    <workbookView minimized="1" xWindow="4125" yWindow="2025" windowWidth="21600" windowHeight="11385" firstSheet="3" activeTab="3" xr2:uid="{00000000-000D-0000-FFFF-FFFF00000000}"/>
  </bookViews>
  <sheets>
    <sheet name="___Dropdown values" sheetId="4" state="hidden" r:id="rId1"/>
    <sheet name="Method" sheetId="2" r:id="rId2"/>
    <sheet name="Worklist" sheetId="3" r:id="rId3"/>
    <sheet name="RunLog" sheetId="79" r:id="rId4"/>
    <sheet name="TestLog" sheetId="7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2" l="1"/>
  <c r="E15" i="2"/>
  <c r="E16" i="2"/>
  <c r="E3" i="3" l="1"/>
  <c r="E2" i="3"/>
  <c r="A3" i="3"/>
  <c r="A2" i="3"/>
</calcChain>
</file>

<file path=xl/sharedStrings.xml><?xml version="1.0" encoding="utf-8"?>
<sst xmlns="http://schemas.openxmlformats.org/spreadsheetml/2006/main" count="1158" uniqueCount="255">
  <si>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</si>
  <si>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</si>
  <si>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</si>
  <si>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</si>
  <si>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</si>
  <si>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</si>
  <si>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</si>
  <si>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</si>
  <si>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</si>
  <si>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</si>
  <si>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</si>
  <si>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</si>
  <si>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</si>
  <si>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</si>
  <si>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</si>
  <si>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</si>
  <si>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</si>
  <si>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</si>
  <si>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</si>
  <si>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</si>
  <si>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</si>
  <si>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</si>
  <si>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</si>
  <si>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</si>
  <si>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</si>
  <si>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</si>
  <si>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</si>
  <si>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</si>
  <si>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</si>
  <si>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</si>
  <si>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</si>
  <si>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</si>
  <si>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</si>
  <si>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</si>
  <si>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</si>
  <si>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</si>
  <si>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</si>
  <si>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</si>
  <si>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</si>
  <si>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</si>
  <si>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</si>
  <si>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</si>
  <si>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</si>
  <si>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</si>
  <si>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</si>
  <si>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</si>
  <si>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</si>
  <si>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</si>
  <si>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</si>
  <si>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</si>
  <si>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</si>
  <si>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</si>
  <si>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</si>
  <si>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</si>
  <si>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</si>
  <si>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</si>
  <si>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</si>
  <si>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</si>
  <si>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</si>
  <si>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</si>
  <si>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</si>
  <si>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</si>
  <si>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</si>
  <si>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</si>
  <si>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</si>
  <si>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</si>
  <si>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</si>
  <si>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Rnase H</t>
  </si>
  <si>
    <t>Temp (C)</t>
  </si>
  <si>
    <t>Time (min)</t>
  </si>
  <si>
    <t>Shake (rpm)</t>
  </si>
  <si>
    <t>Sample #</t>
  </si>
  <si>
    <t>Description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</si>
  <si>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</si>
  <si>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</si>
  <si>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</si>
  <si>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</si>
  <si>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</si>
  <si>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</si>
  <si>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</si>
  <si>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</si>
  <si>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</si>
  <si>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</si>
  <si>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</si>
  <si>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</si>
  <si>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</si>
  <si>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</si>
  <si>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</si>
  <si>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</si>
  <si>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</si>
  <si>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</si>
  <si>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</si>
  <si>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</si>
  <si>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</si>
  <si>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</si>
  <si>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</si>
  <si>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</si>
  <si>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</si>
  <si>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</si>
  <si>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</si>
  <si>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</si>
  <si>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</si>
  <si>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</si>
  <si>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</si>
  <si>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</si>
  <si>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</si>
  <si>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</si>
  <si>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</si>
  <si>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</si>
  <si>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</si>
  <si>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</si>
  <si>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</si>
  <si>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</si>
  <si>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</si>
  <si>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</si>
  <si>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</si>
  <si>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</si>
  <si>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</si>
  <si>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</si>
  <si>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</si>
  <si>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</si>
  <si>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</si>
  <si>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</si>
  <si>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</si>
  <si>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</si>
  <si>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</si>
  <si>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</si>
  <si>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</si>
  <si>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</si>
  <si>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</si>
  <si>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</si>
  <si>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</si>
  <si>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</si>
  <si>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Source: Rnase H</t>
  </si>
  <si>
    <t>Liquid Type: Enzyme</t>
  </si>
  <si>
    <t>##7.1##</t>
  </si>
  <si>
    <t>##7.2##</t>
  </si>
  <si>
    <t>##7.3##</t>
  </si>
  <si>
    <t>Step Title: Incubate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</si>
  <si>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</si>
  <si>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</si>
  <si>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</si>
  <si>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</si>
  <si>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</si>
  <si>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</si>
  <si>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</si>
  <si>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</si>
  <si>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</si>
  <si>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</si>
  <si>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</si>
  <si>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</si>
  <si>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Lid</t>
  </si>
  <si>
    <t>GetReservationLidSequenceString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</si>
  <si>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</si>
  <si>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</si>
  <si>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</si>
  <si>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</si>
  <si>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</si>
  <si>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</si>
  <si>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</si>
  <si>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</si>
  <si>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</si>
  <si>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StartReservation</t>
  </si>
  <si>
    <t>Afte</t>
  </si>
  <si>
    <t>Timer</t>
  </si>
  <si>
    <t>Start</t>
  </si>
  <si>
    <t>[WaitTime]</t>
  </si>
  <si>
    <t>Wai</t>
  </si>
  <si>
    <t>Spike Volume</t>
  </si>
  <si>
    <t>Add Spike? (Yes or No)</t>
  </si>
  <si>
    <t>Sample 1</t>
  </si>
  <si>
    <t>Sample 2</t>
  </si>
  <si>
    <t>[DestinationPipettingOffset]</t>
  </si>
  <si>
    <t>GetReservationHeaterTransportType</t>
  </si>
  <si>
    <t>GetReservationLidTransportType</t>
  </si>
  <si>
    <t>EndReservation</t>
  </si>
  <si>
    <t>ReleaseReservation</t>
  </si>
  <si>
    <t>PreRun</t>
  </si>
  <si>
    <t>Samples</t>
  </si>
  <si>
    <t>[SampleNumber]</t>
  </si>
  <si>
    <t>[Name]</t>
  </si>
  <si>
    <t>[LabwareSequence]</t>
  </si>
  <si>
    <t>Carrier14_Pos3_96WellPCRPlate200uL_1mLChannel</t>
  </si>
  <si>
    <t>Carrier38_Pos3_96WellPCRPlate200uL_1mLChannel</t>
  </si>
  <si>
    <t>F1</t>
  </si>
  <si>
    <t>F2</t>
  </si>
  <si>
    <t>R2</t>
  </si>
  <si>
    <t>R3</t>
  </si>
  <si>
    <t>[LidSequence]</t>
  </si>
  <si>
    <t>Carrier14_Pos3_Lid_200uL</t>
  </si>
  <si>
    <t>[LoadingLocation]</t>
  </si>
  <si>
    <t>Carrier14_Pos3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</si>
  <si>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</si>
  <si>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</si>
  <si>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</si>
  <si>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</si>
  <si>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</si>
  <si>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</si>
  <si>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</si>
  <si>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</si>
  <si>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200uL Biorad 96 Well PCR Plate</t>
  </si>
  <si>
    <t>Hamilton 1.5mL FlipTube</t>
  </si>
  <si>
    <t>60mL Reagent Reservio</t>
  </si>
  <si>
    <t>Heate</t>
  </si>
  <si>
    <t>Notif</t>
  </si>
  <si>
    <t>Time</t>
  </si>
  <si>
    <t>Transpor</t>
  </si>
  <si>
    <t>StatusUpdat</t>
  </si>
  <si>
    <t>Li</t>
  </si>
  <si>
    <t>EN</t>
  </si>
  <si>
    <t>seq_Tips_NTR_300ul</t>
  </si>
  <si>
    <t>StandardVolume_Water_DispenseSurface_Empty</t>
  </si>
  <si>
    <t>seq_Tips_NTR_50ul</t>
  </si>
  <si>
    <t>Tip_50ul_Water_DispenseSurface_Empty</t>
  </si>
  <si>
    <t>Tip_50_TrisTweenBuffer_SurfaceEmpty_Normalization</t>
  </si>
  <si>
    <t>_HHS1_96WellPCRPlate200uL</t>
  </si>
  <si>
    <t>Lid1_Home</t>
  </si>
  <si>
    <t>_HHS1_Lid_200uL</t>
  </si>
  <si>
    <t>Log</t>
  </si>
  <si>
    <t>[Title]</t>
  </si>
  <si>
    <t>[Coordinates]</t>
  </si>
  <si>
    <t>Excel Location (Row,Col): (34,3)</t>
  </si>
  <si>
    <t>##6.1##</t>
  </si>
  <si>
    <t>##6.2##</t>
  </si>
  <si>
    <t>##6.3##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</si>
  <si>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</si>
  <si>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</si>
  <si>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</si>
  <si>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</si>
  <si>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</si>
  <si>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</si>
  <si>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</si>
  <si>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</si>
  <si>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##7.12##</t>
  </si>
  <si>
    <t>##7.13##</t>
  </si>
  <si>
    <t>##7.14##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</si>
  <si>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</si>
  <si>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</si>
  <si>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</si>
  <si>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</si>
  <si>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</si>
  <si>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</si>
  <si>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</si>
  <si>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</si>
  <si>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</si>
  <si>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</si>
  <si>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</si>
  <si>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</si>
  <si>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##8.1##</t>
  </si>
  <si>
    <t>##8.2##</t>
  </si>
  <si>
    <t>##8.3##</t>
  </si>
  <si>
    <t>Excel Location (Row,Col): (41,3)</t>
  </si>
  <si>
    <t>Excel Location (Row,Col): (47,3)</t>
  </si>
  <si>
    <t>Excel Location (Row,Col): (55,3)</t>
  </si>
  <si>
    <t>Excel Location (Row,Col): (11,3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</si>
</sst>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5" xfId="0" applyBorder="1"/>
    <xf numFmtId="0" fontId="0" fillId="0" borderId="7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23" t="s">
        <v>0</v>
      </c>
      <c r="C3" s="23"/>
      <c r="D3" s="23" t="s">
        <v>1</v>
      </c>
      <c r="F3" s="26" t="s">
        <v>2</v>
      </c>
      <c r="G3" s="26"/>
      <c r="H3" s="26"/>
      <c r="I3" s="26"/>
      <c r="J3" s="26"/>
      <c r="K3" s="26"/>
      <c r="L3" s="26"/>
    </row>
    <row r="4" spans="2:12" x14ac:dyDescent="0.25">
      <c r="B4" t="s">
        <v>3</v>
      </c>
      <c r="D4" s="24" t="s">
        <v>4</v>
      </c>
      <c r="F4" s="23" t="s">
        <v>5</v>
      </c>
      <c r="G4" s="23" t="s">
        <v>6</v>
      </c>
      <c r="H4" s="23" t="s">
        <v>7</v>
      </c>
      <c r="I4" s="23" t="s">
        <v>8</v>
      </c>
      <c r="J4" s="23" t="s">
        <v>9</v>
      </c>
      <c r="K4" s="23" t="s">
        <v>10</v>
      </c>
      <c r="L4" s="23" t="s">
        <v>11</v>
      </c>
    </row>
    <row r="5" spans="2:12" x14ac:dyDescent="0.25">
      <c r="B5" t="s">
        <v>12</v>
      </c>
      <c r="D5" s="24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24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24"/>
    </row>
    <row r="9" spans="2:12" x14ac:dyDescent="0.25">
      <c r="B9" s="23" t="s">
        <v>23</v>
      </c>
      <c r="D9" s="2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2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23" t="s">
        <v>38</v>
      </c>
    </row>
    <row r="19" spans="2:4" x14ac:dyDescent="0.25">
      <c r="B19" s="2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2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35"/>
  <sheetViews>
    <sheetView zoomScale="90" zoomScaleNormal="90" workbookViewId="0">
      <selection activeCell="G26" sqref="G26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27" t="s">
        <v>37</v>
      </c>
      <c r="E2" s="28"/>
      <c r="F2" s="19" t="s">
        <v>48</v>
      </c>
    </row>
    <row r="3" spans="4:6" x14ac:dyDescent="0.25">
      <c r="D3" s="20" t="s">
        <v>49</v>
      </c>
      <c r="E3" s="22" t="s">
        <v>50</v>
      </c>
      <c r="F3" s="29" t="s">
        <v>51</v>
      </c>
    </row>
    <row r="4" spans="4:6" ht="15.75" thickBot="1" x14ac:dyDescent="0.3">
      <c r="D4" s="1" t="s">
        <v>52</v>
      </c>
      <c r="E4" s="13" t="s">
        <v>3</v>
      </c>
      <c r="F4" s="30"/>
    </row>
    <row r="6" spans="4:6" s="2" customFormat="1" ht="15.75" thickBot="1" x14ac:dyDescent="0.3">
      <c r="D6" s="39" t="s">
        <v>53</v>
      </c>
      <c r="E6" s="39"/>
    </row>
    <row r="7" spans="4:6" ht="15.75" thickBot="1" x14ac:dyDescent="0.3"/>
    <row r="8" spans="4:6" x14ac:dyDescent="0.25">
      <c r="D8" s="27" t="s">
        <v>37</v>
      </c>
      <c r="E8" s="28"/>
      <c r="F8" s="19" t="s">
        <v>48</v>
      </c>
    </row>
    <row r="9" spans="4:6" x14ac:dyDescent="0.25">
      <c r="D9" s="20" t="s">
        <v>49</v>
      </c>
      <c r="E9" s="22" t="s">
        <v>54</v>
      </c>
      <c r="F9" s="29"/>
    </row>
    <row r="10" spans="4:6" ht="15.75" thickBot="1" x14ac:dyDescent="0.3">
      <c r="D10" s="1" t="s">
        <v>52</v>
      </c>
      <c r="E10" s="21" t="s">
        <v>3</v>
      </c>
      <c r="F10" s="30"/>
    </row>
    <row r="11" spans="4:6" ht="15.75" thickBot="1" x14ac:dyDescent="0.3"/>
    <row r="12" spans="4:6" x14ac:dyDescent="0.25">
      <c r="D12" s="47" t="s">
        <v>6</v>
      </c>
      <c r="E12" s="48"/>
      <c r="F12" s="16" t="s">
        <v>48</v>
      </c>
    </row>
    <row r="13" spans="4:6" x14ac:dyDescent="0.25">
      <c r="D13" s="5" t="s">
        <v>55</v>
      </c>
      <c r="E13" s="11" t="str">
        <f>E3</f>
        <v>Sample</v>
      </c>
      <c r="F13" s="36"/>
    </row>
    <row r="14" spans="4:6" x14ac:dyDescent="0.25">
      <c r="D14" s="5" t="s">
        <v>56</v>
      </c>
      <c r="E14" s="11" t="s">
        <v>57</v>
      </c>
      <c r="F14" s="37"/>
    </row>
    <row r="15" spans="4:6" x14ac:dyDescent="0.25">
      <c r="D15" s="5" t="s">
        <v>58</v>
      </c>
      <c r="E15" s="11" t="str">
        <f>Worklist!C1</f>
        <v>Starting Concentration (mg/mL)</v>
      </c>
      <c r="F15" s="37"/>
    </row>
    <row r="16" spans="4:6" x14ac:dyDescent="0.25">
      <c r="D16" s="5" t="s">
        <v>59</v>
      </c>
      <c r="E16" s="11">
        <f>40*1388651*0.000001/E17</f>
        <v>0.65348282352941178</v>
      </c>
      <c r="F16" s="37"/>
    </row>
    <row r="17" spans="1:6" x14ac:dyDescent="0.25">
      <c r="D17" s="5" t="s">
        <v>60</v>
      </c>
      <c r="E17" s="11">
        <v>85</v>
      </c>
      <c r="F17" s="37"/>
    </row>
    <row r="18" spans="1:6" ht="15.75" thickBot="1" x14ac:dyDescent="0.3">
      <c r="A18" t="s">
        <v>61</v>
      </c>
      <c r="D18" s="6" t="s">
        <v>62</v>
      </c>
      <c r="E18" s="12">
        <v>85</v>
      </c>
      <c r="F18" s="38"/>
    </row>
    <row r="19" spans="1:6" ht="15.75" thickBot="1" x14ac:dyDescent="0.3"/>
    <row r="20" spans="1:6" x14ac:dyDescent="0.25">
      <c r="D20" s="45" t="s">
        <v>5</v>
      </c>
      <c r="E20" s="46"/>
      <c r="F20" s="18" t="s">
        <v>48</v>
      </c>
    </row>
    <row r="21" spans="1:6" x14ac:dyDescent="0.25">
      <c r="D21" s="3" t="s">
        <v>55</v>
      </c>
      <c r="E21" s="9" t="s">
        <v>63</v>
      </c>
      <c r="F21" s="33"/>
    </row>
    <row r="22" spans="1:6" x14ac:dyDescent="0.25">
      <c r="D22" s="3" t="s">
        <v>23</v>
      </c>
      <c r="E22" s="9" t="s">
        <v>32</v>
      </c>
      <c r="F22" s="34"/>
    </row>
    <row r="23" spans="1:6" x14ac:dyDescent="0.25">
      <c r="D23" s="3" t="s">
        <v>39</v>
      </c>
      <c r="E23" s="9" t="s">
        <v>41</v>
      </c>
      <c r="F23" s="34"/>
    </row>
    <row r="24" spans="1:6" x14ac:dyDescent="0.25">
      <c r="D24" s="3" t="s">
        <v>64</v>
      </c>
      <c r="E24" s="9">
        <v>10</v>
      </c>
      <c r="F24" s="34"/>
    </row>
    <row r="25" spans="1:6" ht="15.75" thickBot="1" x14ac:dyDescent="0.3">
      <c r="D25" s="4" t="s">
        <v>65</v>
      </c>
      <c r="E25" s="10" t="s">
        <v>26</v>
      </c>
      <c r="F25" s="35"/>
    </row>
    <row r="26" spans="1:6" ht="15.75" thickBot="1" x14ac:dyDescent="0.3"/>
    <row r="27" spans="1:6" x14ac:dyDescent="0.25">
      <c r="D27" s="45" t="s">
        <v>5</v>
      </c>
      <c r="E27" s="46"/>
      <c r="F27" s="18" t="s">
        <v>48</v>
      </c>
    </row>
    <row r="28" spans="1:6" x14ac:dyDescent="0.25">
      <c r="D28" s="3" t="s">
        <v>55</v>
      </c>
      <c r="E28" s="9" t="s">
        <v>66</v>
      </c>
      <c r="F28" s="33"/>
    </row>
    <row r="29" spans="1:6" x14ac:dyDescent="0.25">
      <c r="D29" s="3" t="s">
        <v>23</v>
      </c>
      <c r="E29" s="9" t="s">
        <v>25</v>
      </c>
      <c r="F29" s="34"/>
    </row>
    <row r="30" spans="1:6" x14ac:dyDescent="0.25">
      <c r="D30" s="3" t="s">
        <v>39</v>
      </c>
      <c r="E30" s="9" t="s">
        <v>41</v>
      </c>
      <c r="F30" s="34"/>
    </row>
    <row r="31" spans="1:6" x14ac:dyDescent="0.25">
      <c r="D31" s="3" t="s">
        <v>64</v>
      </c>
      <c r="E31" s="9">
        <v>5</v>
      </c>
      <c r="F31" s="34"/>
    </row>
    <row r="32" spans="1:6" ht="15.75" thickBot="1" x14ac:dyDescent="0.3">
      <c r="D32" s="4" t="s">
        <v>65</v>
      </c>
      <c r="E32" s="10" t="s">
        <v>26</v>
      </c>
      <c r="F32" s="35"/>
    </row>
    <row r="34" spans="1:6" ht="15.75" thickBot="1" x14ac:dyDescent="0.3"/>
    <row r="35" spans="1:6" x14ac:dyDescent="0.25">
      <c r="D35" s="31" t="s">
        <v>5</v>
      </c>
      <c r="E35" s="32"/>
      <c r="F35" s="18" t="s">
        <v>48</v>
      </c>
    </row>
    <row r="36" spans="1:6" x14ac:dyDescent="0.25">
      <c r="D36" s="3" t="s">
        <v>55</v>
      </c>
      <c r="E36" s="9" t="s">
        <v>67</v>
      </c>
      <c r="F36" s="33"/>
    </row>
    <row r="37" spans="1:6" x14ac:dyDescent="0.25">
      <c r="D37" s="3" t="s">
        <v>23</v>
      </c>
      <c r="E37" s="9" t="s">
        <v>36</v>
      </c>
      <c r="F37" s="34"/>
    </row>
    <row r="38" spans="1:6" x14ac:dyDescent="0.25">
      <c r="D38" s="3" t="s">
        <v>39</v>
      </c>
      <c r="E38" s="9" t="s">
        <v>41</v>
      </c>
      <c r="F38" s="34"/>
    </row>
    <row r="39" spans="1:6" x14ac:dyDescent="0.25">
      <c r="D39" s="3" t="s">
        <v>64</v>
      </c>
      <c r="E39" s="9">
        <v>10</v>
      </c>
      <c r="F39" s="34"/>
    </row>
    <row r="40" spans="1:6" ht="15.75" thickBot="1" x14ac:dyDescent="0.3">
      <c r="D40" s="4" t="s">
        <v>65</v>
      </c>
      <c r="E40" s="10" t="s">
        <v>26</v>
      </c>
      <c r="F40" s="35"/>
    </row>
    <row r="41" spans="1:6" ht="15.75" thickBot="1" x14ac:dyDescent="0.3"/>
    <row r="42" spans="1:6" x14ac:dyDescent="0.25">
      <c r="B42" s="25"/>
      <c r="C42" s="25"/>
      <c r="D42" s="40" t="s">
        <v>10</v>
      </c>
      <c r="E42" s="41"/>
      <c r="F42" s="17" t="s">
        <v>48</v>
      </c>
    </row>
    <row r="43" spans="1:6" x14ac:dyDescent="0.25">
      <c r="A43" s="25"/>
      <c r="B43" s="25"/>
      <c r="C43" s="25"/>
      <c r="D43" s="7" t="s">
        <v>68</v>
      </c>
      <c r="E43" s="14">
        <v>37</v>
      </c>
      <c r="F43" s="42"/>
    </row>
    <row r="44" spans="1:6" x14ac:dyDescent="0.25">
      <c r="A44" s="25"/>
      <c r="B44" s="25"/>
      <c r="C44" s="25"/>
      <c r="D44" s="7" t="s">
        <v>69</v>
      </c>
      <c r="E44" s="14">
        <v>60</v>
      </c>
      <c r="F44" s="43"/>
    </row>
    <row r="45" spans="1:6" ht="15.75" thickBot="1" x14ac:dyDescent="0.3">
      <c r="A45" s="25"/>
      <c r="B45" s="25"/>
      <c r="C45" s="25"/>
      <c r="D45" s="8" t="s">
        <v>70</v>
      </c>
      <c r="E45" s="15">
        <v>0</v>
      </c>
      <c r="F45" s="44"/>
    </row>
    <row r="46" spans="1:6" x14ac:dyDescent="0.25">
      <c r="A46" s="25"/>
      <c r="B46" s="25"/>
      <c r="C46" s="25"/>
    </row>
    <row r="47" spans="1:6" ht="15.75" thickBot="1" x14ac:dyDescent="0.3">
      <c r="A47" s="25"/>
      <c r="B47" s="25"/>
      <c r="C47" s="25"/>
    </row>
    <row r="48" spans="1:6" x14ac:dyDescent="0.25">
      <c r="A48" s="25"/>
      <c r="B48" s="25"/>
      <c r="C48" s="25"/>
      <c r="D48" s="31" t="s">
        <v>5</v>
      </c>
      <c r="E48" s="32"/>
      <c r="F48" s="18" t="s">
        <v>48</v>
      </c>
    </row>
    <row r="49" spans="1:6" x14ac:dyDescent="0.25">
      <c r="A49" s="25"/>
      <c r="B49" s="25"/>
      <c r="C49" s="25"/>
      <c r="D49" s="3" t="s">
        <v>55</v>
      </c>
      <c r="E49" s="9" t="s">
        <v>66</v>
      </c>
      <c r="F49" s="33"/>
    </row>
    <row r="50" spans="1:6" x14ac:dyDescent="0.25">
      <c r="B50" s="25"/>
      <c r="C50" s="25"/>
      <c r="D50" s="3" t="s">
        <v>23</v>
      </c>
      <c r="E50" s="9" t="s">
        <v>25</v>
      </c>
      <c r="F50" s="34"/>
    </row>
    <row r="51" spans="1:6" s="25" customFormat="1" x14ac:dyDescent="0.25">
      <c r="A51"/>
      <c r="D51" s="3" t="s">
        <v>39</v>
      </c>
      <c r="E51" s="9" t="s">
        <v>41</v>
      </c>
      <c r="F51" s="34"/>
    </row>
    <row r="52" spans="1:6" s="25" customFormat="1" x14ac:dyDescent="0.25">
      <c r="A52"/>
      <c r="D52" s="3" t="s">
        <v>64</v>
      </c>
      <c r="E52" s="9">
        <v>5</v>
      </c>
      <c r="F52" s="34"/>
    </row>
    <row r="53" spans="1:6" s="25" customFormat="1" ht="15.75" thickBot="1" x14ac:dyDescent="0.3">
      <c r="A53"/>
      <c r="D53" s="4" t="s">
        <v>65</v>
      </c>
      <c r="E53" s="10" t="s">
        <v>26</v>
      </c>
      <c r="F53" s="35"/>
    </row>
    <row r="54" spans="1:6" s="25" customFormat="1" x14ac:dyDescent="0.25"/>
    <row r="55" spans="1:6" s="25" customFormat="1" ht="15.75" thickBot="1" x14ac:dyDescent="0.3"/>
    <row r="56" spans="1:6" s="25" customFormat="1" x14ac:dyDescent="0.25">
      <c r="D56" s="31" t="s">
        <v>5</v>
      </c>
      <c r="E56" s="32"/>
      <c r="F56" s="18" t="s">
        <v>48</v>
      </c>
    </row>
    <row r="57" spans="1:6" s="25" customFormat="1" x14ac:dyDescent="0.25">
      <c r="D57" s="3" t="s">
        <v>55</v>
      </c>
      <c r="E57" s="9" t="s">
        <v>67</v>
      </c>
      <c r="F57" s="33"/>
    </row>
    <row r="58" spans="1:6" x14ac:dyDescent="0.25">
      <c r="A58" s="25"/>
      <c r="B58" s="25"/>
      <c r="C58" s="25"/>
      <c r="D58" s="3" t="s">
        <v>23</v>
      </c>
      <c r="E58" s="9" t="s">
        <v>36</v>
      </c>
      <c r="F58" s="34"/>
    </row>
    <row r="59" spans="1:6" x14ac:dyDescent="0.25">
      <c r="A59" s="25"/>
      <c r="B59" s="25"/>
      <c r="C59" s="25"/>
      <c r="D59" s="3" t="s">
        <v>39</v>
      </c>
      <c r="E59" s="9" t="s">
        <v>41</v>
      </c>
      <c r="F59" s="34"/>
    </row>
    <row r="60" spans="1:6" x14ac:dyDescent="0.25">
      <c r="A60" s="25"/>
      <c r="B60" s="25"/>
      <c r="C60" s="25"/>
      <c r="D60" s="3" t="s">
        <v>64</v>
      </c>
      <c r="E60" s="9">
        <v>10</v>
      </c>
      <c r="F60" s="34"/>
    </row>
    <row r="61" spans="1:6" ht="15.75" thickBot="1" x14ac:dyDescent="0.3">
      <c r="A61" s="25"/>
      <c r="B61" s="25"/>
      <c r="C61" s="25"/>
      <c r="D61" s="4" t="s">
        <v>65</v>
      </c>
      <c r="E61" s="10" t="s">
        <v>26</v>
      </c>
      <c r="F61" s="35"/>
    </row>
    <row r="62" spans="1:6" s="25" customFormat="1" x14ac:dyDescent="0.25"/>
    <row r="63" spans="1:6" s="25" customFormat="1" x14ac:dyDescent="0.25"/>
    <row r="64" spans="1:6" s="25" customFormat="1" x14ac:dyDescent="0.25"/>
    <row r="65" s="25" customFormat="1" x14ac:dyDescent="0.25"/>
    <row r="66" s="25" customFormat="1" x14ac:dyDescent="0.25"/>
    <row r="67" s="25" customFormat="1" x14ac:dyDescent="0.25"/>
    <row r="68" s="25" customFormat="1" x14ac:dyDescent="0.25"/>
    <row r="69" s="25" customFormat="1" x14ac:dyDescent="0.25"/>
    <row r="70" s="25" customFormat="1" x14ac:dyDescent="0.25"/>
    <row r="71" s="25" customFormat="1" x14ac:dyDescent="0.25"/>
    <row r="72" s="25" customFormat="1" x14ac:dyDescent="0.25"/>
    <row r="73" s="25" customFormat="1" x14ac:dyDescent="0.25"/>
    <row r="74" s="25" customFormat="1" x14ac:dyDescent="0.25"/>
    <row r="75" s="25" customFormat="1" x14ac:dyDescent="0.25"/>
    <row r="76" s="25" customFormat="1" x14ac:dyDescent="0.25"/>
    <row r="77" s="25" customFormat="1" x14ac:dyDescent="0.25"/>
    <row r="78" s="25" customFormat="1" x14ac:dyDescent="0.25"/>
    <row r="79" s="25" customFormat="1" x14ac:dyDescent="0.25"/>
    <row r="80" s="25" customFormat="1" x14ac:dyDescent="0.25"/>
    <row r="81" s="25" customFormat="1" x14ac:dyDescent="0.25"/>
    <row r="82" s="25" customFormat="1" x14ac:dyDescent="0.25"/>
    <row r="83" s="25" customFormat="1" x14ac:dyDescent="0.25"/>
    <row r="84" s="25" customFormat="1" x14ac:dyDescent="0.25"/>
    <row r="85" s="25" customFormat="1" x14ac:dyDescent="0.25"/>
    <row r="86" s="25" customFormat="1" x14ac:dyDescent="0.25"/>
    <row r="87" s="25" customFormat="1" x14ac:dyDescent="0.25"/>
    <row r="88" s="25" customFormat="1" x14ac:dyDescent="0.25"/>
    <row r="89" s="25" customFormat="1" x14ac:dyDescent="0.25"/>
    <row r="90" s="25" customFormat="1" x14ac:dyDescent="0.25"/>
    <row r="91" s="25" customFormat="1" x14ac:dyDescent="0.25"/>
    <row r="92" s="25" customFormat="1" x14ac:dyDescent="0.25"/>
    <row r="93" s="25" customFormat="1" x14ac:dyDescent="0.25"/>
    <row r="94" s="25" customFormat="1" x14ac:dyDescent="0.25"/>
    <row r="95" s="25" customFormat="1" x14ac:dyDescent="0.25"/>
    <row r="96" s="25" customFormat="1" x14ac:dyDescent="0.25"/>
    <row r="97" spans="2:4" s="25" customFormat="1" x14ac:dyDescent="0.25"/>
    <row r="98" spans="2:4" s="25" customFormat="1" x14ac:dyDescent="0.25"/>
    <row r="99" spans="2:4" s="25" customFormat="1" x14ac:dyDescent="0.25"/>
    <row r="100" spans="2:4" s="25" customFormat="1" x14ac:dyDescent="0.25"/>
    <row r="101" spans="2:4" s="25" customFormat="1" x14ac:dyDescent="0.25"/>
    <row r="102" spans="2:4" s="25" customFormat="1" x14ac:dyDescent="0.25"/>
    <row r="103" spans="2:4" s="25" customFormat="1" x14ac:dyDescent="0.25"/>
    <row r="104" spans="2:4" s="25" customFormat="1" x14ac:dyDescent="0.25"/>
    <row r="105" spans="2:4" s="25" customFormat="1" x14ac:dyDescent="0.25"/>
    <row r="106" spans="2:4" s="25" customFormat="1" x14ac:dyDescent="0.25"/>
    <row r="107" spans="2:4" s="25" customFormat="1" x14ac:dyDescent="0.25"/>
    <row r="108" spans="2:4" s="25" customFormat="1" x14ac:dyDescent="0.25">
      <c r="D108"/>
    </row>
    <row r="109" spans="2:4" s="25" customFormat="1" x14ac:dyDescent="0.25">
      <c r="D109"/>
    </row>
    <row r="110" spans="2:4" s="25" customFormat="1" x14ac:dyDescent="0.25">
      <c r="D110"/>
    </row>
    <row r="111" spans="2:4" s="25" customFormat="1" x14ac:dyDescent="0.25">
      <c r="B111"/>
      <c r="C111"/>
      <c r="D111"/>
    </row>
    <row r="112" spans="2:4" s="25" customFormat="1" x14ac:dyDescent="0.25">
      <c r="B112"/>
      <c r="C112"/>
      <c r="D112"/>
    </row>
    <row r="113" spans="1:5" s="25" customFormat="1" x14ac:dyDescent="0.25">
      <c r="B113"/>
      <c r="C113"/>
      <c r="D113"/>
    </row>
    <row r="114" spans="1:5" s="25" customFormat="1" x14ac:dyDescent="0.25">
      <c r="B114"/>
      <c r="C114"/>
      <c r="D114"/>
    </row>
    <row r="115" spans="1:5" s="25" customFormat="1" x14ac:dyDescent="0.25">
      <c r="B115"/>
      <c r="C115"/>
      <c r="D115"/>
    </row>
    <row r="116" spans="1:5" s="25" customFormat="1" x14ac:dyDescent="0.25">
      <c r="B116"/>
      <c r="C116"/>
      <c r="D116"/>
    </row>
    <row r="117" spans="1:5" s="25" customFormat="1" x14ac:dyDescent="0.25">
      <c r="B117"/>
      <c r="C117"/>
      <c r="D117"/>
    </row>
    <row r="118" spans="1:5" s="25" customFormat="1" x14ac:dyDescent="0.25">
      <c r="B118"/>
      <c r="C118"/>
      <c r="D118"/>
    </row>
    <row r="119" spans="1:5" s="25" customFormat="1" x14ac:dyDescent="0.25">
      <c r="B119"/>
      <c r="C119"/>
      <c r="D119"/>
    </row>
    <row r="120" spans="1:5" s="25" customFormat="1" x14ac:dyDescent="0.25">
      <c r="B120"/>
      <c r="C120"/>
      <c r="D120"/>
    </row>
    <row r="121" spans="1:5" s="25" customFormat="1" x14ac:dyDescent="0.25">
      <c r="B121"/>
      <c r="C121"/>
      <c r="D121"/>
    </row>
    <row r="122" spans="1:5" s="25" customFormat="1" x14ac:dyDescent="0.25">
      <c r="B122"/>
      <c r="C122"/>
      <c r="D122"/>
    </row>
    <row r="123" spans="1:5" s="25" customFormat="1" x14ac:dyDescent="0.25">
      <c r="B123"/>
      <c r="C123"/>
      <c r="D123"/>
    </row>
    <row r="124" spans="1:5" s="25" customFormat="1" x14ac:dyDescent="0.25">
      <c r="B124"/>
      <c r="C124"/>
      <c r="D124"/>
    </row>
    <row r="125" spans="1:5" s="25" customFormat="1" x14ac:dyDescent="0.25">
      <c r="B125"/>
      <c r="C125"/>
      <c r="D125"/>
      <c r="E125"/>
    </row>
    <row r="126" spans="1:5" s="25" customFormat="1" x14ac:dyDescent="0.25">
      <c r="B126"/>
      <c r="C126"/>
      <c r="D126"/>
      <c r="E126"/>
    </row>
    <row r="127" spans="1:5" s="25" customFormat="1" x14ac:dyDescent="0.25">
      <c r="B127"/>
      <c r="C127"/>
      <c r="D127"/>
      <c r="E127"/>
    </row>
    <row r="128" spans="1:5" s="25" customFormat="1" x14ac:dyDescent="0.25">
      <c r="A128"/>
      <c r="B128"/>
      <c r="C128"/>
      <c r="D128"/>
      <c r="E128"/>
    </row>
    <row r="129" spans="1:5" s="25" customFormat="1" x14ac:dyDescent="0.25">
      <c r="A129"/>
      <c r="B129"/>
      <c r="C129"/>
      <c r="D129"/>
      <c r="E129"/>
    </row>
    <row r="130" spans="1:5" s="25" customFormat="1" x14ac:dyDescent="0.25">
      <c r="A130"/>
      <c r="B130"/>
      <c r="C130"/>
      <c r="D130"/>
      <c r="E130"/>
    </row>
    <row r="131" spans="1:5" s="25" customFormat="1" x14ac:dyDescent="0.25">
      <c r="A131"/>
      <c r="B131"/>
      <c r="C131"/>
      <c r="D131"/>
      <c r="E131"/>
    </row>
    <row r="132" spans="1:5" s="25" customFormat="1" x14ac:dyDescent="0.25">
      <c r="A132"/>
      <c r="B132"/>
      <c r="C132"/>
      <c r="D132"/>
      <c r="E132"/>
    </row>
    <row r="133" spans="1:5" s="25" customFormat="1" x14ac:dyDescent="0.25">
      <c r="A133"/>
      <c r="B133"/>
      <c r="C133"/>
      <c r="D133"/>
      <c r="E133"/>
    </row>
    <row r="134" spans="1:5" s="25" customFormat="1" x14ac:dyDescent="0.25">
      <c r="A134"/>
      <c r="B134"/>
      <c r="C134"/>
      <c r="D134"/>
      <c r="E134"/>
    </row>
    <row r="135" spans="1:5" s="25" customFormat="1" x14ac:dyDescent="0.25">
      <c r="A135"/>
      <c r="B135"/>
      <c r="C135"/>
      <c r="D135"/>
      <c r="E135"/>
    </row>
  </sheetData>
  <mergeCells count="19">
    <mergeCell ref="D56:E56"/>
    <mergeCell ref="F57:F61"/>
    <mergeCell ref="F13:F18"/>
    <mergeCell ref="D12:E12"/>
    <mergeCell ref="D48:E48"/>
    <mergeCell ref="F49:F53"/>
    <mergeCell ref="D42:E42"/>
    <mergeCell ref="F43:F45"/>
    <mergeCell ref="D20:E20"/>
    <mergeCell ref="F21:F25"/>
    <mergeCell ref="D27:E27"/>
    <mergeCell ref="F28:F32"/>
    <mergeCell ref="D8:E8"/>
    <mergeCell ref="F9:F10"/>
    <mergeCell ref="D2:E2"/>
    <mergeCell ref="F3:F4"/>
    <mergeCell ref="D6:E6"/>
    <mergeCell ref="D35:E35"/>
    <mergeCell ref="F36:F4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5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9.42578125" bestFit="1" customWidth="1"/>
    <col min="4" max="4" width="21.42578125" bestFit="1" customWidth="1"/>
    <col min="5" max="5" width="17.85546875" customWidth="1"/>
  </cols>
  <sheetData>
    <row r="1" spans="1:5" x14ac:dyDescent="0.25">
      <c r="A1" t="s">
        <v>71</v>
      </c>
      <c r="B1" t="s">
        <v>72</v>
      </c>
      <c r="C1" t="s">
        <v>58</v>
      </c>
      <c r="D1" t="s">
        <v>169</v>
      </c>
      <c r="E1" t="s">
        <v>168</v>
      </c>
    </row>
    <row r="2" spans="1:5" x14ac:dyDescent="0.25">
      <c r="A2">
        <f t="shared" ref="A2:A5" si="0">ROW(A1)</f>
        <v>1</v>
      </c>
      <c r="B2" t="s">
        <v>170</v>
      </c>
      <c r="C2">
        <v>10</v>
      </c>
      <c r="D2" t="s">
        <v>26</v>
      </c>
      <c r="E2">
        <f>IF(D2="Yes",10,0)</f>
        <v>10</v>
      </c>
    </row>
    <row r="3" spans="1:5" x14ac:dyDescent="0.25">
      <c r="A3">
        <f t="shared" si="0"/>
        <v>2</v>
      </c>
      <c r="B3" t="s">
        <v>171</v>
      </c>
      <c r="C3">
        <v>15</v>
      </c>
      <c r="D3" t="s">
        <v>28</v>
      </c>
      <c r="E3" s="25">
        <f t="shared" ref="E3" si="1">IF(D3="Yes",10,0)</f>
        <v>0</v>
      </c>
    </row>
    <row r="4" spans="1:5" s="25" customFormat="1" x14ac:dyDescent="0.25"/>
    <row r="5" spans="1:5" s="25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2E0E-E321-4915-91C6-DED82BFF918D}">
  <dimension ref="B3:F292"/>
  <sheetViews>
    <sheetView tabSelected="1" workbookViewId="0"/>
  </sheetViews>
  <sheetFormatPr defaultRowHeight="15" x14ac:dyDescent="0.25"/>
  <sheetData>
    <row r="3" spans="2:5" x14ac:dyDescent="0.25">
      <c r="D3" t="s">
        <v>73</v>
      </c>
      <c r="E3" t="s">
        <v>74</v>
      </c>
    </row>
    <row r="4" spans="2:5" x14ac:dyDescent="0.25">
      <c r="D4" t="s">
        <v>75</v>
      </c>
      <c r="E4" t="s">
        <v>76</v>
      </c>
    </row>
    <row r="5" spans="2:5" x14ac:dyDescent="0.25">
      <c r="D5" t="s">
        <v>77</v>
      </c>
      <c r="E5" t="s">
        <v>54</v>
      </c>
    </row>
    <row r="6" spans="2:5" x14ac:dyDescent="0.25">
      <c r="D6" t="s">
        <v>78</v>
      </c>
      <c r="E6">
        <v>37</v>
      </c>
    </row>
    <row r="7" spans="2:5" x14ac:dyDescent="0.25">
      <c r="D7" t="s">
        <v>79</v>
      </c>
      <c r="E7">
        <v>0</v>
      </c>
    </row>
    <row r="12" spans="2:5" x14ac:dyDescent="0.25">
      <c r="B12" t="s">
        <v>80</v>
      </c>
    </row>
    <row r="13" spans="2:5" x14ac:dyDescent="0.25">
      <c r="B13" t="s">
        <v>81</v>
      </c>
    </row>
    <row r="14" spans="2:5" x14ac:dyDescent="0.25">
      <c r="B14" t="s">
        <v>82</v>
      </c>
    </row>
    <row r="15" spans="2:5" x14ac:dyDescent="0.25">
      <c r="B15" t="s">
        <v>83</v>
      </c>
    </row>
    <row r="17" spans="2:3" x14ac:dyDescent="0.25">
      <c r="C17" t="s">
        <v>84</v>
      </c>
    </row>
    <row r="22" spans="2:3" x14ac:dyDescent="0.25">
      <c r="B22" t="s">
        <v>85</v>
      </c>
    </row>
    <row r="23" spans="2:3" x14ac:dyDescent="0.25">
      <c r="B23" t="s">
        <v>86</v>
      </c>
    </row>
    <row r="24" spans="2:3" x14ac:dyDescent="0.25">
      <c r="B24" t="s">
        <v>87</v>
      </c>
    </row>
    <row r="25" spans="2:3" x14ac:dyDescent="0.25">
      <c r="B25" t="s">
        <v>88</v>
      </c>
    </row>
    <row r="26" spans="2:3" x14ac:dyDescent="0.25">
      <c r="B26" t="s">
        <v>89</v>
      </c>
    </row>
    <row r="27" spans="2:3" x14ac:dyDescent="0.25">
      <c r="B27" t="s">
        <v>90</v>
      </c>
    </row>
    <row r="28" spans="2:3" x14ac:dyDescent="0.25">
      <c r="B28" t="s">
        <v>91</v>
      </c>
    </row>
    <row r="29" spans="2:3" x14ac:dyDescent="0.25">
      <c r="B29" t="s">
        <v>92</v>
      </c>
    </row>
    <row r="31" spans="2:3" x14ac:dyDescent="0.25">
      <c r="C31" t="s">
        <v>84</v>
      </c>
    </row>
    <row r="33" spans="4:6" x14ac:dyDescent="0.25">
      <c r="D33" t="s">
        <v>73</v>
      </c>
      <c r="E33" t="s">
        <v>93</v>
      </c>
    </row>
    <row r="34" spans="4:6" x14ac:dyDescent="0.25">
      <c r="D34" t="s">
        <v>75</v>
      </c>
      <c r="E34" t="s">
        <v>94</v>
      </c>
    </row>
    <row r="35" spans="4:6" x14ac:dyDescent="0.25">
      <c r="D35" t="s">
        <v>95</v>
      </c>
      <c r="E35">
        <v>79.445396000000002</v>
      </c>
      <c r="F35">
        <v>81.296930666666597</v>
      </c>
    </row>
    <row r="36" spans="4:6" x14ac:dyDescent="0.25">
      <c r="D36" t="s">
        <v>96</v>
      </c>
      <c r="E36" t="s">
        <v>97</v>
      </c>
      <c r="F36" t="s">
        <v>98</v>
      </c>
    </row>
    <row r="37" spans="4:6" x14ac:dyDescent="0.25">
      <c r="D37" t="s">
        <v>99</v>
      </c>
    </row>
    <row r="39" spans="4:6" x14ac:dyDescent="0.25">
      <c r="D39" t="s">
        <v>73</v>
      </c>
      <c r="E39" t="s">
        <v>93</v>
      </c>
    </row>
    <row r="40" spans="4:6" x14ac:dyDescent="0.25">
      <c r="D40" t="s">
        <v>75</v>
      </c>
      <c r="E40" t="s">
        <v>100</v>
      </c>
    </row>
    <row r="41" spans="4:6" x14ac:dyDescent="0.25">
      <c r="D41" t="s">
        <v>95</v>
      </c>
      <c r="E41">
        <v>79.445396000000002</v>
      </c>
      <c r="F41">
        <v>81.296930666666597</v>
      </c>
    </row>
    <row r="42" spans="4:6" x14ac:dyDescent="0.25">
      <c r="D42" t="s">
        <v>101</v>
      </c>
    </row>
    <row r="44" spans="4:6" x14ac:dyDescent="0.25">
      <c r="D44" t="s">
        <v>73</v>
      </c>
      <c r="E44" t="s">
        <v>93</v>
      </c>
    </row>
    <row r="45" spans="4:6" x14ac:dyDescent="0.25">
      <c r="D45" t="s">
        <v>75</v>
      </c>
      <c r="E45" t="s">
        <v>94</v>
      </c>
    </row>
    <row r="46" spans="4:6" x14ac:dyDescent="0.25">
      <c r="D46" t="s">
        <v>95</v>
      </c>
      <c r="E46">
        <v>5.5546040000000003</v>
      </c>
      <c r="F46">
        <v>3.70306933333333</v>
      </c>
    </row>
    <row r="47" spans="4:6" x14ac:dyDescent="0.25">
      <c r="D47" t="s">
        <v>96</v>
      </c>
      <c r="E47" t="s">
        <v>97</v>
      </c>
      <c r="F47" t="s">
        <v>98</v>
      </c>
    </row>
    <row r="48" spans="4:6" x14ac:dyDescent="0.25">
      <c r="D48" t="s">
        <v>112</v>
      </c>
    </row>
    <row r="50" spans="4:6" x14ac:dyDescent="0.25">
      <c r="D50" t="s">
        <v>73</v>
      </c>
      <c r="E50" t="s">
        <v>93</v>
      </c>
    </row>
    <row r="51" spans="4:6" x14ac:dyDescent="0.25">
      <c r="D51" t="s">
        <v>75</v>
      </c>
      <c r="E51" t="s">
        <v>100</v>
      </c>
    </row>
    <row r="52" spans="4:6" x14ac:dyDescent="0.25">
      <c r="D52" t="s">
        <v>95</v>
      </c>
      <c r="E52">
        <v>5.5546040000000003</v>
      </c>
      <c r="F52">
        <v>3.70306933333333</v>
      </c>
    </row>
    <row r="53" spans="4:6" x14ac:dyDescent="0.25">
      <c r="D53" t="s">
        <v>113</v>
      </c>
    </row>
    <row r="55" spans="4:6" x14ac:dyDescent="0.25">
      <c r="D55" t="s">
        <v>73</v>
      </c>
      <c r="E55" t="s">
        <v>93</v>
      </c>
    </row>
    <row r="56" spans="4:6" x14ac:dyDescent="0.25">
      <c r="D56" t="s">
        <v>75</v>
      </c>
      <c r="E56" t="s">
        <v>102</v>
      </c>
    </row>
    <row r="57" spans="4:6" x14ac:dyDescent="0.25">
      <c r="D57" t="s">
        <v>103</v>
      </c>
      <c r="E57" t="s">
        <v>54</v>
      </c>
      <c r="F57" t="s">
        <v>54</v>
      </c>
    </row>
    <row r="58" spans="4:6" x14ac:dyDescent="0.25">
      <c r="D58" t="s">
        <v>104</v>
      </c>
      <c r="E58">
        <v>1</v>
      </c>
      <c r="F58">
        <v>2</v>
      </c>
    </row>
    <row r="59" spans="4:6" x14ac:dyDescent="0.25">
      <c r="D59" t="s">
        <v>105</v>
      </c>
      <c r="E59" t="s">
        <v>57</v>
      </c>
      <c r="F59" t="s">
        <v>57</v>
      </c>
    </row>
    <row r="60" spans="4:6" x14ac:dyDescent="0.25">
      <c r="D60" t="s">
        <v>106</v>
      </c>
      <c r="E60">
        <v>1</v>
      </c>
      <c r="F60">
        <v>2</v>
      </c>
    </row>
    <row r="61" spans="4:6" x14ac:dyDescent="0.25">
      <c r="D61" t="s">
        <v>95</v>
      </c>
      <c r="E61">
        <v>79.445396000000002</v>
      </c>
      <c r="F61">
        <v>81.296930666666597</v>
      </c>
    </row>
    <row r="62" spans="4:6" x14ac:dyDescent="0.25">
      <c r="D62" t="s">
        <v>107</v>
      </c>
      <c r="E62">
        <v>0</v>
      </c>
      <c r="F62">
        <v>0</v>
      </c>
    </row>
    <row r="63" spans="4:6" x14ac:dyDescent="0.25">
      <c r="D63" t="s">
        <v>108</v>
      </c>
      <c r="E63" t="s">
        <v>28</v>
      </c>
      <c r="F63" t="s">
        <v>28</v>
      </c>
    </row>
    <row r="64" spans="4:6" x14ac:dyDescent="0.25">
      <c r="D64" t="s">
        <v>109</v>
      </c>
      <c r="E64" t="s">
        <v>210</v>
      </c>
      <c r="F64" t="s">
        <v>210</v>
      </c>
    </row>
    <row r="65" spans="4:6" x14ac:dyDescent="0.25">
      <c r="D65" t="s">
        <v>110</v>
      </c>
      <c r="E65" t="s">
        <v>211</v>
      </c>
      <c r="F65" t="s">
        <v>211</v>
      </c>
    </row>
    <row r="66" spans="4:6" x14ac:dyDescent="0.25">
      <c r="D66" t="s">
        <v>172</v>
      </c>
      <c r="E66">
        <v>0</v>
      </c>
    </row>
    <row r="67" spans="4:6" x14ac:dyDescent="0.25">
      <c r="D67" t="s">
        <v>111</v>
      </c>
      <c r="E67" t="s">
        <v>161</v>
      </c>
    </row>
    <row r="68" spans="4:6" x14ac:dyDescent="0.25">
      <c r="D68" t="s">
        <v>114</v>
      </c>
    </row>
    <row r="70" spans="4:6" x14ac:dyDescent="0.25">
      <c r="D70" t="s">
        <v>73</v>
      </c>
      <c r="E70" t="s">
        <v>93</v>
      </c>
    </row>
    <row r="71" spans="4:6" x14ac:dyDescent="0.25">
      <c r="D71" t="s">
        <v>75</v>
      </c>
      <c r="E71" t="s">
        <v>102</v>
      </c>
    </row>
    <row r="72" spans="4:6" x14ac:dyDescent="0.25">
      <c r="D72" t="s">
        <v>103</v>
      </c>
      <c r="E72" t="s">
        <v>54</v>
      </c>
      <c r="F72" t="s">
        <v>54</v>
      </c>
    </row>
    <row r="73" spans="4:6" x14ac:dyDescent="0.25">
      <c r="D73" t="s">
        <v>104</v>
      </c>
      <c r="E73">
        <v>1</v>
      </c>
      <c r="F73">
        <v>2</v>
      </c>
    </row>
    <row r="74" spans="4:6" x14ac:dyDescent="0.25">
      <c r="D74" t="s">
        <v>105</v>
      </c>
      <c r="E74" t="s">
        <v>50</v>
      </c>
      <c r="F74" t="s">
        <v>50</v>
      </c>
    </row>
    <row r="75" spans="4:6" x14ac:dyDescent="0.25">
      <c r="D75" t="s">
        <v>106</v>
      </c>
      <c r="E75">
        <v>1</v>
      </c>
      <c r="F75">
        <v>2</v>
      </c>
    </row>
    <row r="76" spans="4:6" x14ac:dyDescent="0.25">
      <c r="D76" t="s">
        <v>95</v>
      </c>
      <c r="E76">
        <v>5.5546040000000003</v>
      </c>
      <c r="F76">
        <v>3.70306933333333</v>
      </c>
    </row>
    <row r="77" spans="4:6" x14ac:dyDescent="0.25">
      <c r="D77" t="s">
        <v>107</v>
      </c>
      <c r="E77">
        <v>79.445396000000002</v>
      </c>
      <c r="F77">
        <v>81.296930666666597</v>
      </c>
    </row>
    <row r="78" spans="4:6" x14ac:dyDescent="0.25">
      <c r="D78" t="s">
        <v>108</v>
      </c>
      <c r="E78" t="s">
        <v>26</v>
      </c>
      <c r="F78" t="s">
        <v>26</v>
      </c>
    </row>
    <row r="79" spans="4:6" x14ac:dyDescent="0.25">
      <c r="D79" t="s">
        <v>109</v>
      </c>
      <c r="E79" t="s">
        <v>212</v>
      </c>
      <c r="F79" t="s">
        <v>212</v>
      </c>
    </row>
    <row r="80" spans="4:6" x14ac:dyDescent="0.25">
      <c r="D80" t="s">
        <v>110</v>
      </c>
      <c r="E80" t="s">
        <v>213</v>
      </c>
      <c r="F80" t="s">
        <v>214</v>
      </c>
    </row>
    <row r="81" spans="2:5" x14ac:dyDescent="0.25">
      <c r="D81" t="s">
        <v>172</v>
      </c>
      <c r="E81">
        <v>0</v>
      </c>
    </row>
    <row r="82" spans="2:5" x14ac:dyDescent="0.25">
      <c r="D82" t="s">
        <v>111</v>
      </c>
      <c r="E82" t="s">
        <v>161</v>
      </c>
    </row>
    <row r="83" spans="2:5" x14ac:dyDescent="0.25">
      <c r="D83" t="s">
        <v>115</v>
      </c>
    </row>
    <row r="88" spans="2:5" x14ac:dyDescent="0.25">
      <c r="B88" t="s">
        <v>116</v>
      </c>
    </row>
    <row r="89" spans="2:5" x14ac:dyDescent="0.25">
      <c r="B89" t="s">
        <v>117</v>
      </c>
    </row>
    <row r="90" spans="2:5" x14ac:dyDescent="0.25">
      <c r="B90" t="s">
        <v>118</v>
      </c>
    </row>
    <row r="91" spans="2:5" x14ac:dyDescent="0.25">
      <c r="B91" t="s">
        <v>119</v>
      </c>
    </row>
    <row r="92" spans="2:5" x14ac:dyDescent="0.25">
      <c r="B92" t="s">
        <v>120</v>
      </c>
    </row>
    <row r="93" spans="2:5" x14ac:dyDescent="0.25">
      <c r="B93" t="s">
        <v>121</v>
      </c>
    </row>
    <row r="94" spans="2:5" x14ac:dyDescent="0.25">
      <c r="B94" t="s">
        <v>122</v>
      </c>
    </row>
    <row r="96" spans="2:5" x14ac:dyDescent="0.25">
      <c r="C96" t="s">
        <v>84</v>
      </c>
    </row>
    <row r="98" spans="4:6" x14ac:dyDescent="0.25">
      <c r="D98" t="s">
        <v>73</v>
      </c>
      <c r="E98" t="s">
        <v>93</v>
      </c>
    </row>
    <row r="99" spans="4:6" x14ac:dyDescent="0.25">
      <c r="D99" t="s">
        <v>75</v>
      </c>
      <c r="E99" t="s">
        <v>94</v>
      </c>
    </row>
    <row r="100" spans="4:6" x14ac:dyDescent="0.25">
      <c r="D100" t="s">
        <v>95</v>
      </c>
      <c r="E100">
        <v>10</v>
      </c>
      <c r="F100">
        <v>10</v>
      </c>
    </row>
    <row r="101" spans="4:6" x14ac:dyDescent="0.25">
      <c r="D101" t="s">
        <v>96</v>
      </c>
      <c r="E101" t="s">
        <v>97</v>
      </c>
      <c r="F101" t="s">
        <v>98</v>
      </c>
    </row>
    <row r="102" spans="4:6" x14ac:dyDescent="0.25">
      <c r="D102" t="s">
        <v>123</v>
      </c>
    </row>
    <row r="104" spans="4:6" x14ac:dyDescent="0.25">
      <c r="D104" t="s">
        <v>73</v>
      </c>
      <c r="E104" t="s">
        <v>93</v>
      </c>
    </row>
    <row r="105" spans="4:6" x14ac:dyDescent="0.25">
      <c r="D105" t="s">
        <v>75</v>
      </c>
      <c r="E105" t="s">
        <v>100</v>
      </c>
    </row>
    <row r="106" spans="4:6" x14ac:dyDescent="0.25">
      <c r="D106" t="s">
        <v>95</v>
      </c>
      <c r="E106">
        <v>10</v>
      </c>
      <c r="F106">
        <v>10</v>
      </c>
    </row>
    <row r="107" spans="4:6" x14ac:dyDescent="0.25">
      <c r="D107" t="s">
        <v>124</v>
      </c>
    </row>
    <row r="109" spans="4:6" x14ac:dyDescent="0.25">
      <c r="D109" t="s">
        <v>73</v>
      </c>
      <c r="E109" t="s">
        <v>93</v>
      </c>
    </row>
    <row r="110" spans="4:6" x14ac:dyDescent="0.25">
      <c r="D110" t="s">
        <v>75</v>
      </c>
      <c r="E110" t="s">
        <v>102</v>
      </c>
    </row>
    <row r="111" spans="4:6" x14ac:dyDescent="0.25">
      <c r="D111" t="s">
        <v>103</v>
      </c>
      <c r="E111" t="s">
        <v>54</v>
      </c>
      <c r="F111" t="s">
        <v>54</v>
      </c>
    </row>
    <row r="112" spans="4:6" x14ac:dyDescent="0.25">
      <c r="D112" t="s">
        <v>104</v>
      </c>
      <c r="E112">
        <v>1</v>
      </c>
      <c r="F112">
        <v>2</v>
      </c>
    </row>
    <row r="113" spans="2:6" x14ac:dyDescent="0.25">
      <c r="D113" t="s">
        <v>105</v>
      </c>
      <c r="E113" t="s">
        <v>63</v>
      </c>
      <c r="F113" t="s">
        <v>63</v>
      </c>
    </row>
    <row r="114" spans="2:6" x14ac:dyDescent="0.25">
      <c r="D114" t="s">
        <v>106</v>
      </c>
      <c r="E114">
        <v>1</v>
      </c>
      <c r="F114">
        <v>2</v>
      </c>
    </row>
    <row r="115" spans="2:6" x14ac:dyDescent="0.25">
      <c r="D115" t="s">
        <v>95</v>
      </c>
      <c r="E115">
        <v>10</v>
      </c>
      <c r="F115">
        <v>10</v>
      </c>
    </row>
    <row r="116" spans="2:6" x14ac:dyDescent="0.25">
      <c r="D116" t="s">
        <v>107</v>
      </c>
      <c r="E116">
        <v>85</v>
      </c>
      <c r="F116">
        <v>85</v>
      </c>
    </row>
    <row r="117" spans="2:6" x14ac:dyDescent="0.25">
      <c r="D117" t="s">
        <v>108</v>
      </c>
      <c r="E117" t="s">
        <v>26</v>
      </c>
      <c r="F117" t="s">
        <v>26</v>
      </c>
    </row>
    <row r="118" spans="2:6" x14ac:dyDescent="0.25">
      <c r="D118" t="s">
        <v>109</v>
      </c>
      <c r="E118" t="s">
        <v>212</v>
      </c>
      <c r="F118" t="s">
        <v>212</v>
      </c>
    </row>
    <row r="119" spans="2:6" x14ac:dyDescent="0.25">
      <c r="D119" t="s">
        <v>110</v>
      </c>
      <c r="E119" t="s">
        <v>213</v>
      </c>
      <c r="F119" t="s">
        <v>213</v>
      </c>
    </row>
    <row r="120" spans="2:6" x14ac:dyDescent="0.25">
      <c r="D120" t="s">
        <v>172</v>
      </c>
      <c r="E120">
        <v>0</v>
      </c>
    </row>
    <row r="121" spans="2:6" x14ac:dyDescent="0.25">
      <c r="D121" t="s">
        <v>111</v>
      </c>
      <c r="E121" t="s">
        <v>161</v>
      </c>
    </row>
    <row r="122" spans="2:6" x14ac:dyDescent="0.25">
      <c r="D122" t="s">
        <v>125</v>
      </c>
    </row>
    <row r="127" spans="2:6" x14ac:dyDescent="0.25">
      <c r="B127" t="s">
        <v>116</v>
      </c>
    </row>
    <row r="128" spans="2:6" x14ac:dyDescent="0.25">
      <c r="B128" t="s">
        <v>126</v>
      </c>
    </row>
    <row r="129" spans="2:6" x14ac:dyDescent="0.25">
      <c r="B129" t="s">
        <v>127</v>
      </c>
    </row>
    <row r="130" spans="2:6" x14ac:dyDescent="0.25">
      <c r="B130" t="s">
        <v>128</v>
      </c>
    </row>
    <row r="131" spans="2:6" x14ac:dyDescent="0.25">
      <c r="B131" t="s">
        <v>120</v>
      </c>
    </row>
    <row r="132" spans="2:6" x14ac:dyDescent="0.25">
      <c r="B132" t="s">
        <v>129</v>
      </c>
    </row>
    <row r="133" spans="2:6" x14ac:dyDescent="0.25">
      <c r="B133" t="s">
        <v>122</v>
      </c>
    </row>
    <row r="135" spans="2:6" x14ac:dyDescent="0.25">
      <c r="C135" t="s">
        <v>84</v>
      </c>
    </row>
    <row r="137" spans="2:6" x14ac:dyDescent="0.25">
      <c r="D137" t="s">
        <v>73</v>
      </c>
      <c r="E137" t="s">
        <v>93</v>
      </c>
    </row>
    <row r="138" spans="2:6" x14ac:dyDescent="0.25">
      <c r="D138" t="s">
        <v>75</v>
      </c>
      <c r="E138" t="s">
        <v>94</v>
      </c>
    </row>
    <row r="139" spans="2:6" x14ac:dyDescent="0.25">
      <c r="D139" t="s">
        <v>95</v>
      </c>
      <c r="E139">
        <v>5</v>
      </c>
      <c r="F139">
        <v>5</v>
      </c>
    </row>
    <row r="140" spans="2:6" x14ac:dyDescent="0.25">
      <c r="D140" t="s">
        <v>96</v>
      </c>
      <c r="E140" t="s">
        <v>97</v>
      </c>
      <c r="F140" t="s">
        <v>98</v>
      </c>
    </row>
    <row r="141" spans="2:6" x14ac:dyDescent="0.25">
      <c r="D141" t="s">
        <v>130</v>
      </c>
    </row>
    <row r="143" spans="2:6" x14ac:dyDescent="0.25">
      <c r="D143" t="s">
        <v>73</v>
      </c>
      <c r="E143" t="s">
        <v>93</v>
      </c>
    </row>
    <row r="144" spans="2:6" x14ac:dyDescent="0.25">
      <c r="D144" t="s">
        <v>75</v>
      </c>
      <c r="E144" t="s">
        <v>100</v>
      </c>
    </row>
    <row r="145" spans="4:6" x14ac:dyDescent="0.25">
      <c r="D145" t="s">
        <v>95</v>
      </c>
      <c r="E145">
        <v>5</v>
      </c>
      <c r="F145">
        <v>5</v>
      </c>
    </row>
    <row r="146" spans="4:6" x14ac:dyDescent="0.25">
      <c r="D146" t="s">
        <v>131</v>
      </c>
    </row>
    <row r="148" spans="4:6" x14ac:dyDescent="0.25">
      <c r="D148" t="s">
        <v>73</v>
      </c>
      <c r="E148" t="s">
        <v>93</v>
      </c>
    </row>
    <row r="149" spans="4:6" x14ac:dyDescent="0.25">
      <c r="D149" t="s">
        <v>75</v>
      </c>
      <c r="E149" t="s">
        <v>102</v>
      </c>
    </row>
    <row r="150" spans="4:6" x14ac:dyDescent="0.25">
      <c r="D150" t="s">
        <v>103</v>
      </c>
      <c r="E150" t="s">
        <v>54</v>
      </c>
      <c r="F150" t="s">
        <v>54</v>
      </c>
    </row>
    <row r="151" spans="4:6" x14ac:dyDescent="0.25">
      <c r="D151" t="s">
        <v>104</v>
      </c>
      <c r="E151">
        <v>1</v>
      </c>
      <c r="F151">
        <v>2</v>
      </c>
    </row>
    <row r="152" spans="4:6" x14ac:dyDescent="0.25">
      <c r="D152" t="s">
        <v>105</v>
      </c>
      <c r="E152" t="s">
        <v>66</v>
      </c>
      <c r="F152" t="s">
        <v>66</v>
      </c>
    </row>
    <row r="153" spans="4:6" x14ac:dyDescent="0.25">
      <c r="D153" t="s">
        <v>106</v>
      </c>
      <c r="E153">
        <v>1</v>
      </c>
      <c r="F153">
        <v>2</v>
      </c>
    </row>
    <row r="154" spans="4:6" x14ac:dyDescent="0.25">
      <c r="D154" t="s">
        <v>95</v>
      </c>
      <c r="E154">
        <v>5</v>
      </c>
      <c r="F154">
        <v>5</v>
      </c>
    </row>
    <row r="155" spans="4:6" x14ac:dyDescent="0.25">
      <c r="D155" t="s">
        <v>107</v>
      </c>
      <c r="E155">
        <v>95</v>
      </c>
      <c r="F155">
        <v>95</v>
      </c>
    </row>
    <row r="156" spans="4:6" x14ac:dyDescent="0.25">
      <c r="D156" t="s">
        <v>108</v>
      </c>
      <c r="E156" t="s">
        <v>26</v>
      </c>
      <c r="F156" t="s">
        <v>26</v>
      </c>
    </row>
    <row r="157" spans="4:6" x14ac:dyDescent="0.25">
      <c r="D157" t="s">
        <v>109</v>
      </c>
      <c r="E157" t="s">
        <v>212</v>
      </c>
      <c r="F157" t="s">
        <v>212</v>
      </c>
    </row>
    <row r="158" spans="4:6" x14ac:dyDescent="0.25">
      <c r="D158" t="s">
        <v>110</v>
      </c>
      <c r="E158" t="s">
        <v>214</v>
      </c>
      <c r="F158" t="s">
        <v>214</v>
      </c>
    </row>
    <row r="159" spans="4:6" x14ac:dyDescent="0.25">
      <c r="D159" t="s">
        <v>172</v>
      </c>
      <c r="E159">
        <v>0</v>
      </c>
    </row>
    <row r="160" spans="4:6" x14ac:dyDescent="0.25">
      <c r="D160" t="s">
        <v>111</v>
      </c>
      <c r="E160" t="s">
        <v>161</v>
      </c>
    </row>
    <row r="161" spans="2:5" x14ac:dyDescent="0.25">
      <c r="D161" t="s">
        <v>132</v>
      </c>
    </row>
    <row r="166" spans="2:5" x14ac:dyDescent="0.25">
      <c r="B166" t="s">
        <v>116</v>
      </c>
    </row>
    <row r="167" spans="2:5" x14ac:dyDescent="0.25">
      <c r="B167" t="s">
        <v>221</v>
      </c>
    </row>
    <row r="168" spans="2:5" x14ac:dyDescent="0.25">
      <c r="B168" t="s">
        <v>133</v>
      </c>
    </row>
    <row r="169" spans="2:5" x14ac:dyDescent="0.25">
      <c r="B169" t="s">
        <v>134</v>
      </c>
    </row>
    <row r="170" spans="2:5" x14ac:dyDescent="0.25">
      <c r="B170" t="s">
        <v>120</v>
      </c>
    </row>
    <row r="171" spans="2:5" x14ac:dyDescent="0.25">
      <c r="B171" t="s">
        <v>121</v>
      </c>
    </row>
    <row r="172" spans="2:5" x14ac:dyDescent="0.25">
      <c r="B172" t="s">
        <v>122</v>
      </c>
    </row>
    <row r="174" spans="2:5" x14ac:dyDescent="0.25">
      <c r="C174" t="s">
        <v>84</v>
      </c>
    </row>
    <row r="176" spans="2:5" x14ac:dyDescent="0.25">
      <c r="D176" t="s">
        <v>73</v>
      </c>
      <c r="E176" t="s">
        <v>93</v>
      </c>
    </row>
    <row r="177" spans="4:6" x14ac:dyDescent="0.25">
      <c r="D177" t="s">
        <v>75</v>
      </c>
      <c r="E177" t="s">
        <v>94</v>
      </c>
    </row>
    <row r="178" spans="4:6" x14ac:dyDescent="0.25">
      <c r="D178" t="s">
        <v>95</v>
      </c>
      <c r="E178">
        <v>10</v>
      </c>
      <c r="F178">
        <v>10</v>
      </c>
    </row>
    <row r="179" spans="4:6" x14ac:dyDescent="0.25">
      <c r="D179" t="s">
        <v>96</v>
      </c>
      <c r="E179" t="s">
        <v>97</v>
      </c>
      <c r="F179" t="s">
        <v>98</v>
      </c>
    </row>
    <row r="180" spans="4:6" x14ac:dyDescent="0.25">
      <c r="D180" t="s">
        <v>222</v>
      </c>
    </row>
    <row r="182" spans="4:6" x14ac:dyDescent="0.25">
      <c r="D182" t="s">
        <v>73</v>
      </c>
      <c r="E182" t="s">
        <v>93</v>
      </c>
    </row>
    <row r="183" spans="4:6" x14ac:dyDescent="0.25">
      <c r="D183" t="s">
        <v>75</v>
      </c>
      <c r="E183" t="s">
        <v>100</v>
      </c>
    </row>
    <row r="184" spans="4:6" x14ac:dyDescent="0.25">
      <c r="D184" t="s">
        <v>95</v>
      </c>
      <c r="E184">
        <v>10</v>
      </c>
      <c r="F184">
        <v>10</v>
      </c>
    </row>
    <row r="185" spans="4:6" x14ac:dyDescent="0.25">
      <c r="D185" t="s">
        <v>223</v>
      </c>
    </row>
    <row r="187" spans="4:6" x14ac:dyDescent="0.25">
      <c r="D187" t="s">
        <v>73</v>
      </c>
      <c r="E187" t="s">
        <v>93</v>
      </c>
    </row>
    <row r="188" spans="4:6" x14ac:dyDescent="0.25">
      <c r="D188" t="s">
        <v>75</v>
      </c>
      <c r="E188" t="s">
        <v>102</v>
      </c>
    </row>
    <row r="189" spans="4:6" x14ac:dyDescent="0.25">
      <c r="D189" t="s">
        <v>103</v>
      </c>
      <c r="E189" t="s">
        <v>54</v>
      </c>
      <c r="F189" t="s">
        <v>54</v>
      </c>
    </row>
    <row r="190" spans="4:6" x14ac:dyDescent="0.25">
      <c r="D190" t="s">
        <v>104</v>
      </c>
      <c r="E190">
        <v>1</v>
      </c>
      <c r="F190">
        <v>2</v>
      </c>
    </row>
    <row r="191" spans="4:6" x14ac:dyDescent="0.25">
      <c r="D191" t="s">
        <v>105</v>
      </c>
      <c r="E191" t="s">
        <v>67</v>
      </c>
      <c r="F191" t="s">
        <v>67</v>
      </c>
    </row>
    <row r="192" spans="4:6" x14ac:dyDescent="0.25">
      <c r="D192" t="s">
        <v>106</v>
      </c>
      <c r="E192">
        <v>1</v>
      </c>
      <c r="F192">
        <v>2</v>
      </c>
    </row>
    <row r="193" spans="2:6" x14ac:dyDescent="0.25">
      <c r="D193" t="s">
        <v>95</v>
      </c>
      <c r="E193">
        <v>10</v>
      </c>
      <c r="F193">
        <v>10</v>
      </c>
    </row>
    <row r="194" spans="2:6" x14ac:dyDescent="0.25">
      <c r="D194" t="s">
        <v>107</v>
      </c>
      <c r="E194">
        <v>100</v>
      </c>
      <c r="F194">
        <v>100</v>
      </c>
    </row>
    <row r="195" spans="2:6" x14ac:dyDescent="0.25">
      <c r="D195" t="s">
        <v>108</v>
      </c>
      <c r="E195" t="s">
        <v>26</v>
      </c>
      <c r="F195" t="s">
        <v>26</v>
      </c>
    </row>
    <row r="196" spans="2:6" x14ac:dyDescent="0.25">
      <c r="D196" t="s">
        <v>109</v>
      </c>
      <c r="E196" t="s">
        <v>212</v>
      </c>
      <c r="F196" t="s">
        <v>212</v>
      </c>
    </row>
    <row r="197" spans="2:6" x14ac:dyDescent="0.25">
      <c r="D197" t="s">
        <v>110</v>
      </c>
      <c r="E197" t="s">
        <v>213</v>
      </c>
      <c r="F197" t="s">
        <v>213</v>
      </c>
    </row>
    <row r="198" spans="2:6" x14ac:dyDescent="0.25">
      <c r="D198" t="s">
        <v>172</v>
      </c>
      <c r="E198">
        <v>0</v>
      </c>
    </row>
    <row r="199" spans="2:6" x14ac:dyDescent="0.25">
      <c r="D199" t="s">
        <v>111</v>
      </c>
      <c r="E199" t="s">
        <v>161</v>
      </c>
    </row>
    <row r="200" spans="2:6" x14ac:dyDescent="0.25">
      <c r="D200" t="s">
        <v>224</v>
      </c>
    </row>
    <row r="205" spans="2:6" x14ac:dyDescent="0.25">
      <c r="B205" t="s">
        <v>138</v>
      </c>
    </row>
    <row r="206" spans="2:6" x14ac:dyDescent="0.25">
      <c r="B206" t="s">
        <v>251</v>
      </c>
    </row>
    <row r="207" spans="2:6" x14ac:dyDescent="0.25">
      <c r="B207" t="s">
        <v>139</v>
      </c>
    </row>
    <row r="208" spans="2:6" x14ac:dyDescent="0.25">
      <c r="B208" t="s">
        <v>140</v>
      </c>
    </row>
    <row r="209" spans="2:5" x14ac:dyDescent="0.25">
      <c r="B209" t="s">
        <v>141</v>
      </c>
    </row>
    <row r="211" spans="2:5" x14ac:dyDescent="0.25">
      <c r="C211" t="s">
        <v>84</v>
      </c>
    </row>
    <row r="213" spans="2:5" x14ac:dyDescent="0.25">
      <c r="D213" t="s">
        <v>73</v>
      </c>
      <c r="E213" t="s">
        <v>142</v>
      </c>
    </row>
    <row r="214" spans="2:5" x14ac:dyDescent="0.25">
      <c r="D214" t="s">
        <v>75</v>
      </c>
      <c r="E214" t="s">
        <v>143</v>
      </c>
    </row>
    <row r="215" spans="2:5" x14ac:dyDescent="0.25">
      <c r="D215" t="s">
        <v>144</v>
      </c>
      <c r="E215" t="s">
        <v>145</v>
      </c>
    </row>
    <row r="216" spans="2:5" x14ac:dyDescent="0.25">
      <c r="D216" t="s">
        <v>135</v>
      </c>
    </row>
    <row r="218" spans="2:5" x14ac:dyDescent="0.25">
      <c r="D218" t="s">
        <v>73</v>
      </c>
      <c r="E218" t="s">
        <v>142</v>
      </c>
    </row>
    <row r="219" spans="2:5" x14ac:dyDescent="0.25">
      <c r="D219" t="s">
        <v>75</v>
      </c>
      <c r="E219" t="s">
        <v>147</v>
      </c>
    </row>
    <row r="220" spans="2:5" x14ac:dyDescent="0.25">
      <c r="D220" t="s">
        <v>144</v>
      </c>
      <c r="E220" t="s">
        <v>145</v>
      </c>
    </row>
    <row r="221" spans="2:5" x14ac:dyDescent="0.25">
      <c r="D221" t="s">
        <v>136</v>
      </c>
    </row>
    <row r="223" spans="2:5" x14ac:dyDescent="0.25">
      <c r="D223" t="s">
        <v>73</v>
      </c>
      <c r="E223" t="s">
        <v>74</v>
      </c>
    </row>
    <row r="224" spans="2:5" x14ac:dyDescent="0.25">
      <c r="D224" t="s">
        <v>75</v>
      </c>
      <c r="E224" t="s">
        <v>149</v>
      </c>
    </row>
    <row r="225" spans="4:5" x14ac:dyDescent="0.25">
      <c r="D225" t="s">
        <v>77</v>
      </c>
      <c r="E225" t="s">
        <v>145</v>
      </c>
    </row>
    <row r="226" spans="4:5" x14ac:dyDescent="0.25">
      <c r="D226" t="s">
        <v>137</v>
      </c>
    </row>
    <row r="228" spans="4:5" x14ac:dyDescent="0.25">
      <c r="D228" t="s">
        <v>73</v>
      </c>
      <c r="E228" t="s">
        <v>74</v>
      </c>
    </row>
    <row r="229" spans="4:5" x14ac:dyDescent="0.25">
      <c r="D229" t="s">
        <v>75</v>
      </c>
      <c r="E229" t="s">
        <v>173</v>
      </c>
    </row>
    <row r="230" spans="4:5" x14ac:dyDescent="0.25">
      <c r="D230" t="s">
        <v>77</v>
      </c>
      <c r="E230" t="s">
        <v>145</v>
      </c>
    </row>
    <row r="231" spans="4:5" x14ac:dyDescent="0.25">
      <c r="D231" t="s">
        <v>225</v>
      </c>
    </row>
    <row r="233" spans="4:5" x14ac:dyDescent="0.25">
      <c r="D233" t="s">
        <v>73</v>
      </c>
      <c r="E233" t="s">
        <v>151</v>
      </c>
    </row>
    <row r="234" spans="4:5" x14ac:dyDescent="0.25">
      <c r="D234" t="s">
        <v>75</v>
      </c>
      <c r="E234" t="s">
        <v>76</v>
      </c>
    </row>
    <row r="235" spans="4:5" x14ac:dyDescent="0.25">
      <c r="D235" t="s">
        <v>77</v>
      </c>
      <c r="E235" t="s">
        <v>145</v>
      </c>
    </row>
    <row r="236" spans="4:5" x14ac:dyDescent="0.25">
      <c r="D236" t="s">
        <v>226</v>
      </c>
    </row>
    <row r="238" spans="4:5" x14ac:dyDescent="0.25">
      <c r="D238" t="s">
        <v>73</v>
      </c>
      <c r="E238" t="s">
        <v>151</v>
      </c>
    </row>
    <row r="239" spans="4:5" x14ac:dyDescent="0.25">
      <c r="D239" t="s">
        <v>75</v>
      </c>
      <c r="E239" t="s">
        <v>152</v>
      </c>
    </row>
    <row r="240" spans="4:5" x14ac:dyDescent="0.25">
      <c r="D240" t="s">
        <v>77</v>
      </c>
      <c r="E240" t="s">
        <v>145</v>
      </c>
    </row>
    <row r="241" spans="4:5" x14ac:dyDescent="0.25">
      <c r="D241" t="s">
        <v>227</v>
      </c>
    </row>
    <row r="243" spans="4:5" x14ac:dyDescent="0.25">
      <c r="D243" t="s">
        <v>73</v>
      </c>
      <c r="E243" t="s">
        <v>151</v>
      </c>
    </row>
    <row r="244" spans="4:5" x14ac:dyDescent="0.25">
      <c r="D244" t="s">
        <v>75</v>
      </c>
      <c r="E244" t="s">
        <v>174</v>
      </c>
    </row>
    <row r="245" spans="4:5" x14ac:dyDescent="0.25">
      <c r="D245" t="s">
        <v>77</v>
      </c>
      <c r="E245" t="s">
        <v>145</v>
      </c>
    </row>
    <row r="246" spans="4:5" x14ac:dyDescent="0.25">
      <c r="D246" t="s">
        <v>228</v>
      </c>
    </row>
    <row r="248" spans="4:5" x14ac:dyDescent="0.25">
      <c r="D248" t="s">
        <v>73</v>
      </c>
      <c r="E248" t="s">
        <v>74</v>
      </c>
    </row>
    <row r="249" spans="4:5" x14ac:dyDescent="0.25">
      <c r="D249" t="s">
        <v>75</v>
      </c>
      <c r="E249" t="s">
        <v>152</v>
      </c>
    </row>
    <row r="250" spans="4:5" x14ac:dyDescent="0.25">
      <c r="D250" t="s">
        <v>77</v>
      </c>
      <c r="E250" t="s">
        <v>145</v>
      </c>
    </row>
    <row r="251" spans="4:5" x14ac:dyDescent="0.25">
      <c r="D251" t="s">
        <v>229</v>
      </c>
    </row>
    <row r="253" spans="4:5" x14ac:dyDescent="0.25">
      <c r="D253" t="s">
        <v>73</v>
      </c>
      <c r="E253" t="s">
        <v>74</v>
      </c>
    </row>
    <row r="254" spans="4:5" x14ac:dyDescent="0.25">
      <c r="D254" t="s">
        <v>75</v>
      </c>
      <c r="E254" t="s">
        <v>174</v>
      </c>
    </row>
    <row r="255" spans="4:5" x14ac:dyDescent="0.25">
      <c r="D255" t="s">
        <v>77</v>
      </c>
      <c r="E255" t="s">
        <v>145</v>
      </c>
    </row>
    <row r="256" spans="4:5" x14ac:dyDescent="0.25">
      <c r="D256" t="s">
        <v>230</v>
      </c>
    </row>
    <row r="258" spans="4:5" x14ac:dyDescent="0.25">
      <c r="D258" t="s">
        <v>73</v>
      </c>
      <c r="E258" t="s">
        <v>153</v>
      </c>
    </row>
    <row r="259" spans="4:5" x14ac:dyDescent="0.25">
      <c r="D259" t="s">
        <v>75</v>
      </c>
      <c r="E259" t="s">
        <v>154</v>
      </c>
    </row>
    <row r="260" spans="4:5" x14ac:dyDescent="0.25">
      <c r="D260" t="s">
        <v>155</v>
      </c>
      <c r="E260" t="s">
        <v>200</v>
      </c>
    </row>
    <row r="261" spans="4:5" x14ac:dyDescent="0.25">
      <c r="D261" t="s">
        <v>156</v>
      </c>
      <c r="E261" t="s">
        <v>182</v>
      </c>
    </row>
    <row r="262" spans="4:5" x14ac:dyDescent="0.25">
      <c r="D262" t="s">
        <v>157</v>
      </c>
      <c r="E262" t="s">
        <v>200</v>
      </c>
    </row>
    <row r="263" spans="4:5" x14ac:dyDescent="0.25">
      <c r="D263" t="s">
        <v>158</v>
      </c>
      <c r="E263" t="s">
        <v>215</v>
      </c>
    </row>
    <row r="264" spans="4:5" x14ac:dyDescent="0.25">
      <c r="D264" t="s">
        <v>159</v>
      </c>
      <c r="E264" t="b">
        <v>0</v>
      </c>
    </row>
    <row r="265" spans="4:5" x14ac:dyDescent="0.25">
      <c r="D265" t="s">
        <v>160</v>
      </c>
      <c r="E265" t="s">
        <v>161</v>
      </c>
    </row>
    <row r="266" spans="4:5" x14ac:dyDescent="0.25">
      <c r="D266" t="s">
        <v>231</v>
      </c>
    </row>
    <row r="268" spans="4:5" x14ac:dyDescent="0.25">
      <c r="D268" t="s">
        <v>73</v>
      </c>
      <c r="E268" t="s">
        <v>153</v>
      </c>
    </row>
    <row r="269" spans="4:5" x14ac:dyDescent="0.25">
      <c r="D269" t="s">
        <v>75</v>
      </c>
      <c r="E269" t="s">
        <v>154</v>
      </c>
    </row>
    <row r="270" spans="4:5" x14ac:dyDescent="0.25">
      <c r="D270" t="s">
        <v>155</v>
      </c>
      <c r="E270" t="s">
        <v>151</v>
      </c>
    </row>
    <row r="271" spans="4:5" x14ac:dyDescent="0.25">
      <c r="D271" t="s">
        <v>156</v>
      </c>
      <c r="E271" t="s">
        <v>216</v>
      </c>
    </row>
    <row r="272" spans="4:5" x14ac:dyDescent="0.25">
      <c r="D272" t="s">
        <v>157</v>
      </c>
      <c r="E272" t="s">
        <v>151</v>
      </c>
    </row>
    <row r="273" spans="4:5" x14ac:dyDescent="0.25">
      <c r="D273" t="s">
        <v>158</v>
      </c>
      <c r="E273" t="s">
        <v>217</v>
      </c>
    </row>
    <row r="274" spans="4:5" x14ac:dyDescent="0.25">
      <c r="D274" t="s">
        <v>159</v>
      </c>
      <c r="E274" t="b">
        <v>1</v>
      </c>
    </row>
    <row r="275" spans="4:5" x14ac:dyDescent="0.25">
      <c r="D275" t="s">
        <v>160</v>
      </c>
      <c r="E275" t="s">
        <v>161</v>
      </c>
    </row>
    <row r="276" spans="4:5" x14ac:dyDescent="0.25">
      <c r="D276" t="s">
        <v>232</v>
      </c>
    </row>
    <row r="278" spans="4:5" x14ac:dyDescent="0.25">
      <c r="D278" t="s">
        <v>73</v>
      </c>
      <c r="E278" t="s">
        <v>74</v>
      </c>
    </row>
    <row r="279" spans="4:5" x14ac:dyDescent="0.25">
      <c r="D279" t="s">
        <v>75</v>
      </c>
      <c r="E279" t="s">
        <v>162</v>
      </c>
    </row>
    <row r="280" spans="4:5" x14ac:dyDescent="0.25">
      <c r="D280" t="s">
        <v>77</v>
      </c>
      <c r="E280" t="s">
        <v>54</v>
      </c>
    </row>
    <row r="281" spans="4:5" x14ac:dyDescent="0.25">
      <c r="D281" t="s">
        <v>78</v>
      </c>
      <c r="E281">
        <v>37</v>
      </c>
    </row>
    <row r="282" spans="4:5" x14ac:dyDescent="0.25">
      <c r="D282" t="s">
        <v>79</v>
      </c>
      <c r="E282">
        <v>0</v>
      </c>
    </row>
    <row r="283" spans="4:5" x14ac:dyDescent="0.25">
      <c r="D283" t="s">
        <v>233</v>
      </c>
    </row>
    <row r="285" spans="4:5" x14ac:dyDescent="0.25">
      <c r="D285" t="s">
        <v>73</v>
      </c>
      <c r="E285" t="s">
        <v>164</v>
      </c>
    </row>
    <row r="286" spans="4:5" x14ac:dyDescent="0.25">
      <c r="D286" t="s">
        <v>75</v>
      </c>
      <c r="E286" t="s">
        <v>165</v>
      </c>
    </row>
    <row r="287" spans="4:5" x14ac:dyDescent="0.25">
      <c r="D287" t="s">
        <v>166</v>
      </c>
      <c r="E287">
        <v>3600</v>
      </c>
    </row>
    <row r="288" spans="4:5" x14ac:dyDescent="0.25">
      <c r="D288" t="s">
        <v>234</v>
      </c>
    </row>
    <row r="290" spans="4:5" x14ac:dyDescent="0.25">
      <c r="D290" t="s">
        <v>73</v>
      </c>
      <c r="E290" t="s">
        <v>164</v>
      </c>
    </row>
    <row r="291" spans="4:5" x14ac:dyDescent="0.25">
      <c r="D291" t="s">
        <v>75</v>
      </c>
      <c r="E291" t="s">
        <v>167</v>
      </c>
    </row>
    <row r="292" spans="4:5" x14ac:dyDescent="0.25">
      <c r="D292" t="s">
        <v>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4D5E9-F251-4FA7-BF99-2F6EE182E61B}">
  <dimension ref="B3:R488"/>
  <sheetViews>
    <sheetView workbookViewId="0"/>
  </sheetViews>
  <sheetFormatPr defaultRowHeight="15" x14ac:dyDescent="0.25"/>
  <sheetData>
    <row r="3" spans="2:5" x14ac:dyDescent="0.25">
      <c r="D3" t="s">
        <v>73</v>
      </c>
      <c r="E3" t="s">
        <v>74</v>
      </c>
    </row>
    <row r="4" spans="2:5" x14ac:dyDescent="0.25">
      <c r="D4" t="s">
        <v>75</v>
      </c>
      <c r="E4" t="s">
        <v>76</v>
      </c>
    </row>
    <row r="5" spans="2:5" x14ac:dyDescent="0.25">
      <c r="D5" t="s">
        <v>77</v>
      </c>
      <c r="E5" t="s">
        <v>54</v>
      </c>
    </row>
    <row r="6" spans="2:5" x14ac:dyDescent="0.25">
      <c r="D6" t="s">
        <v>78</v>
      </c>
      <c r="E6">
        <v>37</v>
      </c>
    </row>
    <row r="7" spans="2:5" x14ac:dyDescent="0.25">
      <c r="D7" t="s">
        <v>79</v>
      </c>
      <c r="E7">
        <v>0</v>
      </c>
    </row>
    <row r="12" spans="2:5" x14ac:dyDescent="0.25">
      <c r="B12" t="s">
        <v>80</v>
      </c>
    </row>
    <row r="13" spans="2:5" x14ac:dyDescent="0.25">
      <c r="B13" t="s">
        <v>81</v>
      </c>
    </row>
    <row r="14" spans="2:5" x14ac:dyDescent="0.25">
      <c r="B14" t="s">
        <v>82</v>
      </c>
    </row>
    <row r="15" spans="2:5" x14ac:dyDescent="0.25">
      <c r="B15" t="s">
        <v>83</v>
      </c>
    </row>
    <row r="17" spans="2:3" x14ac:dyDescent="0.25">
      <c r="C17" t="s">
        <v>84</v>
      </c>
    </row>
    <row r="22" spans="2:3" x14ac:dyDescent="0.25">
      <c r="B22" t="s">
        <v>85</v>
      </c>
    </row>
    <row r="23" spans="2:3" x14ac:dyDescent="0.25">
      <c r="B23" t="s">
        <v>86</v>
      </c>
    </row>
    <row r="24" spans="2:3" x14ac:dyDescent="0.25">
      <c r="B24" t="s">
        <v>87</v>
      </c>
    </row>
    <row r="25" spans="2:3" x14ac:dyDescent="0.25">
      <c r="B25" t="s">
        <v>88</v>
      </c>
    </row>
    <row r="26" spans="2:3" x14ac:dyDescent="0.25">
      <c r="B26" t="s">
        <v>89</v>
      </c>
    </row>
    <row r="27" spans="2:3" x14ac:dyDescent="0.25">
      <c r="B27" t="s">
        <v>90</v>
      </c>
    </row>
    <row r="28" spans="2:3" x14ac:dyDescent="0.25">
      <c r="B28" t="s">
        <v>91</v>
      </c>
    </row>
    <row r="29" spans="2:3" x14ac:dyDescent="0.25">
      <c r="B29" t="s">
        <v>92</v>
      </c>
    </row>
    <row r="31" spans="2:3" x14ac:dyDescent="0.25">
      <c r="C31" t="s">
        <v>84</v>
      </c>
    </row>
    <row r="33" spans="4:6" x14ac:dyDescent="0.25">
      <c r="D33" t="s">
        <v>73</v>
      </c>
      <c r="E33" t="s">
        <v>93</v>
      </c>
    </row>
    <row r="34" spans="4:6" x14ac:dyDescent="0.25">
      <c r="D34" t="s">
        <v>75</v>
      </c>
      <c r="E34" t="s">
        <v>94</v>
      </c>
    </row>
    <row r="35" spans="4:6" x14ac:dyDescent="0.25">
      <c r="D35" t="s">
        <v>95</v>
      </c>
      <c r="E35">
        <v>79.445396000000002</v>
      </c>
      <c r="F35">
        <v>81.296930666666597</v>
      </c>
    </row>
    <row r="36" spans="4:6" x14ac:dyDescent="0.25">
      <c r="D36" t="s">
        <v>96</v>
      </c>
      <c r="E36" t="s">
        <v>97</v>
      </c>
      <c r="F36" t="s">
        <v>98</v>
      </c>
    </row>
    <row r="37" spans="4:6" x14ac:dyDescent="0.25">
      <c r="D37" t="s">
        <v>99</v>
      </c>
    </row>
    <row r="39" spans="4:6" x14ac:dyDescent="0.25">
      <c r="D39" t="s">
        <v>73</v>
      </c>
      <c r="E39" t="s">
        <v>93</v>
      </c>
    </row>
    <row r="40" spans="4:6" x14ac:dyDescent="0.25">
      <c r="D40" t="s">
        <v>75</v>
      </c>
      <c r="E40" t="s">
        <v>100</v>
      </c>
    </row>
    <row r="41" spans="4:6" x14ac:dyDescent="0.25">
      <c r="D41" t="s">
        <v>95</v>
      </c>
      <c r="E41">
        <v>79.445396000000002</v>
      </c>
      <c r="F41">
        <v>81.296930666666597</v>
      </c>
    </row>
    <row r="42" spans="4:6" x14ac:dyDescent="0.25">
      <c r="D42" t="s">
        <v>101</v>
      </c>
    </row>
    <row r="44" spans="4:6" x14ac:dyDescent="0.25">
      <c r="D44" t="s">
        <v>73</v>
      </c>
      <c r="E44" t="s">
        <v>93</v>
      </c>
    </row>
    <row r="45" spans="4:6" x14ac:dyDescent="0.25">
      <c r="D45" t="s">
        <v>75</v>
      </c>
      <c r="E45" t="s">
        <v>94</v>
      </c>
    </row>
    <row r="46" spans="4:6" x14ac:dyDescent="0.25">
      <c r="D46" t="s">
        <v>95</v>
      </c>
      <c r="E46">
        <v>5.5546040000000003</v>
      </c>
      <c r="F46">
        <v>3.70306933333333</v>
      </c>
    </row>
    <row r="47" spans="4:6" x14ac:dyDescent="0.25">
      <c r="D47" t="s">
        <v>96</v>
      </c>
      <c r="E47" t="s">
        <v>97</v>
      </c>
      <c r="F47" t="s">
        <v>98</v>
      </c>
    </row>
    <row r="48" spans="4:6" x14ac:dyDescent="0.25">
      <c r="D48" t="s">
        <v>112</v>
      </c>
    </row>
    <row r="50" spans="4:6" x14ac:dyDescent="0.25">
      <c r="D50" t="s">
        <v>73</v>
      </c>
      <c r="E50" t="s">
        <v>93</v>
      </c>
    </row>
    <row r="51" spans="4:6" x14ac:dyDescent="0.25">
      <c r="D51" t="s">
        <v>75</v>
      </c>
      <c r="E51" t="s">
        <v>100</v>
      </c>
    </row>
    <row r="52" spans="4:6" x14ac:dyDescent="0.25">
      <c r="D52" t="s">
        <v>95</v>
      </c>
      <c r="E52">
        <v>5.5546040000000003</v>
      </c>
      <c r="F52">
        <v>3.70306933333333</v>
      </c>
    </row>
    <row r="53" spans="4:6" x14ac:dyDescent="0.25">
      <c r="D53" t="s">
        <v>113</v>
      </c>
    </row>
    <row r="55" spans="4:6" x14ac:dyDescent="0.25">
      <c r="D55" t="s">
        <v>73</v>
      </c>
      <c r="E55" t="s">
        <v>93</v>
      </c>
    </row>
    <row r="56" spans="4:6" x14ac:dyDescent="0.25">
      <c r="D56" t="s">
        <v>75</v>
      </c>
      <c r="E56" t="s">
        <v>102</v>
      </c>
    </row>
    <row r="57" spans="4:6" x14ac:dyDescent="0.25">
      <c r="D57" t="s">
        <v>103</v>
      </c>
      <c r="E57" t="s">
        <v>54</v>
      </c>
      <c r="F57" t="s">
        <v>54</v>
      </c>
    </row>
    <row r="58" spans="4:6" x14ac:dyDescent="0.25">
      <c r="D58" t="s">
        <v>104</v>
      </c>
      <c r="E58">
        <v>1</v>
      </c>
      <c r="F58">
        <v>2</v>
      </c>
    </row>
    <row r="59" spans="4:6" x14ac:dyDescent="0.25">
      <c r="D59" t="s">
        <v>105</v>
      </c>
      <c r="E59" t="s">
        <v>57</v>
      </c>
      <c r="F59" t="s">
        <v>57</v>
      </c>
    </row>
    <row r="60" spans="4:6" x14ac:dyDescent="0.25">
      <c r="D60" t="s">
        <v>106</v>
      </c>
      <c r="E60">
        <v>1</v>
      </c>
      <c r="F60">
        <v>2</v>
      </c>
    </row>
    <row r="61" spans="4:6" x14ac:dyDescent="0.25">
      <c r="D61" t="s">
        <v>95</v>
      </c>
      <c r="E61">
        <v>79.445396000000002</v>
      </c>
      <c r="F61">
        <v>81.296930666666597</v>
      </c>
    </row>
    <row r="62" spans="4:6" x14ac:dyDescent="0.25">
      <c r="D62" t="s">
        <v>107</v>
      </c>
      <c r="E62">
        <v>0</v>
      </c>
      <c r="F62">
        <v>0</v>
      </c>
    </row>
    <row r="63" spans="4:6" x14ac:dyDescent="0.25">
      <c r="D63" t="s">
        <v>108</v>
      </c>
      <c r="E63" t="s">
        <v>28</v>
      </c>
      <c r="F63" t="s">
        <v>28</v>
      </c>
    </row>
    <row r="64" spans="4:6" x14ac:dyDescent="0.25">
      <c r="D64" t="s">
        <v>109</v>
      </c>
    </row>
    <row r="65" spans="4:6" x14ac:dyDescent="0.25">
      <c r="D65" t="s">
        <v>110</v>
      </c>
    </row>
    <row r="66" spans="4:6" x14ac:dyDescent="0.25">
      <c r="D66" t="s">
        <v>172</v>
      </c>
      <c r="E66">
        <v>0</v>
      </c>
    </row>
    <row r="67" spans="4:6" x14ac:dyDescent="0.25">
      <c r="D67" t="s">
        <v>111</v>
      </c>
      <c r="E67" t="s">
        <v>161</v>
      </c>
    </row>
    <row r="68" spans="4:6" x14ac:dyDescent="0.25">
      <c r="D68" t="s">
        <v>114</v>
      </c>
    </row>
    <row r="70" spans="4:6" x14ac:dyDescent="0.25">
      <c r="D70" t="s">
        <v>73</v>
      </c>
      <c r="E70" t="s">
        <v>93</v>
      </c>
    </row>
    <row r="71" spans="4:6" x14ac:dyDescent="0.25">
      <c r="D71" t="s">
        <v>75</v>
      </c>
      <c r="E71" t="s">
        <v>102</v>
      </c>
    </row>
    <row r="72" spans="4:6" x14ac:dyDescent="0.25">
      <c r="D72" t="s">
        <v>103</v>
      </c>
      <c r="E72" t="s">
        <v>54</v>
      </c>
      <c r="F72" t="s">
        <v>54</v>
      </c>
    </row>
    <row r="73" spans="4:6" x14ac:dyDescent="0.25">
      <c r="D73" t="s">
        <v>104</v>
      </c>
      <c r="E73">
        <v>1</v>
      </c>
      <c r="F73">
        <v>2</v>
      </c>
    </row>
    <row r="74" spans="4:6" x14ac:dyDescent="0.25">
      <c r="D74" t="s">
        <v>105</v>
      </c>
      <c r="E74" t="s">
        <v>50</v>
      </c>
      <c r="F74" t="s">
        <v>50</v>
      </c>
    </row>
    <row r="75" spans="4:6" x14ac:dyDescent="0.25">
      <c r="D75" t="s">
        <v>106</v>
      </c>
      <c r="E75">
        <v>1</v>
      </c>
      <c r="F75">
        <v>2</v>
      </c>
    </row>
    <row r="76" spans="4:6" x14ac:dyDescent="0.25">
      <c r="D76" t="s">
        <v>95</v>
      </c>
      <c r="E76">
        <v>5.5546040000000003</v>
      </c>
      <c r="F76">
        <v>3.70306933333333</v>
      </c>
    </row>
    <row r="77" spans="4:6" x14ac:dyDescent="0.25">
      <c r="D77" t="s">
        <v>107</v>
      </c>
      <c r="E77">
        <v>79.445396000000002</v>
      </c>
      <c r="F77">
        <v>81.296930666666597</v>
      </c>
    </row>
    <row r="78" spans="4:6" x14ac:dyDescent="0.25">
      <c r="D78" t="s">
        <v>108</v>
      </c>
      <c r="E78" t="s">
        <v>26</v>
      </c>
      <c r="F78" t="s">
        <v>26</v>
      </c>
    </row>
    <row r="79" spans="4:6" x14ac:dyDescent="0.25">
      <c r="D79" t="s">
        <v>109</v>
      </c>
    </row>
    <row r="80" spans="4:6" x14ac:dyDescent="0.25">
      <c r="D80" t="s">
        <v>110</v>
      </c>
    </row>
    <row r="81" spans="2:5" x14ac:dyDescent="0.25">
      <c r="D81" t="s">
        <v>172</v>
      </c>
      <c r="E81">
        <v>0</v>
      </c>
    </row>
    <row r="82" spans="2:5" x14ac:dyDescent="0.25">
      <c r="D82" t="s">
        <v>111</v>
      </c>
      <c r="E82" t="s">
        <v>161</v>
      </c>
    </row>
    <row r="83" spans="2:5" x14ac:dyDescent="0.25">
      <c r="D83" t="s">
        <v>115</v>
      </c>
    </row>
    <row r="88" spans="2:5" x14ac:dyDescent="0.25">
      <c r="B88" t="s">
        <v>116</v>
      </c>
    </row>
    <row r="89" spans="2:5" x14ac:dyDescent="0.25">
      <c r="B89" t="s">
        <v>117</v>
      </c>
    </row>
    <row r="90" spans="2:5" x14ac:dyDescent="0.25">
      <c r="B90" t="s">
        <v>118</v>
      </c>
    </row>
    <row r="91" spans="2:5" x14ac:dyDescent="0.25">
      <c r="B91" t="s">
        <v>119</v>
      </c>
    </row>
    <row r="92" spans="2:5" x14ac:dyDescent="0.25">
      <c r="B92" t="s">
        <v>120</v>
      </c>
    </row>
    <row r="93" spans="2:5" x14ac:dyDescent="0.25">
      <c r="B93" t="s">
        <v>121</v>
      </c>
    </row>
    <row r="94" spans="2:5" x14ac:dyDescent="0.25">
      <c r="B94" t="s">
        <v>122</v>
      </c>
    </row>
    <row r="96" spans="2:5" x14ac:dyDescent="0.25">
      <c r="C96" t="s">
        <v>84</v>
      </c>
    </row>
    <row r="98" spans="4:6" x14ac:dyDescent="0.25">
      <c r="D98" t="s">
        <v>73</v>
      </c>
      <c r="E98" t="s">
        <v>93</v>
      </c>
    </row>
    <row r="99" spans="4:6" x14ac:dyDescent="0.25">
      <c r="D99" t="s">
        <v>75</v>
      </c>
      <c r="E99" t="s">
        <v>94</v>
      </c>
    </row>
    <row r="100" spans="4:6" x14ac:dyDescent="0.25">
      <c r="D100" t="s">
        <v>95</v>
      </c>
      <c r="E100">
        <v>10</v>
      </c>
      <c r="F100">
        <v>10</v>
      </c>
    </row>
    <row r="101" spans="4:6" x14ac:dyDescent="0.25">
      <c r="D101" t="s">
        <v>96</v>
      </c>
      <c r="E101" t="s">
        <v>97</v>
      </c>
      <c r="F101" t="s">
        <v>98</v>
      </c>
    </row>
    <row r="102" spans="4:6" x14ac:dyDescent="0.25">
      <c r="D102" t="s">
        <v>123</v>
      </c>
    </row>
    <row r="104" spans="4:6" x14ac:dyDescent="0.25">
      <c r="D104" t="s">
        <v>73</v>
      </c>
      <c r="E104" t="s">
        <v>93</v>
      </c>
    </row>
    <row r="105" spans="4:6" x14ac:dyDescent="0.25">
      <c r="D105" t="s">
        <v>75</v>
      </c>
      <c r="E105" t="s">
        <v>100</v>
      </c>
    </row>
    <row r="106" spans="4:6" x14ac:dyDescent="0.25">
      <c r="D106" t="s">
        <v>95</v>
      </c>
      <c r="E106">
        <v>10</v>
      </c>
      <c r="F106">
        <v>10</v>
      </c>
    </row>
    <row r="107" spans="4:6" x14ac:dyDescent="0.25">
      <c r="D107" t="s">
        <v>124</v>
      </c>
    </row>
    <row r="109" spans="4:6" x14ac:dyDescent="0.25">
      <c r="D109" t="s">
        <v>73</v>
      </c>
      <c r="E109" t="s">
        <v>93</v>
      </c>
    </row>
    <row r="110" spans="4:6" x14ac:dyDescent="0.25">
      <c r="D110" t="s">
        <v>75</v>
      </c>
      <c r="E110" t="s">
        <v>102</v>
      </c>
    </row>
    <row r="111" spans="4:6" x14ac:dyDescent="0.25">
      <c r="D111" t="s">
        <v>103</v>
      </c>
      <c r="E111" t="s">
        <v>54</v>
      </c>
      <c r="F111" t="s">
        <v>54</v>
      </c>
    </row>
    <row r="112" spans="4:6" x14ac:dyDescent="0.25">
      <c r="D112" t="s">
        <v>104</v>
      </c>
      <c r="E112">
        <v>1</v>
      </c>
      <c r="F112">
        <v>2</v>
      </c>
    </row>
    <row r="113" spans="2:6" x14ac:dyDescent="0.25">
      <c r="D113" t="s">
        <v>105</v>
      </c>
      <c r="E113" t="s">
        <v>63</v>
      </c>
      <c r="F113" t="s">
        <v>63</v>
      </c>
    </row>
    <row r="114" spans="2:6" x14ac:dyDescent="0.25">
      <c r="D114" t="s">
        <v>106</v>
      </c>
      <c r="E114">
        <v>1</v>
      </c>
      <c r="F114">
        <v>2</v>
      </c>
    </row>
    <row r="115" spans="2:6" x14ac:dyDescent="0.25">
      <c r="D115" t="s">
        <v>95</v>
      </c>
      <c r="E115">
        <v>10</v>
      </c>
      <c r="F115">
        <v>10</v>
      </c>
    </row>
    <row r="116" spans="2:6" x14ac:dyDescent="0.25">
      <c r="D116" t="s">
        <v>107</v>
      </c>
      <c r="E116">
        <v>85</v>
      </c>
      <c r="F116">
        <v>85</v>
      </c>
    </row>
    <row r="117" spans="2:6" x14ac:dyDescent="0.25">
      <c r="D117" t="s">
        <v>108</v>
      </c>
      <c r="E117" t="s">
        <v>26</v>
      </c>
      <c r="F117" t="s">
        <v>26</v>
      </c>
    </row>
    <row r="118" spans="2:6" x14ac:dyDescent="0.25">
      <c r="D118" t="s">
        <v>109</v>
      </c>
    </row>
    <row r="119" spans="2:6" x14ac:dyDescent="0.25">
      <c r="D119" t="s">
        <v>110</v>
      </c>
    </row>
    <row r="120" spans="2:6" x14ac:dyDescent="0.25">
      <c r="D120" t="s">
        <v>172</v>
      </c>
      <c r="E120">
        <v>0</v>
      </c>
    </row>
    <row r="121" spans="2:6" x14ac:dyDescent="0.25">
      <c r="D121" t="s">
        <v>111</v>
      </c>
      <c r="E121" t="s">
        <v>161</v>
      </c>
    </row>
    <row r="122" spans="2:6" x14ac:dyDescent="0.25">
      <c r="D122" t="s">
        <v>125</v>
      </c>
    </row>
    <row r="127" spans="2:6" x14ac:dyDescent="0.25">
      <c r="B127" t="s">
        <v>116</v>
      </c>
    </row>
    <row r="128" spans="2:6" x14ac:dyDescent="0.25">
      <c r="B128" t="s">
        <v>126</v>
      </c>
    </row>
    <row r="129" spans="2:6" x14ac:dyDescent="0.25">
      <c r="B129" t="s">
        <v>127</v>
      </c>
    </row>
    <row r="130" spans="2:6" x14ac:dyDescent="0.25">
      <c r="B130" t="s">
        <v>128</v>
      </c>
    </row>
    <row r="131" spans="2:6" x14ac:dyDescent="0.25">
      <c r="B131" t="s">
        <v>120</v>
      </c>
    </row>
    <row r="132" spans="2:6" x14ac:dyDescent="0.25">
      <c r="B132" t="s">
        <v>129</v>
      </c>
    </row>
    <row r="133" spans="2:6" x14ac:dyDescent="0.25">
      <c r="B133" t="s">
        <v>122</v>
      </c>
    </row>
    <row r="135" spans="2:6" x14ac:dyDescent="0.25">
      <c r="C135" t="s">
        <v>84</v>
      </c>
    </row>
    <row r="137" spans="2:6" x14ac:dyDescent="0.25">
      <c r="D137" t="s">
        <v>73</v>
      </c>
      <c r="E137" t="s">
        <v>93</v>
      </c>
    </row>
    <row r="138" spans="2:6" x14ac:dyDescent="0.25">
      <c r="D138" t="s">
        <v>75</v>
      </c>
      <c r="E138" t="s">
        <v>94</v>
      </c>
    </row>
    <row r="139" spans="2:6" x14ac:dyDescent="0.25">
      <c r="D139" t="s">
        <v>95</v>
      </c>
      <c r="E139">
        <v>5</v>
      </c>
      <c r="F139">
        <v>5</v>
      </c>
    </row>
    <row r="140" spans="2:6" x14ac:dyDescent="0.25">
      <c r="D140" t="s">
        <v>96</v>
      </c>
      <c r="E140" t="s">
        <v>97</v>
      </c>
      <c r="F140" t="s">
        <v>98</v>
      </c>
    </row>
    <row r="141" spans="2:6" x14ac:dyDescent="0.25">
      <c r="D141" t="s">
        <v>130</v>
      </c>
    </row>
    <row r="143" spans="2:6" x14ac:dyDescent="0.25">
      <c r="D143" t="s">
        <v>73</v>
      </c>
      <c r="E143" t="s">
        <v>93</v>
      </c>
    </row>
    <row r="144" spans="2:6" x14ac:dyDescent="0.25">
      <c r="D144" t="s">
        <v>75</v>
      </c>
      <c r="E144" t="s">
        <v>100</v>
      </c>
    </row>
    <row r="145" spans="4:6" x14ac:dyDescent="0.25">
      <c r="D145" t="s">
        <v>95</v>
      </c>
      <c r="E145">
        <v>5</v>
      </c>
      <c r="F145">
        <v>5</v>
      </c>
    </row>
    <row r="146" spans="4:6" x14ac:dyDescent="0.25">
      <c r="D146" t="s">
        <v>131</v>
      </c>
    </row>
    <row r="148" spans="4:6" x14ac:dyDescent="0.25">
      <c r="D148" t="s">
        <v>73</v>
      </c>
      <c r="E148" t="s">
        <v>93</v>
      </c>
    </row>
    <row r="149" spans="4:6" x14ac:dyDescent="0.25">
      <c r="D149" t="s">
        <v>75</v>
      </c>
      <c r="E149" t="s">
        <v>102</v>
      </c>
    </row>
    <row r="150" spans="4:6" x14ac:dyDescent="0.25">
      <c r="D150" t="s">
        <v>103</v>
      </c>
      <c r="E150" t="s">
        <v>54</v>
      </c>
      <c r="F150" t="s">
        <v>54</v>
      </c>
    </row>
    <row r="151" spans="4:6" x14ac:dyDescent="0.25">
      <c r="D151" t="s">
        <v>104</v>
      </c>
      <c r="E151">
        <v>1</v>
      </c>
      <c r="F151">
        <v>2</v>
      </c>
    </row>
    <row r="152" spans="4:6" x14ac:dyDescent="0.25">
      <c r="D152" t="s">
        <v>105</v>
      </c>
      <c r="E152" t="s">
        <v>66</v>
      </c>
      <c r="F152" t="s">
        <v>66</v>
      </c>
    </row>
    <row r="153" spans="4:6" x14ac:dyDescent="0.25">
      <c r="D153" t="s">
        <v>106</v>
      </c>
      <c r="E153">
        <v>1</v>
      </c>
      <c r="F153">
        <v>2</v>
      </c>
    </row>
    <row r="154" spans="4:6" x14ac:dyDescent="0.25">
      <c r="D154" t="s">
        <v>95</v>
      </c>
      <c r="E154">
        <v>5</v>
      </c>
      <c r="F154">
        <v>5</v>
      </c>
    </row>
    <row r="155" spans="4:6" x14ac:dyDescent="0.25">
      <c r="D155" t="s">
        <v>107</v>
      </c>
      <c r="E155">
        <v>95</v>
      </c>
      <c r="F155">
        <v>95</v>
      </c>
    </row>
    <row r="156" spans="4:6" x14ac:dyDescent="0.25">
      <c r="D156" t="s">
        <v>108</v>
      </c>
      <c r="E156" t="s">
        <v>26</v>
      </c>
      <c r="F156" t="s">
        <v>26</v>
      </c>
    </row>
    <row r="157" spans="4:6" x14ac:dyDescent="0.25">
      <c r="D157" t="s">
        <v>109</v>
      </c>
    </row>
    <row r="158" spans="4:6" x14ac:dyDescent="0.25">
      <c r="D158" t="s">
        <v>110</v>
      </c>
    </row>
    <row r="159" spans="4:6" x14ac:dyDescent="0.25">
      <c r="D159" t="s">
        <v>172</v>
      </c>
      <c r="E159">
        <v>0</v>
      </c>
    </row>
    <row r="160" spans="4:6" x14ac:dyDescent="0.25">
      <c r="D160" t="s">
        <v>111</v>
      </c>
      <c r="E160" t="s">
        <v>161</v>
      </c>
    </row>
    <row r="161" spans="2:5" x14ac:dyDescent="0.25">
      <c r="D161" t="s">
        <v>132</v>
      </c>
    </row>
    <row r="166" spans="2:5" x14ac:dyDescent="0.25">
      <c r="B166" t="s">
        <v>116</v>
      </c>
    </row>
    <row r="167" spans="2:5" x14ac:dyDescent="0.25">
      <c r="B167" t="s">
        <v>221</v>
      </c>
    </row>
    <row r="168" spans="2:5" x14ac:dyDescent="0.25">
      <c r="B168" t="s">
        <v>133</v>
      </c>
    </row>
    <row r="169" spans="2:5" x14ac:dyDescent="0.25">
      <c r="B169" t="s">
        <v>134</v>
      </c>
    </row>
    <row r="170" spans="2:5" x14ac:dyDescent="0.25">
      <c r="B170" t="s">
        <v>120</v>
      </c>
    </row>
    <row r="171" spans="2:5" x14ac:dyDescent="0.25">
      <c r="B171" t="s">
        <v>121</v>
      </c>
    </row>
    <row r="172" spans="2:5" x14ac:dyDescent="0.25">
      <c r="B172" t="s">
        <v>122</v>
      </c>
    </row>
    <row r="174" spans="2:5" x14ac:dyDescent="0.25">
      <c r="C174" t="s">
        <v>84</v>
      </c>
    </row>
    <row r="176" spans="2:5" x14ac:dyDescent="0.25">
      <c r="D176" t="s">
        <v>73</v>
      </c>
      <c r="E176" t="s">
        <v>93</v>
      </c>
    </row>
    <row r="177" spans="4:6" x14ac:dyDescent="0.25">
      <c r="D177" t="s">
        <v>75</v>
      </c>
      <c r="E177" t="s">
        <v>94</v>
      </c>
    </row>
    <row r="178" spans="4:6" x14ac:dyDescent="0.25">
      <c r="D178" t="s">
        <v>95</v>
      </c>
      <c r="E178">
        <v>10</v>
      </c>
      <c r="F178">
        <v>10</v>
      </c>
    </row>
    <row r="179" spans="4:6" x14ac:dyDescent="0.25">
      <c r="D179" t="s">
        <v>96</v>
      </c>
      <c r="E179" t="s">
        <v>97</v>
      </c>
      <c r="F179" t="s">
        <v>98</v>
      </c>
    </row>
    <row r="180" spans="4:6" x14ac:dyDescent="0.25">
      <c r="D180" t="s">
        <v>222</v>
      </c>
    </row>
    <row r="182" spans="4:6" x14ac:dyDescent="0.25">
      <c r="D182" t="s">
        <v>73</v>
      </c>
      <c r="E182" t="s">
        <v>93</v>
      </c>
    </row>
    <row r="183" spans="4:6" x14ac:dyDescent="0.25">
      <c r="D183" t="s">
        <v>75</v>
      </c>
      <c r="E183" t="s">
        <v>100</v>
      </c>
    </row>
    <row r="184" spans="4:6" x14ac:dyDescent="0.25">
      <c r="D184" t="s">
        <v>95</v>
      </c>
      <c r="E184">
        <v>10</v>
      </c>
      <c r="F184">
        <v>10</v>
      </c>
    </row>
    <row r="185" spans="4:6" x14ac:dyDescent="0.25">
      <c r="D185" t="s">
        <v>223</v>
      </c>
    </row>
    <row r="187" spans="4:6" x14ac:dyDescent="0.25">
      <c r="D187" t="s">
        <v>73</v>
      </c>
      <c r="E187" t="s">
        <v>93</v>
      </c>
    </row>
    <row r="188" spans="4:6" x14ac:dyDescent="0.25">
      <c r="D188" t="s">
        <v>75</v>
      </c>
      <c r="E188" t="s">
        <v>102</v>
      </c>
    </row>
    <row r="189" spans="4:6" x14ac:dyDescent="0.25">
      <c r="D189" t="s">
        <v>103</v>
      </c>
      <c r="E189" t="s">
        <v>54</v>
      </c>
      <c r="F189" t="s">
        <v>54</v>
      </c>
    </row>
    <row r="190" spans="4:6" x14ac:dyDescent="0.25">
      <c r="D190" t="s">
        <v>104</v>
      </c>
      <c r="E190">
        <v>1</v>
      </c>
      <c r="F190">
        <v>2</v>
      </c>
    </row>
    <row r="191" spans="4:6" x14ac:dyDescent="0.25">
      <c r="D191" t="s">
        <v>105</v>
      </c>
      <c r="E191" t="s">
        <v>67</v>
      </c>
      <c r="F191" t="s">
        <v>67</v>
      </c>
    </row>
    <row r="192" spans="4:6" x14ac:dyDescent="0.25">
      <c r="D192" t="s">
        <v>106</v>
      </c>
      <c r="E192">
        <v>1</v>
      </c>
      <c r="F192">
        <v>2</v>
      </c>
    </row>
    <row r="193" spans="2:6" x14ac:dyDescent="0.25">
      <c r="D193" t="s">
        <v>95</v>
      </c>
      <c r="E193">
        <v>10</v>
      </c>
      <c r="F193">
        <v>10</v>
      </c>
    </row>
    <row r="194" spans="2:6" x14ac:dyDescent="0.25">
      <c r="D194" t="s">
        <v>107</v>
      </c>
      <c r="E194">
        <v>100</v>
      </c>
      <c r="F194">
        <v>100</v>
      </c>
    </row>
    <row r="195" spans="2:6" x14ac:dyDescent="0.25">
      <c r="D195" t="s">
        <v>108</v>
      </c>
      <c r="E195" t="s">
        <v>26</v>
      </c>
      <c r="F195" t="s">
        <v>26</v>
      </c>
    </row>
    <row r="196" spans="2:6" x14ac:dyDescent="0.25">
      <c r="D196" t="s">
        <v>109</v>
      </c>
    </row>
    <row r="197" spans="2:6" x14ac:dyDescent="0.25">
      <c r="D197" t="s">
        <v>110</v>
      </c>
    </row>
    <row r="198" spans="2:6" x14ac:dyDescent="0.25">
      <c r="D198" t="s">
        <v>172</v>
      </c>
      <c r="E198">
        <v>0</v>
      </c>
    </row>
    <row r="199" spans="2:6" x14ac:dyDescent="0.25">
      <c r="D199" t="s">
        <v>111</v>
      </c>
      <c r="E199" t="s">
        <v>161</v>
      </c>
    </row>
    <row r="200" spans="2:6" x14ac:dyDescent="0.25">
      <c r="D200" t="s">
        <v>224</v>
      </c>
    </row>
    <row r="205" spans="2:6" x14ac:dyDescent="0.25">
      <c r="B205" t="s">
        <v>138</v>
      </c>
    </row>
    <row r="206" spans="2:6" x14ac:dyDescent="0.25">
      <c r="B206" t="s">
        <v>251</v>
      </c>
    </row>
    <row r="207" spans="2:6" x14ac:dyDescent="0.25">
      <c r="B207" t="s">
        <v>139</v>
      </c>
    </row>
    <row r="208" spans="2:6" x14ac:dyDescent="0.25">
      <c r="B208" t="s">
        <v>140</v>
      </c>
    </row>
    <row r="209" spans="2:5" x14ac:dyDescent="0.25">
      <c r="B209" t="s">
        <v>141</v>
      </c>
    </row>
    <row r="211" spans="2:5" x14ac:dyDescent="0.25">
      <c r="C211" t="s">
        <v>84</v>
      </c>
    </row>
    <row r="213" spans="2:5" x14ac:dyDescent="0.25">
      <c r="D213" t="s">
        <v>73</v>
      </c>
      <c r="E213" t="s">
        <v>142</v>
      </c>
    </row>
    <row r="214" spans="2:5" x14ac:dyDescent="0.25">
      <c r="D214" t="s">
        <v>75</v>
      </c>
      <c r="E214" t="s">
        <v>143</v>
      </c>
    </row>
    <row r="215" spans="2:5" x14ac:dyDescent="0.25">
      <c r="D215" t="s">
        <v>144</v>
      </c>
      <c r="E215" t="s">
        <v>145</v>
      </c>
    </row>
    <row r="216" spans="2:5" x14ac:dyDescent="0.25">
      <c r="D216" t="s">
        <v>135</v>
      </c>
    </row>
    <row r="218" spans="2:5" x14ac:dyDescent="0.25">
      <c r="D218" t="s">
        <v>73</v>
      </c>
      <c r="E218" t="s">
        <v>142</v>
      </c>
    </row>
    <row r="219" spans="2:5" x14ac:dyDescent="0.25">
      <c r="D219" t="s">
        <v>75</v>
      </c>
      <c r="E219" t="s">
        <v>147</v>
      </c>
    </row>
    <row r="220" spans="2:5" x14ac:dyDescent="0.25">
      <c r="D220" t="s">
        <v>144</v>
      </c>
      <c r="E220" t="s">
        <v>145</v>
      </c>
    </row>
    <row r="221" spans="2:5" x14ac:dyDescent="0.25">
      <c r="D221" t="s">
        <v>136</v>
      </c>
    </row>
    <row r="223" spans="2:5" x14ac:dyDescent="0.25">
      <c r="D223" t="s">
        <v>73</v>
      </c>
      <c r="E223" t="s">
        <v>74</v>
      </c>
    </row>
    <row r="224" spans="2:5" x14ac:dyDescent="0.25">
      <c r="D224" t="s">
        <v>75</v>
      </c>
      <c r="E224" t="s">
        <v>149</v>
      </c>
    </row>
    <row r="225" spans="4:5" x14ac:dyDescent="0.25">
      <c r="D225" t="s">
        <v>77</v>
      </c>
      <c r="E225" t="s">
        <v>145</v>
      </c>
    </row>
    <row r="226" spans="4:5" x14ac:dyDescent="0.25">
      <c r="D226" t="s">
        <v>137</v>
      </c>
    </row>
    <row r="228" spans="4:5" x14ac:dyDescent="0.25">
      <c r="D228" t="s">
        <v>73</v>
      </c>
      <c r="E228" t="s">
        <v>74</v>
      </c>
    </row>
    <row r="229" spans="4:5" x14ac:dyDescent="0.25">
      <c r="D229" t="s">
        <v>75</v>
      </c>
      <c r="E229" t="s">
        <v>173</v>
      </c>
    </row>
    <row r="230" spans="4:5" x14ac:dyDescent="0.25">
      <c r="D230" t="s">
        <v>77</v>
      </c>
      <c r="E230" t="s">
        <v>145</v>
      </c>
    </row>
    <row r="231" spans="4:5" x14ac:dyDescent="0.25">
      <c r="D231" t="s">
        <v>225</v>
      </c>
    </row>
    <row r="233" spans="4:5" x14ac:dyDescent="0.25">
      <c r="D233" t="s">
        <v>73</v>
      </c>
      <c r="E233" t="s">
        <v>151</v>
      </c>
    </row>
    <row r="234" spans="4:5" x14ac:dyDescent="0.25">
      <c r="D234" t="s">
        <v>75</v>
      </c>
      <c r="E234" t="s">
        <v>76</v>
      </c>
    </row>
    <row r="235" spans="4:5" x14ac:dyDescent="0.25">
      <c r="D235" t="s">
        <v>77</v>
      </c>
      <c r="E235" t="s">
        <v>145</v>
      </c>
    </row>
    <row r="236" spans="4:5" x14ac:dyDescent="0.25">
      <c r="D236" t="s">
        <v>226</v>
      </c>
    </row>
    <row r="238" spans="4:5" x14ac:dyDescent="0.25">
      <c r="D238" t="s">
        <v>73</v>
      </c>
      <c r="E238" t="s">
        <v>151</v>
      </c>
    </row>
    <row r="239" spans="4:5" x14ac:dyDescent="0.25">
      <c r="D239" t="s">
        <v>75</v>
      </c>
      <c r="E239" t="s">
        <v>152</v>
      </c>
    </row>
    <row r="240" spans="4:5" x14ac:dyDescent="0.25">
      <c r="D240" t="s">
        <v>77</v>
      </c>
      <c r="E240" t="s">
        <v>145</v>
      </c>
    </row>
    <row r="241" spans="4:5" x14ac:dyDescent="0.25">
      <c r="D241" t="s">
        <v>227</v>
      </c>
    </row>
    <row r="243" spans="4:5" x14ac:dyDescent="0.25">
      <c r="D243" t="s">
        <v>73</v>
      </c>
      <c r="E243" t="s">
        <v>151</v>
      </c>
    </row>
    <row r="244" spans="4:5" x14ac:dyDescent="0.25">
      <c r="D244" t="s">
        <v>75</v>
      </c>
      <c r="E244" t="s">
        <v>174</v>
      </c>
    </row>
    <row r="245" spans="4:5" x14ac:dyDescent="0.25">
      <c r="D245" t="s">
        <v>77</v>
      </c>
      <c r="E245" t="s">
        <v>145</v>
      </c>
    </row>
    <row r="246" spans="4:5" x14ac:dyDescent="0.25">
      <c r="D246" t="s">
        <v>228</v>
      </c>
    </row>
    <row r="248" spans="4:5" x14ac:dyDescent="0.25">
      <c r="D248" t="s">
        <v>73</v>
      </c>
      <c r="E248" t="s">
        <v>74</v>
      </c>
    </row>
    <row r="249" spans="4:5" x14ac:dyDescent="0.25">
      <c r="D249" t="s">
        <v>75</v>
      </c>
      <c r="E249" t="s">
        <v>152</v>
      </c>
    </row>
    <row r="250" spans="4:5" x14ac:dyDescent="0.25">
      <c r="D250" t="s">
        <v>77</v>
      </c>
      <c r="E250" t="s">
        <v>145</v>
      </c>
    </row>
    <row r="251" spans="4:5" x14ac:dyDescent="0.25">
      <c r="D251" t="s">
        <v>229</v>
      </c>
    </row>
    <row r="253" spans="4:5" x14ac:dyDescent="0.25">
      <c r="D253" t="s">
        <v>73</v>
      </c>
      <c r="E253" t="s">
        <v>74</v>
      </c>
    </row>
    <row r="254" spans="4:5" x14ac:dyDescent="0.25">
      <c r="D254" t="s">
        <v>75</v>
      </c>
      <c r="E254" t="s">
        <v>174</v>
      </c>
    </row>
    <row r="255" spans="4:5" x14ac:dyDescent="0.25">
      <c r="D255" t="s">
        <v>77</v>
      </c>
      <c r="E255" t="s">
        <v>145</v>
      </c>
    </row>
    <row r="256" spans="4:5" x14ac:dyDescent="0.25">
      <c r="D256" t="s">
        <v>230</v>
      </c>
    </row>
    <row r="258" spans="4:5" x14ac:dyDescent="0.25">
      <c r="D258" t="s">
        <v>73</v>
      </c>
      <c r="E258" t="s">
        <v>153</v>
      </c>
    </row>
    <row r="259" spans="4:5" x14ac:dyDescent="0.25">
      <c r="D259" t="s">
        <v>75</v>
      </c>
      <c r="E259" t="s">
        <v>154</v>
      </c>
    </row>
    <row r="260" spans="4:5" x14ac:dyDescent="0.25">
      <c r="D260" t="s">
        <v>155</v>
      </c>
    </row>
    <row r="261" spans="4:5" x14ac:dyDescent="0.25">
      <c r="D261" t="s">
        <v>156</v>
      </c>
    </row>
    <row r="262" spans="4:5" x14ac:dyDescent="0.25">
      <c r="D262" t="s">
        <v>157</v>
      </c>
    </row>
    <row r="263" spans="4:5" x14ac:dyDescent="0.25">
      <c r="D263" t="s">
        <v>158</v>
      </c>
    </row>
    <row r="264" spans="4:5" x14ac:dyDescent="0.25">
      <c r="D264" t="s">
        <v>159</v>
      </c>
      <c r="E264" t="b">
        <v>0</v>
      </c>
    </row>
    <row r="265" spans="4:5" x14ac:dyDescent="0.25">
      <c r="D265" t="s">
        <v>160</v>
      </c>
      <c r="E265" t="s">
        <v>161</v>
      </c>
    </row>
    <row r="266" spans="4:5" x14ac:dyDescent="0.25">
      <c r="D266" t="s">
        <v>231</v>
      </c>
    </row>
    <row r="268" spans="4:5" x14ac:dyDescent="0.25">
      <c r="D268" t="s">
        <v>73</v>
      </c>
      <c r="E268" t="s">
        <v>153</v>
      </c>
    </row>
    <row r="269" spans="4:5" x14ac:dyDescent="0.25">
      <c r="D269" t="s">
        <v>75</v>
      </c>
      <c r="E269" t="s">
        <v>154</v>
      </c>
    </row>
    <row r="270" spans="4:5" x14ac:dyDescent="0.25">
      <c r="D270" t="s">
        <v>155</v>
      </c>
    </row>
    <row r="271" spans="4:5" x14ac:dyDescent="0.25">
      <c r="D271" t="s">
        <v>156</v>
      </c>
    </row>
    <row r="272" spans="4:5" x14ac:dyDescent="0.25">
      <c r="D272" t="s">
        <v>157</v>
      </c>
    </row>
    <row r="273" spans="4:5" x14ac:dyDescent="0.25">
      <c r="D273" t="s">
        <v>158</v>
      </c>
    </row>
    <row r="274" spans="4:5" x14ac:dyDescent="0.25">
      <c r="D274" t="s">
        <v>159</v>
      </c>
      <c r="E274" t="b">
        <v>1</v>
      </c>
    </row>
    <row r="275" spans="4:5" x14ac:dyDescent="0.25">
      <c r="D275" t="s">
        <v>160</v>
      </c>
      <c r="E275" t="s">
        <v>161</v>
      </c>
    </row>
    <row r="276" spans="4:5" x14ac:dyDescent="0.25">
      <c r="D276" t="s">
        <v>232</v>
      </c>
    </row>
    <row r="278" spans="4:5" x14ac:dyDescent="0.25">
      <c r="D278" t="s">
        <v>73</v>
      </c>
      <c r="E278" t="s">
        <v>74</v>
      </c>
    </row>
    <row r="279" spans="4:5" x14ac:dyDescent="0.25">
      <c r="D279" t="s">
        <v>75</v>
      </c>
      <c r="E279" t="s">
        <v>162</v>
      </c>
    </row>
    <row r="280" spans="4:5" x14ac:dyDescent="0.25">
      <c r="D280" t="s">
        <v>77</v>
      </c>
      <c r="E280" t="s">
        <v>54</v>
      </c>
    </row>
    <row r="281" spans="4:5" x14ac:dyDescent="0.25">
      <c r="D281" t="s">
        <v>78</v>
      </c>
      <c r="E281">
        <v>37</v>
      </c>
    </row>
    <row r="282" spans="4:5" x14ac:dyDescent="0.25">
      <c r="D282" t="s">
        <v>79</v>
      </c>
      <c r="E282">
        <v>0</v>
      </c>
    </row>
    <row r="283" spans="4:5" x14ac:dyDescent="0.25">
      <c r="D283" t="s">
        <v>233</v>
      </c>
    </row>
    <row r="285" spans="4:5" x14ac:dyDescent="0.25">
      <c r="D285" t="s">
        <v>73</v>
      </c>
      <c r="E285" t="s">
        <v>164</v>
      </c>
    </row>
    <row r="286" spans="4:5" x14ac:dyDescent="0.25">
      <c r="D286" t="s">
        <v>75</v>
      </c>
      <c r="E286" t="s">
        <v>165</v>
      </c>
    </row>
    <row r="287" spans="4:5" x14ac:dyDescent="0.25">
      <c r="D287" t="s">
        <v>166</v>
      </c>
      <c r="E287">
        <v>3600</v>
      </c>
    </row>
    <row r="288" spans="4:5" x14ac:dyDescent="0.25">
      <c r="D288" t="s">
        <v>234</v>
      </c>
    </row>
    <row r="290" spans="4:5" x14ac:dyDescent="0.25">
      <c r="D290" t="s">
        <v>73</v>
      </c>
      <c r="E290" t="s">
        <v>164</v>
      </c>
    </row>
    <row r="291" spans="4:5" x14ac:dyDescent="0.25">
      <c r="D291" t="s">
        <v>75</v>
      </c>
      <c r="E291" t="s">
        <v>167</v>
      </c>
    </row>
    <row r="292" spans="4:5" x14ac:dyDescent="0.25">
      <c r="D292" t="s">
        <v>235</v>
      </c>
    </row>
    <row r="294" spans="4:5" x14ac:dyDescent="0.25">
      <c r="D294" t="s">
        <v>73</v>
      </c>
      <c r="E294" t="s">
        <v>74</v>
      </c>
    </row>
    <row r="295" spans="4:5" x14ac:dyDescent="0.25">
      <c r="D295" t="s">
        <v>75</v>
      </c>
      <c r="E295" t="s">
        <v>175</v>
      </c>
    </row>
    <row r="296" spans="4:5" x14ac:dyDescent="0.25">
      <c r="D296" t="s">
        <v>77</v>
      </c>
      <c r="E296" t="s">
        <v>145</v>
      </c>
    </row>
    <row r="297" spans="4:5" x14ac:dyDescent="0.25">
      <c r="D297" t="s">
        <v>236</v>
      </c>
    </row>
    <row r="299" spans="4:5" x14ac:dyDescent="0.25">
      <c r="D299" t="s">
        <v>73</v>
      </c>
      <c r="E299" t="s">
        <v>151</v>
      </c>
    </row>
    <row r="300" spans="4:5" x14ac:dyDescent="0.25">
      <c r="D300" t="s">
        <v>75</v>
      </c>
      <c r="E300" t="s">
        <v>152</v>
      </c>
    </row>
    <row r="301" spans="4:5" x14ac:dyDescent="0.25">
      <c r="D301" t="s">
        <v>77</v>
      </c>
      <c r="E301" t="s">
        <v>145</v>
      </c>
    </row>
    <row r="302" spans="4:5" x14ac:dyDescent="0.25">
      <c r="D302" t="s">
        <v>237</v>
      </c>
    </row>
    <row r="304" spans="4:5" x14ac:dyDescent="0.25">
      <c r="D304" t="s">
        <v>73</v>
      </c>
      <c r="E304" t="s">
        <v>151</v>
      </c>
    </row>
    <row r="305" spans="4:5" x14ac:dyDescent="0.25">
      <c r="D305" t="s">
        <v>75</v>
      </c>
      <c r="E305" t="s">
        <v>174</v>
      </c>
    </row>
    <row r="306" spans="4:5" x14ac:dyDescent="0.25">
      <c r="D306" t="s">
        <v>77</v>
      </c>
      <c r="E306" t="s">
        <v>145</v>
      </c>
    </row>
    <row r="307" spans="4:5" x14ac:dyDescent="0.25">
      <c r="D307" t="s">
        <v>238</v>
      </c>
    </row>
    <row r="309" spans="4:5" x14ac:dyDescent="0.25">
      <c r="D309" t="s">
        <v>73</v>
      </c>
      <c r="E309" t="s">
        <v>74</v>
      </c>
    </row>
    <row r="310" spans="4:5" x14ac:dyDescent="0.25">
      <c r="D310" t="s">
        <v>75</v>
      </c>
      <c r="E310" t="s">
        <v>152</v>
      </c>
    </row>
    <row r="311" spans="4:5" x14ac:dyDescent="0.25">
      <c r="D311" t="s">
        <v>77</v>
      </c>
      <c r="E311" t="s">
        <v>145</v>
      </c>
    </row>
    <row r="312" spans="4:5" x14ac:dyDescent="0.25">
      <c r="D312" t="s">
        <v>239</v>
      </c>
    </row>
    <row r="314" spans="4:5" x14ac:dyDescent="0.25">
      <c r="D314" t="s">
        <v>73</v>
      </c>
      <c r="E314" t="s">
        <v>74</v>
      </c>
    </row>
    <row r="315" spans="4:5" x14ac:dyDescent="0.25">
      <c r="D315" t="s">
        <v>75</v>
      </c>
      <c r="E315" t="s">
        <v>174</v>
      </c>
    </row>
    <row r="316" spans="4:5" x14ac:dyDescent="0.25">
      <c r="D316" t="s">
        <v>77</v>
      </c>
      <c r="E316" t="s">
        <v>145</v>
      </c>
    </row>
    <row r="317" spans="4:5" x14ac:dyDescent="0.25">
      <c r="D317" t="s">
        <v>240</v>
      </c>
    </row>
    <row r="319" spans="4:5" x14ac:dyDescent="0.25">
      <c r="D319" t="s">
        <v>73</v>
      </c>
      <c r="E319" t="s">
        <v>142</v>
      </c>
    </row>
    <row r="320" spans="4:5" x14ac:dyDescent="0.25">
      <c r="D320" t="s">
        <v>75</v>
      </c>
      <c r="E320" t="s">
        <v>143</v>
      </c>
    </row>
    <row r="321" spans="4:5" x14ac:dyDescent="0.25">
      <c r="D321" t="s">
        <v>144</v>
      </c>
      <c r="E321" t="s">
        <v>145</v>
      </c>
    </row>
    <row r="322" spans="4:5" x14ac:dyDescent="0.25">
      <c r="D322" t="s">
        <v>241</v>
      </c>
    </row>
    <row r="324" spans="4:5" x14ac:dyDescent="0.25">
      <c r="D324" t="s">
        <v>73</v>
      </c>
      <c r="E324" t="s">
        <v>142</v>
      </c>
    </row>
    <row r="325" spans="4:5" x14ac:dyDescent="0.25">
      <c r="D325" t="s">
        <v>75</v>
      </c>
      <c r="E325" t="s">
        <v>147</v>
      </c>
    </row>
    <row r="326" spans="4:5" x14ac:dyDescent="0.25">
      <c r="D326" t="s">
        <v>144</v>
      </c>
      <c r="E326" t="s">
        <v>145</v>
      </c>
    </row>
    <row r="327" spans="4:5" x14ac:dyDescent="0.25">
      <c r="D327" t="s">
        <v>242</v>
      </c>
    </row>
    <row r="329" spans="4:5" x14ac:dyDescent="0.25">
      <c r="D329" t="s">
        <v>73</v>
      </c>
      <c r="E329" t="s">
        <v>74</v>
      </c>
    </row>
    <row r="330" spans="4:5" x14ac:dyDescent="0.25">
      <c r="D330" t="s">
        <v>75</v>
      </c>
      <c r="E330" t="s">
        <v>149</v>
      </c>
    </row>
    <row r="331" spans="4:5" x14ac:dyDescent="0.25">
      <c r="D331" t="s">
        <v>77</v>
      </c>
      <c r="E331" t="s">
        <v>145</v>
      </c>
    </row>
    <row r="332" spans="4:5" x14ac:dyDescent="0.25">
      <c r="D332" t="s">
        <v>243</v>
      </c>
    </row>
    <row r="334" spans="4:5" x14ac:dyDescent="0.25">
      <c r="D334" t="s">
        <v>73</v>
      </c>
      <c r="E334" t="s">
        <v>74</v>
      </c>
    </row>
    <row r="335" spans="4:5" x14ac:dyDescent="0.25">
      <c r="D335" t="s">
        <v>75</v>
      </c>
      <c r="E335" t="s">
        <v>173</v>
      </c>
    </row>
    <row r="336" spans="4:5" x14ac:dyDescent="0.25">
      <c r="D336" t="s">
        <v>77</v>
      </c>
      <c r="E336" t="s">
        <v>145</v>
      </c>
    </row>
    <row r="337" spans="4:5" x14ac:dyDescent="0.25">
      <c r="D337" t="s">
        <v>244</v>
      </c>
    </row>
    <row r="339" spans="4:5" x14ac:dyDescent="0.25">
      <c r="D339" t="s">
        <v>73</v>
      </c>
      <c r="E339" t="s">
        <v>153</v>
      </c>
    </row>
    <row r="340" spans="4:5" x14ac:dyDescent="0.25">
      <c r="D340" t="s">
        <v>75</v>
      </c>
      <c r="E340" t="s">
        <v>154</v>
      </c>
    </row>
    <row r="341" spans="4:5" x14ac:dyDescent="0.25">
      <c r="D341" t="s">
        <v>155</v>
      </c>
    </row>
    <row r="342" spans="4:5" x14ac:dyDescent="0.25">
      <c r="D342" t="s">
        <v>156</v>
      </c>
    </row>
    <row r="343" spans="4:5" x14ac:dyDescent="0.25">
      <c r="D343" t="s">
        <v>157</v>
      </c>
    </row>
    <row r="344" spans="4:5" x14ac:dyDescent="0.25">
      <c r="D344" t="s">
        <v>158</v>
      </c>
    </row>
    <row r="345" spans="4:5" x14ac:dyDescent="0.25">
      <c r="D345" t="s">
        <v>159</v>
      </c>
      <c r="E345" t="b">
        <v>0</v>
      </c>
    </row>
    <row r="346" spans="4:5" x14ac:dyDescent="0.25">
      <c r="D346" t="s">
        <v>160</v>
      </c>
      <c r="E346" t="s">
        <v>163</v>
      </c>
    </row>
    <row r="347" spans="4:5" x14ac:dyDescent="0.25">
      <c r="D347" t="s">
        <v>245</v>
      </c>
    </row>
    <row r="349" spans="4:5" x14ac:dyDescent="0.25">
      <c r="D349" t="s">
        <v>73</v>
      </c>
      <c r="E349" t="s">
        <v>153</v>
      </c>
    </row>
    <row r="350" spans="4:5" x14ac:dyDescent="0.25">
      <c r="D350" t="s">
        <v>75</v>
      </c>
      <c r="E350" t="s">
        <v>154</v>
      </c>
    </row>
    <row r="351" spans="4:5" x14ac:dyDescent="0.25">
      <c r="D351" t="s">
        <v>155</v>
      </c>
    </row>
    <row r="352" spans="4:5" x14ac:dyDescent="0.25">
      <c r="D352" t="s">
        <v>156</v>
      </c>
    </row>
    <row r="353" spans="4:5" x14ac:dyDescent="0.25">
      <c r="D353" t="s">
        <v>157</v>
      </c>
    </row>
    <row r="354" spans="4:5" x14ac:dyDescent="0.25">
      <c r="D354" t="s">
        <v>158</v>
      </c>
    </row>
    <row r="355" spans="4:5" x14ac:dyDescent="0.25">
      <c r="D355" t="s">
        <v>159</v>
      </c>
      <c r="E355" t="b">
        <v>1</v>
      </c>
    </row>
    <row r="356" spans="4:5" x14ac:dyDescent="0.25">
      <c r="D356" t="s">
        <v>160</v>
      </c>
      <c r="E356" t="s">
        <v>163</v>
      </c>
    </row>
    <row r="357" spans="4:5" x14ac:dyDescent="0.25">
      <c r="D357" t="s">
        <v>246</v>
      </c>
    </row>
    <row r="359" spans="4:5" x14ac:dyDescent="0.25">
      <c r="D359" t="s">
        <v>73</v>
      </c>
      <c r="E359" t="s">
        <v>74</v>
      </c>
    </row>
    <row r="360" spans="4:5" x14ac:dyDescent="0.25">
      <c r="D360" t="s">
        <v>75</v>
      </c>
      <c r="E360" t="s">
        <v>176</v>
      </c>
    </row>
    <row r="361" spans="4:5" x14ac:dyDescent="0.25">
      <c r="D361" t="s">
        <v>77</v>
      </c>
      <c r="E361" t="s">
        <v>145</v>
      </c>
    </row>
    <row r="363" spans="4:5" x14ac:dyDescent="0.25">
      <c r="D363" t="s">
        <v>73</v>
      </c>
      <c r="E363" t="s">
        <v>151</v>
      </c>
    </row>
    <row r="364" spans="4:5" x14ac:dyDescent="0.25">
      <c r="D364" t="s">
        <v>75</v>
      </c>
      <c r="E364" t="s">
        <v>176</v>
      </c>
    </row>
    <row r="365" spans="4:5" x14ac:dyDescent="0.25">
      <c r="D365" t="s">
        <v>77</v>
      </c>
      <c r="E365" t="s">
        <v>145</v>
      </c>
    </row>
    <row r="366" spans="4:5" x14ac:dyDescent="0.25">
      <c r="D366" t="s">
        <v>247</v>
      </c>
    </row>
    <row r="371" spans="2:6" x14ac:dyDescent="0.25">
      <c r="B371" t="s">
        <v>116</v>
      </c>
    </row>
    <row r="372" spans="2:6" x14ac:dyDescent="0.25">
      <c r="B372" t="s">
        <v>252</v>
      </c>
    </row>
    <row r="373" spans="2:6" x14ac:dyDescent="0.25">
      <c r="B373" t="s">
        <v>127</v>
      </c>
    </row>
    <row r="374" spans="2:6" x14ac:dyDescent="0.25">
      <c r="B374" t="s">
        <v>128</v>
      </c>
    </row>
    <row r="375" spans="2:6" x14ac:dyDescent="0.25">
      <c r="B375" t="s">
        <v>120</v>
      </c>
    </row>
    <row r="376" spans="2:6" x14ac:dyDescent="0.25">
      <c r="B376" t="s">
        <v>129</v>
      </c>
    </row>
    <row r="377" spans="2:6" x14ac:dyDescent="0.25">
      <c r="B377" t="s">
        <v>122</v>
      </c>
    </row>
    <row r="379" spans="2:6" x14ac:dyDescent="0.25">
      <c r="C379" t="s">
        <v>84</v>
      </c>
    </row>
    <row r="381" spans="2:6" x14ac:dyDescent="0.25">
      <c r="D381" t="s">
        <v>73</v>
      </c>
      <c r="E381" t="s">
        <v>93</v>
      </c>
    </row>
    <row r="382" spans="2:6" x14ac:dyDescent="0.25">
      <c r="D382" t="s">
        <v>75</v>
      </c>
      <c r="E382" t="s">
        <v>94</v>
      </c>
    </row>
    <row r="383" spans="2:6" x14ac:dyDescent="0.25">
      <c r="D383" t="s">
        <v>95</v>
      </c>
      <c r="E383">
        <v>5</v>
      </c>
      <c r="F383">
        <v>5</v>
      </c>
    </row>
    <row r="384" spans="2:6" x14ac:dyDescent="0.25">
      <c r="D384" t="s">
        <v>96</v>
      </c>
      <c r="E384" t="s">
        <v>97</v>
      </c>
      <c r="F384" t="s">
        <v>98</v>
      </c>
    </row>
    <row r="385" spans="4:6" x14ac:dyDescent="0.25">
      <c r="D385" t="s">
        <v>248</v>
      </c>
    </row>
    <row r="387" spans="4:6" x14ac:dyDescent="0.25">
      <c r="D387" t="s">
        <v>73</v>
      </c>
      <c r="E387" t="s">
        <v>93</v>
      </c>
    </row>
    <row r="388" spans="4:6" x14ac:dyDescent="0.25">
      <c r="D388" t="s">
        <v>75</v>
      </c>
      <c r="E388" t="s">
        <v>100</v>
      </c>
    </row>
    <row r="389" spans="4:6" x14ac:dyDescent="0.25">
      <c r="D389" t="s">
        <v>95</v>
      </c>
      <c r="E389">
        <v>5</v>
      </c>
      <c r="F389">
        <v>5</v>
      </c>
    </row>
    <row r="390" spans="4:6" x14ac:dyDescent="0.25">
      <c r="D390" t="s">
        <v>249</v>
      </c>
    </row>
    <row r="392" spans="4:6" x14ac:dyDescent="0.25">
      <c r="D392" t="s">
        <v>73</v>
      </c>
      <c r="E392" t="s">
        <v>93</v>
      </c>
    </row>
    <row r="393" spans="4:6" x14ac:dyDescent="0.25">
      <c r="D393" t="s">
        <v>75</v>
      </c>
      <c r="E393" t="s">
        <v>102</v>
      </c>
    </row>
    <row r="394" spans="4:6" x14ac:dyDescent="0.25">
      <c r="D394" t="s">
        <v>103</v>
      </c>
      <c r="E394" t="s">
        <v>54</v>
      </c>
      <c r="F394" t="s">
        <v>54</v>
      </c>
    </row>
    <row r="395" spans="4:6" x14ac:dyDescent="0.25">
      <c r="D395" t="s">
        <v>104</v>
      </c>
      <c r="E395">
        <v>1</v>
      </c>
      <c r="F395">
        <v>2</v>
      </c>
    </row>
    <row r="396" spans="4:6" x14ac:dyDescent="0.25">
      <c r="D396" t="s">
        <v>105</v>
      </c>
      <c r="E396" t="s">
        <v>66</v>
      </c>
      <c r="F396" t="s">
        <v>66</v>
      </c>
    </row>
    <row r="397" spans="4:6" x14ac:dyDescent="0.25">
      <c r="D397" t="s">
        <v>106</v>
      </c>
      <c r="E397">
        <v>1</v>
      </c>
      <c r="F397">
        <v>2</v>
      </c>
    </row>
    <row r="398" spans="4:6" x14ac:dyDescent="0.25">
      <c r="D398" t="s">
        <v>95</v>
      </c>
      <c r="E398">
        <v>5</v>
      </c>
      <c r="F398">
        <v>5</v>
      </c>
    </row>
    <row r="399" spans="4:6" x14ac:dyDescent="0.25">
      <c r="D399" t="s">
        <v>107</v>
      </c>
      <c r="E399">
        <v>110</v>
      </c>
      <c r="F399">
        <v>110</v>
      </c>
    </row>
    <row r="400" spans="4:6" x14ac:dyDescent="0.25">
      <c r="D400" t="s">
        <v>108</v>
      </c>
      <c r="E400" t="s">
        <v>26</v>
      </c>
      <c r="F400" t="s">
        <v>26</v>
      </c>
    </row>
    <row r="401" spans="2:5" x14ac:dyDescent="0.25">
      <c r="D401" t="s">
        <v>109</v>
      </c>
    </row>
    <row r="402" spans="2:5" x14ac:dyDescent="0.25">
      <c r="D402" t="s">
        <v>110</v>
      </c>
    </row>
    <row r="403" spans="2:5" x14ac:dyDescent="0.25">
      <c r="D403" t="s">
        <v>172</v>
      </c>
      <c r="E403">
        <v>0</v>
      </c>
    </row>
    <row r="404" spans="2:5" x14ac:dyDescent="0.25">
      <c r="D404" t="s">
        <v>111</v>
      </c>
      <c r="E404" t="s">
        <v>161</v>
      </c>
    </row>
    <row r="405" spans="2:5" x14ac:dyDescent="0.25">
      <c r="D405" t="s">
        <v>250</v>
      </c>
    </row>
    <row r="410" spans="2:5" x14ac:dyDescent="0.25">
      <c r="B410" t="s">
        <v>116</v>
      </c>
    </row>
    <row r="411" spans="2:5" x14ac:dyDescent="0.25">
      <c r="B411" t="s">
        <v>253</v>
      </c>
    </row>
    <row r="412" spans="2:5" x14ac:dyDescent="0.25">
      <c r="B412" t="s">
        <v>133</v>
      </c>
    </row>
    <row r="413" spans="2:5" x14ac:dyDescent="0.25">
      <c r="B413" t="s">
        <v>134</v>
      </c>
    </row>
    <row r="414" spans="2:5" x14ac:dyDescent="0.25">
      <c r="B414" t="s">
        <v>120</v>
      </c>
    </row>
    <row r="415" spans="2:5" x14ac:dyDescent="0.25">
      <c r="B415" t="s">
        <v>121</v>
      </c>
    </row>
    <row r="416" spans="2:5" x14ac:dyDescent="0.25">
      <c r="B416" t="s">
        <v>122</v>
      </c>
    </row>
    <row r="418" spans="3:6" x14ac:dyDescent="0.25">
      <c r="C418" t="s">
        <v>84</v>
      </c>
    </row>
    <row r="420" spans="3:6" x14ac:dyDescent="0.25">
      <c r="D420" t="s">
        <v>73</v>
      </c>
      <c r="E420" t="s">
        <v>93</v>
      </c>
    </row>
    <row r="421" spans="3:6" x14ac:dyDescent="0.25">
      <c r="D421" t="s">
        <v>75</v>
      </c>
      <c r="E421" t="s">
        <v>94</v>
      </c>
    </row>
    <row r="422" spans="3:6" x14ac:dyDescent="0.25">
      <c r="D422" t="s">
        <v>95</v>
      </c>
      <c r="E422">
        <v>10</v>
      </c>
      <c r="F422">
        <v>10</v>
      </c>
    </row>
    <row r="423" spans="3:6" x14ac:dyDescent="0.25">
      <c r="D423" t="s">
        <v>96</v>
      </c>
      <c r="E423" t="s">
        <v>97</v>
      </c>
      <c r="F423" t="s">
        <v>98</v>
      </c>
    </row>
    <row r="424" spans="3:6" x14ac:dyDescent="0.25">
      <c r="D424" t="s">
        <v>146</v>
      </c>
    </row>
    <row r="426" spans="3:6" x14ac:dyDescent="0.25">
      <c r="D426" t="s">
        <v>73</v>
      </c>
      <c r="E426" t="s">
        <v>93</v>
      </c>
    </row>
    <row r="427" spans="3:6" x14ac:dyDescent="0.25">
      <c r="D427" t="s">
        <v>75</v>
      </c>
      <c r="E427" t="s">
        <v>100</v>
      </c>
    </row>
    <row r="428" spans="3:6" x14ac:dyDescent="0.25">
      <c r="D428" t="s">
        <v>95</v>
      </c>
      <c r="E428">
        <v>10</v>
      </c>
      <c r="F428">
        <v>10</v>
      </c>
    </row>
    <row r="429" spans="3:6" x14ac:dyDescent="0.25">
      <c r="D429" t="s">
        <v>148</v>
      </c>
    </row>
    <row r="431" spans="3:6" x14ac:dyDescent="0.25">
      <c r="D431" t="s">
        <v>73</v>
      </c>
      <c r="E431" t="s">
        <v>93</v>
      </c>
    </row>
    <row r="432" spans="3:6" x14ac:dyDescent="0.25">
      <c r="D432" t="s">
        <v>75</v>
      </c>
      <c r="E432" t="s">
        <v>102</v>
      </c>
    </row>
    <row r="433" spans="4:6" x14ac:dyDescent="0.25">
      <c r="D433" t="s">
        <v>103</v>
      </c>
      <c r="E433" t="s">
        <v>54</v>
      </c>
      <c r="F433" t="s">
        <v>54</v>
      </c>
    </row>
    <row r="434" spans="4:6" x14ac:dyDescent="0.25">
      <c r="D434" t="s">
        <v>104</v>
      </c>
      <c r="E434">
        <v>1</v>
      </c>
      <c r="F434">
        <v>2</v>
      </c>
    </row>
    <row r="435" spans="4:6" x14ac:dyDescent="0.25">
      <c r="D435" t="s">
        <v>105</v>
      </c>
      <c r="E435" t="s">
        <v>67</v>
      </c>
      <c r="F435" t="s">
        <v>67</v>
      </c>
    </row>
    <row r="436" spans="4:6" x14ac:dyDescent="0.25">
      <c r="D436" t="s">
        <v>106</v>
      </c>
      <c r="E436">
        <v>1</v>
      </c>
      <c r="F436">
        <v>2</v>
      </c>
    </row>
    <row r="437" spans="4:6" x14ac:dyDescent="0.25">
      <c r="D437" t="s">
        <v>95</v>
      </c>
      <c r="E437">
        <v>10</v>
      </c>
      <c r="F437">
        <v>10</v>
      </c>
    </row>
    <row r="438" spans="4:6" x14ac:dyDescent="0.25">
      <c r="D438" t="s">
        <v>107</v>
      </c>
      <c r="E438">
        <v>115</v>
      </c>
      <c r="F438">
        <v>115</v>
      </c>
    </row>
    <row r="439" spans="4:6" x14ac:dyDescent="0.25">
      <c r="D439" t="s">
        <v>108</v>
      </c>
      <c r="E439" t="s">
        <v>26</v>
      </c>
      <c r="F439" t="s">
        <v>26</v>
      </c>
    </row>
    <row r="440" spans="4:6" x14ac:dyDescent="0.25">
      <c r="D440" t="s">
        <v>109</v>
      </c>
    </row>
    <row r="441" spans="4:6" x14ac:dyDescent="0.25">
      <c r="D441" t="s">
        <v>110</v>
      </c>
    </row>
    <row r="442" spans="4:6" x14ac:dyDescent="0.25">
      <c r="D442" t="s">
        <v>172</v>
      </c>
      <c r="E442">
        <v>0</v>
      </c>
    </row>
    <row r="443" spans="4:6" x14ac:dyDescent="0.25">
      <c r="D443" t="s">
        <v>111</v>
      </c>
      <c r="E443" t="s">
        <v>161</v>
      </c>
    </row>
    <row r="444" spans="4:6" x14ac:dyDescent="0.25">
      <c r="D444" t="s">
        <v>150</v>
      </c>
    </row>
    <row r="446" spans="4:6" x14ac:dyDescent="0.25">
      <c r="D446" t="s">
        <v>73</v>
      </c>
      <c r="E446" t="s">
        <v>177</v>
      </c>
    </row>
    <row r="447" spans="4:6" x14ac:dyDescent="0.25">
      <c r="D447" t="s">
        <v>75</v>
      </c>
      <c r="E447" t="s">
        <v>178</v>
      </c>
    </row>
    <row r="448" spans="4:6" x14ac:dyDescent="0.25">
      <c r="D448" t="s">
        <v>179</v>
      </c>
    </row>
    <row r="450" spans="4:18" x14ac:dyDescent="0.25">
      <c r="D450" t="s">
        <v>73</v>
      </c>
      <c r="E450" t="s">
        <v>177</v>
      </c>
    </row>
    <row r="451" spans="4:18" x14ac:dyDescent="0.25">
      <c r="D451" t="s">
        <v>75</v>
      </c>
      <c r="E451" t="s">
        <v>142</v>
      </c>
    </row>
    <row r="452" spans="4:18" x14ac:dyDescent="0.25">
      <c r="D452" t="s">
        <v>180</v>
      </c>
      <c r="E452" t="s">
        <v>54</v>
      </c>
      <c r="F452" t="s">
        <v>50</v>
      </c>
      <c r="G452" t="s">
        <v>66</v>
      </c>
      <c r="H452" t="s">
        <v>67</v>
      </c>
      <c r="I452" t="s">
        <v>57</v>
      </c>
      <c r="J452" t="s">
        <v>63</v>
      </c>
    </row>
    <row r="453" spans="4:18" x14ac:dyDescent="0.25">
      <c r="D453" t="s">
        <v>181</v>
      </c>
      <c r="E453" t="s">
        <v>182</v>
      </c>
      <c r="F453" t="s">
        <v>183</v>
      </c>
      <c r="G453" t="s">
        <v>184</v>
      </c>
      <c r="H453" t="s">
        <v>185</v>
      </c>
      <c r="I453" t="s">
        <v>186</v>
      </c>
      <c r="J453" t="s">
        <v>187</v>
      </c>
    </row>
    <row r="454" spans="4:18" x14ac:dyDescent="0.25">
      <c r="D454" t="s">
        <v>188</v>
      </c>
      <c r="E454" t="s">
        <v>189</v>
      </c>
      <c r="F454" t="b">
        <v>0</v>
      </c>
      <c r="G454" t="b">
        <v>1</v>
      </c>
      <c r="H454" t="b">
        <v>1</v>
      </c>
      <c r="I454" t="b">
        <v>0</v>
      </c>
      <c r="J454" t="b">
        <v>0</v>
      </c>
    </row>
    <row r="455" spans="4:18" x14ac:dyDescent="0.25">
      <c r="D455" t="s">
        <v>190</v>
      </c>
      <c r="E455" t="s">
        <v>191</v>
      </c>
      <c r="F455" t="s">
        <v>192</v>
      </c>
      <c r="G455" t="s">
        <v>184</v>
      </c>
      <c r="H455" t="s">
        <v>185</v>
      </c>
      <c r="I455" t="s">
        <v>186</v>
      </c>
      <c r="J455" t="s">
        <v>187</v>
      </c>
    </row>
    <row r="456" spans="4:18" x14ac:dyDescent="0.25">
      <c r="D456" t="s">
        <v>193</v>
      </c>
      <c r="E456">
        <v>135</v>
      </c>
      <c r="F456">
        <v>15.554603999999999</v>
      </c>
      <c r="G456">
        <v>170</v>
      </c>
      <c r="H456">
        <v>190</v>
      </c>
      <c r="I456">
        <v>2660.7423266666601</v>
      </c>
      <c r="J456">
        <v>2520</v>
      </c>
    </row>
    <row r="457" spans="4:18" x14ac:dyDescent="0.25">
      <c r="D457" t="s">
        <v>194</v>
      </c>
      <c r="E457" t="s">
        <v>3</v>
      </c>
      <c r="F457" t="s">
        <v>3</v>
      </c>
      <c r="G457" t="s">
        <v>195</v>
      </c>
      <c r="H457" t="s">
        <v>195</v>
      </c>
      <c r="I457" t="s">
        <v>196</v>
      </c>
      <c r="J457" t="s">
        <v>196</v>
      </c>
    </row>
    <row r="458" spans="4:18" x14ac:dyDescent="0.25">
      <c r="D458" t="s">
        <v>197</v>
      </c>
      <c r="E458" t="s">
        <v>37</v>
      </c>
      <c r="F458" t="s">
        <v>37</v>
      </c>
      <c r="G458" t="s">
        <v>198</v>
      </c>
      <c r="H458" t="s">
        <v>198</v>
      </c>
      <c r="I458" t="s">
        <v>198</v>
      </c>
      <c r="J458" t="s">
        <v>198</v>
      </c>
    </row>
    <row r="459" spans="4:18" x14ac:dyDescent="0.25">
      <c r="D459" t="s">
        <v>199</v>
      </c>
      <c r="E459" t="s">
        <v>200</v>
      </c>
      <c r="F459" t="s">
        <v>200</v>
      </c>
      <c r="G459" t="s">
        <v>201</v>
      </c>
      <c r="H459" t="s">
        <v>201</v>
      </c>
      <c r="I459" t="s">
        <v>196</v>
      </c>
      <c r="J459" t="s">
        <v>202</v>
      </c>
    </row>
    <row r="461" spans="4:18" x14ac:dyDescent="0.25">
      <c r="D461" t="s">
        <v>73</v>
      </c>
      <c r="E461" t="s">
        <v>177</v>
      </c>
    </row>
    <row r="462" spans="4:18" x14ac:dyDescent="0.25">
      <c r="D462" t="s">
        <v>75</v>
      </c>
      <c r="E462" t="s">
        <v>93</v>
      </c>
    </row>
    <row r="463" spans="4:18" x14ac:dyDescent="0.25">
      <c r="D463" t="s">
        <v>193</v>
      </c>
      <c r="E463">
        <v>79.445396000000002</v>
      </c>
      <c r="F463">
        <v>81.296930666666597</v>
      </c>
      <c r="G463">
        <v>5.5546040000000003</v>
      </c>
      <c r="H463">
        <v>3.70306933333333</v>
      </c>
      <c r="I463">
        <v>10</v>
      </c>
      <c r="J463">
        <v>10</v>
      </c>
      <c r="K463">
        <v>5</v>
      </c>
      <c r="L463">
        <v>5</v>
      </c>
      <c r="M463">
        <v>10</v>
      </c>
      <c r="N463">
        <v>10</v>
      </c>
      <c r="O463">
        <v>5</v>
      </c>
      <c r="P463">
        <v>5</v>
      </c>
      <c r="Q463">
        <v>10</v>
      </c>
      <c r="R463">
        <v>10</v>
      </c>
    </row>
    <row r="465" spans="4:5" x14ac:dyDescent="0.25">
      <c r="D465" t="s">
        <v>73</v>
      </c>
      <c r="E465" t="s">
        <v>177</v>
      </c>
    </row>
    <row r="466" spans="4:5" x14ac:dyDescent="0.25">
      <c r="D466" t="s">
        <v>75</v>
      </c>
      <c r="E466" t="s">
        <v>203</v>
      </c>
    </row>
    <row r="468" spans="4:5" x14ac:dyDescent="0.25">
      <c r="D468" t="s">
        <v>73</v>
      </c>
      <c r="E468" t="s">
        <v>177</v>
      </c>
    </row>
    <row r="469" spans="4:5" x14ac:dyDescent="0.25">
      <c r="D469" t="s">
        <v>75</v>
      </c>
      <c r="E469" t="s">
        <v>204</v>
      </c>
    </row>
    <row r="471" spans="4:5" x14ac:dyDescent="0.25">
      <c r="D471" t="s">
        <v>73</v>
      </c>
      <c r="E471" t="s">
        <v>177</v>
      </c>
    </row>
    <row r="472" spans="4:5" x14ac:dyDescent="0.25">
      <c r="D472" t="s">
        <v>75</v>
      </c>
      <c r="E472" t="s">
        <v>205</v>
      </c>
    </row>
    <row r="474" spans="4:5" x14ac:dyDescent="0.25">
      <c r="D474" t="s">
        <v>73</v>
      </c>
      <c r="E474" t="s">
        <v>177</v>
      </c>
    </row>
    <row r="475" spans="4:5" x14ac:dyDescent="0.25">
      <c r="D475" t="s">
        <v>75</v>
      </c>
      <c r="E475" t="s">
        <v>206</v>
      </c>
    </row>
    <row r="477" spans="4:5" x14ac:dyDescent="0.25">
      <c r="D477" t="s">
        <v>73</v>
      </c>
      <c r="E477" t="s">
        <v>177</v>
      </c>
    </row>
    <row r="478" spans="4:5" x14ac:dyDescent="0.25">
      <c r="D478" t="s">
        <v>75</v>
      </c>
      <c r="E478" t="s">
        <v>207</v>
      </c>
    </row>
    <row r="480" spans="4:5" x14ac:dyDescent="0.25">
      <c r="D480" t="s">
        <v>73</v>
      </c>
      <c r="E480" t="s">
        <v>177</v>
      </c>
    </row>
    <row r="481" spans="4:5" x14ac:dyDescent="0.25">
      <c r="D481" t="s">
        <v>75</v>
      </c>
      <c r="E481" t="s">
        <v>208</v>
      </c>
    </row>
    <row r="483" spans="4:5" x14ac:dyDescent="0.25">
      <c r="D483" t="s">
        <v>73</v>
      </c>
      <c r="E483" t="s">
        <v>177</v>
      </c>
    </row>
    <row r="484" spans="4:5" x14ac:dyDescent="0.25">
      <c r="D484" t="s">
        <v>75</v>
      </c>
      <c r="E484" t="s">
        <v>218</v>
      </c>
    </row>
    <row r="485" spans="4:5" x14ac:dyDescent="0.25">
      <c r="D485" t="s">
        <v>219</v>
      </c>
      <c r="E485" t="s">
        <v>85</v>
      </c>
    </row>
    <row r="486" spans="4:5" x14ac:dyDescent="0.25">
      <c r="D486" t="s">
        <v>220</v>
      </c>
      <c r="E486" t="s">
        <v>254</v>
      </c>
    </row>
    <row r="488" spans="4:5" x14ac:dyDescent="0.25">
      <c r="D488" t="s">
        <v>209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RunLog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2022-03-29T00:37:29Z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