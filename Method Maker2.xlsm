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00BA7C28-DAAE-49A8-A77A-04014D555517}" xr6:coauthVersionLast="46" xr6:coauthVersionMax="46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___Dropdown values" sheetId="4" state="hidden" r:id="rId1"/>
    <sheet name="Method" sheetId="2" r:id="rId2"/>
    <sheet name="Worklist" sheetId="3" r:id="rId3"/>
    <sheet name="RunLog" sheetId="17" r:id="rId4"/>
    <sheet name="TestLog" sheetId="16" r:id="rId5"/>
    <sheet name="PrepList" sheetId="1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I3" i="3" s="1"/>
  <c r="J3" i="3" s="1"/>
  <c r="G2" i="3"/>
  <c r="I2" i="3" s="1"/>
  <c r="J2" i="3" s="1"/>
  <c r="A3" i="3" l="1"/>
  <c r="C3" i="3" s="1"/>
  <c r="A2" i="3"/>
  <c r="C2" i="3" s="1"/>
</calcChain>
</file>

<file path=xl/sharedStrings.xml><?xml version="1.0" encoding="utf-8"?>
<sst xmlns="http://schemas.openxmlformats.org/spreadsheetml/2006/main" count="223" uniqueCount="114">
  <si>
    <t>Liquid Transfer</t>
  </si>
  <si>
    <t>Name</t>
  </si>
  <si>
    <t>Plate</t>
  </si>
  <si>
    <t>Diluent</t>
  </si>
  <si>
    <t>Desalt</t>
  </si>
  <si>
    <t>Start Method Below</t>
  </si>
  <si>
    <t>Volume (uL)</t>
  </si>
  <si>
    <t>Sample</t>
  </si>
  <si>
    <t>Enzyme</t>
  </si>
  <si>
    <t>Comments</t>
  </si>
  <si>
    <t>Dilute</t>
  </si>
  <si>
    <t>Description</t>
  </si>
  <si>
    <t>Concentration</t>
  </si>
  <si>
    <t>Notify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</si>
  <si>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</si>
  <si>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</si>
  <si>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</si>
  <si>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</si>
  <si>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</si>
  <si>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</si>
  <si>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</si>
  <si>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</si>
  <si>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</si>
  <si>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</si>
  <si>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Source</t>
  </si>
  <si>
    <t>Incubate</t>
  </si>
  <si>
    <t>DISABLED: Incubate</t>
  </si>
  <si>
    <t>Mix?</t>
  </si>
  <si>
    <t>Yes</t>
  </si>
  <si>
    <t>No</t>
  </si>
  <si>
    <t>This plate is always included. Method workflow requires the samples start in a 96well plate (For Now)</t>
  </si>
  <si>
    <t>Cooler Store</t>
  </si>
  <si>
    <t>DISABLED: Cooler Store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</si>
  <si>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</si>
  <si>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</si>
  <si>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</si>
  <si>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</si>
  <si>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</si>
  <si>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</si>
  <si>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</si>
  <si>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</si>
  <si>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</si>
  <si>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</si>
  <si>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</si>
  <si>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</si>
  <si>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</si>
  <si>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</si>
  <si>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</si>
  <si>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</si>
  <si>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</si>
  <si>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</si>
  <si>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</si>
  <si>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Starting Position</t>
  </si>
  <si>
    <t>Sample Start Position</t>
  </si>
  <si>
    <t>Plate Start Position (A1)</t>
  </si>
  <si>
    <t>Sample Location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</si>
  <si>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</si>
  <si>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</si>
  <si>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</si>
  <si>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</si>
  <si>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</si>
  <si>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</si>
  <si>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</si>
  <si>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Denaturation</t>
  </si>
  <si>
    <t>HCP</t>
  </si>
  <si>
    <t>Pathway</t>
  </si>
  <si>
    <t>Water</t>
  </si>
  <si>
    <t>ExtraSampleVol</t>
  </si>
  <si>
    <t>Step Title: Plate</t>
  </si>
  <si>
    <t>Excel Location (Row,Col): (7,3)</t>
  </si>
  <si>
    <t>Name: Denaturation</t>
  </si>
  <si>
    <t>Type: 96 Well PCR Plate</t>
  </si>
  <si>
    <t>Reagent</t>
  </si>
  <si>
    <t>Reagent Lot</t>
  </si>
  <si>
    <t>Reagent Volume</t>
  </si>
  <si>
    <t>Diluent Lot</t>
  </si>
  <si>
    <t>Diluent Volume</t>
  </si>
  <si>
    <t>60mL Reagent Reservior</t>
  </si>
  <si>
    <t>APF B.1 TMAE Load</t>
  </si>
  <si>
    <t>APF B.1 TMAE Pool</t>
  </si>
  <si>
    <t>Modified Denaturant Volume</t>
  </si>
  <si>
    <t>Desired Load (ug)</t>
  </si>
  <si>
    <t>Total Sample Volume Required</t>
  </si>
  <si>
    <t>Max sample during dilution</t>
  </si>
  <si>
    <t>Test</t>
  </si>
  <si>
    <t>Step Title: Liquid Transfer</t>
  </si>
  <si>
    <t>Excel Location (Row,Col): (11,3)</t>
  </si>
  <si>
    <t>Source: Water</t>
  </si>
  <si>
    <t>Liquid Type: Buffer/Diluent</t>
  </si>
  <si>
    <t>Storage Condition: Ambient</t>
  </si>
  <si>
    <t>Volume (uL): 1500.0</t>
  </si>
  <si>
    <t>Mix?: Yes</t>
  </si>
  <si>
    <t>[StatusUpdate]</t>
  </si>
  <si>
    <t>[AppendText]</t>
  </si>
  <si>
    <t>[Message]</t>
  </si>
  <si>
    <t xml:space="preserve">Transfering 1500.0 uL of Buffer/Diluent to Denaturation plate </t>
  </si>
  <si>
    <t>##3.0##</t>
  </si>
  <si>
    <t>[Pipette]</t>
  </si>
  <si>
    <t>[Transfer]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</si>
  <si>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</si>
  <si>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</si>
  <si>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</si>
  <si>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</si>
  <si>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</si>
  <si>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</si>
  <si>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</si>
  <si>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</si>
  <si>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##3.1##</t>
  </si>
  <si>
    <t>Step Title: Finish</t>
  </si>
  <si>
    <t>Excel Location (Row,Col): (18,3)</t>
  </si>
  <si>
    <t>Denaturation plate deactivated</t>
  </si>
  <si>
    <t>Minimum Volume: 16000.0uL</t>
  </si>
  <si>
    <t>Carrier38_Pos1_96WellPCRPlate2000uL_1mLChannel</t>
  </si>
  <si>
    <t>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</si>
</sst>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/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0" xfId="0" applyBorder="1"/>
    <xf numFmtId="0" fontId="5" fillId="0" borderId="0" xfId="0" applyFont="1" applyBorder="1" applyAlignment="1">
      <alignment vertical="center" wrapText="1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8" xfId="0" applyBorder="1"/>
    <xf numFmtId="0" fontId="0" fillId="0" borderId="7" xfId="0" applyBorder="1"/>
    <xf numFmtId="0" fontId="0" fillId="0" borderId="19" xfId="0" applyBorder="1"/>
    <xf numFmtId="0" fontId="0" fillId="0" borderId="0" xfId="0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0" fillId="0" borderId="14" xfId="0" applyBorder="1"/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15" t="s">
        <v>20</v>
      </c>
      <c r="C3" s="15"/>
      <c r="D3" s="15" t="s">
        <v>36</v>
      </c>
      <c r="F3" s="21" t="s">
        <v>15</v>
      </c>
      <c r="G3" s="21"/>
      <c r="H3" s="21"/>
      <c r="I3" s="21"/>
      <c r="J3" s="21"/>
      <c r="K3" s="21"/>
      <c r="L3" s="21"/>
    </row>
    <row r="4" spans="2:12" x14ac:dyDescent="0.25">
      <c r="B4" t="s">
        <v>23</v>
      </c>
      <c r="D4" s="16" t="s">
        <v>50</v>
      </c>
      <c r="F4" s="15" t="s">
        <v>0</v>
      </c>
      <c r="G4" s="15" t="s">
        <v>10</v>
      </c>
      <c r="H4" s="15" t="s">
        <v>4</v>
      </c>
      <c r="I4" s="15" t="s">
        <v>13</v>
      </c>
      <c r="J4" s="15" t="s">
        <v>31</v>
      </c>
      <c r="K4" s="15" t="s">
        <v>25</v>
      </c>
      <c r="L4" s="15" t="s">
        <v>38</v>
      </c>
    </row>
    <row r="5" spans="2:12" x14ac:dyDescent="0.25">
      <c r="B5" t="s">
        <v>39</v>
      </c>
      <c r="D5" s="16" t="s">
        <v>51</v>
      </c>
      <c r="F5" t="s">
        <v>0</v>
      </c>
      <c r="G5" t="s">
        <v>10</v>
      </c>
      <c r="H5" t="s">
        <v>4</v>
      </c>
      <c r="I5" t="s">
        <v>13</v>
      </c>
      <c r="J5" t="s">
        <v>31</v>
      </c>
      <c r="K5" t="s">
        <v>25</v>
      </c>
      <c r="L5" t="s">
        <v>38</v>
      </c>
    </row>
    <row r="6" spans="2:12" x14ac:dyDescent="0.25">
      <c r="B6" t="s">
        <v>21</v>
      </c>
      <c r="D6" s="16"/>
      <c r="F6" t="s">
        <v>16</v>
      </c>
      <c r="G6" t="s">
        <v>17</v>
      </c>
      <c r="H6" t="s">
        <v>18</v>
      </c>
      <c r="I6" t="s">
        <v>19</v>
      </c>
      <c r="J6" t="s">
        <v>32</v>
      </c>
      <c r="K6" t="s">
        <v>26</v>
      </c>
      <c r="L6" t="s">
        <v>40</v>
      </c>
    </row>
    <row r="7" spans="2:12" x14ac:dyDescent="0.25">
      <c r="B7" t="s">
        <v>41</v>
      </c>
      <c r="D7" s="16"/>
    </row>
    <row r="9" spans="2:12" x14ac:dyDescent="0.25">
      <c r="B9" s="15" t="s">
        <v>37</v>
      </c>
      <c r="D9" s="14" t="s">
        <v>33</v>
      </c>
    </row>
    <row r="10" spans="2:12" x14ac:dyDescent="0.25">
      <c r="B10" t="s">
        <v>44</v>
      </c>
      <c r="D10" s="8" t="s">
        <v>28</v>
      </c>
    </row>
    <row r="11" spans="2:12" x14ac:dyDescent="0.25">
      <c r="B11" t="s">
        <v>45</v>
      </c>
      <c r="D11" s="8" t="s">
        <v>29</v>
      </c>
    </row>
    <row r="12" spans="2:12" x14ac:dyDescent="0.25">
      <c r="B12" t="s">
        <v>46</v>
      </c>
    </row>
    <row r="13" spans="2:12" x14ac:dyDescent="0.25">
      <c r="B13" t="s">
        <v>47</v>
      </c>
      <c r="D13" s="15" t="s">
        <v>52</v>
      </c>
    </row>
    <row r="14" spans="2:12" x14ac:dyDescent="0.25">
      <c r="B14" t="s">
        <v>48</v>
      </c>
      <c r="D14" t="s">
        <v>53</v>
      </c>
    </row>
    <row r="15" spans="2:12" x14ac:dyDescent="0.25">
      <c r="B15" t="s">
        <v>49</v>
      </c>
      <c r="D15" t="s">
        <v>54</v>
      </c>
    </row>
    <row r="16" spans="2:12" x14ac:dyDescent="0.25">
      <c r="B16" t="s">
        <v>8</v>
      </c>
    </row>
    <row r="17" spans="2:4" x14ac:dyDescent="0.25">
      <c r="B17" t="s">
        <v>2</v>
      </c>
    </row>
    <row r="18" spans="2:4" x14ac:dyDescent="0.25">
      <c r="D18" s="15" t="s">
        <v>57</v>
      </c>
    </row>
    <row r="19" spans="2:4" x14ac:dyDescent="0.25">
      <c r="B19" s="15" t="s">
        <v>35</v>
      </c>
      <c r="D19" t="s">
        <v>58</v>
      </c>
    </row>
    <row r="20" spans="2:4" x14ac:dyDescent="0.25">
      <c r="B20" t="s">
        <v>42</v>
      </c>
      <c r="D20" t="s">
        <v>56</v>
      </c>
    </row>
    <row r="21" spans="2:4" x14ac:dyDescent="0.25">
      <c r="B21" t="s">
        <v>43</v>
      </c>
      <c r="D21" t="s">
        <v>59</v>
      </c>
    </row>
    <row r="22" spans="2:4" x14ac:dyDescent="0.25">
      <c r="D22" t="s">
        <v>60</v>
      </c>
    </row>
    <row r="24" spans="2:4" x14ac:dyDescent="0.25">
      <c r="D24" s="15" t="s">
        <v>61</v>
      </c>
    </row>
    <row r="25" spans="2:4" x14ac:dyDescent="0.25">
      <c r="D25" t="s">
        <v>62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D1:O21"/>
  <sheetViews>
    <sheetView zoomScale="90" zoomScaleNormal="90" workbookViewId="0">
      <selection activeCell="D23" sqref="D23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8" customWidth="1"/>
    <col min="15" max="15" width="9.140625" style="8"/>
  </cols>
  <sheetData>
    <row r="1" spans="4:15" ht="15.75" thickBot="1" x14ac:dyDescent="0.3"/>
    <row r="2" spans="4:15" x14ac:dyDescent="0.25">
      <c r="D2" s="24" t="s">
        <v>2</v>
      </c>
      <c r="E2" s="25"/>
      <c r="F2" s="10" t="s">
        <v>9</v>
      </c>
    </row>
    <row r="3" spans="4:15" x14ac:dyDescent="0.25">
      <c r="D3" s="11" t="s">
        <v>1</v>
      </c>
      <c r="E3" s="13" t="s">
        <v>7</v>
      </c>
      <c r="F3" s="26" t="s">
        <v>30</v>
      </c>
    </row>
    <row r="4" spans="4:15" ht="15.75" thickBot="1" x14ac:dyDescent="0.3">
      <c r="D4" s="1" t="s">
        <v>14</v>
      </c>
      <c r="E4" s="7" t="s">
        <v>23</v>
      </c>
      <c r="F4" s="27"/>
    </row>
    <row r="6" spans="4:15" s="2" customFormat="1" ht="15.75" thickBot="1" x14ac:dyDescent="0.3">
      <c r="D6" s="28" t="s">
        <v>5</v>
      </c>
      <c r="E6" s="28"/>
    </row>
    <row r="7" spans="4:15" ht="15.75" thickBot="1" x14ac:dyDescent="0.3">
      <c r="D7" s="8"/>
      <c r="E7" s="8"/>
      <c r="N7"/>
      <c r="O7"/>
    </row>
    <row r="8" spans="4:15" x14ac:dyDescent="0.25">
      <c r="D8" s="24" t="s">
        <v>2</v>
      </c>
      <c r="E8" s="25"/>
      <c r="F8" s="17" t="s">
        <v>9</v>
      </c>
      <c r="N8"/>
      <c r="O8"/>
    </row>
    <row r="9" spans="4:15" x14ac:dyDescent="0.25">
      <c r="D9" s="11" t="s">
        <v>1</v>
      </c>
      <c r="E9" s="13" t="s">
        <v>63</v>
      </c>
      <c r="F9" s="26"/>
      <c r="N9"/>
      <c r="O9"/>
    </row>
    <row r="10" spans="4:15" ht="15.75" thickBot="1" x14ac:dyDescent="0.3">
      <c r="D10" s="18" t="s">
        <v>14</v>
      </c>
      <c r="E10" s="12" t="s">
        <v>23</v>
      </c>
      <c r="F10" s="27"/>
      <c r="N10"/>
      <c r="O10"/>
    </row>
    <row r="11" spans="4:15" ht="15.75" thickBot="1" x14ac:dyDescent="0.3">
      <c r="D11" s="19"/>
      <c r="E11" s="19"/>
      <c r="N11"/>
      <c r="O11"/>
    </row>
    <row r="12" spans="4:15" x14ac:dyDescent="0.25">
      <c r="D12" s="22" t="s">
        <v>0</v>
      </c>
      <c r="E12" s="23"/>
      <c r="F12" s="9" t="s">
        <v>9</v>
      </c>
      <c r="N12"/>
      <c r="O12"/>
    </row>
    <row r="13" spans="4:15" x14ac:dyDescent="0.25">
      <c r="D13" s="3" t="s">
        <v>24</v>
      </c>
      <c r="E13" s="5" t="s">
        <v>66</v>
      </c>
      <c r="F13" s="44"/>
      <c r="N13"/>
      <c r="O13"/>
    </row>
    <row r="14" spans="4:15" x14ac:dyDescent="0.25">
      <c r="D14" s="3" t="s">
        <v>37</v>
      </c>
      <c r="E14" s="5" t="s">
        <v>48</v>
      </c>
      <c r="F14" s="45"/>
      <c r="N14"/>
      <c r="O14"/>
    </row>
    <row r="15" spans="4:15" x14ac:dyDescent="0.25">
      <c r="D15" s="3" t="s">
        <v>35</v>
      </c>
      <c r="E15" s="5" t="s">
        <v>42</v>
      </c>
      <c r="F15" s="45"/>
      <c r="N15"/>
      <c r="O15"/>
    </row>
    <row r="16" spans="4:15" x14ac:dyDescent="0.25">
      <c r="D16" s="3" t="s">
        <v>6</v>
      </c>
      <c r="E16" s="5">
        <v>1500</v>
      </c>
      <c r="F16" s="45"/>
      <c r="N16"/>
      <c r="O16"/>
    </row>
    <row r="17" spans="4:15" ht="15.75" thickBot="1" x14ac:dyDescent="0.3">
      <c r="D17" s="4" t="s">
        <v>27</v>
      </c>
      <c r="E17" s="6" t="s">
        <v>28</v>
      </c>
      <c r="F17" s="46"/>
      <c r="N17"/>
      <c r="O17"/>
    </row>
    <row r="18" spans="4:15" ht="15.75" thickBot="1" x14ac:dyDescent="0.3">
      <c r="N18"/>
      <c r="O18"/>
    </row>
    <row r="19" spans="4:15" x14ac:dyDescent="0.25">
      <c r="D19" s="24" t="s">
        <v>34</v>
      </c>
      <c r="E19" s="25"/>
      <c r="F19" s="17" t="s">
        <v>9</v>
      </c>
    </row>
    <row r="20" spans="4:15" x14ac:dyDescent="0.25">
      <c r="D20" s="47"/>
      <c r="E20" s="48"/>
      <c r="F20" s="49"/>
    </row>
    <row r="21" spans="4:15" ht="15.75" thickBot="1" x14ac:dyDescent="0.3">
      <c r="D21" s="50"/>
      <c r="E21" s="51"/>
      <c r="F21" s="52"/>
    </row>
  </sheetData>
  <mergeCells count="10">
    <mergeCell ref="D2:E2"/>
    <mergeCell ref="F3:F4"/>
    <mergeCell ref="D6:E6"/>
    <mergeCell ref="D8:E8"/>
    <mergeCell ref="F9:F10"/>
    <mergeCell ref="D12:E12"/>
    <mergeCell ref="F13:F17"/>
    <mergeCell ref="D19:E19"/>
    <mergeCell ref="D20:E21"/>
    <mergeCell ref="F20:F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"/>
  <sheetViews>
    <sheetView tabSelected="1" workbookViewId="0">
      <selection activeCell="A4" sqref="A4:XFD10"/>
    </sheetView>
  </sheetViews>
  <sheetFormatPr defaultRowHeight="15" x14ac:dyDescent="0.25"/>
  <cols>
    <col min="1" max="1" width="9" bestFit="1" customWidth="1"/>
    <col min="2" max="2" width="29.7109375" customWidth="1"/>
    <col min="3" max="3" width="17" bestFit="1" customWidth="1"/>
    <col min="4" max="4" width="14.5703125" customWidth="1"/>
    <col min="5" max="5" width="11" bestFit="1" customWidth="1"/>
    <col min="6" max="6" width="15.140625" bestFit="1" customWidth="1"/>
    <col min="7" max="7" width="27.5703125" bestFit="1" customWidth="1"/>
    <col min="8" max="8" width="25.7109375" bestFit="1" customWidth="1"/>
    <col min="9" max="9" width="17.85546875" bestFit="1" customWidth="1"/>
    <col min="10" max="10" width="27.5703125" bestFit="1" customWidth="1"/>
  </cols>
  <sheetData>
    <row r="1" spans="1:10" x14ac:dyDescent="0.25">
      <c r="A1" t="s">
        <v>22</v>
      </c>
      <c r="B1" t="s">
        <v>11</v>
      </c>
      <c r="C1" t="s">
        <v>55</v>
      </c>
      <c r="D1" t="s">
        <v>12</v>
      </c>
      <c r="E1" t="s">
        <v>65</v>
      </c>
      <c r="F1" t="s">
        <v>81</v>
      </c>
      <c r="G1" t="s">
        <v>82</v>
      </c>
      <c r="H1" t="s">
        <v>83</v>
      </c>
      <c r="I1" t="s">
        <v>67</v>
      </c>
      <c r="J1" t="s">
        <v>80</v>
      </c>
    </row>
    <row r="2" spans="1:10" x14ac:dyDescent="0.25">
      <c r="A2">
        <f t="shared" ref="A2:A3" si="0">ROW(A1)</f>
        <v>1</v>
      </c>
      <c r="B2" s="20" t="s">
        <v>78</v>
      </c>
      <c r="C2">
        <f t="shared" ref="C2:C3" si="1">A2</f>
        <v>1</v>
      </c>
      <c r="D2" s="20">
        <v>10.4</v>
      </c>
      <c r="E2" t="s">
        <v>64</v>
      </c>
      <c r="F2">
        <v>220</v>
      </c>
      <c r="G2">
        <f>F2/D2</f>
        <v>21.153846153846153</v>
      </c>
      <c r="H2">
        <v>22</v>
      </c>
      <c r="I2">
        <f>IF(G2&lt;H2,0,G2-H2)</f>
        <v>0</v>
      </c>
      <c r="J2">
        <f>193.6-I2</f>
        <v>193.6</v>
      </c>
    </row>
    <row r="3" spans="1:10" x14ac:dyDescent="0.25">
      <c r="A3">
        <f t="shared" si="0"/>
        <v>2</v>
      </c>
      <c r="B3" s="20" t="s">
        <v>79</v>
      </c>
      <c r="C3">
        <f t="shared" si="1"/>
        <v>2</v>
      </c>
      <c r="D3" s="20">
        <v>7.6</v>
      </c>
      <c r="E3" t="s">
        <v>64</v>
      </c>
      <c r="F3">
        <v>220</v>
      </c>
      <c r="G3">
        <f t="shared" ref="G3" si="2">F3/D3</f>
        <v>28.947368421052634</v>
      </c>
      <c r="H3">
        <v>22</v>
      </c>
      <c r="I3">
        <f t="shared" ref="I3" si="3">IF(G3&lt;H3,0,G3-H3)</f>
        <v>6.9473684210526336</v>
      </c>
      <c r="J3">
        <f t="shared" ref="J3" si="4">193.6-I3</f>
        <v>186.65263157894736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Method!#REF!</xm:f>
          </x14:formula1>
          <xm:sqref>E2:E3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58C4B-C126-49D4-A889-C49B08495FDA}">
  <dimension ref="B6:M48"/>
  <sheetViews>
    <sheetView workbookViewId="0"/>
  </sheetViews>
  <sheetFormatPr defaultRowHeight="15" x14ac:dyDescent="0.25"/>
  <sheetData>
    <row r="6" spans="2:3" x14ac:dyDescent="0.25">
      <c r="B6" t="s">
        <v>68</v>
      </c>
    </row>
    <row r="7" spans="2:3" x14ac:dyDescent="0.25">
      <c r="B7" t="s">
        <v>69</v>
      </c>
    </row>
    <row r="8" spans="2:3" x14ac:dyDescent="0.25">
      <c r="B8" t="s">
        <v>70</v>
      </c>
    </row>
    <row r="9" spans="2:3" x14ac:dyDescent="0.25">
      <c r="B9" t="s">
        <v>71</v>
      </c>
    </row>
    <row r="11" spans="2:3" x14ac:dyDescent="0.25">
      <c r="C11" t="s">
        <v>84</v>
      </c>
    </row>
    <row r="16" spans="2:3" x14ac:dyDescent="0.25">
      <c r="B16" t="s">
        <v>85</v>
      </c>
    </row>
    <row r="17" spans="2:13" x14ac:dyDescent="0.25">
      <c r="B17" t="s">
        <v>86</v>
      </c>
    </row>
    <row r="18" spans="2:13" x14ac:dyDescent="0.25">
      <c r="B18" t="s">
        <v>87</v>
      </c>
    </row>
    <row r="19" spans="2:13" x14ac:dyDescent="0.25">
      <c r="B19" t="s">
        <v>88</v>
      </c>
    </row>
    <row r="20" spans="2:13" x14ac:dyDescent="0.25">
      <c r="B20" t="s">
        <v>89</v>
      </c>
    </row>
    <row r="21" spans="2:13" x14ac:dyDescent="0.25">
      <c r="B21" t="s">
        <v>90</v>
      </c>
    </row>
    <row r="22" spans="2:13" x14ac:dyDescent="0.25">
      <c r="B22" t="s">
        <v>91</v>
      </c>
    </row>
    <row r="24" spans="2:13" x14ac:dyDescent="0.25">
      <c r="D24" t="s">
        <v>92</v>
      </c>
    </row>
    <row r="25" spans="2:13" x14ac:dyDescent="0.25">
      <c r="D25" t="s">
        <v>93</v>
      </c>
    </row>
    <row r="26" spans="2:13" x14ac:dyDescent="0.25">
      <c r="D26" t="s">
        <v>94</v>
      </c>
      <c r="E26" t="s">
        <v>95</v>
      </c>
    </row>
    <row r="27" spans="2:13" x14ac:dyDescent="0.25">
      <c r="D27" t="s">
        <v>96</v>
      </c>
    </row>
    <row r="28" spans="2:13" x14ac:dyDescent="0.25">
      <c r="C28" t="s">
        <v>84</v>
      </c>
    </row>
    <row r="30" spans="2:13" x14ac:dyDescent="0.25">
      <c r="D30" t="s">
        <v>97</v>
      </c>
    </row>
    <row r="31" spans="2:13" x14ac:dyDescent="0.25">
      <c r="D31" t="s">
        <v>98</v>
      </c>
    </row>
    <row r="32" spans="2:13" x14ac:dyDescent="0.25">
      <c r="D32" t="s">
        <v>99</v>
      </c>
      <c r="E32" t="s">
        <v>112</v>
      </c>
      <c r="F32" t="s">
        <v>112</v>
      </c>
      <c r="G32" t="s">
        <v>112</v>
      </c>
      <c r="H32" t="s">
        <v>112</v>
      </c>
      <c r="I32" t="s">
        <v>112</v>
      </c>
      <c r="J32" t="s">
        <v>112</v>
      </c>
      <c r="K32" t="s">
        <v>112</v>
      </c>
      <c r="L32" t="s">
        <v>112</v>
      </c>
      <c r="M32" t="s">
        <v>112</v>
      </c>
    </row>
    <row r="33" spans="2:13" x14ac:dyDescent="0.25">
      <c r="D33" t="s">
        <v>100</v>
      </c>
      <c r="E33">
        <v>1</v>
      </c>
      <c r="F33">
        <v>2</v>
      </c>
      <c r="G33">
        <v>3</v>
      </c>
      <c r="H33">
        <v>4</v>
      </c>
      <c r="I33">
        <v>5</v>
      </c>
      <c r="J33">
        <v>6</v>
      </c>
      <c r="K33">
        <v>7</v>
      </c>
      <c r="L33">
        <v>8</v>
      </c>
      <c r="M33">
        <v>9</v>
      </c>
    </row>
    <row r="34" spans="2:13" x14ac:dyDescent="0.25">
      <c r="D34" t="s">
        <v>101</v>
      </c>
      <c r="E34" t="s">
        <v>113</v>
      </c>
      <c r="F34" t="s">
        <v>113</v>
      </c>
      <c r="G34" t="s">
        <v>113</v>
      </c>
      <c r="H34" t="s">
        <v>113</v>
      </c>
      <c r="I34" t="s">
        <v>113</v>
      </c>
      <c r="J34" t="s">
        <v>113</v>
      </c>
      <c r="K34" t="s">
        <v>113</v>
      </c>
      <c r="L34" t="s">
        <v>113</v>
      </c>
      <c r="M34" t="s">
        <v>113</v>
      </c>
    </row>
    <row r="35" spans="2:13" x14ac:dyDescent="0.25">
      <c r="D35" t="s">
        <v>102</v>
      </c>
      <c r="E35">
        <v>1</v>
      </c>
      <c r="F35">
        <v>2</v>
      </c>
      <c r="G35">
        <v>3</v>
      </c>
      <c r="H35">
        <v>4</v>
      </c>
      <c r="I35">
        <v>5</v>
      </c>
      <c r="J35">
        <v>6</v>
      </c>
      <c r="K35">
        <v>7</v>
      </c>
      <c r="L35">
        <v>8</v>
      </c>
      <c r="M35">
        <v>9</v>
      </c>
    </row>
    <row r="36" spans="2:13" x14ac:dyDescent="0.25">
      <c r="D36" t="s">
        <v>103</v>
      </c>
      <c r="E36">
        <v>1500</v>
      </c>
      <c r="F36">
        <v>1500</v>
      </c>
      <c r="G36">
        <v>1500</v>
      </c>
      <c r="H36">
        <v>1500</v>
      </c>
      <c r="I36">
        <v>1500</v>
      </c>
      <c r="J36">
        <v>1500</v>
      </c>
      <c r="K36">
        <v>1500</v>
      </c>
      <c r="L36">
        <v>1500</v>
      </c>
      <c r="M36">
        <v>1500</v>
      </c>
    </row>
    <row r="37" spans="2:13" x14ac:dyDescent="0.25">
      <c r="D37" t="s">
        <v>104</v>
      </c>
      <c r="E37">
        <v>0.01</v>
      </c>
      <c r="F37">
        <v>0.01</v>
      </c>
      <c r="G37">
        <v>0.01</v>
      </c>
      <c r="H37">
        <v>0.01</v>
      </c>
      <c r="I37">
        <v>0.01</v>
      </c>
      <c r="J37">
        <v>0.01</v>
      </c>
      <c r="K37">
        <v>0.01</v>
      </c>
      <c r="L37">
        <v>0.01</v>
      </c>
      <c r="M37">
        <v>0.01</v>
      </c>
    </row>
    <row r="38" spans="2:13" x14ac:dyDescent="0.25">
      <c r="D38" t="s">
        <v>105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2:13" x14ac:dyDescent="0.25">
      <c r="D39" t="s">
        <v>106</v>
      </c>
      <c r="E39" t="s">
        <v>28</v>
      </c>
      <c r="F39" t="s">
        <v>28</v>
      </c>
      <c r="G39" t="s">
        <v>28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</row>
    <row r="40" spans="2:13" x14ac:dyDescent="0.25">
      <c r="D40" t="s">
        <v>107</v>
      </c>
    </row>
    <row r="45" spans="2:13" x14ac:dyDescent="0.25">
      <c r="B45" t="s">
        <v>108</v>
      </c>
    </row>
    <row r="46" spans="2:13" x14ac:dyDescent="0.25">
      <c r="B46" t="s">
        <v>109</v>
      </c>
    </row>
    <row r="48" spans="2:13" x14ac:dyDescent="0.25">
      <c r="C48" t="s">
        <v>110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7DC8-096E-4542-AAD3-18C882E88C09}">
  <dimension ref="B6:M48"/>
  <sheetViews>
    <sheetView workbookViewId="0"/>
  </sheetViews>
  <sheetFormatPr defaultRowHeight="15" x14ac:dyDescent="0.25"/>
  <sheetData>
    <row r="6" spans="2:3" x14ac:dyDescent="0.25">
      <c r="B6" t="s">
        <v>68</v>
      </c>
    </row>
    <row r="7" spans="2:3" x14ac:dyDescent="0.25">
      <c r="B7" t="s">
        <v>69</v>
      </c>
    </row>
    <row r="8" spans="2:3" x14ac:dyDescent="0.25">
      <c r="B8" t="s">
        <v>70</v>
      </c>
    </row>
    <row r="9" spans="2:3" x14ac:dyDescent="0.25">
      <c r="B9" t="s">
        <v>71</v>
      </c>
    </row>
    <row r="11" spans="2:3" x14ac:dyDescent="0.25">
      <c r="C11" t="s">
        <v>84</v>
      </c>
    </row>
    <row r="16" spans="2:3" x14ac:dyDescent="0.25">
      <c r="B16" t="s">
        <v>85</v>
      </c>
    </row>
    <row r="17" spans="2:13" x14ac:dyDescent="0.25">
      <c r="B17" t="s">
        <v>86</v>
      </c>
    </row>
    <row r="18" spans="2:13" x14ac:dyDescent="0.25">
      <c r="B18" t="s">
        <v>87</v>
      </c>
    </row>
    <row r="19" spans="2:13" x14ac:dyDescent="0.25">
      <c r="B19" t="s">
        <v>88</v>
      </c>
    </row>
    <row r="20" spans="2:13" x14ac:dyDescent="0.25">
      <c r="B20" t="s">
        <v>89</v>
      </c>
    </row>
    <row r="21" spans="2:13" x14ac:dyDescent="0.25">
      <c r="B21" t="s">
        <v>90</v>
      </c>
    </row>
    <row r="22" spans="2:13" x14ac:dyDescent="0.25">
      <c r="B22" t="s">
        <v>91</v>
      </c>
    </row>
    <row r="24" spans="2:13" x14ac:dyDescent="0.25">
      <c r="D24" t="s">
        <v>92</v>
      </c>
    </row>
    <row r="25" spans="2:13" x14ac:dyDescent="0.25">
      <c r="D25" t="s">
        <v>93</v>
      </c>
    </row>
    <row r="26" spans="2:13" x14ac:dyDescent="0.25">
      <c r="D26" t="s">
        <v>94</v>
      </c>
      <c r="E26" t="s">
        <v>95</v>
      </c>
    </row>
    <row r="27" spans="2:13" x14ac:dyDescent="0.25">
      <c r="D27" t="s">
        <v>96</v>
      </c>
    </row>
    <row r="28" spans="2:13" x14ac:dyDescent="0.25">
      <c r="C28" t="s">
        <v>84</v>
      </c>
    </row>
    <row r="30" spans="2:13" x14ac:dyDescent="0.25">
      <c r="D30" t="s">
        <v>97</v>
      </c>
    </row>
    <row r="31" spans="2:13" x14ac:dyDescent="0.25">
      <c r="D31" t="s">
        <v>98</v>
      </c>
    </row>
    <row r="32" spans="2:13" x14ac:dyDescent="0.25">
      <c r="D32" t="s">
        <v>99</v>
      </c>
      <c r="E32" t="s">
        <v>63</v>
      </c>
      <c r="F32" t="s">
        <v>63</v>
      </c>
      <c r="G32" t="s">
        <v>63</v>
      </c>
      <c r="H32" t="s">
        <v>63</v>
      </c>
      <c r="I32" t="s">
        <v>63</v>
      </c>
      <c r="J32" t="s">
        <v>63</v>
      </c>
      <c r="K32" t="s">
        <v>63</v>
      </c>
      <c r="L32" t="s">
        <v>63</v>
      </c>
      <c r="M32" t="s">
        <v>63</v>
      </c>
    </row>
    <row r="33" spans="2:13" x14ac:dyDescent="0.25">
      <c r="D33" t="s">
        <v>100</v>
      </c>
      <c r="E33">
        <v>1</v>
      </c>
      <c r="F33">
        <v>2</v>
      </c>
      <c r="G33">
        <v>3</v>
      </c>
      <c r="H33">
        <v>4</v>
      </c>
      <c r="I33">
        <v>5</v>
      </c>
      <c r="J33">
        <v>6</v>
      </c>
      <c r="K33">
        <v>7</v>
      </c>
      <c r="L33">
        <v>8</v>
      </c>
      <c r="M33">
        <v>9</v>
      </c>
    </row>
    <row r="34" spans="2:13" x14ac:dyDescent="0.25">
      <c r="D34" t="s">
        <v>101</v>
      </c>
      <c r="E34" t="s">
        <v>66</v>
      </c>
      <c r="F34" t="s">
        <v>66</v>
      </c>
      <c r="G34" t="s">
        <v>66</v>
      </c>
      <c r="H34" t="s">
        <v>66</v>
      </c>
      <c r="I34" t="s">
        <v>66</v>
      </c>
      <c r="J34" t="s">
        <v>66</v>
      </c>
      <c r="K34" t="s">
        <v>66</v>
      </c>
      <c r="L34" t="s">
        <v>66</v>
      </c>
      <c r="M34" t="s">
        <v>66</v>
      </c>
    </row>
    <row r="35" spans="2:13" x14ac:dyDescent="0.25">
      <c r="D35" t="s">
        <v>102</v>
      </c>
      <c r="E35">
        <v>1</v>
      </c>
      <c r="F35">
        <v>2</v>
      </c>
      <c r="G35">
        <v>3</v>
      </c>
      <c r="H35">
        <v>4</v>
      </c>
      <c r="I35">
        <v>5</v>
      </c>
      <c r="J35">
        <v>6</v>
      </c>
      <c r="K35">
        <v>7</v>
      </c>
      <c r="L35">
        <v>8</v>
      </c>
      <c r="M35">
        <v>9</v>
      </c>
    </row>
    <row r="36" spans="2:13" x14ac:dyDescent="0.25">
      <c r="D36" t="s">
        <v>103</v>
      </c>
      <c r="E36">
        <v>1500</v>
      </c>
      <c r="F36">
        <v>1500</v>
      </c>
      <c r="G36">
        <v>1500</v>
      </c>
      <c r="H36">
        <v>1500</v>
      </c>
      <c r="I36">
        <v>1500</v>
      </c>
      <c r="J36">
        <v>1500</v>
      </c>
      <c r="K36">
        <v>1500</v>
      </c>
      <c r="L36">
        <v>1500</v>
      </c>
      <c r="M36">
        <v>1500</v>
      </c>
    </row>
    <row r="37" spans="2:13" x14ac:dyDescent="0.25">
      <c r="D37" t="s">
        <v>104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2:13" x14ac:dyDescent="0.25">
      <c r="D38" t="s">
        <v>105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2:13" x14ac:dyDescent="0.25">
      <c r="D39" t="s">
        <v>106</v>
      </c>
      <c r="E39" t="s">
        <v>28</v>
      </c>
      <c r="F39" t="s">
        <v>28</v>
      </c>
      <c r="G39" t="s">
        <v>28</v>
      </c>
      <c r="H39" t="s">
        <v>28</v>
      </c>
      <c r="I39" t="s">
        <v>28</v>
      </c>
      <c r="J39" t="s">
        <v>28</v>
      </c>
      <c r="K39" t="s">
        <v>28</v>
      </c>
      <c r="L39" t="s">
        <v>28</v>
      </c>
      <c r="M39" t="s">
        <v>28</v>
      </c>
    </row>
    <row r="40" spans="2:13" x14ac:dyDescent="0.25">
      <c r="D40" t="s">
        <v>107</v>
      </c>
    </row>
    <row r="45" spans="2:13" x14ac:dyDescent="0.25">
      <c r="B45" t="s">
        <v>108</v>
      </c>
    </row>
    <row r="46" spans="2:13" x14ac:dyDescent="0.25">
      <c r="B46" t="s">
        <v>109</v>
      </c>
    </row>
    <row r="48" spans="2:13" x14ac:dyDescent="0.25">
      <c r="C48" t="s">
        <v>110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A7107-B267-4D06-8627-B6ADDBC27F77}">
  <dimension ref="B3:F12"/>
  <sheetViews>
    <sheetView workbookViewId="0"/>
  </sheetViews>
  <sheetFormatPr defaultRowHeight="15" x14ac:dyDescent="0.25"/>
  <sheetData>
    <row r="3" spans="2:6" ht="15.75" thickBot="1" x14ac:dyDescent="0.3"/>
    <row r="4" spans="2:6" ht="19.5" thickBot="1" x14ac:dyDescent="0.35">
      <c r="B4" s="37" t="s">
        <v>66</v>
      </c>
      <c r="C4" s="38"/>
      <c r="D4" s="38"/>
      <c r="E4" s="38"/>
      <c r="F4" s="39"/>
    </row>
    <row r="5" spans="2:6" ht="16.5" thickBot="1" x14ac:dyDescent="0.3">
      <c r="B5" s="40" t="s">
        <v>77</v>
      </c>
      <c r="C5" s="41"/>
      <c r="D5" s="41"/>
      <c r="E5" s="41"/>
      <c r="F5" s="42"/>
    </row>
    <row r="6" spans="2:6" ht="16.5" thickBot="1" x14ac:dyDescent="0.3">
      <c r="B6" s="40" t="s">
        <v>111</v>
      </c>
      <c r="C6" s="41"/>
      <c r="D6" s="41"/>
      <c r="E6" s="41"/>
      <c r="F6" s="42"/>
    </row>
    <row r="7" spans="2:6" x14ac:dyDescent="0.25">
      <c r="B7" s="43" t="s">
        <v>72</v>
      </c>
      <c r="C7" s="34"/>
      <c r="D7" s="34"/>
      <c r="E7" s="34"/>
      <c r="F7" s="35"/>
    </row>
    <row r="8" spans="2:6" x14ac:dyDescent="0.25">
      <c r="B8" s="31" t="s">
        <v>73</v>
      </c>
      <c r="C8" s="32"/>
      <c r="D8" s="32"/>
      <c r="E8" s="32"/>
      <c r="F8" s="36"/>
    </row>
    <row r="9" spans="2:6" x14ac:dyDescent="0.25">
      <c r="B9" s="31" t="s">
        <v>74</v>
      </c>
      <c r="C9" s="32"/>
      <c r="D9" s="32"/>
      <c r="E9" s="32"/>
      <c r="F9" s="36"/>
    </row>
    <row r="10" spans="2:6" x14ac:dyDescent="0.25">
      <c r="B10" s="31" t="s">
        <v>3</v>
      </c>
      <c r="C10" s="32"/>
      <c r="D10" s="32"/>
      <c r="E10" s="32"/>
      <c r="F10" s="36"/>
    </row>
    <row r="11" spans="2:6" x14ac:dyDescent="0.25">
      <c r="B11" s="31" t="s">
        <v>75</v>
      </c>
      <c r="C11" s="32"/>
      <c r="D11" s="32"/>
      <c r="E11" s="32"/>
      <c r="F11" s="36"/>
    </row>
    <row r="12" spans="2:6" ht="15.75" thickBot="1" x14ac:dyDescent="0.3">
      <c r="B12" s="33" t="s">
        <v>76</v>
      </c>
      <c r="C12" s="29"/>
      <c r="D12" s="29"/>
      <c r="E12" s="29"/>
      <c r="F12" s="30"/>
    </row>
  </sheetData>
  <mergeCells count="15"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Method</vt:lpstr>
      <vt:lpstr>Worklist</vt:lpstr>
      <vt:lpstr>RunLog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2021-12-01T08:11:57Z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