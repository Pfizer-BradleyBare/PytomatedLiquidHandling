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F8C11D0-C6BF-4C3C-93FC-FDE3F32DD763}" xr6:coauthVersionLast="46" xr6:coauthVersionMax="46" xr10:uidLastSave="{00000000-0000-0000-0000-000000000000}"/>
  <bookViews>
    <workbookView xWindow="-120" yWindow="-120" windowWidth="29040" windowHeight="15840" firstSheet="1" activeTab="4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23" r:id="rId5"/>
    <sheet name="TestLog" sheetId="22" r:id="rId6"/>
    <sheet name="RunLog" sheetId="1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 l="1"/>
  <c r="A4" i="3"/>
  <c r="A3" i="3"/>
  <c r="E177" i="2" l="1"/>
  <c r="E169" i="2"/>
  <c r="E161" i="2"/>
  <c r="E142" i="2"/>
  <c r="E134" i="2"/>
  <c r="E126" i="2"/>
  <c r="E118" i="2"/>
  <c r="E110" i="2"/>
  <c r="E102" i="2"/>
  <c r="E90" i="2"/>
  <c r="E78" i="2"/>
  <c r="E66" i="2"/>
  <c r="E54" i="2"/>
  <c r="E42" i="2"/>
  <c r="E34" i="2"/>
  <c r="E18" i="2"/>
  <c r="E26" i="2"/>
  <c r="D171" i="2" l="1"/>
  <c r="D155" i="2"/>
  <c r="D163" i="2"/>
  <c r="D104" i="2"/>
  <c r="D112" i="2"/>
  <c r="D120" i="2"/>
  <c r="D128" i="2"/>
  <c r="D136" i="2"/>
  <c r="D96" i="2"/>
  <c r="D84" i="2"/>
  <c r="D72" i="2"/>
  <c r="D60" i="2"/>
  <c r="D48" i="2"/>
  <c r="D28" i="2"/>
  <c r="D36" i="2"/>
  <c r="D20" i="2"/>
  <c r="E173" i="2" l="1"/>
  <c r="E172" i="2"/>
  <c r="E165" i="2"/>
  <c r="E164" i="2"/>
  <c r="E157" i="2"/>
  <c r="E156" i="2"/>
  <c r="E152" i="2"/>
  <c r="E149" i="2"/>
  <c r="E138" i="2"/>
  <c r="E137" i="2"/>
  <c r="E130" i="2"/>
  <c r="E129" i="2"/>
  <c r="E122" i="2"/>
  <c r="E121" i="2"/>
  <c r="E114" i="2"/>
  <c r="E113" i="2"/>
  <c r="E106" i="2"/>
  <c r="E105" i="2"/>
  <c r="E98" i="2"/>
  <c r="E97" i="2"/>
  <c r="E86" i="2"/>
  <c r="E74" i="2"/>
  <c r="E62" i="2"/>
  <c r="E50" i="2"/>
  <c r="E38" i="2"/>
  <c r="E37" i="2"/>
  <c r="E30" i="2"/>
  <c r="E29" i="2"/>
  <c r="E22" i="2"/>
  <c r="E21" i="2"/>
  <c r="E13" i="2"/>
  <c r="A2" i="3" l="1"/>
</calcChain>
</file>

<file path=xl/sharedStrings.xml><?xml version="1.0" encoding="utf-8"?>
<sst xmlns="http://schemas.openxmlformats.org/spreadsheetml/2006/main" count="2475" uniqueCount="403">
  <si>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</si>
  <si>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</si>
  <si>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</si>
  <si>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</si>
  <si>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</si>
  <si>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</si>
  <si>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</si>
  <si>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</si>
  <si>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</si>
  <si>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</si>
  <si>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</si>
  <si>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</si>
  <si>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</si>
  <si>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Enzyme</t>
  </si>
  <si>
    <t>Comments</t>
  </si>
  <si>
    <t>Dilute</t>
  </si>
  <si>
    <t>Description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</si>
  <si>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</si>
  <si>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</si>
  <si>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</si>
  <si>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</si>
  <si>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</si>
  <si>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</si>
  <si>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</si>
  <si>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</si>
  <si>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</si>
  <si>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</si>
  <si>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</si>
  <si>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</si>
  <si>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</si>
  <si>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</si>
  <si>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</si>
  <si>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</si>
  <si>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</si>
  <si>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</si>
  <si>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</si>
  <si>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</si>
  <si>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</si>
  <si>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</si>
  <si>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</si>
  <si>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</si>
  <si>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</si>
  <si>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</si>
  <si>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</si>
  <si>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</si>
  <si>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</si>
  <si>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</si>
  <si>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</si>
  <si>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</si>
  <si>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</si>
  <si>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</si>
  <si>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</si>
  <si>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</si>
  <si>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</si>
  <si>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</si>
  <si>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</si>
  <si>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</si>
  <si>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</si>
  <si>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</si>
  <si>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</si>
  <si>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</si>
  <si>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</si>
  <si>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</si>
  <si>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</si>
  <si>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</si>
  <si>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</si>
  <si>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</si>
  <si>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</si>
  <si>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</si>
  <si>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</si>
  <si>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</si>
  <si>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</si>
  <si>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</si>
  <si>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</si>
  <si>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</si>
  <si>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</si>
  <si>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</si>
  <si>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</si>
  <si>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</si>
  <si>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</si>
  <si>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</si>
  <si>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</si>
  <si>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</si>
  <si>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</si>
  <si>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</si>
  <si>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</si>
  <si>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</si>
  <si>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</si>
  <si>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</si>
  <si>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</si>
  <si>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</si>
  <si>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</si>
  <si>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EQ Buffer 1</t>
  </si>
  <si>
    <t>EQ Buffer 1 Vol</t>
  </si>
  <si>
    <t>EQ Buffer 2</t>
  </si>
  <si>
    <t>EQ Buffer 2 Vol</t>
  </si>
  <si>
    <t>EQ Buffer 3</t>
  </si>
  <si>
    <t>EQ Buffer 3 Vol</t>
  </si>
  <si>
    <t>Wash Buffer 1</t>
  </si>
  <si>
    <t>Wash Buffer 1 Vol</t>
  </si>
  <si>
    <t>Wash Buffer 2</t>
  </si>
  <si>
    <t>Wash Buffer 2 Vol</t>
  </si>
  <si>
    <t>Wash Buffer 3</t>
  </si>
  <si>
    <t>Wash Buffer 3 Vol</t>
  </si>
  <si>
    <t>Wash Buffer 4</t>
  </si>
  <si>
    <t>Wash Buffer 4 Vol</t>
  </si>
  <si>
    <t>Wash Buffer 5</t>
  </si>
  <si>
    <t>Wash Buffer 5 Vol</t>
  </si>
  <si>
    <t>Wash Buffer 6</t>
  </si>
  <si>
    <t>Wash Buffer 6 Vol</t>
  </si>
  <si>
    <t>Neutralization Buffer</t>
  </si>
  <si>
    <t>Neutralization Buffer Vol</t>
  </si>
  <si>
    <t>Elution Buffer 1</t>
  </si>
  <si>
    <t>Elution Buffer 1 Vol</t>
  </si>
  <si>
    <t>Elution Buffer 2</t>
  </si>
  <si>
    <t>Elution Buffer 2 Vol</t>
  </si>
  <si>
    <t>Elution Buffer 3</t>
  </si>
  <si>
    <t>Elution Buffer 3 Vol</t>
  </si>
  <si>
    <t>This step will remove the storage buffer from the plate. No liquid transfer will occur</t>
  </si>
  <si>
    <t>Start EQ Buffer Run</t>
  </si>
  <si>
    <t>End EQ Buffer run</t>
  </si>
  <si>
    <t>Start Sample Binding run</t>
  </si>
  <si>
    <t>End Sample Binding run</t>
  </si>
  <si>
    <t>Load Vol 1</t>
  </si>
  <si>
    <t>Load Vol 2</t>
  </si>
  <si>
    <t>Load Vol 3</t>
  </si>
  <si>
    <t>Load Vol 4</t>
  </si>
  <si>
    <t>ProA Digestion Complete</t>
  </si>
  <si>
    <t>Hello, Your ProA Run is complete. Please remove the collection plate.</t>
  </si>
  <si>
    <t>Start Wash Run</t>
  </si>
  <si>
    <t>End Wash Buffer run</t>
  </si>
  <si>
    <t>Start Elution Run</t>
  </si>
  <si>
    <t>End Elution Buffer run</t>
  </si>
  <si>
    <t>Sample</t>
  </si>
  <si>
    <t>Waste 1</t>
  </si>
  <si>
    <t>Waste 2</t>
  </si>
  <si>
    <t>Collection</t>
  </si>
  <si>
    <t>Processing</t>
  </si>
  <si>
    <t>50mM Tris, 0.15M NaCl, pH 7.5</t>
  </si>
  <si>
    <t>B7H4 (S106177)</t>
  </si>
  <si>
    <t>0.5 Tris, ph 10.8</t>
  </si>
  <si>
    <t>2M HEPES pH 8.0</t>
  </si>
  <si>
    <t>1M Tris pH 9.0</t>
  </si>
  <si>
    <t>50mM Glycine, 25mM sodium chloride, pH 3.0</t>
  </si>
  <si>
    <t>150mM Glycine pH 3.5</t>
  </si>
  <si>
    <t>0.5 CaCl2, 50mM Tris, pH 7.5</t>
  </si>
  <si>
    <t>10mM Tris, 10mM NaCl, pH 7.5</t>
  </si>
  <si>
    <t>Step Title: Plate</t>
  </si>
  <si>
    <t>Excel Location (Row,Col): (7,3)</t>
  </si>
  <si>
    <t>Name: Waste 1</t>
  </si>
  <si>
    <t>Type: 96 Well PCR Plate</t>
  </si>
  <si>
    <t>Test</t>
  </si>
  <si>
    <t>Step Title: Vacuum</t>
  </si>
  <si>
    <t>Vacuum Plate: 0.45um Self Poured ProA Plate</t>
  </si>
  <si>
    <t>Pre Vacuum Wait (min): 0.0</t>
  </si>
  <si>
    <t>[StatusUpdate]</t>
  </si>
  <si>
    <t>[AppendText]</t>
  </si>
  <si>
    <t>[Message]</t>
  </si>
  <si>
    <t>[Timer]</t>
  </si>
  <si>
    <t>[Start]</t>
  </si>
  <si>
    <t>[Time]</t>
  </si>
  <si>
    <t>##3.2##</t>
  </si>
  <si>
    <t>[Wait]</t>
  </si>
  <si>
    <t>##3.3##</t>
  </si>
  <si>
    <t>[Vacuum]</t>
  </si>
  <si>
    <t>[Pressure]</t>
  </si>
  <si>
    <t>##3.4##</t>
  </si>
  <si>
    <t>Excel Location (Row,Col): (19,3)</t>
  </si>
  <si>
    <t xml:space="preserve">Source: EQ Buffer 1 (Worklist Column) </t>
  </si>
  <si>
    <t xml:space="preserve">Volume (uL): EQ Buffer 1 Vol (Worklist Column) </t>
  </si>
  <si>
    <t>Pressure Difference (mTorr): Normal</t>
  </si>
  <si>
    <t>Vacuum Time (min): 8.75</t>
  </si>
  <si>
    <t>##4.0##</t>
  </si>
  <si>
    <t>[Pipette]</t>
  </si>
  <si>
    <t>[Transfer]</t>
  </si>
  <si>
    <t>[Destination]</t>
  </si>
  <si>
    <t>_Vacuum_ProASelfPoured045um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</si>
  <si>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</si>
  <si>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</si>
  <si>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</si>
  <si>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</si>
  <si>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</si>
  <si>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</si>
  <si>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</si>
  <si>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</si>
  <si>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##4.1##</t>
  </si>
  <si>
    <t>##4.2##</t>
  </si>
  <si>
    <t>##4.3##</t>
  </si>
  <si>
    <t>##4.4##</t>
  </si>
  <si>
    <t>Excel Location (Row,Col): (27,3)</t>
  </si>
  <si>
    <t xml:space="preserve">Source: EQ Buffer 2 (Worklist Column) </t>
  </si>
  <si>
    <t xml:space="preserve">Volume (uL): EQ Buffer 2 Vol (Worklist Column) </t>
  </si>
  <si>
    <t xml:space="preserve">Transfering EQ Buffer 2 Vol uL of General Reagent to _Vacuum_ProASelfPoured045um plate </t>
  </si>
  <si>
    <t>Excel Location (Row,Col): (43,3)</t>
  </si>
  <si>
    <t>Name: Processing</t>
  </si>
  <si>
    <t>Excel Location (Row,Col): (47,3)</t>
  </si>
  <si>
    <t>Source: Sample</t>
  </si>
  <si>
    <t xml:space="preserve">Volume (uL): Load Vol 1 (Worklist Column) </t>
  </si>
  <si>
    <t>Vacuum Time (min): 14.583333333333332</t>
  </si>
  <si>
    <t>Excel Location (Row,Col): (55,3)</t>
  </si>
  <si>
    <t>Name: Sample</t>
  </si>
  <si>
    <t>Excel Location (Row,Col): (59,3)</t>
  </si>
  <si>
    <t>Source: Processing</t>
  </si>
  <si>
    <t xml:space="preserve">Volume (uL): Load Vol 2 (Worklist Column) </t>
  </si>
  <si>
    <t>Excel Location (Row,Col): (67,3)</t>
  </si>
  <si>
    <t>Excel Location (Row,Col): (71,3)</t>
  </si>
  <si>
    <t xml:space="preserve">Volume (uL): Load Vol 3 (Worklist Column) </t>
  </si>
  <si>
    <t>Excel Location (Row,Col): (79,3)</t>
  </si>
  <si>
    <t>Excel Location (Row,Col): (83,3)</t>
  </si>
  <si>
    <t xml:space="preserve">Volume (uL): Load Vol 4 (Worklist Column) </t>
  </si>
  <si>
    <t>Excel Location (Row,Col): (91,3)</t>
  </si>
  <si>
    <t>Name: Waste 2</t>
  </si>
  <si>
    <t>Excel Location (Row,Col): (95,3)</t>
  </si>
  <si>
    <t xml:space="preserve">Source: Wash Buffer 1 (Worklist Column) </t>
  </si>
  <si>
    <t xml:space="preserve">Volume (uL): Wash Buffer 1 Vol (Worklist Column) </t>
  </si>
  <si>
    <t>Vacuum Time (min): 2.1875</t>
  </si>
  <si>
    <t>##15.0##</t>
  </si>
  <si>
    <t>##15.1##</t>
  </si>
  <si>
    <t>##15.2##</t>
  </si>
  <si>
    <t>##15.3##</t>
  </si>
  <si>
    <t>##15.4##</t>
  </si>
  <si>
    <t>Excel Location (Row,Col): (103,3)</t>
  </si>
  <si>
    <t xml:space="preserve">Source: Wash Buffer 2 (Worklist Column) </t>
  </si>
  <si>
    <t xml:space="preserve">Volume (uL): Wash Buffer 2 Vol (Worklist Column) </t>
  </si>
  <si>
    <t xml:space="preserve">Transfering Wash Buffer 2 Vol uL of General Reagent to _Vacuum_ProASelfPoured045um plate </t>
  </si>
  <si>
    <t>##16.0##</t>
  </si>
  <si>
    <t>##16.1##</t>
  </si>
  <si>
    <t>##16.2##</t>
  </si>
  <si>
    <t>##16.3##</t>
  </si>
  <si>
    <t>##16.4##</t>
  </si>
  <si>
    <t>Excel Location (Row,Col): (111,3)</t>
  </si>
  <si>
    <t xml:space="preserve">Source: Wash Buffer 3 (Worklist Column) </t>
  </si>
  <si>
    <t xml:space="preserve">Volume (uL): Wash Buffer 3 Vol (Worklist Column) </t>
  </si>
  <si>
    <t xml:space="preserve">Transfering Wash Buffer 3 Vol uL of General Reagent to _Vacuum_ProASelfPoured045um plate </t>
  </si>
  <si>
    <t>##17.0##</t>
  </si>
  <si>
    <t>##17.1##</t>
  </si>
  <si>
    <t>##17.2##</t>
  </si>
  <si>
    <t>##17.3##</t>
  </si>
  <si>
    <t>##17.4##</t>
  </si>
  <si>
    <t>Excel Location (Row,Col): (119,3)</t>
  </si>
  <si>
    <t xml:space="preserve">Source: Wash Buffer 4 (Worklist Column) </t>
  </si>
  <si>
    <t xml:space="preserve">Volume (uL): Wash Buffer 4 Vol (Worklist Column) </t>
  </si>
  <si>
    <t xml:space="preserve">Transfering Wash Buffer 4 Vol uL of General Reagent to _Vacuum_ProASelfPoured045um plate </t>
  </si>
  <si>
    <t>##18.0##</t>
  </si>
  <si>
    <t>##18.1##</t>
  </si>
  <si>
    <t>##18.2##</t>
  </si>
  <si>
    <t>##18.3##</t>
  </si>
  <si>
    <t>##18.4##</t>
  </si>
  <si>
    <t>Excel Location (Row,Col): (127,3)</t>
  </si>
  <si>
    <t xml:space="preserve">Source: Wash Buffer 5 (Worklist Column) </t>
  </si>
  <si>
    <t xml:space="preserve">Volume (uL): Wash Buffer 5 Vol (Worklist Column) </t>
  </si>
  <si>
    <t xml:space="preserve">Transfering Wash Buffer 5 Vol uL of General Reagent to _Vacuum_ProASelfPoured045um plate </t>
  </si>
  <si>
    <t>##19.0##</t>
  </si>
  <si>
    <t>##19.1##</t>
  </si>
  <si>
    <t>##19.2##</t>
  </si>
  <si>
    <t>##19.3##</t>
  </si>
  <si>
    <t>##19.4##</t>
  </si>
  <si>
    <t>Excel Location (Row,Col): (135,3)</t>
  </si>
  <si>
    <t xml:space="preserve">Source: Wash Buffer 6 (Worklist Column) </t>
  </si>
  <si>
    <t xml:space="preserve">Volume (uL): Wash Buffer 6 Vol (Worklist Column) </t>
  </si>
  <si>
    <t xml:space="preserve">Transfering Wash Buffer 6 Vol uL of General Reagent to _Vacuum_ProASelfPoured045um plate </t>
  </si>
  <si>
    <t>Excel Location (Row,Col): (143,3)</t>
  </si>
  <si>
    <t>Name: Collection</t>
  </si>
  <si>
    <t>Step Title: Liquid Transfer</t>
  </si>
  <si>
    <t>Excel Location (Row,Col): (147,3)</t>
  </si>
  <si>
    <t xml:space="preserve">Source: Neutralization Buffer (Worklist Column) </t>
  </si>
  <si>
    <t>Liquid Type: General Reagent</t>
  </si>
  <si>
    <t>Storage Condition: Ambient</t>
  </si>
  <si>
    <t xml:space="preserve">Volume (uL): Neutralization Buffer Vol (Worklist Column) </t>
  </si>
  <si>
    <t>Mix?: No</t>
  </si>
  <si>
    <t xml:space="preserve">Transfering Neutralization Buffer Vol uL of General Reagent to Collection plate </t>
  </si>
  <si>
    <t>##22.1##</t>
  </si>
  <si>
    <t>Excel Location (Row,Col): (154,3)</t>
  </si>
  <si>
    <t xml:space="preserve">Source: Elution Buffer 1 (Worklist Column) </t>
  </si>
  <si>
    <t xml:space="preserve">Volume (uL): Elution Buffer 1 Vol (Worklist Column) </t>
  </si>
  <si>
    <t>Vacuum Time (min): 2.916666666666667</t>
  </si>
  <si>
    <t>##23.0##</t>
  </si>
  <si>
    <t>##23.1##</t>
  </si>
  <si>
    <t>##23.2##</t>
  </si>
  <si>
    <t>##23.3##</t>
  </si>
  <si>
    <t>##23.4##</t>
  </si>
  <si>
    <t>Excel Location (Row,Col): (162,3)</t>
  </si>
  <si>
    <t xml:space="preserve">Source: Elution Buffer 2 (Worklist Column) </t>
  </si>
  <si>
    <t xml:space="preserve">Volume (uL): Elution Buffer 2 Vol (Worklist Column) </t>
  </si>
  <si>
    <t xml:space="preserve">Transfering Elution Buffer 2 Vol uL of General Reagent to _Vacuum_ProASelfPoured045um plate </t>
  </si>
  <si>
    <t>##24.0##</t>
  </si>
  <si>
    <t>##24.1##</t>
  </si>
  <si>
    <t>##24.2##</t>
  </si>
  <si>
    <t>##24.3##</t>
  </si>
  <si>
    <t>##24.4##</t>
  </si>
  <si>
    <t>Excel Location (Row,Col): (170,3)</t>
  </si>
  <si>
    <t xml:space="preserve">Source: Elution Buffer 3 (Worklist Column) </t>
  </si>
  <si>
    <t xml:space="preserve">Volume (uL): Elution Buffer 3 Vol (Worklist Column) </t>
  </si>
  <si>
    <t xml:space="preserve">Transfering Elution Buffer 3 Vol uL of General Reagent to _Vacuum_ProASelfPoured045um plate </t>
  </si>
  <si>
    <t>##25.1##</t>
  </si>
  <si>
    <t>Step Title: Notify</t>
  </si>
  <si>
    <t>Excel Location (Row,Col): (178,3)</t>
  </si>
  <si>
    <t>Wait On User: Yes</t>
  </si>
  <si>
    <t>Subject: ProA Digestion Complete</t>
  </si>
  <si>
    <t>Message: Hello, Your ProA Run is complete. Please remove the collection plate.</t>
  </si>
  <si>
    <t>[Notify]</t>
  </si>
  <si>
    <t>[SendMessage]</t>
  </si>
  <si>
    <t>[Subject]</t>
  </si>
  <si>
    <t>Step Title: Finish</t>
  </si>
  <si>
    <t>Excel Location (Row,Col): (183,3)</t>
  </si>
  <si>
    <t>Collection plate deactivated</t>
  </si>
  <si>
    <t>[Transport]</t>
  </si>
  <si>
    <t>[Move]</t>
  </si>
  <si>
    <t>Carrier14_Pos1_96WellPCRPlate2000uL_1mLChannel</t>
  </si>
  <si>
    <t>_Vacuum_96WellPCRPlate2000uL</t>
  </si>
  <si>
    <t>[Open]</t>
  </si>
  <si>
    <t>[Close]</t>
  </si>
  <si>
    <t>[Grip]</t>
  </si>
  <si>
    <t>[Eject]</t>
  </si>
  <si>
    <t>[Check]</t>
  </si>
  <si>
    <t>##3.1##</t>
  </si>
  <si>
    <t>_Vacuum_ManifoldHome</t>
  </si>
  <si>
    <t>_Vacuum_Manifold</t>
  </si>
  <si>
    <t>##3.5##</t>
  </si>
  <si>
    <t>Disabled</t>
  </si>
  <si>
    <t>##6.1##</t>
  </si>
  <si>
    <t>##6.2##</t>
  </si>
  <si>
    <t>##6.3##</t>
  </si>
  <si>
    <t>##6.4##</t>
  </si>
  <si>
    <t>##8.1##</t>
  </si>
  <si>
    <t>##8.2##</t>
  </si>
  <si>
    <t>##8.3##</t>
  </si>
  <si>
    <t>##8.4##</t>
  </si>
  <si>
    <t>##10.1##</t>
  </si>
  <si>
    <t>##10.2##</t>
  </si>
  <si>
    <t>##10.3##</t>
  </si>
  <si>
    <t>##10.4##</t>
  </si>
  <si>
    <t>##12.1##</t>
  </si>
  <si>
    <t>##12.2##</t>
  </si>
  <si>
    <t>##12.3##</t>
  </si>
  <si>
    <t>##12.4##</t>
  </si>
  <si>
    <t>##14.1##</t>
  </si>
  <si>
    <t>##14.2##</t>
  </si>
  <si>
    <t>##14.3##</t>
  </si>
  <si>
    <t>##14.4##</t>
  </si>
  <si>
    <t>##21.0##</t>
  </si>
  <si>
    <t>##21.1##</t>
  </si>
  <si>
    <t>##22.2##</t>
  </si>
  <si>
    <t>##22.3##</t>
  </si>
  <si>
    <t>##22.4##</t>
  </si>
  <si>
    <t>C1</t>
  </si>
  <si>
    <t>##3.6##</t>
  </si>
  <si>
    <t>##4.5##</t>
  </si>
  <si>
    <t>##4.6##</t>
  </si>
  <si>
    <t>Carrier14_Pos2_96WellPCRPlate2000uL_1mLChannel</t>
  </si>
  <si>
    <t>Carrier38_Pos1_96WellPCRPlate2000uL_1mLChannel</t>
  </si>
  <si>
    <t>##6.5##</t>
  </si>
  <si>
    <t>##6.6##</t>
  </si>
  <si>
    <t>##6.7##</t>
  </si>
  <si>
    <t>##6.8##</t>
  </si>
  <si>
    <t>##8.5##</t>
  </si>
  <si>
    <t>##8.6##</t>
  </si>
  <si>
    <t>##8.7##</t>
  </si>
  <si>
    <t>##8.8##</t>
  </si>
  <si>
    <t>##10.5##</t>
  </si>
  <si>
    <t>##10.6##</t>
  </si>
  <si>
    <t>##10.7##</t>
  </si>
  <si>
    <t>##10.8##</t>
  </si>
  <si>
    <t>##12.5##</t>
  </si>
  <si>
    <t>##12.6##</t>
  </si>
  <si>
    <t>##12.7##</t>
  </si>
  <si>
    <t>##12.8##</t>
  </si>
  <si>
    <t>Carrier14_Pos3_96WellPCRPlate2000uL_1mLChannel</t>
  </si>
  <si>
    <t>##14.5##</t>
  </si>
  <si>
    <t>##14.6##</t>
  </si>
  <si>
    <t>C2</t>
  </si>
  <si>
    <t>C3</t>
  </si>
  <si>
    <t>##19.5##</t>
  </si>
  <si>
    <t>##19.6##</t>
  </si>
  <si>
    <t>Carrier14_Pos4_96WellPCRPlate2000uL_1mLChannel</t>
  </si>
  <si>
    <t>F1</t>
  </si>
  <si>
    <t>F2</t>
  </si>
  <si>
    <t>F3</t>
  </si>
  <si>
    <t>F4</t>
  </si>
  <si>
    <t>C4</t>
  </si>
  <si>
    <t>##22.5##</t>
  </si>
  <si>
    <t>##22.6##</t>
  </si>
  <si>
    <t>##24.5##</t>
  </si>
  <si>
    <t>##24.6##</t>
  </si>
  <si>
    <t>NGHer2 (S92521)</t>
  </si>
  <si>
    <t xml:space="preserve">CD3 (S106417) </t>
  </si>
  <si>
    <t>IL413 (S118967)</t>
  </si>
  <si>
    <t>INFb (S145608)</t>
  </si>
  <si>
    <t xml:space="preserve">Transfering EQ Buffer 1 Vol uL of General Reagent to _Vacuum_ProASelfPoured045um plate </t>
  </si>
  <si>
    <t>##3.0##</t>
  </si>
  <si>
    <t>Vacuum Time (min): 16.829166666666666</t>
  </si>
  <si>
    <t xml:space="preserve">Transfering Load Vol 1 uL of General Reagent to _Vacuum_ProASelfPoured045um plate </t>
  </si>
  <si>
    <t>##6.0##</t>
  </si>
  <si>
    <t xml:space="preserve">Transfering Load Vol 2 uL of General Reagent to _Vacuum_ProASelfPoured045um plate </t>
  </si>
  <si>
    <t>##8.0##</t>
  </si>
  <si>
    <t xml:space="preserve">Transfering Load Vol 3 uL of General Reagent to _Vacuum_ProASelfPoured045um plate </t>
  </si>
  <si>
    <t>##10.0##</t>
  </si>
  <si>
    <t xml:space="preserve">Transfering Load Vol 4 uL of General Reagent to _Vacuum_ProASelfPoured045um plate </t>
  </si>
  <si>
    <t>##12.0##</t>
  </si>
  <si>
    <t xml:space="preserve">Transfering Wash Buffer 1 Vol uL of General Reagent to _Vacuum_ProASelfPoured045um plate </t>
  </si>
  <si>
    <t>##14.0##</t>
  </si>
  <si>
    <t xml:space="preserve">Transfering Elution Buffer 1 Vol uL of General Reagent to _Vacuum_ProASelfPoured045um plate </t>
  </si>
  <si>
    <t>##22.0##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</si>
</sst>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C8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0" fillId="2" borderId="4" xfId="0" applyFont="1" applyFill="1" applyBorder="1" applyAlignment="1">
      <alignment horizontal="center" vertical="center"/>
    </xf>
    <xf numFmtId="0" fontId="0" fillId="5" borderId="0" xfId="0" applyFill="1"/>
    <xf numFmtId="0" fontId="0" fillId="3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28</v>
      </c>
      <c r="C3" s="38"/>
      <c r="D3" s="38" t="s">
        <v>50</v>
      </c>
      <c r="F3" s="65" t="s">
        <v>23</v>
      </c>
      <c r="G3" s="65"/>
      <c r="H3" s="65"/>
      <c r="I3" s="65"/>
      <c r="J3" s="65"/>
      <c r="K3" s="65"/>
      <c r="L3" s="65"/>
    </row>
    <row r="4" spans="2:12" x14ac:dyDescent="0.25">
      <c r="B4" t="s">
        <v>31</v>
      </c>
      <c r="D4" s="41" t="s">
        <v>64</v>
      </c>
      <c r="F4" s="38" t="s">
        <v>0</v>
      </c>
      <c r="G4" s="38" t="s">
        <v>15</v>
      </c>
      <c r="H4" s="38" t="s">
        <v>5</v>
      </c>
      <c r="I4" s="38" t="s">
        <v>18</v>
      </c>
      <c r="J4" s="38" t="s">
        <v>43</v>
      </c>
      <c r="K4" s="38" t="s">
        <v>36</v>
      </c>
      <c r="L4" s="38" t="s">
        <v>52</v>
      </c>
    </row>
    <row r="5" spans="2:12" x14ac:dyDescent="0.25">
      <c r="B5" t="s">
        <v>53</v>
      </c>
      <c r="D5" s="41" t="s">
        <v>65</v>
      </c>
      <c r="F5" t="s">
        <v>0</v>
      </c>
      <c r="G5" t="s">
        <v>15</v>
      </c>
      <c r="H5" t="s">
        <v>5</v>
      </c>
      <c r="I5" t="s">
        <v>18</v>
      </c>
      <c r="J5" t="s">
        <v>43</v>
      </c>
      <c r="K5" t="s">
        <v>36</v>
      </c>
      <c r="L5" t="s">
        <v>52</v>
      </c>
    </row>
    <row r="6" spans="2:12" x14ac:dyDescent="0.25">
      <c r="B6" t="s">
        <v>29</v>
      </c>
      <c r="D6" s="41"/>
      <c r="F6" t="s">
        <v>24</v>
      </c>
      <c r="G6" t="s">
        <v>25</v>
      </c>
      <c r="H6" t="s">
        <v>26</v>
      </c>
      <c r="I6" t="s">
        <v>27</v>
      </c>
      <c r="J6" t="s">
        <v>44</v>
      </c>
      <c r="K6" t="s">
        <v>37</v>
      </c>
      <c r="L6" t="s">
        <v>54</v>
      </c>
    </row>
    <row r="7" spans="2:12" x14ac:dyDescent="0.25">
      <c r="B7" t="s">
        <v>55</v>
      </c>
      <c r="D7" s="41"/>
    </row>
    <row r="9" spans="2:12" x14ac:dyDescent="0.25">
      <c r="B9" s="38" t="s">
        <v>51</v>
      </c>
      <c r="D9" s="35" t="s">
        <v>47</v>
      </c>
    </row>
    <row r="10" spans="2:12" x14ac:dyDescent="0.25">
      <c r="B10" t="s">
        <v>58</v>
      </c>
      <c r="D10" s="24" t="s">
        <v>39</v>
      </c>
    </row>
    <row r="11" spans="2:12" x14ac:dyDescent="0.25">
      <c r="B11" t="s">
        <v>59</v>
      </c>
      <c r="D11" s="24" t="s">
        <v>40</v>
      </c>
    </row>
    <row r="12" spans="2:12" x14ac:dyDescent="0.25">
      <c r="B12" t="s">
        <v>60</v>
      </c>
    </row>
    <row r="13" spans="2:12" x14ac:dyDescent="0.25">
      <c r="B13" t="s">
        <v>61</v>
      </c>
      <c r="D13" s="38" t="s">
        <v>70</v>
      </c>
    </row>
    <row r="14" spans="2:12" x14ac:dyDescent="0.25">
      <c r="B14" t="s">
        <v>62</v>
      </c>
      <c r="D14" t="s">
        <v>71</v>
      </c>
    </row>
    <row r="15" spans="2:12" x14ac:dyDescent="0.25">
      <c r="B15" t="s">
        <v>63</v>
      </c>
      <c r="D15" t="s">
        <v>72</v>
      </c>
    </row>
    <row r="16" spans="2:12" x14ac:dyDescent="0.25">
      <c r="B16" t="s">
        <v>13</v>
      </c>
    </row>
    <row r="17" spans="2:4" x14ac:dyDescent="0.25">
      <c r="B17" t="s">
        <v>2</v>
      </c>
    </row>
    <row r="18" spans="2:4" x14ac:dyDescent="0.25">
      <c r="D18" s="38" t="s">
        <v>81</v>
      </c>
    </row>
    <row r="19" spans="2:4" x14ac:dyDescent="0.25">
      <c r="B19" s="38" t="s">
        <v>49</v>
      </c>
      <c r="D19" t="s">
        <v>82</v>
      </c>
    </row>
    <row r="20" spans="2:4" x14ac:dyDescent="0.25">
      <c r="B20" t="s">
        <v>56</v>
      </c>
      <c r="D20" t="s">
        <v>80</v>
      </c>
    </row>
    <row r="21" spans="2:4" x14ac:dyDescent="0.25">
      <c r="B21" t="s">
        <v>57</v>
      </c>
      <c r="D21" t="s">
        <v>83</v>
      </c>
    </row>
    <row r="22" spans="2:4" x14ac:dyDescent="0.25">
      <c r="D22" t="s">
        <v>84</v>
      </c>
    </row>
    <row r="24" spans="2:4" x14ac:dyDescent="0.25">
      <c r="D24" s="38" t="s">
        <v>85</v>
      </c>
    </row>
    <row r="25" spans="2:4" x14ac:dyDescent="0.25">
      <c r="D25" t="s">
        <v>86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1"/>
  <sheetViews>
    <sheetView zoomScale="80" zoomScaleNormal="80" workbookViewId="0">
      <selection activeCell="C14" sqref="C14:E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71" t="s">
        <v>74</v>
      </c>
      <c r="D2" s="72"/>
      <c r="E2" s="73"/>
      <c r="G2" s="77" t="s">
        <v>75</v>
      </c>
      <c r="H2" s="78"/>
      <c r="I2" s="79"/>
      <c r="K2" s="77" t="s">
        <v>76</v>
      </c>
      <c r="L2" s="78"/>
      <c r="M2" s="79"/>
    </row>
    <row r="3" spans="3:13" ht="15.75" thickBot="1" x14ac:dyDescent="0.3">
      <c r="C3" s="74"/>
      <c r="D3" s="75"/>
      <c r="E3" s="76"/>
      <c r="G3" s="80"/>
      <c r="H3" s="81"/>
      <c r="I3" s="82"/>
      <c r="K3" s="80"/>
      <c r="L3" s="81"/>
      <c r="M3" s="82"/>
    </row>
    <row r="4" spans="3:13" ht="15.75" thickBot="1" x14ac:dyDescent="0.3"/>
    <row r="5" spans="3:13" x14ac:dyDescent="0.25">
      <c r="C5" s="83" t="s">
        <v>2</v>
      </c>
      <c r="D5" s="84"/>
      <c r="E5" s="42" t="s">
        <v>14</v>
      </c>
      <c r="G5" s="92" t="s">
        <v>0</v>
      </c>
      <c r="H5" s="93"/>
      <c r="I5" s="29" t="s">
        <v>14</v>
      </c>
      <c r="K5" s="66" t="s">
        <v>68</v>
      </c>
      <c r="L5" s="67"/>
      <c r="M5" s="46" t="s">
        <v>14</v>
      </c>
    </row>
    <row r="6" spans="3:13" x14ac:dyDescent="0.25">
      <c r="C6" s="31" t="s">
        <v>1</v>
      </c>
      <c r="D6" s="34"/>
      <c r="E6" s="94"/>
      <c r="G6" s="3" t="s">
        <v>35</v>
      </c>
      <c r="H6" s="13"/>
      <c r="I6" s="113"/>
      <c r="K6" s="5" t="s">
        <v>35</v>
      </c>
      <c r="L6" s="20"/>
      <c r="M6" s="68"/>
    </row>
    <row r="7" spans="3:13" ht="15.75" thickBot="1" x14ac:dyDescent="0.3">
      <c r="C7" s="43" t="s">
        <v>22</v>
      </c>
      <c r="D7" s="33"/>
      <c r="E7" s="95"/>
      <c r="G7" s="3" t="s">
        <v>51</v>
      </c>
      <c r="H7" s="13"/>
      <c r="I7" s="114"/>
      <c r="K7" s="5" t="s">
        <v>77</v>
      </c>
      <c r="L7" s="20"/>
      <c r="M7" s="69"/>
    </row>
    <row r="8" spans="3:13" ht="15.75" thickBot="1" x14ac:dyDescent="0.3">
      <c r="G8" s="3" t="s">
        <v>49</v>
      </c>
      <c r="H8" s="13"/>
      <c r="I8" s="114"/>
      <c r="K8" s="6" t="s">
        <v>69</v>
      </c>
      <c r="L8" s="21" t="s">
        <v>71</v>
      </c>
      <c r="M8" s="70"/>
    </row>
    <row r="9" spans="3:13" ht="15.75" thickBot="1" x14ac:dyDescent="0.3">
      <c r="C9" s="87" t="s">
        <v>4</v>
      </c>
      <c r="D9" s="88"/>
      <c r="E9" s="25" t="s">
        <v>14</v>
      </c>
      <c r="G9" s="3" t="s">
        <v>11</v>
      </c>
      <c r="H9" s="13"/>
      <c r="I9" s="114"/>
    </row>
    <row r="10" spans="3:13" ht="15.75" thickBot="1" x14ac:dyDescent="0.3">
      <c r="C10" s="9" t="s">
        <v>21</v>
      </c>
      <c r="D10" s="18"/>
      <c r="E10" s="89"/>
      <c r="G10" s="4" t="s">
        <v>38</v>
      </c>
      <c r="H10" s="14" t="s">
        <v>39</v>
      </c>
      <c r="I10" s="115"/>
      <c r="K10" s="66" t="s">
        <v>73</v>
      </c>
      <c r="L10" s="67"/>
      <c r="M10" s="46" t="s">
        <v>14</v>
      </c>
    </row>
    <row r="11" spans="3:13" ht="15.75" thickBot="1" x14ac:dyDescent="0.3">
      <c r="C11" s="9" t="s">
        <v>32</v>
      </c>
      <c r="D11" s="18"/>
      <c r="E11" s="90"/>
      <c r="K11" s="5" t="s">
        <v>35</v>
      </c>
      <c r="L11" s="20"/>
      <c r="M11" s="68"/>
    </row>
    <row r="12" spans="3:13" ht="15.75" thickBot="1" x14ac:dyDescent="0.3">
      <c r="C12" s="10" t="s">
        <v>33</v>
      </c>
      <c r="D12" s="19"/>
      <c r="E12" s="91"/>
      <c r="G12" s="85" t="s">
        <v>15</v>
      </c>
      <c r="H12" s="86"/>
      <c r="I12" s="26" t="s">
        <v>14</v>
      </c>
      <c r="K12" s="5" t="s">
        <v>78</v>
      </c>
      <c r="L12" s="20"/>
      <c r="M12" s="69"/>
    </row>
    <row r="13" spans="3:13" ht="15.75" thickBot="1" x14ac:dyDescent="0.3">
      <c r="G13" s="7" t="s">
        <v>35</v>
      </c>
      <c r="H13" s="15"/>
      <c r="I13" s="116"/>
      <c r="K13" s="6" t="s">
        <v>69</v>
      </c>
      <c r="L13" s="21" t="s">
        <v>71</v>
      </c>
      <c r="M13" s="70"/>
    </row>
    <row r="14" spans="3:13" ht="15.75" thickBot="1" x14ac:dyDescent="0.3">
      <c r="C14" s="83" t="s">
        <v>48</v>
      </c>
      <c r="D14" s="84"/>
      <c r="E14" s="39" t="s">
        <v>14</v>
      </c>
      <c r="G14" s="7" t="s">
        <v>3</v>
      </c>
      <c r="H14" s="15"/>
      <c r="I14" s="117"/>
    </row>
    <row r="15" spans="3:13" x14ac:dyDescent="0.25">
      <c r="C15" s="96"/>
      <c r="D15" s="97"/>
      <c r="E15" s="94"/>
      <c r="G15" s="7" t="s">
        <v>6</v>
      </c>
      <c r="H15" s="15"/>
      <c r="I15" s="117"/>
      <c r="K15" s="66" t="s">
        <v>89</v>
      </c>
      <c r="L15" s="67"/>
      <c r="M15" s="46" t="s">
        <v>14</v>
      </c>
    </row>
    <row r="16" spans="3:13" ht="15.75" thickBot="1" x14ac:dyDescent="0.3">
      <c r="C16" s="98"/>
      <c r="D16" s="99"/>
      <c r="E16" s="95"/>
      <c r="G16" s="7" t="s">
        <v>7</v>
      </c>
      <c r="H16" s="15"/>
      <c r="I16" s="117"/>
      <c r="K16" s="6" t="s">
        <v>90</v>
      </c>
      <c r="L16" s="21"/>
      <c r="M16" s="52"/>
    </row>
    <row r="17" spans="3:13" x14ac:dyDescent="0.25">
      <c r="C17" s="53"/>
      <c r="D17" s="53"/>
      <c r="E17" s="54"/>
      <c r="G17" s="7" t="s">
        <v>10</v>
      </c>
      <c r="H17" s="15"/>
      <c r="I17" s="117"/>
      <c r="K17" s="55"/>
      <c r="L17" s="56"/>
      <c r="M17" s="57"/>
    </row>
    <row r="18" spans="3:13" ht="15.75" thickBot="1" x14ac:dyDescent="0.3">
      <c r="G18" s="8" t="s">
        <v>91</v>
      </c>
      <c r="H18" s="16"/>
      <c r="I18" s="118"/>
    </row>
    <row r="19" spans="3:13" ht="15.75" thickBot="1" x14ac:dyDescent="0.3"/>
    <row r="20" spans="3:13" x14ac:dyDescent="0.25">
      <c r="G20" s="100" t="s">
        <v>36</v>
      </c>
      <c r="H20" s="101"/>
      <c r="I20" s="28" t="s">
        <v>14</v>
      </c>
    </row>
    <row r="21" spans="3:13" x14ac:dyDescent="0.25">
      <c r="G21" s="11" t="s">
        <v>12</v>
      </c>
      <c r="H21" s="22"/>
      <c r="I21" s="102"/>
    </row>
    <row r="22" spans="3:13" x14ac:dyDescent="0.25">
      <c r="G22" s="11" t="s">
        <v>9</v>
      </c>
      <c r="H22" s="22"/>
      <c r="I22" s="103"/>
    </row>
    <row r="23" spans="3:13" ht="15.75" thickBot="1" x14ac:dyDescent="0.3">
      <c r="G23" s="12" t="s">
        <v>17</v>
      </c>
      <c r="H23" s="23"/>
      <c r="I23" s="104"/>
    </row>
    <row r="24" spans="3:13" ht="15.75" thickBot="1" x14ac:dyDescent="0.3"/>
    <row r="25" spans="3:13" x14ac:dyDescent="0.25">
      <c r="G25" s="66" t="s">
        <v>5</v>
      </c>
      <c r="H25" s="67"/>
      <c r="I25" s="27" t="s">
        <v>14</v>
      </c>
    </row>
    <row r="26" spans="3:13" x14ac:dyDescent="0.25">
      <c r="G26" s="5" t="s">
        <v>35</v>
      </c>
      <c r="H26" s="20"/>
      <c r="I26" s="68"/>
    </row>
    <row r="27" spans="3:13" x14ac:dyDescent="0.25">
      <c r="G27" s="5" t="s">
        <v>34</v>
      </c>
      <c r="H27" s="20"/>
      <c r="I27" s="69"/>
    </row>
    <row r="28" spans="3:13" ht="15.75" thickBot="1" x14ac:dyDescent="0.3">
      <c r="G28" s="6" t="s">
        <v>22</v>
      </c>
      <c r="H28" s="21"/>
      <c r="I28" s="70"/>
    </row>
    <row r="29" spans="3:13" ht="15.75" thickBot="1" x14ac:dyDescent="0.3">
      <c r="G29" s="38"/>
    </row>
    <row r="30" spans="3:13" x14ac:dyDescent="0.25">
      <c r="G30" s="105" t="s">
        <v>41</v>
      </c>
      <c r="H30" s="106"/>
      <c r="I30" s="49" t="s">
        <v>14</v>
      </c>
    </row>
    <row r="31" spans="3:13" x14ac:dyDescent="0.25">
      <c r="G31" s="36" t="s">
        <v>35</v>
      </c>
      <c r="H31" s="58"/>
      <c r="I31" s="107"/>
    </row>
    <row r="32" spans="3:13" x14ac:dyDescent="0.25">
      <c r="G32" s="36" t="s">
        <v>11</v>
      </c>
      <c r="H32" s="50"/>
      <c r="I32" s="108"/>
    </row>
    <row r="33" spans="7:9" x14ac:dyDescent="0.25">
      <c r="G33" s="36" t="s">
        <v>79</v>
      </c>
      <c r="H33" s="50"/>
      <c r="I33" s="108"/>
    </row>
    <row r="34" spans="7:9" x14ac:dyDescent="0.25">
      <c r="G34" s="36" t="s">
        <v>87</v>
      </c>
      <c r="H34" s="50"/>
      <c r="I34" s="108"/>
    </row>
    <row r="35" spans="7:9" x14ac:dyDescent="0.25">
      <c r="G35" s="36" t="s">
        <v>66</v>
      </c>
      <c r="H35" s="50" t="s">
        <v>80</v>
      </c>
      <c r="I35" s="108"/>
    </row>
    <row r="36" spans="7:9" ht="15.75" thickBot="1" x14ac:dyDescent="0.3">
      <c r="G36" s="37" t="s">
        <v>88</v>
      </c>
      <c r="H36" s="51"/>
      <c r="I36" s="109"/>
    </row>
    <row r="37" spans="7:9" ht="15.75" thickBot="1" x14ac:dyDescent="0.3"/>
    <row r="38" spans="7:9" x14ac:dyDescent="0.25">
      <c r="G38" s="83" t="s">
        <v>18</v>
      </c>
      <c r="H38" s="84"/>
      <c r="I38" s="40" t="s">
        <v>14</v>
      </c>
    </row>
    <row r="39" spans="7:9" x14ac:dyDescent="0.25">
      <c r="G39" s="31" t="s">
        <v>46</v>
      </c>
      <c r="H39" s="32"/>
      <c r="I39" s="110"/>
    </row>
    <row r="40" spans="7:9" x14ac:dyDescent="0.25">
      <c r="G40" s="31" t="s">
        <v>19</v>
      </c>
      <c r="H40" s="45"/>
      <c r="I40" s="111"/>
    </row>
    <row r="41" spans="7:9" ht="15.75" thickBot="1" x14ac:dyDescent="0.3">
      <c r="G41" s="1" t="s">
        <v>20</v>
      </c>
      <c r="H41" s="44"/>
      <c r="I41" s="112"/>
    </row>
  </sheetData>
  <mergeCells count="27">
    <mergeCell ref="I39:I41"/>
    <mergeCell ref="I6:I10"/>
    <mergeCell ref="I26:I28"/>
    <mergeCell ref="K15:L15"/>
    <mergeCell ref="I13:I18"/>
    <mergeCell ref="C14:D14"/>
    <mergeCell ref="C15:D16"/>
    <mergeCell ref="G20:H20"/>
    <mergeCell ref="I21:I23"/>
    <mergeCell ref="G38:H38"/>
    <mergeCell ref="E15:E16"/>
    <mergeCell ref="G25:H25"/>
    <mergeCell ref="G30:H30"/>
    <mergeCell ref="I31:I36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G25:H25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G38:H38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G20:H20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H39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H28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H33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86"/>
  <sheetViews>
    <sheetView zoomScale="85" zoomScaleNormal="85" workbookViewId="0">
      <selection activeCell="D13" sqref="D13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</cols>
  <sheetData>
    <row r="1" spans="4:6" ht="15.75" thickBot="1" x14ac:dyDescent="0.3"/>
    <row r="2" spans="4:6" x14ac:dyDescent="0.25">
      <c r="D2" s="83" t="s">
        <v>2</v>
      </c>
      <c r="E2" s="84"/>
      <c r="F2" s="30" t="s">
        <v>14</v>
      </c>
    </row>
    <row r="3" spans="4:6" x14ac:dyDescent="0.25">
      <c r="D3" s="31" t="s">
        <v>1</v>
      </c>
      <c r="E3" s="34" t="s">
        <v>133</v>
      </c>
      <c r="F3" s="94" t="s">
        <v>42</v>
      </c>
    </row>
    <row r="4" spans="4:6" ht="15.75" thickBot="1" x14ac:dyDescent="0.3">
      <c r="D4" s="1" t="s">
        <v>22</v>
      </c>
      <c r="E4" s="17" t="s">
        <v>31</v>
      </c>
      <c r="F4" s="95"/>
    </row>
    <row r="6" spans="4:6" s="2" customFormat="1" ht="15.75" thickBot="1" x14ac:dyDescent="0.3">
      <c r="D6" s="122" t="s">
        <v>8</v>
      </c>
      <c r="E6" s="122"/>
    </row>
    <row r="7" spans="4:6" ht="15.75" thickBot="1" x14ac:dyDescent="0.3">
      <c r="D7" s="24"/>
      <c r="E7" s="24"/>
    </row>
    <row r="8" spans="4:6" x14ac:dyDescent="0.25">
      <c r="D8" s="83" t="s">
        <v>2</v>
      </c>
      <c r="E8" s="84"/>
      <c r="F8" s="42" t="s">
        <v>14</v>
      </c>
    </row>
    <row r="9" spans="4:6" x14ac:dyDescent="0.25">
      <c r="D9" s="31" t="s">
        <v>1</v>
      </c>
      <c r="E9" s="34" t="s">
        <v>134</v>
      </c>
      <c r="F9" s="94"/>
    </row>
    <row r="10" spans="4:6" ht="15.75" thickBot="1" x14ac:dyDescent="0.3">
      <c r="D10" s="43" t="s">
        <v>22</v>
      </c>
      <c r="E10" s="33" t="s">
        <v>31</v>
      </c>
      <c r="F10" s="95"/>
    </row>
    <row r="11" spans="4:6" ht="15.75" thickBot="1" x14ac:dyDescent="0.3">
      <c r="D11" s="47"/>
      <c r="E11" s="47"/>
    </row>
    <row r="12" spans="4:6" x14ac:dyDescent="0.25">
      <c r="D12" s="105" t="s">
        <v>319</v>
      </c>
      <c r="E12" s="106"/>
      <c r="F12" s="49" t="s">
        <v>14</v>
      </c>
    </row>
    <row r="13" spans="4:6" x14ac:dyDescent="0.25">
      <c r="D13" s="36" t="s">
        <v>35</v>
      </c>
      <c r="E13" s="58" t="str">
        <f>E9</f>
        <v>Waste 1</v>
      </c>
      <c r="F13" s="119" t="s">
        <v>118</v>
      </c>
    </row>
    <row r="14" spans="4:6" x14ac:dyDescent="0.25">
      <c r="D14" s="36" t="s">
        <v>11</v>
      </c>
      <c r="E14" s="50">
        <v>0</v>
      </c>
      <c r="F14" s="120"/>
    </row>
    <row r="15" spans="4:6" x14ac:dyDescent="0.25">
      <c r="D15" s="36" t="s">
        <v>79</v>
      </c>
      <c r="E15" s="50" t="s">
        <v>86</v>
      </c>
      <c r="F15" s="120"/>
    </row>
    <row r="16" spans="4:6" x14ac:dyDescent="0.25">
      <c r="D16" s="36" t="s">
        <v>87</v>
      </c>
      <c r="E16" s="50">
        <v>0</v>
      </c>
      <c r="F16" s="120"/>
    </row>
    <row r="17" spans="1:6" x14ac:dyDescent="0.25">
      <c r="D17" s="36" t="s">
        <v>66</v>
      </c>
      <c r="E17" s="50" t="s">
        <v>80</v>
      </c>
      <c r="F17" s="120"/>
    </row>
    <row r="18" spans="1:6" ht="15.75" thickBot="1" x14ac:dyDescent="0.3">
      <c r="A18" t="s">
        <v>67</v>
      </c>
      <c r="D18" s="37" t="s">
        <v>88</v>
      </c>
      <c r="E18" s="51">
        <f>800*0.7/60 + 0.25*800*0.7/60</f>
        <v>11.666666666666668</v>
      </c>
      <c r="F18" s="121"/>
    </row>
    <row r="19" spans="1:6" ht="15.75" thickBot="1" x14ac:dyDescent="0.3"/>
    <row r="20" spans="1:6" x14ac:dyDescent="0.25">
      <c r="D20" s="105" t="str">
        <f>IF(MAX(Worklist!E:E)=0,"Disabled","Vacuum")</f>
        <v>Vacuum</v>
      </c>
      <c r="E20" s="106"/>
      <c r="F20" s="49" t="s">
        <v>14</v>
      </c>
    </row>
    <row r="21" spans="1:6" x14ac:dyDescent="0.25">
      <c r="D21" s="36" t="s">
        <v>35</v>
      </c>
      <c r="E21" s="58" t="str">
        <f>Worklist!D1</f>
        <v>EQ Buffer 1</v>
      </c>
      <c r="F21" s="107" t="s">
        <v>119</v>
      </c>
    </row>
    <row r="22" spans="1:6" x14ac:dyDescent="0.25">
      <c r="D22" s="36" t="s">
        <v>11</v>
      </c>
      <c r="E22" s="50" t="str">
        <f>Worklist!E1</f>
        <v>EQ Buffer 1 Vol</v>
      </c>
      <c r="F22" s="108"/>
    </row>
    <row r="23" spans="1:6" x14ac:dyDescent="0.25">
      <c r="D23" s="36" t="s">
        <v>79</v>
      </c>
      <c r="E23" s="50" t="s">
        <v>86</v>
      </c>
      <c r="F23" s="108"/>
    </row>
    <row r="24" spans="1:6" x14ac:dyDescent="0.25">
      <c r="D24" s="36" t="s">
        <v>87</v>
      </c>
      <c r="E24" s="50">
        <v>0</v>
      </c>
      <c r="F24" s="108"/>
    </row>
    <row r="25" spans="1:6" x14ac:dyDescent="0.25">
      <c r="D25" s="36" t="s">
        <v>66</v>
      </c>
      <c r="E25" s="50" t="s">
        <v>80</v>
      </c>
      <c r="F25" s="108"/>
    </row>
    <row r="26" spans="1:6" ht="15.75" thickBot="1" x14ac:dyDescent="0.3">
      <c r="D26" s="37" t="s">
        <v>88</v>
      </c>
      <c r="E26" s="51">
        <f>MAX(Worklist!E:E)*0.7/60 + 0.25*MAX(Worklist!E:E)*0.7/60</f>
        <v>8.75</v>
      </c>
      <c r="F26" s="109"/>
    </row>
    <row r="27" spans="1:6" ht="15.75" thickBot="1" x14ac:dyDescent="0.3"/>
    <row r="28" spans="1:6" x14ac:dyDescent="0.25">
      <c r="D28" s="105" t="str">
        <f>IF(MAX(Worklist!G:G)=0,"Disabled","Vacuum")</f>
        <v>Vacuum</v>
      </c>
      <c r="E28" s="106"/>
      <c r="F28" s="49" t="s">
        <v>14</v>
      </c>
    </row>
    <row r="29" spans="1:6" x14ac:dyDescent="0.25">
      <c r="D29" s="36" t="s">
        <v>35</v>
      </c>
      <c r="E29" s="58" t="str">
        <f>Worklist!F1</f>
        <v>EQ Buffer 2</v>
      </c>
      <c r="F29" s="107"/>
    </row>
    <row r="30" spans="1:6" x14ac:dyDescent="0.25">
      <c r="D30" s="36" t="s">
        <v>11</v>
      </c>
      <c r="E30" s="50" t="str">
        <f>Worklist!G1</f>
        <v>EQ Buffer 2 Vol</v>
      </c>
      <c r="F30" s="108"/>
    </row>
    <row r="31" spans="1:6" x14ac:dyDescent="0.25">
      <c r="D31" s="36" t="s">
        <v>79</v>
      </c>
      <c r="E31" s="50" t="s">
        <v>86</v>
      </c>
      <c r="F31" s="108"/>
    </row>
    <row r="32" spans="1:6" x14ac:dyDescent="0.25">
      <c r="D32" s="36" t="s">
        <v>87</v>
      </c>
      <c r="E32" s="50">
        <v>0</v>
      </c>
      <c r="F32" s="108"/>
    </row>
    <row r="33" spans="4:6" x14ac:dyDescent="0.25">
      <c r="D33" s="36" t="s">
        <v>66</v>
      </c>
      <c r="E33" s="50" t="s">
        <v>80</v>
      </c>
      <c r="F33" s="108"/>
    </row>
    <row r="34" spans="4:6" ht="15.75" thickBot="1" x14ac:dyDescent="0.3">
      <c r="D34" s="37" t="s">
        <v>88</v>
      </c>
      <c r="E34" s="51">
        <f>MAX(Worklist!G:G)*0.7/60 + 0.25*MAX(Worklist!G:G)*0.7/60</f>
        <v>8.75</v>
      </c>
      <c r="F34" s="109"/>
    </row>
    <row r="35" spans="4:6" ht="15.75" thickBot="1" x14ac:dyDescent="0.3">
      <c r="D35" s="24"/>
      <c r="E35" s="24"/>
    </row>
    <row r="36" spans="4:6" x14ac:dyDescent="0.25">
      <c r="D36" s="105" t="str">
        <f>IF(MAX(Worklist!I:I)=0,"Disabled","Vacuum")</f>
        <v>Disabled</v>
      </c>
      <c r="E36" s="106"/>
      <c r="F36" s="49" t="s">
        <v>14</v>
      </c>
    </row>
    <row r="37" spans="4:6" x14ac:dyDescent="0.25">
      <c r="D37" s="36" t="s">
        <v>35</v>
      </c>
      <c r="E37" s="58" t="str">
        <f>Worklist!H1</f>
        <v>EQ Buffer 3</v>
      </c>
      <c r="F37" s="107" t="s">
        <v>120</v>
      </c>
    </row>
    <row r="38" spans="4:6" x14ac:dyDescent="0.25">
      <c r="D38" s="36" t="s">
        <v>11</v>
      </c>
      <c r="E38" s="50" t="str">
        <f>Worklist!I1</f>
        <v>EQ Buffer 3 Vol</v>
      </c>
      <c r="F38" s="108"/>
    </row>
    <row r="39" spans="4:6" x14ac:dyDescent="0.25">
      <c r="D39" s="36" t="s">
        <v>79</v>
      </c>
      <c r="E39" s="50" t="s">
        <v>86</v>
      </c>
      <c r="F39" s="108"/>
    </row>
    <row r="40" spans="4:6" x14ac:dyDescent="0.25">
      <c r="D40" s="36" t="s">
        <v>87</v>
      </c>
      <c r="E40" s="50">
        <v>0</v>
      </c>
      <c r="F40" s="108"/>
    </row>
    <row r="41" spans="4:6" x14ac:dyDescent="0.25">
      <c r="D41" s="36" t="s">
        <v>66</v>
      </c>
      <c r="E41" s="50" t="s">
        <v>80</v>
      </c>
      <c r="F41" s="108"/>
    </row>
    <row r="42" spans="4:6" ht="15.75" thickBot="1" x14ac:dyDescent="0.3">
      <c r="D42" s="37" t="s">
        <v>88</v>
      </c>
      <c r="E42" s="51">
        <f>MAX(Worklist!I:I)*0.7/60 + 0.25*MAX(Worklist!I:I)*0.7/60</f>
        <v>0</v>
      </c>
      <c r="F42" s="109"/>
    </row>
    <row r="43" spans="4:6" ht="15.75" thickBot="1" x14ac:dyDescent="0.3">
      <c r="D43" s="24"/>
      <c r="E43" s="24"/>
    </row>
    <row r="44" spans="4:6" x14ac:dyDescent="0.25">
      <c r="D44" s="83" t="s">
        <v>2</v>
      </c>
      <c r="E44" s="84"/>
      <c r="F44" s="42" t="s">
        <v>14</v>
      </c>
    </row>
    <row r="45" spans="4:6" x14ac:dyDescent="0.25">
      <c r="D45" s="31" t="s">
        <v>1</v>
      </c>
      <c r="E45" s="34" t="s">
        <v>137</v>
      </c>
      <c r="F45" s="94"/>
    </row>
    <row r="46" spans="4:6" ht="15.75" thickBot="1" x14ac:dyDescent="0.3">
      <c r="D46" s="43" t="s">
        <v>22</v>
      </c>
      <c r="E46" s="33" t="s">
        <v>31</v>
      </c>
      <c r="F46" s="95"/>
    </row>
    <row r="47" spans="4:6" ht="15.75" thickBot="1" x14ac:dyDescent="0.3">
      <c r="D47" s="24"/>
      <c r="E47" s="24"/>
    </row>
    <row r="48" spans="4:6" x14ac:dyDescent="0.25">
      <c r="D48" s="105" t="str">
        <f>IF(MAX(Worklist!J:J)=0,"Disabled","Vacuum")</f>
        <v>Vacuum</v>
      </c>
      <c r="E48" s="106"/>
      <c r="F48" s="49" t="s">
        <v>14</v>
      </c>
    </row>
    <row r="49" spans="4:6" x14ac:dyDescent="0.25">
      <c r="D49" s="36" t="s">
        <v>35</v>
      </c>
      <c r="E49" s="58" t="s">
        <v>133</v>
      </c>
      <c r="F49" s="107" t="s">
        <v>121</v>
      </c>
    </row>
    <row r="50" spans="4:6" x14ac:dyDescent="0.25">
      <c r="D50" s="36" t="s">
        <v>11</v>
      </c>
      <c r="E50" s="50" t="str">
        <f>Worklist!J1</f>
        <v>Load Vol 1</v>
      </c>
      <c r="F50" s="108"/>
    </row>
    <row r="51" spans="4:6" x14ac:dyDescent="0.25">
      <c r="D51" s="36" t="s">
        <v>79</v>
      </c>
      <c r="E51" s="50" t="s">
        <v>86</v>
      </c>
      <c r="F51" s="108"/>
    </row>
    <row r="52" spans="4:6" x14ac:dyDescent="0.25">
      <c r="D52" s="36" t="s">
        <v>87</v>
      </c>
      <c r="E52" s="50">
        <v>0</v>
      </c>
      <c r="F52" s="108"/>
    </row>
    <row r="53" spans="4:6" x14ac:dyDescent="0.25">
      <c r="D53" s="36" t="s">
        <v>66</v>
      </c>
      <c r="E53" s="50" t="s">
        <v>80</v>
      </c>
      <c r="F53" s="108"/>
    </row>
    <row r="54" spans="4:6" ht="15.75" thickBot="1" x14ac:dyDescent="0.3">
      <c r="D54" s="37" t="s">
        <v>88</v>
      </c>
      <c r="E54" s="51">
        <f>MAX(Worklist!J:J)*0.7/60 + 0.25*MAX(Worklist!J:J)*0.7/60</f>
        <v>16.829166666666666</v>
      </c>
      <c r="F54" s="109"/>
    </row>
    <row r="55" spans="4:6" ht="15.75" thickBot="1" x14ac:dyDescent="0.3">
      <c r="D55" s="24"/>
      <c r="E55" s="24"/>
    </row>
    <row r="56" spans="4:6" x14ac:dyDescent="0.25">
      <c r="D56" s="83" t="s">
        <v>2</v>
      </c>
      <c r="E56" s="84"/>
      <c r="F56" s="42" t="s">
        <v>14</v>
      </c>
    </row>
    <row r="57" spans="4:6" x14ac:dyDescent="0.25">
      <c r="D57" s="31" t="s">
        <v>1</v>
      </c>
      <c r="E57" s="34" t="s">
        <v>133</v>
      </c>
      <c r="F57" s="94"/>
    </row>
    <row r="58" spans="4:6" ht="15.75" thickBot="1" x14ac:dyDescent="0.3">
      <c r="D58" s="1" t="s">
        <v>22</v>
      </c>
      <c r="E58" s="17" t="s">
        <v>31</v>
      </c>
      <c r="F58" s="95"/>
    </row>
    <row r="59" spans="4:6" ht="15.75" thickBot="1" x14ac:dyDescent="0.3">
      <c r="D59" s="24"/>
      <c r="E59" s="24"/>
    </row>
    <row r="60" spans="4:6" x14ac:dyDescent="0.25">
      <c r="D60" s="105" t="str">
        <f>IF(MAX(Worklist!K:K)=0,"Disabled","Vacuum")</f>
        <v>Vacuum</v>
      </c>
      <c r="E60" s="106"/>
      <c r="F60" s="49" t="s">
        <v>14</v>
      </c>
    </row>
    <row r="61" spans="4:6" x14ac:dyDescent="0.25">
      <c r="D61" s="36" t="s">
        <v>35</v>
      </c>
      <c r="E61" s="58" t="s">
        <v>137</v>
      </c>
      <c r="F61" s="107"/>
    </row>
    <row r="62" spans="4:6" x14ac:dyDescent="0.25">
      <c r="D62" s="36" t="s">
        <v>11</v>
      </c>
      <c r="E62" s="50" t="str">
        <f>Worklist!K1</f>
        <v>Load Vol 2</v>
      </c>
      <c r="F62" s="108"/>
    </row>
    <row r="63" spans="4:6" x14ac:dyDescent="0.25">
      <c r="D63" s="36" t="s">
        <v>79</v>
      </c>
      <c r="E63" s="50" t="s">
        <v>86</v>
      </c>
      <c r="F63" s="108"/>
    </row>
    <row r="64" spans="4:6" x14ac:dyDescent="0.25">
      <c r="D64" s="36" t="s">
        <v>87</v>
      </c>
      <c r="E64" s="50">
        <v>0</v>
      </c>
      <c r="F64" s="108"/>
    </row>
    <row r="65" spans="4:6" x14ac:dyDescent="0.25">
      <c r="D65" s="36" t="s">
        <v>66</v>
      </c>
      <c r="E65" s="50" t="s">
        <v>80</v>
      </c>
      <c r="F65" s="108"/>
    </row>
    <row r="66" spans="4:6" ht="15.75" thickBot="1" x14ac:dyDescent="0.3">
      <c r="D66" s="37" t="s">
        <v>88</v>
      </c>
      <c r="E66" s="51">
        <f>MAX(Worklist!K:K)*0.7/60 + 0.25*MAX(Worklist!K:K)*0.7/60</f>
        <v>16.829166666666666</v>
      </c>
      <c r="F66" s="109"/>
    </row>
    <row r="67" spans="4:6" ht="15.75" thickBot="1" x14ac:dyDescent="0.3">
      <c r="D67" s="24"/>
      <c r="E67" s="24"/>
    </row>
    <row r="68" spans="4:6" x14ac:dyDescent="0.25">
      <c r="D68" s="83" t="s">
        <v>2</v>
      </c>
      <c r="E68" s="84"/>
      <c r="F68" s="42" t="s">
        <v>14</v>
      </c>
    </row>
    <row r="69" spans="4:6" x14ac:dyDescent="0.25">
      <c r="D69" s="31" t="s">
        <v>1</v>
      </c>
      <c r="E69" s="34" t="s">
        <v>137</v>
      </c>
      <c r="F69" s="94"/>
    </row>
    <row r="70" spans="4:6" ht="15.75" thickBot="1" x14ac:dyDescent="0.3">
      <c r="D70" s="43" t="s">
        <v>22</v>
      </c>
      <c r="E70" s="33" t="s">
        <v>31</v>
      </c>
      <c r="F70" s="95"/>
    </row>
    <row r="71" spans="4:6" ht="15.75" thickBot="1" x14ac:dyDescent="0.3">
      <c r="D71" s="48"/>
      <c r="E71" s="48"/>
    </row>
    <row r="72" spans="4:6" x14ac:dyDescent="0.25">
      <c r="D72" s="105" t="str">
        <f>IF(MAX(Worklist!L:L)=0,"Disabled","Vacuum")</f>
        <v>Vacuum</v>
      </c>
      <c r="E72" s="106"/>
      <c r="F72" s="49" t="s">
        <v>14</v>
      </c>
    </row>
    <row r="73" spans="4:6" x14ac:dyDescent="0.25">
      <c r="D73" s="36" t="s">
        <v>35</v>
      </c>
      <c r="E73" s="58" t="s">
        <v>133</v>
      </c>
      <c r="F73" s="107"/>
    </row>
    <row r="74" spans="4:6" x14ac:dyDescent="0.25">
      <c r="D74" s="36" t="s">
        <v>11</v>
      </c>
      <c r="E74" s="50" t="str">
        <f>Worklist!L1</f>
        <v>Load Vol 3</v>
      </c>
      <c r="F74" s="108"/>
    </row>
    <row r="75" spans="4:6" x14ac:dyDescent="0.25">
      <c r="D75" s="36" t="s">
        <v>79</v>
      </c>
      <c r="E75" s="50" t="s">
        <v>86</v>
      </c>
      <c r="F75" s="108"/>
    </row>
    <row r="76" spans="4:6" x14ac:dyDescent="0.25">
      <c r="D76" s="36" t="s">
        <v>87</v>
      </c>
      <c r="E76" s="50">
        <v>0</v>
      </c>
      <c r="F76" s="108"/>
    </row>
    <row r="77" spans="4:6" x14ac:dyDescent="0.25">
      <c r="D77" s="36" t="s">
        <v>66</v>
      </c>
      <c r="E77" s="50" t="s">
        <v>80</v>
      </c>
      <c r="F77" s="108"/>
    </row>
    <row r="78" spans="4:6" ht="15.75" thickBot="1" x14ac:dyDescent="0.3">
      <c r="D78" s="37" t="s">
        <v>88</v>
      </c>
      <c r="E78" s="51">
        <f>MAX(Worklist!L:L)*0.7/60 + 0.25*MAX(Worklist!L:L)*0.7/60</f>
        <v>16.829166666666666</v>
      </c>
      <c r="F78" s="109"/>
    </row>
    <row r="79" spans="4:6" ht="15.75" thickBot="1" x14ac:dyDescent="0.3">
      <c r="D79" s="24"/>
      <c r="E79" s="24"/>
    </row>
    <row r="80" spans="4:6" x14ac:dyDescent="0.25">
      <c r="D80" s="83" t="s">
        <v>2</v>
      </c>
      <c r="E80" s="84"/>
      <c r="F80" s="42" t="s">
        <v>14</v>
      </c>
    </row>
    <row r="81" spans="4:6" x14ac:dyDescent="0.25">
      <c r="D81" s="31" t="s">
        <v>1</v>
      </c>
      <c r="E81" s="34" t="s">
        <v>133</v>
      </c>
      <c r="F81" s="94"/>
    </row>
    <row r="82" spans="4:6" ht="15.75" thickBot="1" x14ac:dyDescent="0.3">
      <c r="D82" s="1" t="s">
        <v>22</v>
      </c>
      <c r="E82" s="17" t="s">
        <v>31</v>
      </c>
      <c r="F82" s="95"/>
    </row>
    <row r="83" spans="4:6" ht="15.75" thickBot="1" x14ac:dyDescent="0.3">
      <c r="D83" s="48"/>
      <c r="E83" s="48"/>
    </row>
    <row r="84" spans="4:6" x14ac:dyDescent="0.25">
      <c r="D84" s="105" t="str">
        <f>IF(MAX(Worklist!M:M)=0,"Disabled","Vacuum")</f>
        <v>Vacuum</v>
      </c>
      <c r="E84" s="106"/>
      <c r="F84" s="49" t="s">
        <v>14</v>
      </c>
    </row>
    <row r="85" spans="4:6" x14ac:dyDescent="0.25">
      <c r="D85" s="36" t="s">
        <v>35</v>
      </c>
      <c r="E85" s="58" t="s">
        <v>137</v>
      </c>
      <c r="F85" s="107" t="s">
        <v>122</v>
      </c>
    </row>
    <row r="86" spans="4:6" x14ac:dyDescent="0.25">
      <c r="D86" s="36" t="s">
        <v>11</v>
      </c>
      <c r="E86" s="50" t="str">
        <f>Worklist!M1</f>
        <v>Load Vol 4</v>
      </c>
      <c r="F86" s="108"/>
    </row>
    <row r="87" spans="4:6" x14ac:dyDescent="0.25">
      <c r="D87" s="36" t="s">
        <v>79</v>
      </c>
      <c r="E87" s="50" t="s">
        <v>86</v>
      </c>
      <c r="F87" s="108"/>
    </row>
    <row r="88" spans="4:6" x14ac:dyDescent="0.25">
      <c r="D88" s="36" t="s">
        <v>87</v>
      </c>
      <c r="E88" s="50">
        <v>0</v>
      </c>
      <c r="F88" s="108"/>
    </row>
    <row r="89" spans="4:6" x14ac:dyDescent="0.25">
      <c r="D89" s="36" t="s">
        <v>66</v>
      </c>
      <c r="E89" s="50" t="s">
        <v>80</v>
      </c>
      <c r="F89" s="108"/>
    </row>
    <row r="90" spans="4:6" ht="15.75" thickBot="1" x14ac:dyDescent="0.3">
      <c r="D90" s="37" t="s">
        <v>88</v>
      </c>
      <c r="E90" s="51">
        <f>MAX(Worklist!M:M)*0.7/60 + 0.25*MAX(Worklist!M:M)*0.7/60</f>
        <v>16.829166666666666</v>
      </c>
      <c r="F90" s="109"/>
    </row>
    <row r="91" spans="4:6" ht="15.75" thickBot="1" x14ac:dyDescent="0.3">
      <c r="D91" s="24"/>
      <c r="E91" s="24"/>
    </row>
    <row r="92" spans="4:6" x14ac:dyDescent="0.25">
      <c r="D92" s="83" t="s">
        <v>2</v>
      </c>
      <c r="E92" s="84"/>
      <c r="F92" s="42" t="s">
        <v>14</v>
      </c>
    </row>
    <row r="93" spans="4:6" x14ac:dyDescent="0.25">
      <c r="D93" s="31" t="s">
        <v>1</v>
      </c>
      <c r="E93" s="34" t="s">
        <v>135</v>
      </c>
      <c r="F93" s="94"/>
    </row>
    <row r="94" spans="4:6" ht="15.75" thickBot="1" x14ac:dyDescent="0.3">
      <c r="D94" s="43" t="s">
        <v>22</v>
      </c>
      <c r="E94" s="33" t="s">
        <v>31</v>
      </c>
      <c r="F94" s="95"/>
    </row>
    <row r="95" spans="4:6" ht="15.75" thickBot="1" x14ac:dyDescent="0.3">
      <c r="D95" s="48"/>
      <c r="E95" s="48"/>
    </row>
    <row r="96" spans="4:6" x14ac:dyDescent="0.25">
      <c r="D96" s="105" t="str">
        <f>IF(MAX(Worklist!O:O)=0,"Disabled","Vacuum")</f>
        <v>Vacuum</v>
      </c>
      <c r="E96" s="106"/>
      <c r="F96" s="49" t="s">
        <v>14</v>
      </c>
    </row>
    <row r="97" spans="4:6" x14ac:dyDescent="0.25">
      <c r="D97" s="36" t="s">
        <v>35</v>
      </c>
      <c r="E97" s="58" t="str">
        <f>Worklist!N1</f>
        <v>Wash Buffer 1</v>
      </c>
      <c r="F97" s="107" t="s">
        <v>129</v>
      </c>
    </row>
    <row r="98" spans="4:6" x14ac:dyDescent="0.25">
      <c r="D98" s="36" t="s">
        <v>11</v>
      </c>
      <c r="E98" s="50" t="str">
        <f>Worklist!O1</f>
        <v>Wash Buffer 1 Vol</v>
      </c>
      <c r="F98" s="108"/>
    </row>
    <row r="99" spans="4:6" x14ac:dyDescent="0.25">
      <c r="D99" s="36" t="s">
        <v>79</v>
      </c>
      <c r="E99" s="50" t="s">
        <v>86</v>
      </c>
      <c r="F99" s="108"/>
    </row>
    <row r="100" spans="4:6" x14ac:dyDescent="0.25">
      <c r="D100" s="36" t="s">
        <v>87</v>
      </c>
      <c r="E100" s="50">
        <v>0</v>
      </c>
      <c r="F100" s="108"/>
    </row>
    <row r="101" spans="4:6" x14ac:dyDescent="0.25">
      <c r="D101" s="36" t="s">
        <v>66</v>
      </c>
      <c r="E101" s="50" t="s">
        <v>80</v>
      </c>
      <c r="F101" s="108"/>
    </row>
    <row r="102" spans="4:6" ht="15.75" thickBot="1" x14ac:dyDescent="0.3">
      <c r="D102" s="37" t="s">
        <v>88</v>
      </c>
      <c r="E102" s="51">
        <f>MAX(Worklist!O:O)*0.7/60 + 0.25*MAX(Worklist!O:O)*0.7/60</f>
        <v>2.1875</v>
      </c>
      <c r="F102" s="109"/>
    </row>
    <row r="103" spans="4:6" ht="15.75" thickBot="1" x14ac:dyDescent="0.3">
      <c r="D103" s="48"/>
      <c r="E103" s="48"/>
    </row>
    <row r="104" spans="4:6" x14ac:dyDescent="0.25">
      <c r="D104" s="105" t="str">
        <f>IF(MAX(Worklist!Q:Q)=0,"Disabled","Vacuum")</f>
        <v>Vacuum</v>
      </c>
      <c r="E104" s="106"/>
      <c r="F104" s="49" t="s">
        <v>14</v>
      </c>
    </row>
    <row r="105" spans="4:6" x14ac:dyDescent="0.25">
      <c r="D105" s="36" t="s">
        <v>35</v>
      </c>
      <c r="E105" s="58" t="str">
        <f>Worklist!P1</f>
        <v>Wash Buffer 2</v>
      </c>
      <c r="F105" s="107"/>
    </row>
    <row r="106" spans="4:6" x14ac:dyDescent="0.25">
      <c r="D106" s="36" t="s">
        <v>11</v>
      </c>
      <c r="E106" s="50" t="str">
        <f>Worklist!Q1</f>
        <v>Wash Buffer 2 Vol</v>
      </c>
      <c r="F106" s="108"/>
    </row>
    <row r="107" spans="4:6" x14ac:dyDescent="0.25">
      <c r="D107" s="36" t="s">
        <v>79</v>
      </c>
      <c r="E107" s="50" t="s">
        <v>86</v>
      </c>
      <c r="F107" s="108"/>
    </row>
    <row r="108" spans="4:6" x14ac:dyDescent="0.25">
      <c r="D108" s="36" t="s">
        <v>87</v>
      </c>
      <c r="E108" s="50">
        <v>0</v>
      </c>
      <c r="F108" s="108"/>
    </row>
    <row r="109" spans="4:6" x14ac:dyDescent="0.25">
      <c r="D109" s="36" t="s">
        <v>66</v>
      </c>
      <c r="E109" s="50" t="s">
        <v>80</v>
      </c>
      <c r="F109" s="108"/>
    </row>
    <row r="110" spans="4:6" ht="15.75" thickBot="1" x14ac:dyDescent="0.3">
      <c r="D110" s="37" t="s">
        <v>88</v>
      </c>
      <c r="E110" s="51">
        <f>MAX(Worklist!Q:Q)*0.7/60 + 0.25*MAX(Worklist!Q:Q)*0.7/60</f>
        <v>2.1875</v>
      </c>
      <c r="F110" s="109"/>
    </row>
    <row r="111" spans="4:6" ht="15.75" thickBot="1" x14ac:dyDescent="0.3"/>
    <row r="112" spans="4:6" x14ac:dyDescent="0.25">
      <c r="D112" s="105" t="str">
        <f>IF(MAX(Worklist!S:S)=0,"Disabled","Vacuum")</f>
        <v>Vacuum</v>
      </c>
      <c r="E112" s="106"/>
      <c r="F112" s="49" t="s">
        <v>14</v>
      </c>
    </row>
    <row r="113" spans="4:6" x14ac:dyDescent="0.25">
      <c r="D113" s="36" t="s">
        <v>35</v>
      </c>
      <c r="E113" s="58" t="str">
        <f>Worklist!R1</f>
        <v>Wash Buffer 3</v>
      </c>
      <c r="F113" s="107"/>
    </row>
    <row r="114" spans="4:6" x14ac:dyDescent="0.25">
      <c r="D114" s="36" t="s">
        <v>11</v>
      </c>
      <c r="E114" s="50" t="str">
        <f>Worklist!S1</f>
        <v>Wash Buffer 3 Vol</v>
      </c>
      <c r="F114" s="108"/>
    </row>
    <row r="115" spans="4:6" x14ac:dyDescent="0.25">
      <c r="D115" s="36" t="s">
        <v>79</v>
      </c>
      <c r="E115" s="50" t="s">
        <v>86</v>
      </c>
      <c r="F115" s="108"/>
    </row>
    <row r="116" spans="4:6" x14ac:dyDescent="0.25">
      <c r="D116" s="36" t="s">
        <v>87</v>
      </c>
      <c r="E116" s="50">
        <v>0</v>
      </c>
      <c r="F116" s="108"/>
    </row>
    <row r="117" spans="4:6" x14ac:dyDescent="0.25">
      <c r="D117" s="36" t="s">
        <v>66</v>
      </c>
      <c r="E117" s="50" t="s">
        <v>80</v>
      </c>
      <c r="F117" s="108"/>
    </row>
    <row r="118" spans="4:6" ht="15.75" thickBot="1" x14ac:dyDescent="0.3">
      <c r="D118" s="37" t="s">
        <v>88</v>
      </c>
      <c r="E118" s="51">
        <f>MAX(Worklist!S:S)*0.7/60 + 0.25*MAX(Worklist!S:S)*0.7/60</f>
        <v>2.1875</v>
      </c>
      <c r="F118" s="109"/>
    </row>
    <row r="119" spans="4:6" ht="15.75" thickBot="1" x14ac:dyDescent="0.3"/>
    <row r="120" spans="4:6" x14ac:dyDescent="0.25">
      <c r="D120" s="105" t="str">
        <f>IF(MAX(Worklist!U:U)=0,"Disabled","Vacuum")</f>
        <v>Vacuum</v>
      </c>
      <c r="E120" s="106"/>
      <c r="F120" s="49" t="s">
        <v>14</v>
      </c>
    </row>
    <row r="121" spans="4:6" x14ac:dyDescent="0.25">
      <c r="D121" s="36" t="s">
        <v>35</v>
      </c>
      <c r="E121" s="58" t="str">
        <f>Worklist!T1</f>
        <v>Wash Buffer 4</v>
      </c>
      <c r="F121" s="107"/>
    </row>
    <row r="122" spans="4:6" x14ac:dyDescent="0.25">
      <c r="D122" s="36" t="s">
        <v>11</v>
      </c>
      <c r="E122" s="50" t="str">
        <f>Worklist!U1</f>
        <v>Wash Buffer 4 Vol</v>
      </c>
      <c r="F122" s="108"/>
    </row>
    <row r="123" spans="4:6" x14ac:dyDescent="0.25">
      <c r="D123" s="36" t="s">
        <v>79</v>
      </c>
      <c r="E123" s="50" t="s">
        <v>86</v>
      </c>
      <c r="F123" s="108"/>
    </row>
    <row r="124" spans="4:6" x14ac:dyDescent="0.25">
      <c r="D124" s="36" t="s">
        <v>87</v>
      </c>
      <c r="E124" s="50">
        <v>0</v>
      </c>
      <c r="F124" s="108"/>
    </row>
    <row r="125" spans="4:6" x14ac:dyDescent="0.25">
      <c r="D125" s="36" t="s">
        <v>66</v>
      </c>
      <c r="E125" s="50" t="s">
        <v>80</v>
      </c>
      <c r="F125" s="108"/>
    </row>
    <row r="126" spans="4:6" ht="15.75" thickBot="1" x14ac:dyDescent="0.3">
      <c r="D126" s="37" t="s">
        <v>88</v>
      </c>
      <c r="E126" s="51">
        <f>MAX(Worklist!U:U)*0.7/60 + 0.25*MAX(Worklist!U:U)*0.7/60</f>
        <v>2.1875</v>
      </c>
      <c r="F126" s="109"/>
    </row>
    <row r="127" spans="4:6" ht="15.75" thickBot="1" x14ac:dyDescent="0.3"/>
    <row r="128" spans="4:6" x14ac:dyDescent="0.25">
      <c r="D128" s="105" t="str">
        <f>IF(MAX(Worklist!W:W)=0,"Disabled","Vacuum")</f>
        <v>Vacuum</v>
      </c>
      <c r="E128" s="106"/>
      <c r="F128" s="49" t="s">
        <v>14</v>
      </c>
    </row>
    <row r="129" spans="4:6" x14ac:dyDescent="0.25">
      <c r="D129" s="36" t="s">
        <v>35</v>
      </c>
      <c r="E129" s="58" t="str">
        <f>Worklist!V1</f>
        <v>Wash Buffer 5</v>
      </c>
      <c r="F129" s="107"/>
    </row>
    <row r="130" spans="4:6" x14ac:dyDescent="0.25">
      <c r="D130" s="36" t="s">
        <v>11</v>
      </c>
      <c r="E130" s="50" t="str">
        <f>Worklist!W1</f>
        <v>Wash Buffer 5 Vol</v>
      </c>
      <c r="F130" s="108"/>
    </row>
    <row r="131" spans="4:6" x14ac:dyDescent="0.25">
      <c r="D131" s="36" t="s">
        <v>79</v>
      </c>
      <c r="E131" s="50" t="s">
        <v>86</v>
      </c>
      <c r="F131" s="108"/>
    </row>
    <row r="132" spans="4:6" x14ac:dyDescent="0.25">
      <c r="D132" s="36" t="s">
        <v>87</v>
      </c>
      <c r="E132" s="50">
        <v>0</v>
      </c>
      <c r="F132" s="108"/>
    </row>
    <row r="133" spans="4:6" x14ac:dyDescent="0.25">
      <c r="D133" s="36" t="s">
        <v>66</v>
      </c>
      <c r="E133" s="50" t="s">
        <v>80</v>
      </c>
      <c r="F133" s="108"/>
    </row>
    <row r="134" spans="4:6" ht="15.75" thickBot="1" x14ac:dyDescent="0.3">
      <c r="D134" s="37" t="s">
        <v>88</v>
      </c>
      <c r="E134" s="51">
        <f>MAX(Worklist!W:W)*0.7/60 + 0.25*MAX(Worklist!W:W)*0.7/60</f>
        <v>2.1875</v>
      </c>
      <c r="F134" s="109"/>
    </row>
    <row r="135" spans="4:6" ht="15.75" thickBot="1" x14ac:dyDescent="0.3"/>
    <row r="136" spans="4:6" x14ac:dyDescent="0.25">
      <c r="D136" s="105" t="str">
        <f>IF(MAX(Worklist!Y:Y)=0,"Disabled","Vacuum")</f>
        <v>Vacuum</v>
      </c>
      <c r="E136" s="106"/>
      <c r="F136" s="49" t="s">
        <v>14</v>
      </c>
    </row>
    <row r="137" spans="4:6" x14ac:dyDescent="0.25">
      <c r="D137" s="36" t="s">
        <v>35</v>
      </c>
      <c r="E137" s="58" t="str">
        <f>Worklist!X1</f>
        <v>Wash Buffer 6</v>
      </c>
      <c r="F137" s="107" t="s">
        <v>130</v>
      </c>
    </row>
    <row r="138" spans="4:6" x14ac:dyDescent="0.25">
      <c r="D138" s="36" t="s">
        <v>11</v>
      </c>
      <c r="E138" s="50" t="str">
        <f>Worklist!Y1</f>
        <v>Wash Buffer 6 Vol</v>
      </c>
      <c r="F138" s="108"/>
    </row>
    <row r="139" spans="4:6" x14ac:dyDescent="0.25">
      <c r="D139" s="36" t="s">
        <v>79</v>
      </c>
      <c r="E139" s="50" t="s">
        <v>86</v>
      </c>
      <c r="F139" s="108"/>
    </row>
    <row r="140" spans="4:6" x14ac:dyDescent="0.25">
      <c r="D140" s="36" t="s">
        <v>87</v>
      </c>
      <c r="E140" s="50">
        <v>0</v>
      </c>
      <c r="F140" s="108"/>
    </row>
    <row r="141" spans="4:6" x14ac:dyDescent="0.25">
      <c r="D141" s="36" t="s">
        <v>66</v>
      </c>
      <c r="E141" s="50" t="s">
        <v>80</v>
      </c>
      <c r="F141" s="108"/>
    </row>
    <row r="142" spans="4:6" ht="15.75" thickBot="1" x14ac:dyDescent="0.3">
      <c r="D142" s="37" t="s">
        <v>88</v>
      </c>
      <c r="E142" s="51">
        <f>MAX(Worklist!Y:Y)*0.7/60 + 0.25*MAX(Worklist!Y:Y)*0.7/60</f>
        <v>2.1875</v>
      </c>
      <c r="F142" s="109"/>
    </row>
    <row r="143" spans="4:6" ht="15.75" thickBot="1" x14ac:dyDescent="0.3"/>
    <row r="144" spans="4:6" x14ac:dyDescent="0.25">
      <c r="D144" s="83" t="s">
        <v>2</v>
      </c>
      <c r="E144" s="84"/>
      <c r="F144" s="42" t="s">
        <v>14</v>
      </c>
    </row>
    <row r="145" spans="4:6" x14ac:dyDescent="0.25">
      <c r="D145" s="31" t="s">
        <v>1</v>
      </c>
      <c r="E145" s="34" t="s">
        <v>136</v>
      </c>
      <c r="F145" s="94"/>
    </row>
    <row r="146" spans="4:6" ht="15.75" thickBot="1" x14ac:dyDescent="0.3">
      <c r="D146" s="43" t="s">
        <v>22</v>
      </c>
      <c r="E146" s="33" t="s">
        <v>31</v>
      </c>
      <c r="F146" s="95"/>
    </row>
    <row r="147" spans="4:6" ht="15.75" thickBot="1" x14ac:dyDescent="0.3"/>
    <row r="148" spans="4:6" x14ac:dyDescent="0.25">
      <c r="D148" s="92" t="s">
        <v>0</v>
      </c>
      <c r="E148" s="93"/>
      <c r="F148" s="29" t="s">
        <v>14</v>
      </c>
    </row>
    <row r="149" spans="4:6" x14ac:dyDescent="0.25">
      <c r="D149" s="3" t="s">
        <v>35</v>
      </c>
      <c r="E149" s="13" t="str">
        <f>Worklist!Z1</f>
        <v>Neutralization Buffer</v>
      </c>
      <c r="F149" s="119" t="s">
        <v>131</v>
      </c>
    </row>
    <row r="150" spans="4:6" x14ac:dyDescent="0.25">
      <c r="D150" s="3" t="s">
        <v>51</v>
      </c>
      <c r="E150" s="13" t="s">
        <v>58</v>
      </c>
      <c r="F150" s="120"/>
    </row>
    <row r="151" spans="4:6" x14ac:dyDescent="0.25">
      <c r="D151" s="3" t="s">
        <v>49</v>
      </c>
      <c r="E151" s="13" t="s">
        <v>56</v>
      </c>
      <c r="F151" s="120"/>
    </row>
    <row r="152" spans="4:6" x14ac:dyDescent="0.25">
      <c r="D152" s="3" t="s">
        <v>11</v>
      </c>
      <c r="E152" s="13" t="str">
        <f>Worklist!AA1</f>
        <v>Neutralization Buffer Vol</v>
      </c>
      <c r="F152" s="120"/>
    </row>
    <row r="153" spans="4:6" ht="15.75" thickBot="1" x14ac:dyDescent="0.3">
      <c r="D153" s="4" t="s">
        <v>38</v>
      </c>
      <c r="E153" s="14" t="s">
        <v>40</v>
      </c>
      <c r="F153" s="121"/>
    </row>
    <row r="154" spans="4:6" ht="15.75" thickBot="1" x14ac:dyDescent="0.3"/>
    <row r="155" spans="4:6" x14ac:dyDescent="0.25">
      <c r="D155" s="105" t="str">
        <f>IF(MAX(Worklist!AC:AC)=0,"Disabled","Vacuum")</f>
        <v>Vacuum</v>
      </c>
      <c r="E155" s="106"/>
      <c r="F155" s="49" t="s">
        <v>14</v>
      </c>
    </row>
    <row r="156" spans="4:6" x14ac:dyDescent="0.25">
      <c r="D156" s="36" t="s">
        <v>35</v>
      </c>
      <c r="E156" s="58" t="str">
        <f>Worklist!AB1</f>
        <v>Elution Buffer 1</v>
      </c>
      <c r="F156" s="107"/>
    </row>
    <row r="157" spans="4:6" x14ac:dyDescent="0.25">
      <c r="D157" s="36" t="s">
        <v>11</v>
      </c>
      <c r="E157" s="50" t="str">
        <f>Worklist!AC1</f>
        <v>Elution Buffer 1 Vol</v>
      </c>
      <c r="F157" s="108"/>
    </row>
    <row r="158" spans="4:6" x14ac:dyDescent="0.25">
      <c r="D158" s="36" t="s">
        <v>79</v>
      </c>
      <c r="E158" s="50" t="s">
        <v>86</v>
      </c>
      <c r="F158" s="108"/>
    </row>
    <row r="159" spans="4:6" x14ac:dyDescent="0.25">
      <c r="D159" s="36" t="s">
        <v>87</v>
      </c>
      <c r="E159" s="50">
        <v>0</v>
      </c>
      <c r="F159" s="108"/>
    </row>
    <row r="160" spans="4:6" x14ac:dyDescent="0.25">
      <c r="D160" s="36" t="s">
        <v>66</v>
      </c>
      <c r="E160" s="50" t="s">
        <v>80</v>
      </c>
      <c r="F160" s="108"/>
    </row>
    <row r="161" spans="4:6" ht="15.75" thickBot="1" x14ac:dyDescent="0.3">
      <c r="D161" s="37" t="s">
        <v>88</v>
      </c>
      <c r="E161" s="51">
        <f>MAX(Worklist!AC:AC)*0.7/60 + 0.25*MAX(Worklist!AC:AC)*0.7/60</f>
        <v>2.916666666666667</v>
      </c>
      <c r="F161" s="109"/>
    </row>
    <row r="162" spans="4:6" ht="15.75" thickBot="1" x14ac:dyDescent="0.3"/>
    <row r="163" spans="4:6" x14ac:dyDescent="0.25">
      <c r="D163" s="105" t="str">
        <f>IF(MAX(Worklist!AE:AE)=0,"Disabled","Vacuum")</f>
        <v>Vacuum</v>
      </c>
      <c r="E163" s="106"/>
      <c r="F163" s="49" t="s">
        <v>14</v>
      </c>
    </row>
    <row r="164" spans="4:6" x14ac:dyDescent="0.25">
      <c r="D164" s="36" t="s">
        <v>35</v>
      </c>
      <c r="E164" s="58" t="str">
        <f>Worklist!AD1</f>
        <v>Elution Buffer 2</v>
      </c>
      <c r="F164" s="107"/>
    </row>
    <row r="165" spans="4:6" x14ac:dyDescent="0.25">
      <c r="D165" s="36" t="s">
        <v>11</v>
      </c>
      <c r="E165" s="50" t="str">
        <f>Worklist!AE1</f>
        <v>Elution Buffer 2 Vol</v>
      </c>
      <c r="F165" s="108"/>
    </row>
    <row r="166" spans="4:6" x14ac:dyDescent="0.25">
      <c r="D166" s="36" t="s">
        <v>79</v>
      </c>
      <c r="E166" s="50" t="s">
        <v>86</v>
      </c>
      <c r="F166" s="108"/>
    </row>
    <row r="167" spans="4:6" x14ac:dyDescent="0.25">
      <c r="D167" s="36" t="s">
        <v>87</v>
      </c>
      <c r="E167" s="50">
        <v>0</v>
      </c>
      <c r="F167" s="108"/>
    </row>
    <row r="168" spans="4:6" x14ac:dyDescent="0.25">
      <c r="D168" s="36" t="s">
        <v>66</v>
      </c>
      <c r="E168" s="50" t="s">
        <v>80</v>
      </c>
      <c r="F168" s="108"/>
    </row>
    <row r="169" spans="4:6" ht="15.75" thickBot="1" x14ac:dyDescent="0.3">
      <c r="D169" s="37" t="s">
        <v>88</v>
      </c>
      <c r="E169" s="51">
        <f>MAX(Worklist!AE:AE)*0.7/60 + 0.25*MAX(Worklist!AE:AE)*0.7/60</f>
        <v>2.916666666666667</v>
      </c>
      <c r="F169" s="109"/>
    </row>
    <row r="170" spans="4:6" ht="15.75" thickBot="1" x14ac:dyDescent="0.3"/>
    <row r="171" spans="4:6" x14ac:dyDescent="0.25">
      <c r="D171" s="105" t="str">
        <f>IF(MAX(Worklist!AG:AG)=0,"Disabled","Vacuum")</f>
        <v>Vacuum</v>
      </c>
      <c r="E171" s="106"/>
      <c r="F171" s="49" t="s">
        <v>14</v>
      </c>
    </row>
    <row r="172" spans="4:6" x14ac:dyDescent="0.25">
      <c r="D172" s="36" t="s">
        <v>35</v>
      </c>
      <c r="E172" s="58" t="str">
        <f>Worklist!AF1</f>
        <v>Elution Buffer 3</v>
      </c>
      <c r="F172" s="107" t="s">
        <v>132</v>
      </c>
    </row>
    <row r="173" spans="4:6" x14ac:dyDescent="0.25">
      <c r="D173" s="36" t="s">
        <v>11</v>
      </c>
      <c r="E173" s="50" t="str">
        <f>Worklist!AG1</f>
        <v>Elution Buffer 3 Vol</v>
      </c>
      <c r="F173" s="108"/>
    </row>
    <row r="174" spans="4:6" x14ac:dyDescent="0.25">
      <c r="D174" s="36" t="s">
        <v>79</v>
      </c>
      <c r="E174" s="50" t="s">
        <v>86</v>
      </c>
      <c r="F174" s="108"/>
    </row>
    <row r="175" spans="4:6" x14ac:dyDescent="0.25">
      <c r="D175" s="36" t="s">
        <v>87</v>
      </c>
      <c r="E175" s="50">
        <v>0</v>
      </c>
      <c r="F175" s="108"/>
    </row>
    <row r="176" spans="4:6" x14ac:dyDescent="0.25">
      <c r="D176" s="36" t="s">
        <v>66</v>
      </c>
      <c r="E176" s="50" t="s">
        <v>80</v>
      </c>
      <c r="F176" s="108"/>
    </row>
    <row r="177" spans="4:6" ht="15.75" thickBot="1" x14ac:dyDescent="0.3">
      <c r="D177" s="37" t="s">
        <v>88</v>
      </c>
      <c r="E177" s="51">
        <f>MAX(Worklist!AG:AG)*0.7/60 + 0.25*MAX(Worklist!AG:AG)*0.7/60</f>
        <v>2.916666666666667</v>
      </c>
      <c r="F177" s="109"/>
    </row>
    <row r="178" spans="4:6" ht="15.75" thickBot="1" x14ac:dyDescent="0.3"/>
    <row r="179" spans="4:6" x14ac:dyDescent="0.25">
      <c r="D179" s="83" t="s">
        <v>18</v>
      </c>
      <c r="E179" s="84"/>
      <c r="F179" s="40" t="s">
        <v>14</v>
      </c>
    </row>
    <row r="180" spans="4:6" x14ac:dyDescent="0.25">
      <c r="D180" s="31" t="s">
        <v>46</v>
      </c>
      <c r="E180" s="32" t="s">
        <v>39</v>
      </c>
      <c r="F180" s="110"/>
    </row>
    <row r="181" spans="4:6" x14ac:dyDescent="0.25">
      <c r="D181" s="31" t="s">
        <v>19</v>
      </c>
      <c r="E181" s="45" t="s">
        <v>127</v>
      </c>
      <c r="F181" s="111"/>
    </row>
    <row r="182" spans="4:6" ht="30.75" thickBot="1" x14ac:dyDescent="0.3">
      <c r="D182" s="1" t="s">
        <v>20</v>
      </c>
      <c r="E182" s="44" t="s">
        <v>128</v>
      </c>
      <c r="F182" s="112"/>
    </row>
    <row r="183" spans="4:6" ht="15.75" thickBot="1" x14ac:dyDescent="0.3"/>
    <row r="184" spans="4:6" x14ac:dyDescent="0.25">
      <c r="D184" s="83" t="s">
        <v>48</v>
      </c>
      <c r="E184" s="84"/>
      <c r="F184" s="42" t="s">
        <v>14</v>
      </c>
    </row>
    <row r="185" spans="4:6" x14ac:dyDescent="0.25">
      <c r="D185" s="96"/>
      <c r="E185" s="97"/>
      <c r="F185" s="94"/>
    </row>
    <row r="186" spans="4:6" ht="15.75" thickBot="1" x14ac:dyDescent="0.3">
      <c r="D186" s="98"/>
      <c r="E186" s="99"/>
      <c r="F186" s="95"/>
    </row>
  </sheetData>
  <mergeCells count="58">
    <mergeCell ref="D60:E60"/>
    <mergeCell ref="D72:E72"/>
    <mergeCell ref="D84:E84"/>
    <mergeCell ref="D96:E96"/>
    <mergeCell ref="D155:E155"/>
    <mergeCell ref="D104:E104"/>
    <mergeCell ref="D112:E112"/>
    <mergeCell ref="D120:E120"/>
    <mergeCell ref="D128:E128"/>
    <mergeCell ref="D136:E136"/>
    <mergeCell ref="D144:E144"/>
    <mergeCell ref="D2:E2"/>
    <mergeCell ref="F3:F4"/>
    <mergeCell ref="D6:E6"/>
    <mergeCell ref="D8:E8"/>
    <mergeCell ref="F9:F10"/>
    <mergeCell ref="F37:F42"/>
    <mergeCell ref="D12:E12"/>
    <mergeCell ref="F13:F18"/>
    <mergeCell ref="D20:E20"/>
    <mergeCell ref="F21:F26"/>
    <mergeCell ref="D28:E28"/>
    <mergeCell ref="D36:E36"/>
    <mergeCell ref="F29:F34"/>
    <mergeCell ref="D44:E44"/>
    <mergeCell ref="F45:F46"/>
    <mergeCell ref="F49:F54"/>
    <mergeCell ref="D56:E56"/>
    <mergeCell ref="F57:F58"/>
    <mergeCell ref="D48:E48"/>
    <mergeCell ref="F61:F66"/>
    <mergeCell ref="D68:E68"/>
    <mergeCell ref="F69:F70"/>
    <mergeCell ref="F73:F78"/>
    <mergeCell ref="D80:E80"/>
    <mergeCell ref="F81:F82"/>
    <mergeCell ref="F85:F90"/>
    <mergeCell ref="D92:E92"/>
    <mergeCell ref="F93:F94"/>
    <mergeCell ref="F97:F102"/>
    <mergeCell ref="F105:F110"/>
    <mergeCell ref="F113:F118"/>
    <mergeCell ref="F121:F126"/>
    <mergeCell ref="F129:F134"/>
    <mergeCell ref="F137:F142"/>
    <mergeCell ref="D184:E184"/>
    <mergeCell ref="D185:E186"/>
    <mergeCell ref="F185:F186"/>
    <mergeCell ref="F145:F146"/>
    <mergeCell ref="D148:E148"/>
    <mergeCell ref="F149:F153"/>
    <mergeCell ref="D179:E179"/>
    <mergeCell ref="F180:F182"/>
    <mergeCell ref="F156:F161"/>
    <mergeCell ref="F164:F169"/>
    <mergeCell ref="F172:F177"/>
    <mergeCell ref="D163:E163"/>
    <mergeCell ref="D171:E17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0000000}">
          <x14:formula1>
            <xm:f>'___Dropdown values'!$B$4:$B$6</xm:f>
          </x14:formula1>
          <xm:sqref>E4 E58 E82</xm:sqref>
        </x14:dataValidation>
        <x14:dataValidation type="list" allowBlank="1" showInputMessage="1" showErrorMessage="1" xr:uid="{00000000-0002-0000-0200-000001000000}">
          <x14:formula1>
            <xm:f>'___Dropdown values'!$B$4:$B$7</xm:f>
          </x14:formula1>
          <xm:sqref>E10 E46 E70 E94 E146</xm:sqref>
        </x14:dataValidation>
        <x14:dataValidation type="list" allowBlank="1" showInputMessage="1" showErrorMessage="1" xr:uid="{00000000-0002-0000-0200-000002000000}">
          <x14:formula1>
            <xm:f>'___Dropdown values'!$D$19:$D$22</xm:f>
          </x14:formula1>
          <xm:sqref>E17 E25 E33 E41 E53 E65 E77 E89 E101 E109 E117 E125 E133 E141 E160 E168 E176</xm:sqref>
        </x14:dataValidation>
        <x14:dataValidation type="list" allowBlank="1" showInputMessage="1" showErrorMessage="1" xr:uid="{00000000-0002-0000-0200-000003000000}">
          <x14:formula1>
            <xm:f>'___Dropdown values'!$D$25</xm:f>
          </x14:formula1>
          <xm:sqref>E15 E23 E31 E39 E51 E63 E75 E87 E99 E107 E115 E123 E131 E139 E158 E166 E174</xm:sqref>
        </x14:dataValidation>
        <x14:dataValidation type="list" allowBlank="1" showInputMessage="1" showErrorMessage="1" xr:uid="{00000000-0002-0000-0200-000004000000}">
          <x14:formula1>
            <xm:f>'___Dropdown values'!$B$10:$B$17</xm:f>
          </x14:formula1>
          <xm:sqref>E150</xm:sqref>
        </x14:dataValidation>
        <x14:dataValidation type="list" allowBlank="1" showInputMessage="1" showErrorMessage="1" xr:uid="{00000000-0002-0000-0200-000005000000}">
          <x14:formula1>
            <xm:f>'___Dropdown values'!$F$5:$F$6</xm:f>
          </x14:formula1>
          <xm:sqref>D148:E148</xm:sqref>
        </x14:dataValidation>
        <x14:dataValidation type="list" allowBlank="1" showInputMessage="1" showErrorMessage="1" xr:uid="{00000000-0002-0000-0200-000006000000}">
          <x14:formula1>
            <xm:f>'___Dropdown values'!$D$10:$D$11</xm:f>
          </x14:formula1>
          <xm:sqref>E153 E180</xm:sqref>
        </x14:dataValidation>
        <x14:dataValidation type="list" allowBlank="1" showInputMessage="1" showErrorMessage="1" xr:uid="{00000000-0002-0000-0200-000007000000}">
          <x14:formula1>
            <xm:f>'___Dropdown values'!$B$20:$B$21</xm:f>
          </x14:formula1>
          <xm:sqref>E151</xm:sqref>
        </x14:dataValidation>
        <x14:dataValidation type="list" allowBlank="1" showInputMessage="1" showErrorMessage="1" xr:uid="{00000000-0002-0000-0200-000008000000}">
          <x14:formula1>
            <xm:f>'___Dropdown values'!$I$5:$I$6</xm:f>
          </x14:formula1>
          <xm:sqref>D179:E179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6"/>
  <sheetViews>
    <sheetView workbookViewId="0">
      <selection activeCell="B7" sqref="B7"/>
    </sheetView>
  </sheetViews>
  <sheetFormatPr defaultRowHeight="15" x14ac:dyDescent="0.25"/>
  <cols>
    <col min="1" max="1" width="9" bestFit="1" customWidth="1"/>
    <col min="2" max="2" width="20.42578125" customWidth="1"/>
    <col min="3" max="3" width="28.140625" customWidth="1"/>
    <col min="4" max="4" width="11.42578125" bestFit="1" customWidth="1"/>
    <col min="5" max="5" width="14.42578125" bestFit="1" customWidth="1"/>
    <col min="6" max="6" width="22" customWidth="1"/>
    <col min="7" max="7" width="15.42578125" customWidth="1"/>
    <col min="8" max="8" width="10.85546875" bestFit="1" customWidth="1"/>
    <col min="9" max="9" width="14.42578125" bestFit="1" customWidth="1"/>
    <col min="10" max="13" width="10" bestFit="1" customWidth="1"/>
    <col min="14" max="14" width="27" customWidth="1"/>
    <col min="15" max="15" width="16.85546875" bestFit="1" customWidth="1"/>
    <col min="16" max="16" width="13.42578125" bestFit="1" customWidth="1"/>
    <col min="17" max="17" width="16.85546875" bestFit="1" customWidth="1"/>
    <col min="18" max="18" width="13.42578125" bestFit="1" customWidth="1"/>
    <col min="19" max="19" width="16.85546875" bestFit="1" customWidth="1"/>
    <col min="20" max="20" width="13.42578125" bestFit="1" customWidth="1"/>
    <col min="21" max="21" width="16.85546875" bestFit="1" customWidth="1"/>
    <col min="22" max="22" width="13.42578125" bestFit="1" customWidth="1"/>
    <col min="23" max="23" width="16.85546875" bestFit="1" customWidth="1"/>
    <col min="24" max="24" width="13.42578125" bestFit="1" customWidth="1"/>
    <col min="25" max="25" width="16.85546875" bestFit="1" customWidth="1"/>
    <col min="26" max="26" width="20" bestFit="1" customWidth="1"/>
    <col min="27" max="27" width="23.5703125" bestFit="1" customWidth="1"/>
    <col min="28" max="28" width="42.140625" bestFit="1" customWidth="1"/>
    <col min="29" max="29" width="18.42578125" bestFit="1" customWidth="1"/>
    <col min="30" max="30" width="14.85546875" bestFit="1" customWidth="1"/>
    <col min="31" max="31" width="18.42578125" bestFit="1" customWidth="1"/>
    <col min="32" max="32" width="14.85546875" bestFit="1" customWidth="1"/>
    <col min="33" max="33" width="18.42578125" bestFit="1" customWidth="1"/>
  </cols>
  <sheetData>
    <row r="1" spans="1:33" ht="36" customHeight="1" x14ac:dyDescent="0.25">
      <c r="A1" s="64" t="s">
        <v>30</v>
      </c>
      <c r="B1" s="64" t="s">
        <v>45</v>
      </c>
      <c r="C1" s="64" t="s">
        <v>16</v>
      </c>
      <c r="D1" s="59" t="s">
        <v>92</v>
      </c>
      <c r="E1" s="59" t="s">
        <v>93</v>
      </c>
      <c r="F1" s="59" t="s">
        <v>94</v>
      </c>
      <c r="G1" s="59" t="s">
        <v>95</v>
      </c>
      <c r="H1" s="59" t="s">
        <v>96</v>
      </c>
      <c r="I1" s="59" t="s">
        <v>97</v>
      </c>
      <c r="J1" s="60" t="s">
        <v>123</v>
      </c>
      <c r="K1" s="60" t="s">
        <v>124</v>
      </c>
      <c r="L1" s="60" t="s">
        <v>125</v>
      </c>
      <c r="M1" s="60" t="s">
        <v>126</v>
      </c>
      <c r="N1" s="61" t="s">
        <v>98</v>
      </c>
      <c r="O1" s="61" t="s">
        <v>99</v>
      </c>
      <c r="P1" s="61" t="s">
        <v>100</v>
      </c>
      <c r="Q1" s="61" t="s">
        <v>101</v>
      </c>
      <c r="R1" s="61" t="s">
        <v>102</v>
      </c>
      <c r="S1" s="61" t="s">
        <v>103</v>
      </c>
      <c r="T1" s="61" t="s">
        <v>104</v>
      </c>
      <c r="U1" s="61" t="s">
        <v>105</v>
      </c>
      <c r="V1" s="61" t="s">
        <v>106</v>
      </c>
      <c r="W1" s="61" t="s">
        <v>107</v>
      </c>
      <c r="X1" s="61" t="s">
        <v>108</v>
      </c>
      <c r="Y1" s="61" t="s">
        <v>109</v>
      </c>
      <c r="Z1" s="62" t="s">
        <v>110</v>
      </c>
      <c r="AA1" s="62" t="s">
        <v>111</v>
      </c>
      <c r="AB1" s="63" t="s">
        <v>112</v>
      </c>
      <c r="AC1" s="63" t="s">
        <v>113</v>
      </c>
      <c r="AD1" s="63" t="s">
        <v>114</v>
      </c>
      <c r="AE1" s="63" t="s">
        <v>115</v>
      </c>
      <c r="AF1" s="63" t="s">
        <v>116</v>
      </c>
      <c r="AG1" s="63" t="s">
        <v>117</v>
      </c>
    </row>
    <row r="2" spans="1:33" x14ac:dyDescent="0.25">
      <c r="A2">
        <f t="shared" ref="A2:A6" si="0">ROW(A1)</f>
        <v>1</v>
      </c>
      <c r="B2">
        <v>1</v>
      </c>
      <c r="C2" t="s">
        <v>384</v>
      </c>
      <c r="D2" t="s">
        <v>138</v>
      </c>
      <c r="E2">
        <v>600</v>
      </c>
      <c r="F2" t="s">
        <v>138</v>
      </c>
      <c r="G2">
        <v>600</v>
      </c>
      <c r="I2">
        <v>0</v>
      </c>
      <c r="J2">
        <v>789</v>
      </c>
      <c r="K2">
        <v>789</v>
      </c>
      <c r="L2">
        <v>789</v>
      </c>
      <c r="M2">
        <v>789</v>
      </c>
      <c r="N2" t="s">
        <v>138</v>
      </c>
      <c r="O2">
        <v>150</v>
      </c>
      <c r="P2" t="s">
        <v>145</v>
      </c>
      <c r="Q2">
        <v>150</v>
      </c>
      <c r="R2" t="s">
        <v>145</v>
      </c>
      <c r="S2">
        <v>150</v>
      </c>
      <c r="T2" t="s">
        <v>146</v>
      </c>
      <c r="U2">
        <v>150</v>
      </c>
      <c r="V2" t="s">
        <v>146</v>
      </c>
      <c r="W2">
        <v>150</v>
      </c>
      <c r="X2" t="s">
        <v>146</v>
      </c>
      <c r="Y2">
        <v>150</v>
      </c>
      <c r="Z2" t="s">
        <v>140</v>
      </c>
      <c r="AA2">
        <v>21.6</v>
      </c>
      <c r="AB2" t="s">
        <v>143</v>
      </c>
      <c r="AC2">
        <v>200</v>
      </c>
      <c r="AD2" t="s">
        <v>143</v>
      </c>
      <c r="AE2">
        <v>200</v>
      </c>
      <c r="AF2" t="s">
        <v>143</v>
      </c>
      <c r="AG2">
        <v>200</v>
      </c>
    </row>
    <row r="3" spans="1:33" x14ac:dyDescent="0.25">
      <c r="A3">
        <f t="shared" si="0"/>
        <v>2</v>
      </c>
      <c r="B3">
        <v>2</v>
      </c>
      <c r="C3" t="s">
        <v>385</v>
      </c>
      <c r="D3" t="s">
        <v>138</v>
      </c>
      <c r="E3">
        <v>600</v>
      </c>
      <c r="F3" t="s">
        <v>138</v>
      </c>
      <c r="G3">
        <v>600</v>
      </c>
      <c r="I3">
        <v>0</v>
      </c>
      <c r="J3">
        <v>588</v>
      </c>
      <c r="K3">
        <v>588</v>
      </c>
      <c r="L3">
        <v>588</v>
      </c>
      <c r="M3">
        <v>588</v>
      </c>
      <c r="N3" t="s">
        <v>138</v>
      </c>
      <c r="O3">
        <v>150</v>
      </c>
      <c r="P3" t="s">
        <v>145</v>
      </c>
      <c r="Q3">
        <v>150</v>
      </c>
      <c r="R3" t="s">
        <v>145</v>
      </c>
      <c r="S3">
        <v>150</v>
      </c>
      <c r="T3" t="s">
        <v>146</v>
      </c>
      <c r="U3">
        <v>150</v>
      </c>
      <c r="V3" t="s">
        <v>146</v>
      </c>
      <c r="W3">
        <v>150</v>
      </c>
      <c r="X3" t="s">
        <v>146</v>
      </c>
      <c r="Y3">
        <v>150</v>
      </c>
      <c r="Z3" t="s">
        <v>141</v>
      </c>
      <c r="AA3">
        <v>6</v>
      </c>
      <c r="AB3" t="s">
        <v>144</v>
      </c>
      <c r="AC3">
        <v>200</v>
      </c>
      <c r="AD3" t="s">
        <v>144</v>
      </c>
      <c r="AE3">
        <v>200</v>
      </c>
      <c r="AF3" t="s">
        <v>144</v>
      </c>
      <c r="AG3">
        <v>200</v>
      </c>
    </row>
    <row r="4" spans="1:33" x14ac:dyDescent="0.25">
      <c r="A4">
        <f t="shared" si="0"/>
        <v>3</v>
      </c>
      <c r="B4">
        <v>3</v>
      </c>
      <c r="C4" t="s">
        <v>386</v>
      </c>
      <c r="D4" t="s">
        <v>138</v>
      </c>
      <c r="E4">
        <v>600</v>
      </c>
      <c r="F4" t="s">
        <v>138</v>
      </c>
      <c r="G4">
        <v>600</v>
      </c>
      <c r="I4">
        <v>0</v>
      </c>
      <c r="J4">
        <v>1034</v>
      </c>
      <c r="K4">
        <v>1034</v>
      </c>
      <c r="L4">
        <v>1034</v>
      </c>
      <c r="M4">
        <v>1034</v>
      </c>
      <c r="N4" t="s">
        <v>138</v>
      </c>
      <c r="O4">
        <v>150</v>
      </c>
      <c r="P4" t="s">
        <v>145</v>
      </c>
      <c r="Q4">
        <v>150</v>
      </c>
      <c r="R4" t="s">
        <v>145</v>
      </c>
      <c r="S4">
        <v>150</v>
      </c>
      <c r="T4" t="s">
        <v>146</v>
      </c>
      <c r="U4">
        <v>150</v>
      </c>
      <c r="V4" t="s">
        <v>146</v>
      </c>
      <c r="W4">
        <v>150</v>
      </c>
      <c r="X4" t="s">
        <v>146</v>
      </c>
      <c r="Y4">
        <v>150</v>
      </c>
      <c r="Z4" t="s">
        <v>142</v>
      </c>
      <c r="AA4">
        <v>8.4</v>
      </c>
      <c r="AB4" t="s">
        <v>144</v>
      </c>
      <c r="AC4">
        <v>200</v>
      </c>
      <c r="AD4" t="s">
        <v>144</v>
      </c>
      <c r="AE4">
        <v>200</v>
      </c>
      <c r="AF4" t="s">
        <v>144</v>
      </c>
      <c r="AG4">
        <v>200</v>
      </c>
    </row>
    <row r="5" spans="1:33" x14ac:dyDescent="0.25">
      <c r="A5">
        <f t="shared" si="0"/>
        <v>4</v>
      </c>
      <c r="B5">
        <v>4</v>
      </c>
      <c r="C5" t="s">
        <v>139</v>
      </c>
      <c r="D5" t="s">
        <v>138</v>
      </c>
      <c r="E5">
        <v>600</v>
      </c>
      <c r="F5" t="s">
        <v>138</v>
      </c>
      <c r="G5">
        <v>600</v>
      </c>
      <c r="I5">
        <v>0</v>
      </c>
      <c r="J5">
        <v>641</v>
      </c>
      <c r="K5">
        <v>641</v>
      </c>
      <c r="L5">
        <v>641</v>
      </c>
      <c r="M5">
        <v>641</v>
      </c>
      <c r="N5" t="s">
        <v>138</v>
      </c>
      <c r="O5">
        <v>150</v>
      </c>
      <c r="P5" t="s">
        <v>145</v>
      </c>
      <c r="Q5">
        <v>150</v>
      </c>
      <c r="R5" t="s">
        <v>145</v>
      </c>
      <c r="S5">
        <v>150</v>
      </c>
      <c r="T5" t="s">
        <v>146</v>
      </c>
      <c r="U5">
        <v>150</v>
      </c>
      <c r="V5" t="s">
        <v>146</v>
      </c>
      <c r="W5">
        <v>150</v>
      </c>
      <c r="X5" t="s">
        <v>146</v>
      </c>
      <c r="Y5">
        <v>150</v>
      </c>
      <c r="Z5" t="s">
        <v>141</v>
      </c>
      <c r="AA5">
        <v>6</v>
      </c>
      <c r="AB5" t="s">
        <v>144</v>
      </c>
      <c r="AC5">
        <v>200</v>
      </c>
      <c r="AD5" t="s">
        <v>144</v>
      </c>
      <c r="AE5">
        <v>200</v>
      </c>
      <c r="AF5" t="s">
        <v>144</v>
      </c>
      <c r="AG5">
        <v>200</v>
      </c>
    </row>
    <row r="6" spans="1:33" x14ac:dyDescent="0.25">
      <c r="A6">
        <f t="shared" si="0"/>
        <v>5</v>
      </c>
      <c r="B6">
        <v>5</v>
      </c>
      <c r="C6" t="s">
        <v>387</v>
      </c>
      <c r="D6" t="s">
        <v>138</v>
      </c>
      <c r="E6">
        <v>600</v>
      </c>
      <c r="F6" t="s">
        <v>138</v>
      </c>
      <c r="G6">
        <v>600</v>
      </c>
      <c r="I6">
        <v>0</v>
      </c>
      <c r="J6">
        <v>1154</v>
      </c>
      <c r="K6">
        <v>1154</v>
      </c>
      <c r="L6">
        <v>1154</v>
      </c>
      <c r="M6">
        <v>1154</v>
      </c>
      <c r="N6" t="s">
        <v>138</v>
      </c>
      <c r="O6">
        <v>0</v>
      </c>
      <c r="P6" t="s">
        <v>145</v>
      </c>
      <c r="Q6">
        <v>0</v>
      </c>
      <c r="R6" t="s">
        <v>145</v>
      </c>
      <c r="S6">
        <v>0</v>
      </c>
      <c r="T6" t="s">
        <v>146</v>
      </c>
      <c r="U6">
        <v>0</v>
      </c>
      <c r="V6" t="s">
        <v>146</v>
      </c>
      <c r="W6">
        <v>0</v>
      </c>
      <c r="X6" t="s">
        <v>146</v>
      </c>
      <c r="Y6">
        <v>0</v>
      </c>
      <c r="Z6" t="s">
        <v>142</v>
      </c>
      <c r="AA6">
        <v>8.4</v>
      </c>
      <c r="AB6" t="s">
        <v>144</v>
      </c>
      <c r="AC6">
        <v>200</v>
      </c>
      <c r="AD6" t="s">
        <v>144</v>
      </c>
      <c r="AE6">
        <v>200</v>
      </c>
      <c r="AF6" t="s">
        <v>144</v>
      </c>
      <c r="AG6">
        <v>200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7935A-FEE4-48D7-ACBF-25739863F03A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FA74-B9B4-4565-89BE-99D991AB9E46}">
  <dimension ref="B6:I801"/>
  <sheetViews>
    <sheetView workbookViewId="0"/>
  </sheetViews>
  <sheetFormatPr defaultRowHeight="15" x14ac:dyDescent="0.25"/>
  <sheetData>
    <row r="6" spans="2:3" x14ac:dyDescent="0.25">
      <c r="B6" t="s">
        <v>147</v>
      </c>
    </row>
    <row r="7" spans="2:3" x14ac:dyDescent="0.25">
      <c r="B7" t="s">
        <v>148</v>
      </c>
    </row>
    <row r="8" spans="2:3" x14ac:dyDescent="0.25">
      <c r="B8" t="s">
        <v>149</v>
      </c>
    </row>
    <row r="9" spans="2:3" x14ac:dyDescent="0.25">
      <c r="B9" t="s">
        <v>150</v>
      </c>
    </row>
    <row r="11" spans="2:3" x14ac:dyDescent="0.25">
      <c r="C11" t="s">
        <v>151</v>
      </c>
    </row>
    <row r="16" spans="2:3" x14ac:dyDescent="0.25">
      <c r="B16" t="s">
        <v>152</v>
      </c>
    </row>
    <row r="17" spans="2:5" x14ac:dyDescent="0.25">
      <c r="B17" t="s">
        <v>167</v>
      </c>
    </row>
    <row r="18" spans="2:5" x14ac:dyDescent="0.25">
      <c r="B18" t="s">
        <v>168</v>
      </c>
    </row>
    <row r="19" spans="2:5" x14ac:dyDescent="0.25">
      <c r="B19" t="s">
        <v>169</v>
      </c>
    </row>
    <row r="20" spans="2:5" x14ac:dyDescent="0.25">
      <c r="B20" t="s">
        <v>153</v>
      </c>
    </row>
    <row r="21" spans="2:5" x14ac:dyDescent="0.25">
      <c r="B21" t="s">
        <v>154</v>
      </c>
    </row>
    <row r="22" spans="2:5" x14ac:dyDescent="0.25">
      <c r="B22" t="s">
        <v>170</v>
      </c>
    </row>
    <row r="23" spans="2:5" x14ac:dyDescent="0.25">
      <c r="B23" t="s">
        <v>171</v>
      </c>
    </row>
    <row r="25" spans="2:5" x14ac:dyDescent="0.25">
      <c r="D25" t="s">
        <v>155</v>
      </c>
    </row>
    <row r="26" spans="2:5" x14ac:dyDescent="0.25">
      <c r="D26" t="s">
        <v>156</v>
      </c>
    </row>
    <row r="27" spans="2:5" x14ac:dyDescent="0.25">
      <c r="D27" t="s">
        <v>157</v>
      </c>
      <c r="E27" t="s">
        <v>388</v>
      </c>
    </row>
    <row r="28" spans="2:5" x14ac:dyDescent="0.25">
      <c r="D28" t="s">
        <v>389</v>
      </c>
    </row>
    <row r="29" spans="2:5" x14ac:dyDescent="0.25">
      <c r="C29" t="s">
        <v>151</v>
      </c>
    </row>
    <row r="31" spans="2:5" x14ac:dyDescent="0.25">
      <c r="D31" t="s">
        <v>173</v>
      </c>
    </row>
    <row r="32" spans="2:5" x14ac:dyDescent="0.25">
      <c r="D32" t="s">
        <v>174</v>
      </c>
    </row>
    <row r="33" spans="4:9" x14ac:dyDescent="0.25">
      <c r="D33" t="s">
        <v>175</v>
      </c>
      <c r="E33" t="s">
        <v>176</v>
      </c>
      <c r="F33" t="s">
        <v>176</v>
      </c>
      <c r="G33" t="s">
        <v>176</v>
      </c>
      <c r="H33" t="s">
        <v>176</v>
      </c>
      <c r="I33" t="s">
        <v>176</v>
      </c>
    </row>
    <row r="34" spans="4:9" x14ac:dyDescent="0.25">
      <c r="D34" t="s">
        <v>177</v>
      </c>
      <c r="E34">
        <v>1</v>
      </c>
      <c r="F34">
        <v>2</v>
      </c>
      <c r="G34">
        <v>3</v>
      </c>
      <c r="H34">
        <v>4</v>
      </c>
      <c r="I34">
        <v>5</v>
      </c>
    </row>
    <row r="35" spans="4:9" x14ac:dyDescent="0.25">
      <c r="D35" t="s">
        <v>178</v>
      </c>
      <c r="E35" t="s">
        <v>138</v>
      </c>
      <c r="F35" t="s">
        <v>138</v>
      </c>
      <c r="G35" t="s">
        <v>138</v>
      </c>
      <c r="H35" t="s">
        <v>138</v>
      </c>
      <c r="I35" t="s">
        <v>138</v>
      </c>
    </row>
    <row r="36" spans="4:9" x14ac:dyDescent="0.25">
      <c r="D36" t="s">
        <v>179</v>
      </c>
      <c r="E36">
        <v>1</v>
      </c>
      <c r="F36">
        <v>2</v>
      </c>
      <c r="G36">
        <v>3</v>
      </c>
      <c r="H36">
        <v>4</v>
      </c>
      <c r="I36">
        <v>5</v>
      </c>
    </row>
    <row r="37" spans="4:9" x14ac:dyDescent="0.25">
      <c r="D37" t="s">
        <v>180</v>
      </c>
      <c r="E37">
        <v>600</v>
      </c>
      <c r="F37">
        <v>600</v>
      </c>
      <c r="G37">
        <v>600</v>
      </c>
      <c r="H37">
        <v>600</v>
      </c>
      <c r="I37">
        <v>600</v>
      </c>
    </row>
    <row r="38" spans="4:9" x14ac:dyDescent="0.25">
      <c r="D38" t="s">
        <v>181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4:9" x14ac:dyDescent="0.25">
      <c r="D39" t="s">
        <v>182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4:9" x14ac:dyDescent="0.25">
      <c r="D40" t="s">
        <v>183</v>
      </c>
      <c r="E40" t="s">
        <v>184</v>
      </c>
      <c r="F40" t="s">
        <v>184</v>
      </c>
      <c r="G40" t="s">
        <v>184</v>
      </c>
      <c r="H40" t="s">
        <v>184</v>
      </c>
      <c r="I40" t="s">
        <v>184</v>
      </c>
    </row>
    <row r="41" spans="4:9" x14ac:dyDescent="0.25">
      <c r="D41" t="s">
        <v>315</v>
      </c>
    </row>
    <row r="43" spans="4:9" x14ac:dyDescent="0.25">
      <c r="D43" t="s">
        <v>158</v>
      </c>
    </row>
    <row r="44" spans="4:9" x14ac:dyDescent="0.25">
      <c r="D44" t="s">
        <v>159</v>
      </c>
    </row>
    <row r="45" spans="4:9" x14ac:dyDescent="0.25">
      <c r="D45" t="s">
        <v>160</v>
      </c>
      <c r="E45">
        <v>0</v>
      </c>
    </row>
    <row r="46" spans="4:9" x14ac:dyDescent="0.25">
      <c r="D46" t="s">
        <v>161</v>
      </c>
    </row>
    <row r="48" spans="4:9" x14ac:dyDescent="0.25">
      <c r="D48" t="s">
        <v>158</v>
      </c>
    </row>
    <row r="49" spans="2:5" x14ac:dyDescent="0.25">
      <c r="D49" t="s">
        <v>162</v>
      </c>
    </row>
    <row r="50" spans="2:5" x14ac:dyDescent="0.25">
      <c r="D50" t="s">
        <v>163</v>
      </c>
    </row>
    <row r="52" spans="2:5" x14ac:dyDescent="0.25">
      <c r="D52" t="s">
        <v>164</v>
      </c>
    </row>
    <row r="53" spans="2:5" x14ac:dyDescent="0.25">
      <c r="D53" t="s">
        <v>159</v>
      </c>
    </row>
    <row r="54" spans="2:5" x14ac:dyDescent="0.25">
      <c r="D54" t="s">
        <v>165</v>
      </c>
      <c r="E54">
        <v>350</v>
      </c>
    </row>
    <row r="55" spans="2:5" x14ac:dyDescent="0.25">
      <c r="D55" t="s">
        <v>160</v>
      </c>
      <c r="E55">
        <v>525</v>
      </c>
    </row>
    <row r="56" spans="2:5" x14ac:dyDescent="0.25">
      <c r="D56" t="s">
        <v>166</v>
      </c>
    </row>
    <row r="61" spans="2:5" x14ac:dyDescent="0.25">
      <c r="B61" t="s">
        <v>152</v>
      </c>
    </row>
    <row r="62" spans="2:5" x14ac:dyDescent="0.25">
      <c r="B62" t="s">
        <v>189</v>
      </c>
    </row>
    <row r="63" spans="2:5" x14ac:dyDescent="0.25">
      <c r="B63" t="s">
        <v>190</v>
      </c>
    </row>
    <row r="64" spans="2:5" x14ac:dyDescent="0.25">
      <c r="B64" t="s">
        <v>191</v>
      </c>
    </row>
    <row r="65" spans="2:9" x14ac:dyDescent="0.25">
      <c r="B65" t="s">
        <v>153</v>
      </c>
    </row>
    <row r="66" spans="2:9" x14ac:dyDescent="0.25">
      <c r="B66" t="s">
        <v>154</v>
      </c>
    </row>
    <row r="67" spans="2:9" x14ac:dyDescent="0.25">
      <c r="B67" t="s">
        <v>170</v>
      </c>
    </row>
    <row r="68" spans="2:9" x14ac:dyDescent="0.25">
      <c r="B68" t="s">
        <v>171</v>
      </c>
    </row>
    <row r="70" spans="2:9" x14ac:dyDescent="0.25">
      <c r="D70" t="s">
        <v>155</v>
      </c>
    </row>
    <row r="71" spans="2:9" x14ac:dyDescent="0.25">
      <c r="D71" t="s">
        <v>156</v>
      </c>
    </row>
    <row r="72" spans="2:9" x14ac:dyDescent="0.25">
      <c r="D72" t="s">
        <v>157</v>
      </c>
      <c r="E72" t="s">
        <v>192</v>
      </c>
    </row>
    <row r="73" spans="2:9" x14ac:dyDescent="0.25">
      <c r="D73" t="s">
        <v>172</v>
      </c>
    </row>
    <row r="74" spans="2:9" x14ac:dyDescent="0.25">
      <c r="C74" t="s">
        <v>151</v>
      </c>
    </row>
    <row r="76" spans="2:9" x14ac:dyDescent="0.25">
      <c r="D76" t="s">
        <v>173</v>
      </c>
    </row>
    <row r="77" spans="2:9" x14ac:dyDescent="0.25">
      <c r="D77" t="s">
        <v>174</v>
      </c>
    </row>
    <row r="78" spans="2:9" x14ac:dyDescent="0.25">
      <c r="D78" t="s">
        <v>175</v>
      </c>
      <c r="E78" t="s">
        <v>176</v>
      </c>
      <c r="F78" t="s">
        <v>176</v>
      </c>
      <c r="G78" t="s">
        <v>176</v>
      </c>
      <c r="H78" t="s">
        <v>176</v>
      </c>
      <c r="I78" t="s">
        <v>176</v>
      </c>
    </row>
    <row r="79" spans="2:9" x14ac:dyDescent="0.25">
      <c r="D79" t="s">
        <v>177</v>
      </c>
      <c r="E79">
        <v>1</v>
      </c>
      <c r="F79">
        <v>2</v>
      </c>
      <c r="G79">
        <v>3</v>
      </c>
      <c r="H79">
        <v>4</v>
      </c>
      <c r="I79">
        <v>5</v>
      </c>
    </row>
    <row r="80" spans="2:9" x14ac:dyDescent="0.25">
      <c r="D80" t="s">
        <v>178</v>
      </c>
      <c r="E80" t="s">
        <v>138</v>
      </c>
      <c r="F80" t="s">
        <v>138</v>
      </c>
      <c r="G80" t="s">
        <v>138</v>
      </c>
      <c r="H80" t="s">
        <v>138</v>
      </c>
      <c r="I80" t="s">
        <v>138</v>
      </c>
    </row>
    <row r="81" spans="4:9" x14ac:dyDescent="0.25">
      <c r="D81" t="s">
        <v>179</v>
      </c>
      <c r="E81">
        <v>1</v>
      </c>
      <c r="F81">
        <v>2</v>
      </c>
      <c r="G81">
        <v>3</v>
      </c>
      <c r="H81">
        <v>4</v>
      </c>
      <c r="I81">
        <v>5</v>
      </c>
    </row>
    <row r="82" spans="4:9" x14ac:dyDescent="0.25">
      <c r="D82" t="s">
        <v>180</v>
      </c>
      <c r="E82">
        <v>600</v>
      </c>
      <c r="F82">
        <v>600</v>
      </c>
      <c r="G82">
        <v>600</v>
      </c>
      <c r="H82">
        <v>600</v>
      </c>
      <c r="I82">
        <v>600</v>
      </c>
    </row>
    <row r="83" spans="4:9" x14ac:dyDescent="0.25">
      <c r="D83" t="s">
        <v>181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4:9" x14ac:dyDescent="0.25">
      <c r="D84" t="s">
        <v>182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4:9" x14ac:dyDescent="0.25">
      <c r="D85" t="s">
        <v>183</v>
      </c>
      <c r="E85" t="s">
        <v>184</v>
      </c>
      <c r="F85" t="s">
        <v>184</v>
      </c>
      <c r="G85" t="s">
        <v>184</v>
      </c>
      <c r="H85" t="s">
        <v>184</v>
      </c>
      <c r="I85" t="s">
        <v>184</v>
      </c>
    </row>
    <row r="86" spans="4:9" x14ac:dyDescent="0.25">
      <c r="D86" t="s">
        <v>185</v>
      </c>
    </row>
    <row r="88" spans="4:9" x14ac:dyDescent="0.25">
      <c r="D88" t="s">
        <v>158</v>
      </c>
    </row>
    <row r="89" spans="4:9" x14ac:dyDescent="0.25">
      <c r="D89" t="s">
        <v>159</v>
      </c>
    </row>
    <row r="90" spans="4:9" x14ac:dyDescent="0.25">
      <c r="D90" t="s">
        <v>160</v>
      </c>
      <c r="E90">
        <v>0</v>
      </c>
    </row>
    <row r="91" spans="4:9" x14ac:dyDescent="0.25">
      <c r="D91" t="s">
        <v>186</v>
      </c>
    </row>
    <row r="93" spans="4:9" x14ac:dyDescent="0.25">
      <c r="D93" t="s">
        <v>158</v>
      </c>
    </row>
    <row r="94" spans="4:9" x14ac:dyDescent="0.25">
      <c r="D94" t="s">
        <v>162</v>
      </c>
    </row>
    <row r="95" spans="4:9" x14ac:dyDescent="0.25">
      <c r="D95" t="s">
        <v>187</v>
      </c>
    </row>
    <row r="97" spans="2:5" x14ac:dyDescent="0.25">
      <c r="D97" t="s">
        <v>164</v>
      </c>
    </row>
    <row r="98" spans="2:5" x14ac:dyDescent="0.25">
      <c r="D98" t="s">
        <v>159</v>
      </c>
    </row>
    <row r="99" spans="2:5" x14ac:dyDescent="0.25">
      <c r="D99" t="s">
        <v>165</v>
      </c>
      <c r="E99">
        <v>350</v>
      </c>
    </row>
    <row r="100" spans="2:5" x14ac:dyDescent="0.25">
      <c r="D100" t="s">
        <v>160</v>
      </c>
      <c r="E100">
        <v>525</v>
      </c>
    </row>
    <row r="101" spans="2:5" x14ac:dyDescent="0.25">
      <c r="D101" t="s">
        <v>188</v>
      </c>
    </row>
    <row r="106" spans="2:5" x14ac:dyDescent="0.25">
      <c r="B106" t="s">
        <v>147</v>
      </c>
    </row>
    <row r="107" spans="2:5" x14ac:dyDescent="0.25">
      <c r="B107" t="s">
        <v>193</v>
      </c>
    </row>
    <row r="108" spans="2:5" x14ac:dyDescent="0.25">
      <c r="B108" t="s">
        <v>194</v>
      </c>
    </row>
    <row r="109" spans="2:5" x14ac:dyDescent="0.25">
      <c r="B109" t="s">
        <v>150</v>
      </c>
    </row>
    <row r="111" spans="2:5" x14ac:dyDescent="0.25">
      <c r="C111" t="s">
        <v>151</v>
      </c>
    </row>
    <row r="116" spans="2:5" x14ac:dyDescent="0.25">
      <c r="B116" t="s">
        <v>152</v>
      </c>
    </row>
    <row r="117" spans="2:5" x14ac:dyDescent="0.25">
      <c r="B117" t="s">
        <v>195</v>
      </c>
    </row>
    <row r="118" spans="2:5" x14ac:dyDescent="0.25">
      <c r="B118" t="s">
        <v>196</v>
      </c>
    </row>
    <row r="119" spans="2:5" x14ac:dyDescent="0.25">
      <c r="B119" t="s">
        <v>197</v>
      </c>
    </row>
    <row r="120" spans="2:5" x14ac:dyDescent="0.25">
      <c r="B120" t="s">
        <v>153</v>
      </c>
    </row>
    <row r="121" spans="2:5" x14ac:dyDescent="0.25">
      <c r="B121" t="s">
        <v>154</v>
      </c>
    </row>
    <row r="122" spans="2:5" x14ac:dyDescent="0.25">
      <c r="B122" t="s">
        <v>170</v>
      </c>
    </row>
    <row r="123" spans="2:5" x14ac:dyDescent="0.25">
      <c r="B123" t="s">
        <v>390</v>
      </c>
    </row>
    <row r="125" spans="2:5" x14ac:dyDescent="0.25">
      <c r="D125" t="s">
        <v>155</v>
      </c>
    </row>
    <row r="126" spans="2:5" x14ac:dyDescent="0.25">
      <c r="D126" t="s">
        <v>156</v>
      </c>
    </row>
    <row r="127" spans="2:5" x14ac:dyDescent="0.25">
      <c r="D127" t="s">
        <v>157</v>
      </c>
      <c r="E127" t="s">
        <v>391</v>
      </c>
    </row>
    <row r="128" spans="2:5" x14ac:dyDescent="0.25">
      <c r="D128" t="s">
        <v>392</v>
      </c>
    </row>
    <row r="129" spans="3:9" x14ac:dyDescent="0.25">
      <c r="C129" t="s">
        <v>151</v>
      </c>
    </row>
    <row r="131" spans="3:9" x14ac:dyDescent="0.25">
      <c r="D131" t="s">
        <v>173</v>
      </c>
    </row>
    <row r="132" spans="3:9" x14ac:dyDescent="0.25">
      <c r="D132" t="s">
        <v>174</v>
      </c>
    </row>
    <row r="133" spans="3:9" x14ac:dyDescent="0.25">
      <c r="D133" t="s">
        <v>175</v>
      </c>
      <c r="E133" t="s">
        <v>176</v>
      </c>
      <c r="F133" t="s">
        <v>176</v>
      </c>
      <c r="G133" t="s">
        <v>176</v>
      </c>
      <c r="H133" t="s">
        <v>176</v>
      </c>
      <c r="I133" t="s">
        <v>176</v>
      </c>
    </row>
    <row r="134" spans="3:9" x14ac:dyDescent="0.25">
      <c r="D134" t="s">
        <v>177</v>
      </c>
      <c r="E134">
        <v>1</v>
      </c>
      <c r="F134">
        <v>2</v>
      </c>
      <c r="G134">
        <v>3</v>
      </c>
      <c r="H134">
        <v>4</v>
      </c>
      <c r="I134">
        <v>5</v>
      </c>
    </row>
    <row r="135" spans="3:9" x14ac:dyDescent="0.25">
      <c r="D135" t="s">
        <v>178</v>
      </c>
      <c r="E135" t="s">
        <v>133</v>
      </c>
      <c r="F135" t="s">
        <v>133</v>
      </c>
      <c r="G135" t="s">
        <v>133</v>
      </c>
      <c r="H135" t="s">
        <v>133</v>
      </c>
      <c r="I135" t="s">
        <v>133</v>
      </c>
    </row>
    <row r="136" spans="3:9" x14ac:dyDescent="0.25">
      <c r="D136" t="s">
        <v>179</v>
      </c>
      <c r="E136">
        <v>1</v>
      </c>
      <c r="F136">
        <v>2</v>
      </c>
      <c r="G136">
        <v>3</v>
      </c>
      <c r="H136">
        <v>4</v>
      </c>
      <c r="I136">
        <v>5</v>
      </c>
    </row>
    <row r="137" spans="3:9" x14ac:dyDescent="0.25">
      <c r="D137" t="s">
        <v>180</v>
      </c>
      <c r="E137">
        <v>789</v>
      </c>
      <c r="F137">
        <v>588</v>
      </c>
      <c r="G137">
        <v>1034</v>
      </c>
      <c r="H137">
        <v>641</v>
      </c>
      <c r="I137">
        <v>1154</v>
      </c>
    </row>
    <row r="138" spans="3:9" x14ac:dyDescent="0.25">
      <c r="D138" t="s">
        <v>181</v>
      </c>
      <c r="E138">
        <v>0</v>
      </c>
      <c r="F138">
        <v>0</v>
      </c>
      <c r="G138">
        <v>0</v>
      </c>
      <c r="H138">
        <v>0</v>
      </c>
      <c r="I138">
        <v>0</v>
      </c>
    </row>
    <row r="139" spans="3:9" x14ac:dyDescent="0.25">
      <c r="D139" t="s">
        <v>182</v>
      </c>
      <c r="E139">
        <v>0</v>
      </c>
      <c r="F139">
        <v>0</v>
      </c>
      <c r="G139">
        <v>0</v>
      </c>
      <c r="H139">
        <v>0</v>
      </c>
      <c r="I139">
        <v>0</v>
      </c>
    </row>
    <row r="140" spans="3:9" x14ac:dyDescent="0.25">
      <c r="D140" t="s">
        <v>183</v>
      </c>
      <c r="E140" t="s">
        <v>184</v>
      </c>
      <c r="F140" t="s">
        <v>184</v>
      </c>
      <c r="G140" t="s">
        <v>184</v>
      </c>
      <c r="H140" t="s">
        <v>184</v>
      </c>
      <c r="I140" t="s">
        <v>184</v>
      </c>
    </row>
    <row r="141" spans="3:9" x14ac:dyDescent="0.25">
      <c r="D141" t="s">
        <v>320</v>
      </c>
    </row>
    <row r="143" spans="3:9" x14ac:dyDescent="0.25">
      <c r="D143" t="s">
        <v>158</v>
      </c>
    </row>
    <row r="144" spans="3:9" x14ac:dyDescent="0.25">
      <c r="D144" t="s">
        <v>159</v>
      </c>
    </row>
    <row r="145" spans="4:5" x14ac:dyDescent="0.25">
      <c r="D145" t="s">
        <v>160</v>
      </c>
      <c r="E145">
        <v>0</v>
      </c>
    </row>
    <row r="146" spans="4:5" x14ac:dyDescent="0.25">
      <c r="D146" t="s">
        <v>321</v>
      </c>
    </row>
    <row r="148" spans="4:5" x14ac:dyDescent="0.25">
      <c r="D148" t="s">
        <v>158</v>
      </c>
    </row>
    <row r="149" spans="4:5" x14ac:dyDescent="0.25">
      <c r="D149" t="s">
        <v>162</v>
      </c>
    </row>
    <row r="150" spans="4:5" x14ac:dyDescent="0.25">
      <c r="D150" t="s">
        <v>322</v>
      </c>
    </row>
    <row r="152" spans="4:5" x14ac:dyDescent="0.25">
      <c r="D152" t="s">
        <v>164</v>
      </c>
    </row>
    <row r="153" spans="4:5" x14ac:dyDescent="0.25">
      <c r="D153" t="s">
        <v>159</v>
      </c>
    </row>
    <row r="154" spans="4:5" x14ac:dyDescent="0.25">
      <c r="D154" t="s">
        <v>165</v>
      </c>
      <c r="E154">
        <v>350</v>
      </c>
    </row>
    <row r="155" spans="4:5" x14ac:dyDescent="0.25">
      <c r="D155" t="s">
        <v>160</v>
      </c>
      <c r="E155">
        <v>1009.75</v>
      </c>
    </row>
    <row r="156" spans="4:5" x14ac:dyDescent="0.25">
      <c r="D156" t="s">
        <v>323</v>
      </c>
    </row>
    <row r="161" spans="2:3" x14ac:dyDescent="0.25">
      <c r="B161" t="s">
        <v>147</v>
      </c>
    </row>
    <row r="162" spans="2:3" x14ac:dyDescent="0.25">
      <c r="B162" t="s">
        <v>199</v>
      </c>
    </row>
    <row r="163" spans="2:3" x14ac:dyDescent="0.25">
      <c r="B163" t="s">
        <v>200</v>
      </c>
    </row>
    <row r="164" spans="2:3" x14ac:dyDescent="0.25">
      <c r="B164" t="s">
        <v>150</v>
      </c>
    </row>
    <row r="166" spans="2:3" x14ac:dyDescent="0.25">
      <c r="C166" t="s">
        <v>151</v>
      </c>
    </row>
    <row r="171" spans="2:3" x14ac:dyDescent="0.25">
      <c r="B171" t="s">
        <v>152</v>
      </c>
    </row>
    <row r="172" spans="2:3" x14ac:dyDescent="0.25">
      <c r="B172" t="s">
        <v>201</v>
      </c>
    </row>
    <row r="173" spans="2:3" x14ac:dyDescent="0.25">
      <c r="B173" t="s">
        <v>202</v>
      </c>
    </row>
    <row r="174" spans="2:3" x14ac:dyDescent="0.25">
      <c r="B174" t="s">
        <v>203</v>
      </c>
    </row>
    <row r="175" spans="2:3" x14ac:dyDescent="0.25">
      <c r="B175" t="s">
        <v>153</v>
      </c>
    </row>
    <row r="176" spans="2:3" x14ac:dyDescent="0.25">
      <c r="B176" t="s">
        <v>154</v>
      </c>
    </row>
    <row r="177" spans="2:9" x14ac:dyDescent="0.25">
      <c r="B177" t="s">
        <v>170</v>
      </c>
    </row>
    <row r="178" spans="2:9" x14ac:dyDescent="0.25">
      <c r="B178" t="s">
        <v>390</v>
      </c>
    </row>
    <row r="180" spans="2:9" x14ac:dyDescent="0.25">
      <c r="D180" t="s">
        <v>155</v>
      </c>
    </row>
    <row r="181" spans="2:9" x14ac:dyDescent="0.25">
      <c r="D181" t="s">
        <v>156</v>
      </c>
    </row>
    <row r="182" spans="2:9" x14ac:dyDescent="0.25">
      <c r="D182" t="s">
        <v>157</v>
      </c>
      <c r="E182" t="s">
        <v>393</v>
      </c>
    </row>
    <row r="183" spans="2:9" x14ac:dyDescent="0.25">
      <c r="D183" t="s">
        <v>394</v>
      </c>
    </row>
    <row r="184" spans="2:9" x14ac:dyDescent="0.25">
      <c r="C184" t="s">
        <v>151</v>
      </c>
    </row>
    <row r="186" spans="2:9" x14ac:dyDescent="0.25">
      <c r="D186" t="s">
        <v>173</v>
      </c>
    </row>
    <row r="187" spans="2:9" x14ac:dyDescent="0.25">
      <c r="D187" t="s">
        <v>174</v>
      </c>
    </row>
    <row r="188" spans="2:9" x14ac:dyDescent="0.25">
      <c r="D188" t="s">
        <v>175</v>
      </c>
      <c r="E188" t="s">
        <v>176</v>
      </c>
      <c r="F188" t="s">
        <v>176</v>
      </c>
      <c r="G188" t="s">
        <v>176</v>
      </c>
      <c r="H188" t="s">
        <v>176</v>
      </c>
      <c r="I188" t="s">
        <v>176</v>
      </c>
    </row>
    <row r="189" spans="2:9" x14ac:dyDescent="0.25">
      <c r="D189" t="s">
        <v>177</v>
      </c>
      <c r="E189">
        <v>1</v>
      </c>
      <c r="F189">
        <v>2</v>
      </c>
      <c r="G189">
        <v>3</v>
      </c>
      <c r="H189">
        <v>4</v>
      </c>
      <c r="I189">
        <v>5</v>
      </c>
    </row>
    <row r="190" spans="2:9" x14ac:dyDescent="0.25">
      <c r="D190" t="s">
        <v>178</v>
      </c>
      <c r="E190" t="s">
        <v>137</v>
      </c>
      <c r="F190" t="s">
        <v>137</v>
      </c>
      <c r="G190" t="s">
        <v>137</v>
      </c>
      <c r="H190" t="s">
        <v>137</v>
      </c>
      <c r="I190" t="s">
        <v>137</v>
      </c>
    </row>
    <row r="191" spans="2:9" x14ac:dyDescent="0.25">
      <c r="D191" t="s">
        <v>179</v>
      </c>
      <c r="E191">
        <v>1</v>
      </c>
      <c r="F191">
        <v>2</v>
      </c>
      <c r="G191">
        <v>3</v>
      </c>
      <c r="H191">
        <v>4</v>
      </c>
      <c r="I191">
        <v>5</v>
      </c>
    </row>
    <row r="192" spans="2:9" x14ac:dyDescent="0.25">
      <c r="D192" t="s">
        <v>180</v>
      </c>
      <c r="E192">
        <v>789</v>
      </c>
      <c r="F192">
        <v>588</v>
      </c>
      <c r="G192">
        <v>1034</v>
      </c>
      <c r="H192">
        <v>641</v>
      </c>
      <c r="I192">
        <v>1154</v>
      </c>
    </row>
    <row r="193" spans="4:9" x14ac:dyDescent="0.25">
      <c r="D193" t="s">
        <v>181</v>
      </c>
      <c r="E193">
        <v>0</v>
      </c>
      <c r="F193">
        <v>0</v>
      </c>
      <c r="G193">
        <v>0</v>
      </c>
      <c r="H193">
        <v>0</v>
      </c>
      <c r="I193">
        <v>0</v>
      </c>
    </row>
    <row r="194" spans="4:9" x14ac:dyDescent="0.25">
      <c r="D194" t="s">
        <v>182</v>
      </c>
      <c r="E194">
        <v>0</v>
      </c>
      <c r="F194">
        <v>0</v>
      </c>
      <c r="G194">
        <v>0</v>
      </c>
      <c r="H194">
        <v>0</v>
      </c>
      <c r="I194">
        <v>0</v>
      </c>
    </row>
    <row r="195" spans="4:9" x14ac:dyDescent="0.25">
      <c r="D195" t="s">
        <v>183</v>
      </c>
      <c r="E195" t="s">
        <v>184</v>
      </c>
      <c r="F195" t="s">
        <v>184</v>
      </c>
      <c r="G195" t="s">
        <v>184</v>
      </c>
      <c r="H195" t="s">
        <v>184</v>
      </c>
      <c r="I195" t="s">
        <v>184</v>
      </c>
    </row>
    <row r="196" spans="4:9" x14ac:dyDescent="0.25">
      <c r="D196" t="s">
        <v>324</v>
      </c>
    </row>
    <row r="198" spans="4:9" x14ac:dyDescent="0.25">
      <c r="D198" t="s">
        <v>158</v>
      </c>
    </row>
    <row r="199" spans="4:9" x14ac:dyDescent="0.25">
      <c r="D199" t="s">
        <v>159</v>
      </c>
    </row>
    <row r="200" spans="4:9" x14ac:dyDescent="0.25">
      <c r="D200" t="s">
        <v>160</v>
      </c>
      <c r="E200">
        <v>0</v>
      </c>
    </row>
    <row r="201" spans="4:9" x14ac:dyDescent="0.25">
      <c r="D201" t="s">
        <v>325</v>
      </c>
    </row>
    <row r="203" spans="4:9" x14ac:dyDescent="0.25">
      <c r="D203" t="s">
        <v>158</v>
      </c>
    </row>
    <row r="204" spans="4:9" x14ac:dyDescent="0.25">
      <c r="D204" t="s">
        <v>162</v>
      </c>
    </row>
    <row r="205" spans="4:9" x14ac:dyDescent="0.25">
      <c r="D205" t="s">
        <v>326</v>
      </c>
    </row>
    <row r="207" spans="4:9" x14ac:dyDescent="0.25">
      <c r="D207" t="s">
        <v>164</v>
      </c>
    </row>
    <row r="208" spans="4:9" x14ac:dyDescent="0.25">
      <c r="D208" t="s">
        <v>159</v>
      </c>
    </row>
    <row r="209" spans="2:5" x14ac:dyDescent="0.25">
      <c r="D209" t="s">
        <v>165</v>
      </c>
      <c r="E209">
        <v>350</v>
      </c>
    </row>
    <row r="210" spans="2:5" x14ac:dyDescent="0.25">
      <c r="D210" t="s">
        <v>160</v>
      </c>
      <c r="E210">
        <v>1009.75</v>
      </c>
    </row>
    <row r="211" spans="2:5" x14ac:dyDescent="0.25">
      <c r="D211" t="s">
        <v>327</v>
      </c>
    </row>
    <row r="216" spans="2:5" x14ac:dyDescent="0.25">
      <c r="B216" t="s">
        <v>147</v>
      </c>
    </row>
    <row r="217" spans="2:5" x14ac:dyDescent="0.25">
      <c r="B217" t="s">
        <v>204</v>
      </c>
    </row>
    <row r="218" spans="2:5" x14ac:dyDescent="0.25">
      <c r="B218" t="s">
        <v>194</v>
      </c>
    </row>
    <row r="219" spans="2:5" x14ac:dyDescent="0.25">
      <c r="B219" t="s">
        <v>150</v>
      </c>
    </row>
    <row r="221" spans="2:5" x14ac:dyDescent="0.25">
      <c r="C221" t="s">
        <v>151</v>
      </c>
    </row>
    <row r="226" spans="2:5" x14ac:dyDescent="0.25">
      <c r="B226" t="s">
        <v>152</v>
      </c>
    </row>
    <row r="227" spans="2:5" x14ac:dyDescent="0.25">
      <c r="B227" t="s">
        <v>205</v>
      </c>
    </row>
    <row r="228" spans="2:5" x14ac:dyDescent="0.25">
      <c r="B228" t="s">
        <v>196</v>
      </c>
    </row>
    <row r="229" spans="2:5" x14ac:dyDescent="0.25">
      <c r="B229" t="s">
        <v>206</v>
      </c>
    </row>
    <row r="230" spans="2:5" x14ac:dyDescent="0.25">
      <c r="B230" t="s">
        <v>153</v>
      </c>
    </row>
    <row r="231" spans="2:5" x14ac:dyDescent="0.25">
      <c r="B231" t="s">
        <v>154</v>
      </c>
    </row>
    <row r="232" spans="2:5" x14ac:dyDescent="0.25">
      <c r="B232" t="s">
        <v>170</v>
      </c>
    </row>
    <row r="233" spans="2:5" x14ac:dyDescent="0.25">
      <c r="B233" t="s">
        <v>390</v>
      </c>
    </row>
    <row r="235" spans="2:5" x14ac:dyDescent="0.25">
      <c r="D235" t="s">
        <v>155</v>
      </c>
    </row>
    <row r="236" spans="2:5" x14ac:dyDescent="0.25">
      <c r="D236" t="s">
        <v>156</v>
      </c>
    </row>
    <row r="237" spans="2:5" x14ac:dyDescent="0.25">
      <c r="D237" t="s">
        <v>157</v>
      </c>
      <c r="E237" t="s">
        <v>395</v>
      </c>
    </row>
    <row r="238" spans="2:5" x14ac:dyDescent="0.25">
      <c r="D238" t="s">
        <v>396</v>
      </c>
    </row>
    <row r="239" spans="2:5" x14ac:dyDescent="0.25">
      <c r="C239" t="s">
        <v>151</v>
      </c>
    </row>
    <row r="241" spans="4:9" x14ac:dyDescent="0.25">
      <c r="D241" t="s">
        <v>173</v>
      </c>
    </row>
    <row r="242" spans="4:9" x14ac:dyDescent="0.25">
      <c r="D242" t="s">
        <v>174</v>
      </c>
    </row>
    <row r="243" spans="4:9" x14ac:dyDescent="0.25">
      <c r="D243" t="s">
        <v>175</v>
      </c>
      <c r="E243" t="s">
        <v>176</v>
      </c>
      <c r="F243" t="s">
        <v>176</v>
      </c>
      <c r="G243" t="s">
        <v>176</v>
      </c>
      <c r="H243" t="s">
        <v>176</v>
      </c>
      <c r="I243" t="s">
        <v>176</v>
      </c>
    </row>
    <row r="244" spans="4:9" x14ac:dyDescent="0.25">
      <c r="D244" t="s">
        <v>177</v>
      </c>
      <c r="E244">
        <v>1</v>
      </c>
      <c r="F244">
        <v>2</v>
      </c>
      <c r="G244">
        <v>3</v>
      </c>
      <c r="H244">
        <v>4</v>
      </c>
      <c r="I244">
        <v>5</v>
      </c>
    </row>
    <row r="245" spans="4:9" x14ac:dyDescent="0.25">
      <c r="D245" t="s">
        <v>178</v>
      </c>
      <c r="E245" t="s">
        <v>133</v>
      </c>
      <c r="F245" t="s">
        <v>133</v>
      </c>
      <c r="G245" t="s">
        <v>133</v>
      </c>
      <c r="H245" t="s">
        <v>133</v>
      </c>
      <c r="I245" t="s">
        <v>133</v>
      </c>
    </row>
    <row r="246" spans="4:9" x14ac:dyDescent="0.25">
      <c r="D246" t="s">
        <v>179</v>
      </c>
      <c r="E246">
        <v>1</v>
      </c>
      <c r="F246">
        <v>2</v>
      </c>
      <c r="G246">
        <v>3</v>
      </c>
      <c r="H246">
        <v>4</v>
      </c>
      <c r="I246">
        <v>5</v>
      </c>
    </row>
    <row r="247" spans="4:9" x14ac:dyDescent="0.25">
      <c r="D247" t="s">
        <v>180</v>
      </c>
      <c r="E247">
        <v>789</v>
      </c>
      <c r="F247">
        <v>588</v>
      </c>
      <c r="G247">
        <v>1034</v>
      </c>
      <c r="H247">
        <v>641</v>
      </c>
      <c r="I247">
        <v>1154</v>
      </c>
    </row>
    <row r="248" spans="4:9" x14ac:dyDescent="0.25">
      <c r="D248" t="s">
        <v>181</v>
      </c>
      <c r="E248">
        <v>0</v>
      </c>
      <c r="F248">
        <v>0</v>
      </c>
      <c r="G248">
        <v>0</v>
      </c>
      <c r="H248">
        <v>0</v>
      </c>
      <c r="I248">
        <v>0</v>
      </c>
    </row>
    <row r="249" spans="4:9" x14ac:dyDescent="0.25">
      <c r="D249" t="s">
        <v>182</v>
      </c>
      <c r="E249">
        <v>0</v>
      </c>
      <c r="F249">
        <v>0</v>
      </c>
      <c r="G249">
        <v>0</v>
      </c>
      <c r="H249">
        <v>0</v>
      </c>
      <c r="I249">
        <v>0</v>
      </c>
    </row>
    <row r="250" spans="4:9" x14ac:dyDescent="0.25">
      <c r="D250" t="s">
        <v>183</v>
      </c>
      <c r="E250" t="s">
        <v>184</v>
      </c>
      <c r="F250" t="s">
        <v>184</v>
      </c>
      <c r="G250" t="s">
        <v>184</v>
      </c>
      <c r="H250" t="s">
        <v>184</v>
      </c>
      <c r="I250" t="s">
        <v>184</v>
      </c>
    </row>
    <row r="251" spans="4:9" x14ac:dyDescent="0.25">
      <c r="D251" t="s">
        <v>328</v>
      </c>
    </row>
    <row r="253" spans="4:9" x14ac:dyDescent="0.25">
      <c r="D253" t="s">
        <v>158</v>
      </c>
    </row>
    <row r="254" spans="4:9" x14ac:dyDescent="0.25">
      <c r="D254" t="s">
        <v>159</v>
      </c>
    </row>
    <row r="255" spans="4:9" x14ac:dyDescent="0.25">
      <c r="D255" t="s">
        <v>160</v>
      </c>
      <c r="E255">
        <v>0</v>
      </c>
    </row>
    <row r="256" spans="4:9" x14ac:dyDescent="0.25">
      <c r="D256" t="s">
        <v>329</v>
      </c>
    </row>
    <row r="258" spans="2:5" x14ac:dyDescent="0.25">
      <c r="D258" t="s">
        <v>158</v>
      </c>
    </row>
    <row r="259" spans="2:5" x14ac:dyDescent="0.25">
      <c r="D259" t="s">
        <v>162</v>
      </c>
    </row>
    <row r="260" spans="2:5" x14ac:dyDescent="0.25">
      <c r="D260" t="s">
        <v>330</v>
      </c>
    </row>
    <row r="262" spans="2:5" x14ac:dyDescent="0.25">
      <c r="D262" t="s">
        <v>164</v>
      </c>
    </row>
    <row r="263" spans="2:5" x14ac:dyDescent="0.25">
      <c r="D263" t="s">
        <v>159</v>
      </c>
    </row>
    <row r="264" spans="2:5" x14ac:dyDescent="0.25">
      <c r="D264" t="s">
        <v>165</v>
      </c>
      <c r="E264">
        <v>350</v>
      </c>
    </row>
    <row r="265" spans="2:5" x14ac:dyDescent="0.25">
      <c r="D265" t="s">
        <v>160</v>
      </c>
      <c r="E265">
        <v>1009.75</v>
      </c>
    </row>
    <row r="266" spans="2:5" x14ac:dyDescent="0.25">
      <c r="D266" t="s">
        <v>331</v>
      </c>
    </row>
    <row r="271" spans="2:5" x14ac:dyDescent="0.25">
      <c r="B271" t="s">
        <v>147</v>
      </c>
    </row>
    <row r="272" spans="2:5" x14ac:dyDescent="0.25">
      <c r="B272" t="s">
        <v>207</v>
      </c>
    </row>
    <row r="273" spans="2:3" x14ac:dyDescent="0.25">
      <c r="B273" t="s">
        <v>200</v>
      </c>
    </row>
    <row r="274" spans="2:3" x14ac:dyDescent="0.25">
      <c r="B274" t="s">
        <v>150</v>
      </c>
    </row>
    <row r="276" spans="2:3" x14ac:dyDescent="0.25">
      <c r="C276" t="s">
        <v>151</v>
      </c>
    </row>
    <row r="281" spans="2:3" x14ac:dyDescent="0.25">
      <c r="B281" t="s">
        <v>152</v>
      </c>
    </row>
    <row r="282" spans="2:3" x14ac:dyDescent="0.25">
      <c r="B282" t="s">
        <v>208</v>
      </c>
    </row>
    <row r="283" spans="2:3" x14ac:dyDescent="0.25">
      <c r="B283" t="s">
        <v>202</v>
      </c>
    </row>
    <row r="284" spans="2:3" x14ac:dyDescent="0.25">
      <c r="B284" t="s">
        <v>209</v>
      </c>
    </row>
    <row r="285" spans="2:3" x14ac:dyDescent="0.25">
      <c r="B285" t="s">
        <v>153</v>
      </c>
    </row>
    <row r="286" spans="2:3" x14ac:dyDescent="0.25">
      <c r="B286" t="s">
        <v>154</v>
      </c>
    </row>
    <row r="287" spans="2:3" x14ac:dyDescent="0.25">
      <c r="B287" t="s">
        <v>170</v>
      </c>
    </row>
    <row r="288" spans="2:3" x14ac:dyDescent="0.25">
      <c r="B288" t="s">
        <v>390</v>
      </c>
    </row>
    <row r="290" spans="3:9" x14ac:dyDescent="0.25">
      <c r="D290" t="s">
        <v>155</v>
      </c>
    </row>
    <row r="291" spans="3:9" x14ac:dyDescent="0.25">
      <c r="D291" t="s">
        <v>156</v>
      </c>
    </row>
    <row r="292" spans="3:9" x14ac:dyDescent="0.25">
      <c r="D292" t="s">
        <v>157</v>
      </c>
      <c r="E292" t="s">
        <v>397</v>
      </c>
    </row>
    <row r="293" spans="3:9" x14ac:dyDescent="0.25">
      <c r="D293" t="s">
        <v>398</v>
      </c>
    </row>
    <row r="294" spans="3:9" x14ac:dyDescent="0.25">
      <c r="C294" t="s">
        <v>151</v>
      </c>
    </row>
    <row r="296" spans="3:9" x14ac:dyDescent="0.25">
      <c r="D296" t="s">
        <v>173</v>
      </c>
    </row>
    <row r="297" spans="3:9" x14ac:dyDescent="0.25">
      <c r="D297" t="s">
        <v>174</v>
      </c>
    </row>
    <row r="298" spans="3:9" x14ac:dyDescent="0.25">
      <c r="D298" t="s">
        <v>175</v>
      </c>
      <c r="E298" t="s">
        <v>176</v>
      </c>
      <c r="F298" t="s">
        <v>176</v>
      </c>
      <c r="G298" t="s">
        <v>176</v>
      </c>
      <c r="H298" t="s">
        <v>176</v>
      </c>
      <c r="I298" t="s">
        <v>176</v>
      </c>
    </row>
    <row r="299" spans="3:9" x14ac:dyDescent="0.25">
      <c r="D299" t="s">
        <v>177</v>
      </c>
      <c r="E299">
        <v>1</v>
      </c>
      <c r="F299">
        <v>2</v>
      </c>
      <c r="G299">
        <v>3</v>
      </c>
      <c r="H299">
        <v>4</v>
      </c>
      <c r="I299">
        <v>5</v>
      </c>
    </row>
    <row r="300" spans="3:9" x14ac:dyDescent="0.25">
      <c r="D300" t="s">
        <v>178</v>
      </c>
      <c r="E300" t="s">
        <v>137</v>
      </c>
      <c r="F300" t="s">
        <v>137</v>
      </c>
      <c r="G300" t="s">
        <v>137</v>
      </c>
      <c r="H300" t="s">
        <v>137</v>
      </c>
      <c r="I300" t="s">
        <v>137</v>
      </c>
    </row>
    <row r="301" spans="3:9" x14ac:dyDescent="0.25">
      <c r="D301" t="s">
        <v>179</v>
      </c>
      <c r="E301">
        <v>1</v>
      </c>
      <c r="F301">
        <v>2</v>
      </c>
      <c r="G301">
        <v>3</v>
      </c>
      <c r="H301">
        <v>4</v>
      </c>
      <c r="I301">
        <v>5</v>
      </c>
    </row>
    <row r="302" spans="3:9" x14ac:dyDescent="0.25">
      <c r="D302" t="s">
        <v>180</v>
      </c>
      <c r="E302">
        <v>789</v>
      </c>
      <c r="F302">
        <v>588</v>
      </c>
      <c r="G302">
        <v>1034</v>
      </c>
      <c r="H302">
        <v>641</v>
      </c>
      <c r="I302">
        <v>1154</v>
      </c>
    </row>
    <row r="303" spans="3:9" x14ac:dyDescent="0.25">
      <c r="D303" t="s">
        <v>181</v>
      </c>
      <c r="E303">
        <v>0</v>
      </c>
      <c r="F303">
        <v>0</v>
      </c>
      <c r="G303">
        <v>0</v>
      </c>
      <c r="H303">
        <v>0</v>
      </c>
      <c r="I303">
        <v>0</v>
      </c>
    </row>
    <row r="304" spans="3:9" x14ac:dyDescent="0.25">
      <c r="D304" t="s">
        <v>182</v>
      </c>
      <c r="E304">
        <v>0</v>
      </c>
      <c r="F304">
        <v>0</v>
      </c>
      <c r="G304">
        <v>0</v>
      </c>
      <c r="H304">
        <v>0</v>
      </c>
      <c r="I304">
        <v>0</v>
      </c>
    </row>
    <row r="305" spans="4:9" x14ac:dyDescent="0.25">
      <c r="D305" t="s">
        <v>183</v>
      </c>
      <c r="E305" t="s">
        <v>184</v>
      </c>
      <c r="F305" t="s">
        <v>184</v>
      </c>
      <c r="G305" t="s">
        <v>184</v>
      </c>
      <c r="H305" t="s">
        <v>184</v>
      </c>
      <c r="I305" t="s">
        <v>184</v>
      </c>
    </row>
    <row r="306" spans="4:9" x14ac:dyDescent="0.25">
      <c r="D306" t="s">
        <v>332</v>
      </c>
    </row>
    <row r="308" spans="4:9" x14ac:dyDescent="0.25">
      <c r="D308" t="s">
        <v>158</v>
      </c>
    </row>
    <row r="309" spans="4:9" x14ac:dyDescent="0.25">
      <c r="D309" t="s">
        <v>159</v>
      </c>
    </row>
    <row r="310" spans="4:9" x14ac:dyDescent="0.25">
      <c r="D310" t="s">
        <v>160</v>
      </c>
      <c r="E310">
        <v>0</v>
      </c>
    </row>
    <row r="311" spans="4:9" x14ac:dyDescent="0.25">
      <c r="D311" t="s">
        <v>333</v>
      </c>
    </row>
    <row r="313" spans="4:9" x14ac:dyDescent="0.25">
      <c r="D313" t="s">
        <v>158</v>
      </c>
    </row>
    <row r="314" spans="4:9" x14ac:dyDescent="0.25">
      <c r="D314" t="s">
        <v>162</v>
      </c>
    </row>
    <row r="315" spans="4:9" x14ac:dyDescent="0.25">
      <c r="D315" t="s">
        <v>334</v>
      </c>
    </row>
    <row r="317" spans="4:9" x14ac:dyDescent="0.25">
      <c r="D317" t="s">
        <v>164</v>
      </c>
    </row>
    <row r="318" spans="4:9" x14ac:dyDescent="0.25">
      <c r="D318" t="s">
        <v>159</v>
      </c>
    </row>
    <row r="319" spans="4:9" x14ac:dyDescent="0.25">
      <c r="D319" t="s">
        <v>165</v>
      </c>
      <c r="E319">
        <v>350</v>
      </c>
    </row>
    <row r="320" spans="4:9" x14ac:dyDescent="0.25">
      <c r="D320" t="s">
        <v>160</v>
      </c>
      <c r="E320">
        <v>1009.75</v>
      </c>
    </row>
    <row r="321" spans="2:4" x14ac:dyDescent="0.25">
      <c r="D321" t="s">
        <v>335</v>
      </c>
    </row>
    <row r="326" spans="2:4" x14ac:dyDescent="0.25">
      <c r="B326" t="s">
        <v>147</v>
      </c>
    </row>
    <row r="327" spans="2:4" x14ac:dyDescent="0.25">
      <c r="B327" t="s">
        <v>210</v>
      </c>
    </row>
    <row r="328" spans="2:4" x14ac:dyDescent="0.25">
      <c r="B328" t="s">
        <v>211</v>
      </c>
    </row>
    <row r="329" spans="2:4" x14ac:dyDescent="0.25">
      <c r="B329" t="s">
        <v>150</v>
      </c>
    </row>
    <row r="331" spans="2:4" x14ac:dyDescent="0.25">
      <c r="C331" t="s">
        <v>151</v>
      </c>
    </row>
    <row r="336" spans="2:4" x14ac:dyDescent="0.25">
      <c r="B336" t="s">
        <v>152</v>
      </c>
    </row>
    <row r="337" spans="2:5" x14ac:dyDescent="0.25">
      <c r="B337" t="s">
        <v>212</v>
      </c>
    </row>
    <row r="338" spans="2:5" x14ac:dyDescent="0.25">
      <c r="B338" t="s">
        <v>213</v>
      </c>
    </row>
    <row r="339" spans="2:5" x14ac:dyDescent="0.25">
      <c r="B339" t="s">
        <v>214</v>
      </c>
    </row>
    <row r="340" spans="2:5" x14ac:dyDescent="0.25">
      <c r="B340" t="s">
        <v>153</v>
      </c>
    </row>
    <row r="341" spans="2:5" x14ac:dyDescent="0.25">
      <c r="B341" t="s">
        <v>154</v>
      </c>
    </row>
    <row r="342" spans="2:5" x14ac:dyDescent="0.25">
      <c r="B342" t="s">
        <v>170</v>
      </c>
    </row>
    <row r="343" spans="2:5" x14ac:dyDescent="0.25">
      <c r="B343" t="s">
        <v>215</v>
      </c>
    </row>
    <row r="345" spans="2:5" x14ac:dyDescent="0.25">
      <c r="D345" t="s">
        <v>155</v>
      </c>
    </row>
    <row r="346" spans="2:5" x14ac:dyDescent="0.25">
      <c r="D346" t="s">
        <v>156</v>
      </c>
    </row>
    <row r="347" spans="2:5" x14ac:dyDescent="0.25">
      <c r="D347" t="s">
        <v>157</v>
      </c>
      <c r="E347" t="s">
        <v>399</v>
      </c>
    </row>
    <row r="348" spans="2:5" x14ac:dyDescent="0.25">
      <c r="D348" t="s">
        <v>400</v>
      </c>
    </row>
    <row r="349" spans="2:5" x14ac:dyDescent="0.25">
      <c r="C349" t="s">
        <v>151</v>
      </c>
    </row>
    <row r="351" spans="2:5" x14ac:dyDescent="0.25">
      <c r="D351" t="s">
        <v>173</v>
      </c>
    </row>
    <row r="352" spans="2:5" x14ac:dyDescent="0.25">
      <c r="D352" t="s">
        <v>174</v>
      </c>
    </row>
    <row r="353" spans="4:8" x14ac:dyDescent="0.25">
      <c r="D353" t="s">
        <v>175</v>
      </c>
      <c r="E353" t="s">
        <v>176</v>
      </c>
      <c r="F353" t="s">
        <v>176</v>
      </c>
      <c r="G353" t="s">
        <v>176</v>
      </c>
      <c r="H353" t="s">
        <v>176</v>
      </c>
    </row>
    <row r="354" spans="4:8" x14ac:dyDescent="0.25">
      <c r="D354" t="s">
        <v>177</v>
      </c>
      <c r="E354">
        <v>1</v>
      </c>
      <c r="F354">
        <v>2</v>
      </c>
      <c r="G354">
        <v>3</v>
      </c>
      <c r="H354">
        <v>4</v>
      </c>
    </row>
    <row r="355" spans="4:8" x14ac:dyDescent="0.25">
      <c r="D355" t="s">
        <v>178</v>
      </c>
      <c r="E355" t="s">
        <v>138</v>
      </c>
      <c r="F355" t="s">
        <v>138</v>
      </c>
      <c r="G355" t="s">
        <v>138</v>
      </c>
      <c r="H355" t="s">
        <v>138</v>
      </c>
    </row>
    <row r="356" spans="4:8" x14ac:dyDescent="0.25">
      <c r="D356" t="s">
        <v>179</v>
      </c>
      <c r="E356">
        <v>1</v>
      </c>
      <c r="F356">
        <v>2</v>
      </c>
      <c r="G356">
        <v>3</v>
      </c>
      <c r="H356">
        <v>4</v>
      </c>
    </row>
    <row r="357" spans="4:8" x14ac:dyDescent="0.25">
      <c r="D357" t="s">
        <v>180</v>
      </c>
      <c r="E357">
        <v>150</v>
      </c>
      <c r="F357">
        <v>150</v>
      </c>
      <c r="G357">
        <v>150</v>
      </c>
      <c r="H357">
        <v>150</v>
      </c>
    </row>
    <row r="358" spans="4:8" x14ac:dyDescent="0.25">
      <c r="D358" t="s">
        <v>181</v>
      </c>
      <c r="E358">
        <v>0</v>
      </c>
      <c r="F358">
        <v>0</v>
      </c>
      <c r="G358">
        <v>0</v>
      </c>
      <c r="H358">
        <v>0</v>
      </c>
    </row>
    <row r="359" spans="4:8" x14ac:dyDescent="0.25">
      <c r="D359" t="s">
        <v>182</v>
      </c>
      <c r="E359">
        <v>0</v>
      </c>
      <c r="F359">
        <v>0</v>
      </c>
      <c r="G359">
        <v>0</v>
      </c>
      <c r="H359">
        <v>0</v>
      </c>
    </row>
    <row r="360" spans="4:8" x14ac:dyDescent="0.25">
      <c r="D360" t="s">
        <v>183</v>
      </c>
      <c r="E360" t="s">
        <v>184</v>
      </c>
      <c r="F360" t="s">
        <v>184</v>
      </c>
      <c r="G360" t="s">
        <v>184</v>
      </c>
      <c r="H360" t="s">
        <v>184</v>
      </c>
    </row>
    <row r="361" spans="4:8" x14ac:dyDescent="0.25">
      <c r="D361" t="s">
        <v>336</v>
      </c>
    </row>
    <row r="363" spans="4:8" x14ac:dyDescent="0.25">
      <c r="D363" t="s">
        <v>158</v>
      </c>
    </row>
    <row r="364" spans="4:8" x14ac:dyDescent="0.25">
      <c r="D364" t="s">
        <v>159</v>
      </c>
    </row>
    <row r="365" spans="4:8" x14ac:dyDescent="0.25">
      <c r="D365" t="s">
        <v>160</v>
      </c>
      <c r="E365">
        <v>0</v>
      </c>
    </row>
    <row r="366" spans="4:8" x14ac:dyDescent="0.25">
      <c r="D366" t="s">
        <v>337</v>
      </c>
    </row>
    <row r="368" spans="4:8" x14ac:dyDescent="0.25">
      <c r="D368" t="s">
        <v>158</v>
      </c>
    </row>
    <row r="369" spans="2:5" x14ac:dyDescent="0.25">
      <c r="D369" t="s">
        <v>162</v>
      </c>
    </row>
    <row r="370" spans="2:5" x14ac:dyDescent="0.25">
      <c r="D370" t="s">
        <v>338</v>
      </c>
    </row>
    <row r="372" spans="2:5" x14ac:dyDescent="0.25">
      <c r="D372" t="s">
        <v>164</v>
      </c>
    </row>
    <row r="373" spans="2:5" x14ac:dyDescent="0.25">
      <c r="D373" t="s">
        <v>159</v>
      </c>
    </row>
    <row r="374" spans="2:5" x14ac:dyDescent="0.25">
      <c r="D374" t="s">
        <v>165</v>
      </c>
      <c r="E374">
        <v>350</v>
      </c>
    </row>
    <row r="375" spans="2:5" x14ac:dyDescent="0.25">
      <c r="D375" t="s">
        <v>160</v>
      </c>
      <c r="E375">
        <v>131.25</v>
      </c>
    </row>
    <row r="376" spans="2:5" x14ac:dyDescent="0.25">
      <c r="D376" t="s">
        <v>339</v>
      </c>
    </row>
    <row r="381" spans="2:5" x14ac:dyDescent="0.25">
      <c r="B381" t="s">
        <v>152</v>
      </c>
    </row>
    <row r="382" spans="2:5" x14ac:dyDescent="0.25">
      <c r="B382" t="s">
        <v>221</v>
      </c>
    </row>
    <row r="383" spans="2:5" x14ac:dyDescent="0.25">
      <c r="B383" t="s">
        <v>222</v>
      </c>
    </row>
    <row r="384" spans="2:5" x14ac:dyDescent="0.25">
      <c r="B384" t="s">
        <v>223</v>
      </c>
    </row>
    <row r="385" spans="2:8" x14ac:dyDescent="0.25">
      <c r="B385" t="s">
        <v>153</v>
      </c>
    </row>
    <row r="386" spans="2:8" x14ac:dyDescent="0.25">
      <c r="B386" t="s">
        <v>154</v>
      </c>
    </row>
    <row r="387" spans="2:8" x14ac:dyDescent="0.25">
      <c r="B387" t="s">
        <v>170</v>
      </c>
    </row>
    <row r="388" spans="2:8" x14ac:dyDescent="0.25">
      <c r="B388" t="s">
        <v>215</v>
      </c>
    </row>
    <row r="390" spans="2:8" x14ac:dyDescent="0.25">
      <c r="D390" t="s">
        <v>155</v>
      </c>
    </row>
    <row r="391" spans="2:8" x14ac:dyDescent="0.25">
      <c r="D391" t="s">
        <v>156</v>
      </c>
    </row>
    <row r="392" spans="2:8" x14ac:dyDescent="0.25">
      <c r="D392" t="s">
        <v>157</v>
      </c>
      <c r="E392" t="s">
        <v>224</v>
      </c>
    </row>
    <row r="393" spans="2:8" x14ac:dyDescent="0.25">
      <c r="D393" t="s">
        <v>216</v>
      </c>
    </row>
    <row r="394" spans="2:8" x14ac:dyDescent="0.25">
      <c r="C394" t="s">
        <v>151</v>
      </c>
    </row>
    <row r="396" spans="2:8" x14ac:dyDescent="0.25">
      <c r="D396" t="s">
        <v>173</v>
      </c>
    </row>
    <row r="397" spans="2:8" x14ac:dyDescent="0.25">
      <c r="D397" t="s">
        <v>174</v>
      </c>
    </row>
    <row r="398" spans="2:8" x14ac:dyDescent="0.25">
      <c r="D398" t="s">
        <v>175</v>
      </c>
      <c r="E398" t="s">
        <v>176</v>
      </c>
      <c r="F398" t="s">
        <v>176</v>
      </c>
      <c r="G398" t="s">
        <v>176</v>
      </c>
      <c r="H398" t="s">
        <v>176</v>
      </c>
    </row>
    <row r="399" spans="2:8" x14ac:dyDescent="0.25">
      <c r="D399" t="s">
        <v>177</v>
      </c>
      <c r="E399">
        <v>1</v>
      </c>
      <c r="F399">
        <v>2</v>
      </c>
      <c r="G399">
        <v>3</v>
      </c>
      <c r="H399">
        <v>4</v>
      </c>
    </row>
    <row r="400" spans="2:8" x14ac:dyDescent="0.25">
      <c r="D400" t="s">
        <v>178</v>
      </c>
      <c r="E400" t="s">
        <v>145</v>
      </c>
      <c r="F400" t="s">
        <v>145</v>
      </c>
      <c r="G400" t="s">
        <v>145</v>
      </c>
      <c r="H400" t="s">
        <v>145</v>
      </c>
    </row>
    <row r="401" spans="4:8" x14ac:dyDescent="0.25">
      <c r="D401" t="s">
        <v>179</v>
      </c>
      <c r="E401">
        <v>1</v>
      </c>
      <c r="F401">
        <v>2</v>
      </c>
      <c r="G401">
        <v>3</v>
      </c>
      <c r="H401">
        <v>4</v>
      </c>
    </row>
    <row r="402" spans="4:8" x14ac:dyDescent="0.25">
      <c r="D402" t="s">
        <v>180</v>
      </c>
      <c r="E402">
        <v>150</v>
      </c>
      <c r="F402">
        <v>150</v>
      </c>
      <c r="G402">
        <v>150</v>
      </c>
      <c r="H402">
        <v>150</v>
      </c>
    </row>
    <row r="403" spans="4:8" x14ac:dyDescent="0.25">
      <c r="D403" t="s">
        <v>181</v>
      </c>
      <c r="E403">
        <v>0</v>
      </c>
      <c r="F403">
        <v>0</v>
      </c>
      <c r="G403">
        <v>0</v>
      </c>
      <c r="H403">
        <v>0</v>
      </c>
    </row>
    <row r="404" spans="4:8" x14ac:dyDescent="0.25">
      <c r="D404" t="s">
        <v>182</v>
      </c>
      <c r="E404">
        <v>0</v>
      </c>
      <c r="F404">
        <v>0</v>
      </c>
      <c r="G404">
        <v>0</v>
      </c>
      <c r="H404">
        <v>0</v>
      </c>
    </row>
    <row r="405" spans="4:8" x14ac:dyDescent="0.25">
      <c r="D405" t="s">
        <v>183</v>
      </c>
      <c r="E405" t="s">
        <v>184</v>
      </c>
      <c r="F405" t="s">
        <v>184</v>
      </c>
      <c r="G405" t="s">
        <v>184</v>
      </c>
      <c r="H405" t="s">
        <v>184</v>
      </c>
    </row>
    <row r="406" spans="4:8" x14ac:dyDescent="0.25">
      <c r="D406" t="s">
        <v>217</v>
      </c>
    </row>
    <row r="408" spans="4:8" x14ac:dyDescent="0.25">
      <c r="D408" t="s">
        <v>158</v>
      </c>
    </row>
    <row r="409" spans="4:8" x14ac:dyDescent="0.25">
      <c r="D409" t="s">
        <v>159</v>
      </c>
    </row>
    <row r="410" spans="4:8" x14ac:dyDescent="0.25">
      <c r="D410" t="s">
        <v>160</v>
      </c>
      <c r="E410">
        <v>0</v>
      </c>
    </row>
    <row r="411" spans="4:8" x14ac:dyDescent="0.25">
      <c r="D411" t="s">
        <v>218</v>
      </c>
    </row>
    <row r="413" spans="4:8" x14ac:dyDescent="0.25">
      <c r="D413" t="s">
        <v>158</v>
      </c>
    </row>
    <row r="414" spans="4:8" x14ac:dyDescent="0.25">
      <c r="D414" t="s">
        <v>162</v>
      </c>
    </row>
    <row r="415" spans="4:8" x14ac:dyDescent="0.25">
      <c r="D415" t="s">
        <v>219</v>
      </c>
    </row>
    <row r="417" spans="2:5" x14ac:dyDescent="0.25">
      <c r="D417" t="s">
        <v>164</v>
      </c>
    </row>
    <row r="418" spans="2:5" x14ac:dyDescent="0.25">
      <c r="D418" t="s">
        <v>159</v>
      </c>
    </row>
    <row r="419" spans="2:5" x14ac:dyDescent="0.25">
      <c r="D419" t="s">
        <v>165</v>
      </c>
      <c r="E419">
        <v>350</v>
      </c>
    </row>
    <row r="420" spans="2:5" x14ac:dyDescent="0.25">
      <c r="D420" t="s">
        <v>160</v>
      </c>
      <c r="E420">
        <v>131.25</v>
      </c>
    </row>
    <row r="421" spans="2:5" x14ac:dyDescent="0.25">
      <c r="D421" t="s">
        <v>220</v>
      </c>
    </row>
    <row r="426" spans="2:5" x14ac:dyDescent="0.25">
      <c r="B426" t="s">
        <v>152</v>
      </c>
    </row>
    <row r="427" spans="2:5" x14ac:dyDescent="0.25">
      <c r="B427" t="s">
        <v>230</v>
      </c>
    </row>
    <row r="428" spans="2:5" x14ac:dyDescent="0.25">
      <c r="B428" t="s">
        <v>231</v>
      </c>
    </row>
    <row r="429" spans="2:5" x14ac:dyDescent="0.25">
      <c r="B429" t="s">
        <v>232</v>
      </c>
    </row>
    <row r="430" spans="2:5" x14ac:dyDescent="0.25">
      <c r="B430" t="s">
        <v>153</v>
      </c>
    </row>
    <row r="431" spans="2:5" x14ac:dyDescent="0.25">
      <c r="B431" t="s">
        <v>154</v>
      </c>
    </row>
    <row r="432" spans="2:5" x14ac:dyDescent="0.25">
      <c r="B432" t="s">
        <v>170</v>
      </c>
    </row>
    <row r="433" spans="2:8" x14ac:dyDescent="0.25">
      <c r="B433" t="s">
        <v>215</v>
      </c>
    </row>
    <row r="435" spans="2:8" x14ac:dyDescent="0.25">
      <c r="D435" t="s">
        <v>155</v>
      </c>
    </row>
    <row r="436" spans="2:8" x14ac:dyDescent="0.25">
      <c r="D436" t="s">
        <v>156</v>
      </c>
    </row>
    <row r="437" spans="2:8" x14ac:dyDescent="0.25">
      <c r="D437" t="s">
        <v>157</v>
      </c>
      <c r="E437" t="s">
        <v>233</v>
      </c>
    </row>
    <row r="438" spans="2:8" x14ac:dyDescent="0.25">
      <c r="D438" t="s">
        <v>225</v>
      </c>
    </row>
    <row r="439" spans="2:8" x14ac:dyDescent="0.25">
      <c r="C439" t="s">
        <v>151</v>
      </c>
    </row>
    <row r="441" spans="2:8" x14ac:dyDescent="0.25">
      <c r="D441" t="s">
        <v>173</v>
      </c>
    </row>
    <row r="442" spans="2:8" x14ac:dyDescent="0.25">
      <c r="D442" t="s">
        <v>174</v>
      </c>
    </row>
    <row r="443" spans="2:8" x14ac:dyDescent="0.25">
      <c r="D443" t="s">
        <v>175</v>
      </c>
      <c r="E443" t="s">
        <v>176</v>
      </c>
      <c r="F443" t="s">
        <v>176</v>
      </c>
      <c r="G443" t="s">
        <v>176</v>
      </c>
      <c r="H443" t="s">
        <v>176</v>
      </c>
    </row>
    <row r="444" spans="2:8" x14ac:dyDescent="0.25">
      <c r="D444" t="s">
        <v>177</v>
      </c>
      <c r="E444">
        <v>1</v>
      </c>
      <c r="F444">
        <v>2</v>
      </c>
      <c r="G444">
        <v>3</v>
      </c>
      <c r="H444">
        <v>4</v>
      </c>
    </row>
    <row r="445" spans="2:8" x14ac:dyDescent="0.25">
      <c r="D445" t="s">
        <v>178</v>
      </c>
      <c r="E445" t="s">
        <v>145</v>
      </c>
      <c r="F445" t="s">
        <v>145</v>
      </c>
      <c r="G445" t="s">
        <v>145</v>
      </c>
      <c r="H445" t="s">
        <v>145</v>
      </c>
    </row>
    <row r="446" spans="2:8" x14ac:dyDescent="0.25">
      <c r="D446" t="s">
        <v>179</v>
      </c>
      <c r="E446">
        <v>1</v>
      </c>
      <c r="F446">
        <v>2</v>
      </c>
      <c r="G446">
        <v>3</v>
      </c>
      <c r="H446">
        <v>4</v>
      </c>
    </row>
    <row r="447" spans="2:8" x14ac:dyDescent="0.25">
      <c r="D447" t="s">
        <v>180</v>
      </c>
      <c r="E447">
        <v>150</v>
      </c>
      <c r="F447">
        <v>150</v>
      </c>
      <c r="G447">
        <v>150</v>
      </c>
      <c r="H447">
        <v>150</v>
      </c>
    </row>
    <row r="448" spans="2:8" x14ac:dyDescent="0.25">
      <c r="D448" t="s">
        <v>181</v>
      </c>
      <c r="E448">
        <v>0</v>
      </c>
      <c r="F448">
        <v>0</v>
      </c>
      <c r="G448">
        <v>0</v>
      </c>
      <c r="H448">
        <v>0</v>
      </c>
    </row>
    <row r="449" spans="4:8" x14ac:dyDescent="0.25">
      <c r="D449" t="s">
        <v>182</v>
      </c>
      <c r="E449">
        <v>0</v>
      </c>
      <c r="F449">
        <v>0</v>
      </c>
      <c r="G449">
        <v>0</v>
      </c>
      <c r="H449">
        <v>0</v>
      </c>
    </row>
    <row r="450" spans="4:8" x14ac:dyDescent="0.25">
      <c r="D450" t="s">
        <v>183</v>
      </c>
      <c r="E450" t="s">
        <v>184</v>
      </c>
      <c r="F450" t="s">
        <v>184</v>
      </c>
      <c r="G450" t="s">
        <v>184</v>
      </c>
      <c r="H450" t="s">
        <v>184</v>
      </c>
    </row>
    <row r="451" spans="4:8" x14ac:dyDescent="0.25">
      <c r="D451" t="s">
        <v>226</v>
      </c>
    </row>
    <row r="453" spans="4:8" x14ac:dyDescent="0.25">
      <c r="D453" t="s">
        <v>158</v>
      </c>
    </row>
    <row r="454" spans="4:8" x14ac:dyDescent="0.25">
      <c r="D454" t="s">
        <v>159</v>
      </c>
    </row>
    <row r="455" spans="4:8" x14ac:dyDescent="0.25">
      <c r="D455" t="s">
        <v>160</v>
      </c>
      <c r="E455">
        <v>0</v>
      </c>
    </row>
    <row r="456" spans="4:8" x14ac:dyDescent="0.25">
      <c r="D456" t="s">
        <v>227</v>
      </c>
    </row>
    <row r="458" spans="4:8" x14ac:dyDescent="0.25">
      <c r="D458" t="s">
        <v>158</v>
      </c>
    </row>
    <row r="459" spans="4:8" x14ac:dyDescent="0.25">
      <c r="D459" t="s">
        <v>162</v>
      </c>
    </row>
    <row r="460" spans="4:8" x14ac:dyDescent="0.25">
      <c r="D460" t="s">
        <v>228</v>
      </c>
    </row>
    <row r="462" spans="4:8" x14ac:dyDescent="0.25">
      <c r="D462" t="s">
        <v>164</v>
      </c>
    </row>
    <row r="463" spans="4:8" x14ac:dyDescent="0.25">
      <c r="D463" t="s">
        <v>159</v>
      </c>
    </row>
    <row r="464" spans="4:8" x14ac:dyDescent="0.25">
      <c r="D464" t="s">
        <v>165</v>
      </c>
      <c r="E464">
        <v>350</v>
      </c>
    </row>
    <row r="465" spans="2:5" x14ac:dyDescent="0.25">
      <c r="D465" t="s">
        <v>160</v>
      </c>
      <c r="E465">
        <v>131.25</v>
      </c>
    </row>
    <row r="466" spans="2:5" x14ac:dyDescent="0.25">
      <c r="D466" t="s">
        <v>229</v>
      </c>
    </row>
    <row r="471" spans="2:5" x14ac:dyDescent="0.25">
      <c r="B471" t="s">
        <v>152</v>
      </c>
    </row>
    <row r="472" spans="2:5" x14ac:dyDescent="0.25">
      <c r="B472" t="s">
        <v>239</v>
      </c>
    </row>
    <row r="473" spans="2:5" x14ac:dyDescent="0.25">
      <c r="B473" t="s">
        <v>240</v>
      </c>
    </row>
    <row r="474" spans="2:5" x14ac:dyDescent="0.25">
      <c r="B474" t="s">
        <v>241</v>
      </c>
    </row>
    <row r="475" spans="2:5" x14ac:dyDescent="0.25">
      <c r="B475" t="s">
        <v>153</v>
      </c>
    </row>
    <row r="476" spans="2:5" x14ac:dyDescent="0.25">
      <c r="B476" t="s">
        <v>154</v>
      </c>
    </row>
    <row r="477" spans="2:5" x14ac:dyDescent="0.25">
      <c r="B477" t="s">
        <v>170</v>
      </c>
    </row>
    <row r="478" spans="2:5" x14ac:dyDescent="0.25">
      <c r="B478" t="s">
        <v>215</v>
      </c>
    </row>
    <row r="480" spans="2:5" x14ac:dyDescent="0.25">
      <c r="D480" t="s">
        <v>155</v>
      </c>
    </row>
    <row r="481" spans="3:8" x14ac:dyDescent="0.25">
      <c r="D481" t="s">
        <v>156</v>
      </c>
    </row>
    <row r="482" spans="3:8" x14ac:dyDescent="0.25">
      <c r="D482" t="s">
        <v>157</v>
      </c>
      <c r="E482" t="s">
        <v>242</v>
      </c>
    </row>
    <row r="483" spans="3:8" x14ac:dyDescent="0.25">
      <c r="D483" t="s">
        <v>234</v>
      </c>
    </row>
    <row r="484" spans="3:8" x14ac:dyDescent="0.25">
      <c r="C484" t="s">
        <v>151</v>
      </c>
    </row>
    <row r="486" spans="3:8" x14ac:dyDescent="0.25">
      <c r="D486" t="s">
        <v>173</v>
      </c>
    </row>
    <row r="487" spans="3:8" x14ac:dyDescent="0.25">
      <c r="D487" t="s">
        <v>174</v>
      </c>
    </row>
    <row r="488" spans="3:8" x14ac:dyDescent="0.25">
      <c r="D488" t="s">
        <v>175</v>
      </c>
      <c r="E488" t="s">
        <v>176</v>
      </c>
      <c r="F488" t="s">
        <v>176</v>
      </c>
      <c r="G488" t="s">
        <v>176</v>
      </c>
      <c r="H488" t="s">
        <v>176</v>
      </c>
    </row>
    <row r="489" spans="3:8" x14ac:dyDescent="0.25">
      <c r="D489" t="s">
        <v>177</v>
      </c>
      <c r="E489">
        <v>1</v>
      </c>
      <c r="F489">
        <v>2</v>
      </c>
      <c r="G489">
        <v>3</v>
      </c>
      <c r="H489">
        <v>4</v>
      </c>
    </row>
    <row r="490" spans="3:8" x14ac:dyDescent="0.25">
      <c r="D490" t="s">
        <v>178</v>
      </c>
      <c r="E490" t="s">
        <v>146</v>
      </c>
      <c r="F490" t="s">
        <v>146</v>
      </c>
      <c r="G490" t="s">
        <v>146</v>
      </c>
      <c r="H490" t="s">
        <v>146</v>
      </c>
    </row>
    <row r="491" spans="3:8" x14ac:dyDescent="0.25">
      <c r="D491" t="s">
        <v>179</v>
      </c>
      <c r="E491">
        <v>1</v>
      </c>
      <c r="F491">
        <v>2</v>
      </c>
      <c r="G491">
        <v>3</v>
      </c>
      <c r="H491">
        <v>4</v>
      </c>
    </row>
    <row r="492" spans="3:8" x14ac:dyDescent="0.25">
      <c r="D492" t="s">
        <v>180</v>
      </c>
      <c r="E492">
        <v>150</v>
      </c>
      <c r="F492">
        <v>150</v>
      </c>
      <c r="G492">
        <v>150</v>
      </c>
      <c r="H492">
        <v>150</v>
      </c>
    </row>
    <row r="493" spans="3:8" x14ac:dyDescent="0.25">
      <c r="D493" t="s">
        <v>181</v>
      </c>
      <c r="E493">
        <v>0</v>
      </c>
      <c r="F493">
        <v>0</v>
      </c>
      <c r="G493">
        <v>0</v>
      </c>
      <c r="H493">
        <v>0</v>
      </c>
    </row>
    <row r="494" spans="3:8" x14ac:dyDescent="0.25">
      <c r="D494" t="s">
        <v>182</v>
      </c>
      <c r="E494">
        <v>0</v>
      </c>
      <c r="F494">
        <v>0</v>
      </c>
      <c r="G494">
        <v>0</v>
      </c>
      <c r="H494">
        <v>0</v>
      </c>
    </row>
    <row r="495" spans="3:8" x14ac:dyDescent="0.25">
      <c r="D495" t="s">
        <v>183</v>
      </c>
      <c r="E495" t="s">
        <v>184</v>
      </c>
      <c r="F495" t="s">
        <v>184</v>
      </c>
      <c r="G495" t="s">
        <v>184</v>
      </c>
      <c r="H495" t="s">
        <v>184</v>
      </c>
    </row>
    <row r="496" spans="3:8" x14ac:dyDescent="0.25">
      <c r="D496" t="s">
        <v>235</v>
      </c>
    </row>
    <row r="498" spans="4:5" x14ac:dyDescent="0.25">
      <c r="D498" t="s">
        <v>158</v>
      </c>
    </row>
    <row r="499" spans="4:5" x14ac:dyDescent="0.25">
      <c r="D499" t="s">
        <v>159</v>
      </c>
    </row>
    <row r="500" spans="4:5" x14ac:dyDescent="0.25">
      <c r="D500" t="s">
        <v>160</v>
      </c>
      <c r="E500">
        <v>0</v>
      </c>
    </row>
    <row r="501" spans="4:5" x14ac:dyDescent="0.25">
      <c r="D501" t="s">
        <v>236</v>
      </c>
    </row>
    <row r="503" spans="4:5" x14ac:dyDescent="0.25">
      <c r="D503" t="s">
        <v>158</v>
      </c>
    </row>
    <row r="504" spans="4:5" x14ac:dyDescent="0.25">
      <c r="D504" t="s">
        <v>162</v>
      </c>
    </row>
    <row r="505" spans="4:5" x14ac:dyDescent="0.25">
      <c r="D505" t="s">
        <v>237</v>
      </c>
    </row>
    <row r="507" spans="4:5" x14ac:dyDescent="0.25">
      <c r="D507" t="s">
        <v>164</v>
      </c>
    </row>
    <row r="508" spans="4:5" x14ac:dyDescent="0.25">
      <c r="D508" t="s">
        <v>159</v>
      </c>
    </row>
    <row r="509" spans="4:5" x14ac:dyDescent="0.25">
      <c r="D509" t="s">
        <v>165</v>
      </c>
      <c r="E509">
        <v>350</v>
      </c>
    </row>
    <row r="510" spans="4:5" x14ac:dyDescent="0.25">
      <c r="D510" t="s">
        <v>160</v>
      </c>
      <c r="E510">
        <v>131.25</v>
      </c>
    </row>
    <row r="511" spans="4:5" x14ac:dyDescent="0.25">
      <c r="D511" t="s">
        <v>238</v>
      </c>
    </row>
    <row r="516" spans="2:5" x14ac:dyDescent="0.25">
      <c r="B516" t="s">
        <v>152</v>
      </c>
    </row>
    <row r="517" spans="2:5" x14ac:dyDescent="0.25">
      <c r="B517" t="s">
        <v>248</v>
      </c>
    </row>
    <row r="518" spans="2:5" x14ac:dyDescent="0.25">
      <c r="B518" t="s">
        <v>249</v>
      </c>
    </row>
    <row r="519" spans="2:5" x14ac:dyDescent="0.25">
      <c r="B519" t="s">
        <v>250</v>
      </c>
    </row>
    <row r="520" spans="2:5" x14ac:dyDescent="0.25">
      <c r="B520" t="s">
        <v>153</v>
      </c>
    </row>
    <row r="521" spans="2:5" x14ac:dyDescent="0.25">
      <c r="B521" t="s">
        <v>154</v>
      </c>
    </row>
    <row r="522" spans="2:5" x14ac:dyDescent="0.25">
      <c r="B522" t="s">
        <v>170</v>
      </c>
    </row>
    <row r="523" spans="2:5" x14ac:dyDescent="0.25">
      <c r="B523" t="s">
        <v>215</v>
      </c>
    </row>
    <row r="525" spans="2:5" x14ac:dyDescent="0.25">
      <c r="D525" t="s">
        <v>155</v>
      </c>
    </row>
    <row r="526" spans="2:5" x14ac:dyDescent="0.25">
      <c r="D526" t="s">
        <v>156</v>
      </c>
    </row>
    <row r="527" spans="2:5" x14ac:dyDescent="0.25">
      <c r="D527" t="s">
        <v>157</v>
      </c>
      <c r="E527" t="s">
        <v>251</v>
      </c>
    </row>
    <row r="528" spans="2:5" x14ac:dyDescent="0.25">
      <c r="D528" t="s">
        <v>243</v>
      </c>
    </row>
    <row r="529" spans="3:8" x14ac:dyDescent="0.25">
      <c r="C529" t="s">
        <v>151</v>
      </c>
    </row>
    <row r="531" spans="3:8" x14ac:dyDescent="0.25">
      <c r="D531" t="s">
        <v>173</v>
      </c>
    </row>
    <row r="532" spans="3:8" x14ac:dyDescent="0.25">
      <c r="D532" t="s">
        <v>174</v>
      </c>
    </row>
    <row r="533" spans="3:8" x14ac:dyDescent="0.25">
      <c r="D533" t="s">
        <v>175</v>
      </c>
      <c r="E533" t="s">
        <v>176</v>
      </c>
      <c r="F533" t="s">
        <v>176</v>
      </c>
      <c r="G533" t="s">
        <v>176</v>
      </c>
      <c r="H533" t="s">
        <v>176</v>
      </c>
    </row>
    <row r="534" spans="3:8" x14ac:dyDescent="0.25">
      <c r="D534" t="s">
        <v>177</v>
      </c>
      <c r="E534">
        <v>1</v>
      </c>
      <c r="F534">
        <v>2</v>
      </c>
      <c r="G534">
        <v>3</v>
      </c>
      <c r="H534">
        <v>4</v>
      </c>
    </row>
    <row r="535" spans="3:8" x14ac:dyDescent="0.25">
      <c r="D535" t="s">
        <v>178</v>
      </c>
      <c r="E535" t="s">
        <v>146</v>
      </c>
      <c r="F535" t="s">
        <v>146</v>
      </c>
      <c r="G535" t="s">
        <v>146</v>
      </c>
      <c r="H535" t="s">
        <v>146</v>
      </c>
    </row>
    <row r="536" spans="3:8" x14ac:dyDescent="0.25">
      <c r="D536" t="s">
        <v>179</v>
      </c>
      <c r="E536">
        <v>1</v>
      </c>
      <c r="F536">
        <v>2</v>
      </c>
      <c r="G536">
        <v>3</v>
      </c>
      <c r="H536">
        <v>4</v>
      </c>
    </row>
    <row r="537" spans="3:8" x14ac:dyDescent="0.25">
      <c r="D537" t="s">
        <v>180</v>
      </c>
      <c r="E537">
        <v>150</v>
      </c>
      <c r="F537">
        <v>150</v>
      </c>
      <c r="G537">
        <v>150</v>
      </c>
      <c r="H537">
        <v>150</v>
      </c>
    </row>
    <row r="538" spans="3:8" x14ac:dyDescent="0.25">
      <c r="D538" t="s">
        <v>181</v>
      </c>
      <c r="E538">
        <v>0</v>
      </c>
      <c r="F538">
        <v>0</v>
      </c>
      <c r="G538">
        <v>0</v>
      </c>
      <c r="H538">
        <v>0</v>
      </c>
    </row>
    <row r="539" spans="3:8" x14ac:dyDescent="0.25">
      <c r="D539" t="s">
        <v>182</v>
      </c>
      <c r="E539">
        <v>0</v>
      </c>
      <c r="F539">
        <v>0</v>
      </c>
      <c r="G539">
        <v>0</v>
      </c>
      <c r="H539">
        <v>0</v>
      </c>
    </row>
    <row r="540" spans="3:8" x14ac:dyDescent="0.25">
      <c r="D540" t="s">
        <v>183</v>
      </c>
      <c r="E540" t="s">
        <v>184</v>
      </c>
      <c r="F540" t="s">
        <v>184</v>
      </c>
      <c r="G540" t="s">
        <v>184</v>
      </c>
      <c r="H540" t="s">
        <v>184</v>
      </c>
    </row>
    <row r="541" spans="3:8" x14ac:dyDescent="0.25">
      <c r="D541" t="s">
        <v>244</v>
      </c>
    </row>
    <row r="543" spans="3:8" x14ac:dyDescent="0.25">
      <c r="D543" t="s">
        <v>158</v>
      </c>
    </row>
    <row r="544" spans="3:8" x14ac:dyDescent="0.25">
      <c r="D544" t="s">
        <v>159</v>
      </c>
    </row>
    <row r="545" spans="4:5" x14ac:dyDescent="0.25">
      <c r="D545" t="s">
        <v>160</v>
      </c>
      <c r="E545">
        <v>0</v>
      </c>
    </row>
    <row r="546" spans="4:5" x14ac:dyDescent="0.25">
      <c r="D546" t="s">
        <v>245</v>
      </c>
    </row>
    <row r="548" spans="4:5" x14ac:dyDescent="0.25">
      <c r="D548" t="s">
        <v>158</v>
      </c>
    </row>
    <row r="549" spans="4:5" x14ac:dyDescent="0.25">
      <c r="D549" t="s">
        <v>162</v>
      </c>
    </row>
    <row r="550" spans="4:5" x14ac:dyDescent="0.25">
      <c r="D550" t="s">
        <v>246</v>
      </c>
    </row>
    <row r="552" spans="4:5" x14ac:dyDescent="0.25">
      <c r="D552" t="s">
        <v>164</v>
      </c>
    </row>
    <row r="553" spans="4:5" x14ac:dyDescent="0.25">
      <c r="D553" t="s">
        <v>159</v>
      </c>
    </row>
    <row r="554" spans="4:5" x14ac:dyDescent="0.25">
      <c r="D554" t="s">
        <v>165</v>
      </c>
      <c r="E554">
        <v>350</v>
      </c>
    </row>
    <row r="555" spans="4:5" x14ac:dyDescent="0.25">
      <c r="D555" t="s">
        <v>160</v>
      </c>
      <c r="E555">
        <v>131.25</v>
      </c>
    </row>
    <row r="556" spans="4:5" x14ac:dyDescent="0.25">
      <c r="D556" t="s">
        <v>247</v>
      </c>
    </row>
    <row r="561" spans="2:5" x14ac:dyDescent="0.25">
      <c r="B561" t="s">
        <v>152</v>
      </c>
    </row>
    <row r="562" spans="2:5" x14ac:dyDescent="0.25">
      <c r="B562" t="s">
        <v>257</v>
      </c>
    </row>
    <row r="563" spans="2:5" x14ac:dyDescent="0.25">
      <c r="B563" t="s">
        <v>258</v>
      </c>
    </row>
    <row r="564" spans="2:5" x14ac:dyDescent="0.25">
      <c r="B564" t="s">
        <v>259</v>
      </c>
    </row>
    <row r="565" spans="2:5" x14ac:dyDescent="0.25">
      <c r="B565" t="s">
        <v>153</v>
      </c>
    </row>
    <row r="566" spans="2:5" x14ac:dyDescent="0.25">
      <c r="B566" t="s">
        <v>154</v>
      </c>
    </row>
    <row r="567" spans="2:5" x14ac:dyDescent="0.25">
      <c r="B567" t="s">
        <v>170</v>
      </c>
    </row>
    <row r="568" spans="2:5" x14ac:dyDescent="0.25">
      <c r="B568" t="s">
        <v>215</v>
      </c>
    </row>
    <row r="570" spans="2:5" x14ac:dyDescent="0.25">
      <c r="D570" t="s">
        <v>155</v>
      </c>
    </row>
    <row r="571" spans="2:5" x14ac:dyDescent="0.25">
      <c r="D571" t="s">
        <v>156</v>
      </c>
    </row>
    <row r="572" spans="2:5" x14ac:dyDescent="0.25">
      <c r="D572" t="s">
        <v>157</v>
      </c>
      <c r="E572" t="s">
        <v>260</v>
      </c>
    </row>
    <row r="573" spans="2:5" x14ac:dyDescent="0.25">
      <c r="D573" t="s">
        <v>252</v>
      </c>
    </row>
    <row r="574" spans="2:5" x14ac:dyDescent="0.25">
      <c r="C574" t="s">
        <v>151</v>
      </c>
    </row>
    <row r="576" spans="2:5" x14ac:dyDescent="0.25">
      <c r="D576" t="s">
        <v>173</v>
      </c>
    </row>
    <row r="577" spans="4:8" x14ac:dyDescent="0.25">
      <c r="D577" t="s">
        <v>174</v>
      </c>
    </row>
    <row r="578" spans="4:8" x14ac:dyDescent="0.25">
      <c r="D578" t="s">
        <v>175</v>
      </c>
      <c r="E578" t="s">
        <v>176</v>
      </c>
      <c r="F578" t="s">
        <v>176</v>
      </c>
      <c r="G578" t="s">
        <v>176</v>
      </c>
      <c r="H578" t="s">
        <v>176</v>
      </c>
    </row>
    <row r="579" spans="4:8" x14ac:dyDescent="0.25">
      <c r="D579" t="s">
        <v>177</v>
      </c>
      <c r="E579">
        <v>1</v>
      </c>
      <c r="F579">
        <v>2</v>
      </c>
      <c r="G579">
        <v>3</v>
      </c>
      <c r="H579">
        <v>4</v>
      </c>
    </row>
    <row r="580" spans="4:8" x14ac:dyDescent="0.25">
      <c r="D580" t="s">
        <v>178</v>
      </c>
      <c r="E580" t="s">
        <v>146</v>
      </c>
      <c r="F580" t="s">
        <v>146</v>
      </c>
      <c r="G580" t="s">
        <v>146</v>
      </c>
      <c r="H580" t="s">
        <v>146</v>
      </c>
    </row>
    <row r="581" spans="4:8" x14ac:dyDescent="0.25">
      <c r="D581" t="s">
        <v>179</v>
      </c>
      <c r="E581">
        <v>1</v>
      </c>
      <c r="F581">
        <v>2</v>
      </c>
      <c r="G581">
        <v>3</v>
      </c>
      <c r="H581">
        <v>4</v>
      </c>
    </row>
    <row r="582" spans="4:8" x14ac:dyDescent="0.25">
      <c r="D582" t="s">
        <v>180</v>
      </c>
      <c r="E582">
        <v>150</v>
      </c>
      <c r="F582">
        <v>150</v>
      </c>
      <c r="G582">
        <v>150</v>
      </c>
      <c r="H582">
        <v>150</v>
      </c>
    </row>
    <row r="583" spans="4:8" x14ac:dyDescent="0.25">
      <c r="D583" t="s">
        <v>181</v>
      </c>
      <c r="E583">
        <v>0</v>
      </c>
      <c r="F583">
        <v>0</v>
      </c>
      <c r="G583">
        <v>0</v>
      </c>
      <c r="H583">
        <v>0</v>
      </c>
    </row>
    <row r="584" spans="4:8" x14ac:dyDescent="0.25">
      <c r="D584" t="s">
        <v>182</v>
      </c>
      <c r="E584">
        <v>0</v>
      </c>
      <c r="F584">
        <v>0</v>
      </c>
      <c r="G584">
        <v>0</v>
      </c>
      <c r="H584">
        <v>0</v>
      </c>
    </row>
    <row r="585" spans="4:8" x14ac:dyDescent="0.25">
      <c r="D585" t="s">
        <v>183</v>
      </c>
      <c r="E585" t="s">
        <v>184</v>
      </c>
      <c r="F585" t="s">
        <v>184</v>
      </c>
      <c r="G585" t="s">
        <v>184</v>
      </c>
      <c r="H585" t="s">
        <v>184</v>
      </c>
    </row>
    <row r="586" spans="4:8" x14ac:dyDescent="0.25">
      <c r="D586" t="s">
        <v>253</v>
      </c>
    </row>
    <row r="588" spans="4:8" x14ac:dyDescent="0.25">
      <c r="D588" t="s">
        <v>158</v>
      </c>
    </row>
    <row r="589" spans="4:8" x14ac:dyDescent="0.25">
      <c r="D589" t="s">
        <v>159</v>
      </c>
    </row>
    <row r="590" spans="4:8" x14ac:dyDescent="0.25">
      <c r="D590" t="s">
        <v>160</v>
      </c>
      <c r="E590">
        <v>0</v>
      </c>
    </row>
    <row r="591" spans="4:8" x14ac:dyDescent="0.25">
      <c r="D591" t="s">
        <v>254</v>
      </c>
    </row>
    <row r="593" spans="2:5" x14ac:dyDescent="0.25">
      <c r="D593" t="s">
        <v>158</v>
      </c>
    </row>
    <row r="594" spans="2:5" x14ac:dyDescent="0.25">
      <c r="D594" t="s">
        <v>162</v>
      </c>
    </row>
    <row r="595" spans="2:5" x14ac:dyDescent="0.25">
      <c r="D595" t="s">
        <v>255</v>
      </c>
    </row>
    <row r="597" spans="2:5" x14ac:dyDescent="0.25">
      <c r="D597" t="s">
        <v>164</v>
      </c>
    </row>
    <row r="598" spans="2:5" x14ac:dyDescent="0.25">
      <c r="D598" t="s">
        <v>159</v>
      </c>
    </row>
    <row r="599" spans="2:5" x14ac:dyDescent="0.25">
      <c r="D599" t="s">
        <v>165</v>
      </c>
      <c r="E599">
        <v>350</v>
      </c>
    </row>
    <row r="600" spans="2:5" x14ac:dyDescent="0.25">
      <c r="D600" t="s">
        <v>160</v>
      </c>
      <c r="E600">
        <v>131.25</v>
      </c>
    </row>
    <row r="601" spans="2:5" x14ac:dyDescent="0.25">
      <c r="D601" t="s">
        <v>256</v>
      </c>
    </row>
    <row r="606" spans="2:5" x14ac:dyDescent="0.25">
      <c r="B606" t="s">
        <v>147</v>
      </c>
    </row>
    <row r="607" spans="2:5" x14ac:dyDescent="0.25">
      <c r="B607" t="s">
        <v>261</v>
      </c>
    </row>
    <row r="608" spans="2:5" x14ac:dyDescent="0.25">
      <c r="B608" t="s">
        <v>262</v>
      </c>
    </row>
    <row r="609" spans="2:4" x14ac:dyDescent="0.25">
      <c r="B609" t="s">
        <v>150</v>
      </c>
    </row>
    <row r="611" spans="2:4" x14ac:dyDescent="0.25">
      <c r="C611" t="s">
        <v>151</v>
      </c>
    </row>
    <row r="616" spans="2:4" x14ac:dyDescent="0.25">
      <c r="B616" t="s">
        <v>263</v>
      </c>
    </row>
    <row r="617" spans="2:4" x14ac:dyDescent="0.25">
      <c r="B617" t="s">
        <v>264</v>
      </c>
    </row>
    <row r="618" spans="2:4" x14ac:dyDescent="0.25">
      <c r="B618" t="s">
        <v>265</v>
      </c>
    </row>
    <row r="619" spans="2:4" x14ac:dyDescent="0.25">
      <c r="B619" t="s">
        <v>266</v>
      </c>
    </row>
    <row r="620" spans="2:4" x14ac:dyDescent="0.25">
      <c r="B620" t="s">
        <v>267</v>
      </c>
    </row>
    <row r="621" spans="2:4" x14ac:dyDescent="0.25">
      <c r="B621" t="s">
        <v>268</v>
      </c>
    </row>
    <row r="622" spans="2:4" x14ac:dyDescent="0.25">
      <c r="B622" t="s">
        <v>269</v>
      </c>
    </row>
    <row r="624" spans="2:4" x14ac:dyDescent="0.25">
      <c r="D624" t="s">
        <v>155</v>
      </c>
    </row>
    <row r="625" spans="3:9" x14ac:dyDescent="0.25">
      <c r="D625" t="s">
        <v>156</v>
      </c>
    </row>
    <row r="626" spans="3:9" x14ac:dyDescent="0.25">
      <c r="D626" t="s">
        <v>157</v>
      </c>
      <c r="E626" t="s">
        <v>270</v>
      </c>
    </row>
    <row r="627" spans="3:9" x14ac:dyDescent="0.25">
      <c r="D627" t="s">
        <v>340</v>
      </c>
    </row>
    <row r="628" spans="3:9" x14ac:dyDescent="0.25">
      <c r="C628" t="s">
        <v>151</v>
      </c>
    </row>
    <row r="630" spans="3:9" x14ac:dyDescent="0.25">
      <c r="D630" t="s">
        <v>173</v>
      </c>
    </row>
    <row r="631" spans="3:9" x14ac:dyDescent="0.25">
      <c r="D631" t="s">
        <v>174</v>
      </c>
    </row>
    <row r="632" spans="3:9" x14ac:dyDescent="0.25">
      <c r="D632" t="s">
        <v>175</v>
      </c>
      <c r="E632" t="s">
        <v>136</v>
      </c>
      <c r="F632" t="s">
        <v>136</v>
      </c>
      <c r="G632" t="s">
        <v>136</v>
      </c>
      <c r="H632" t="s">
        <v>136</v>
      </c>
      <c r="I632" t="s">
        <v>136</v>
      </c>
    </row>
    <row r="633" spans="3:9" x14ac:dyDescent="0.25">
      <c r="D633" t="s">
        <v>177</v>
      </c>
      <c r="E633">
        <v>1</v>
      </c>
      <c r="F633">
        <v>2</v>
      </c>
      <c r="G633">
        <v>3</v>
      </c>
      <c r="H633">
        <v>4</v>
      </c>
      <c r="I633">
        <v>5</v>
      </c>
    </row>
    <row r="634" spans="3:9" x14ac:dyDescent="0.25">
      <c r="D634" t="s">
        <v>178</v>
      </c>
      <c r="E634" t="s">
        <v>140</v>
      </c>
      <c r="F634" t="s">
        <v>141</v>
      </c>
      <c r="G634" t="s">
        <v>142</v>
      </c>
      <c r="H634" t="s">
        <v>141</v>
      </c>
      <c r="I634" t="s">
        <v>142</v>
      </c>
    </row>
    <row r="635" spans="3:9" x14ac:dyDescent="0.25">
      <c r="D635" t="s">
        <v>179</v>
      </c>
      <c r="E635">
        <v>1</v>
      </c>
      <c r="F635">
        <v>2</v>
      </c>
      <c r="G635">
        <v>3</v>
      </c>
      <c r="H635">
        <v>4</v>
      </c>
      <c r="I635">
        <v>5</v>
      </c>
    </row>
    <row r="636" spans="3:9" x14ac:dyDescent="0.25">
      <c r="D636" t="s">
        <v>180</v>
      </c>
      <c r="E636">
        <v>21.6</v>
      </c>
      <c r="F636">
        <v>6</v>
      </c>
      <c r="G636">
        <v>8.4</v>
      </c>
      <c r="H636">
        <v>6</v>
      </c>
      <c r="I636">
        <v>8.4</v>
      </c>
    </row>
    <row r="637" spans="3:9" x14ac:dyDescent="0.25">
      <c r="D637" t="s">
        <v>181</v>
      </c>
      <c r="E637">
        <v>0</v>
      </c>
      <c r="F637">
        <v>0</v>
      </c>
      <c r="G637">
        <v>0</v>
      </c>
      <c r="H637">
        <v>0</v>
      </c>
      <c r="I637">
        <v>0</v>
      </c>
    </row>
    <row r="638" spans="3:9" x14ac:dyDescent="0.25">
      <c r="D638" t="s">
        <v>182</v>
      </c>
      <c r="E638">
        <v>0</v>
      </c>
      <c r="F638">
        <v>0</v>
      </c>
      <c r="G638">
        <v>0</v>
      </c>
      <c r="H638">
        <v>0</v>
      </c>
      <c r="I638">
        <v>0</v>
      </c>
    </row>
    <row r="639" spans="3:9" x14ac:dyDescent="0.25">
      <c r="D639" t="s">
        <v>183</v>
      </c>
      <c r="E639" t="s">
        <v>40</v>
      </c>
      <c r="F639" t="s">
        <v>40</v>
      </c>
      <c r="G639" t="s">
        <v>40</v>
      </c>
      <c r="H639" t="s">
        <v>40</v>
      </c>
      <c r="I639" t="s">
        <v>40</v>
      </c>
    </row>
    <row r="640" spans="3:9" x14ac:dyDescent="0.25">
      <c r="D640" t="s">
        <v>341</v>
      </c>
    </row>
    <row r="645" spans="2:5" x14ac:dyDescent="0.25">
      <c r="B645" t="s">
        <v>152</v>
      </c>
    </row>
    <row r="646" spans="2:5" x14ac:dyDescent="0.25">
      <c r="B646" t="s">
        <v>272</v>
      </c>
    </row>
    <row r="647" spans="2:5" x14ac:dyDescent="0.25">
      <c r="B647" t="s">
        <v>273</v>
      </c>
    </row>
    <row r="648" spans="2:5" x14ac:dyDescent="0.25">
      <c r="B648" t="s">
        <v>274</v>
      </c>
    </row>
    <row r="649" spans="2:5" x14ac:dyDescent="0.25">
      <c r="B649" t="s">
        <v>153</v>
      </c>
    </row>
    <row r="650" spans="2:5" x14ac:dyDescent="0.25">
      <c r="B650" t="s">
        <v>154</v>
      </c>
    </row>
    <row r="651" spans="2:5" x14ac:dyDescent="0.25">
      <c r="B651" t="s">
        <v>170</v>
      </c>
    </row>
    <row r="652" spans="2:5" x14ac:dyDescent="0.25">
      <c r="B652" t="s">
        <v>275</v>
      </c>
    </row>
    <row r="654" spans="2:5" x14ac:dyDescent="0.25">
      <c r="D654" t="s">
        <v>155</v>
      </c>
    </row>
    <row r="655" spans="2:5" x14ac:dyDescent="0.25">
      <c r="D655" t="s">
        <v>156</v>
      </c>
    </row>
    <row r="656" spans="2:5" x14ac:dyDescent="0.25">
      <c r="D656" t="s">
        <v>157</v>
      </c>
      <c r="E656" t="s">
        <v>401</v>
      </c>
    </row>
    <row r="657" spans="3:9" x14ac:dyDescent="0.25">
      <c r="D657" t="s">
        <v>402</v>
      </c>
    </row>
    <row r="658" spans="3:9" x14ac:dyDescent="0.25">
      <c r="C658" t="s">
        <v>151</v>
      </c>
    </row>
    <row r="660" spans="3:9" x14ac:dyDescent="0.25">
      <c r="D660" t="s">
        <v>173</v>
      </c>
    </row>
    <row r="661" spans="3:9" x14ac:dyDescent="0.25">
      <c r="D661" t="s">
        <v>174</v>
      </c>
    </row>
    <row r="662" spans="3:9" x14ac:dyDescent="0.25">
      <c r="D662" t="s">
        <v>175</v>
      </c>
      <c r="E662" t="s">
        <v>176</v>
      </c>
      <c r="F662" t="s">
        <v>176</v>
      </c>
      <c r="G662" t="s">
        <v>176</v>
      </c>
      <c r="H662" t="s">
        <v>176</v>
      </c>
      <c r="I662" t="s">
        <v>176</v>
      </c>
    </row>
    <row r="663" spans="3:9" x14ac:dyDescent="0.25">
      <c r="D663" t="s">
        <v>177</v>
      </c>
      <c r="E663">
        <v>1</v>
      </c>
      <c r="F663">
        <v>2</v>
      </c>
      <c r="G663">
        <v>3</v>
      </c>
      <c r="H663">
        <v>4</v>
      </c>
      <c r="I663">
        <v>5</v>
      </c>
    </row>
    <row r="664" spans="3:9" x14ac:dyDescent="0.25">
      <c r="D664" t="s">
        <v>178</v>
      </c>
      <c r="E664" t="s">
        <v>143</v>
      </c>
      <c r="F664" t="s">
        <v>144</v>
      </c>
      <c r="G664" t="s">
        <v>144</v>
      </c>
      <c r="H664" t="s">
        <v>144</v>
      </c>
      <c r="I664" t="s">
        <v>144</v>
      </c>
    </row>
    <row r="665" spans="3:9" x14ac:dyDescent="0.25">
      <c r="D665" t="s">
        <v>179</v>
      </c>
      <c r="E665">
        <v>1</v>
      </c>
      <c r="F665">
        <v>2</v>
      </c>
      <c r="G665">
        <v>3</v>
      </c>
      <c r="H665">
        <v>4</v>
      </c>
      <c r="I665">
        <v>5</v>
      </c>
    </row>
    <row r="666" spans="3:9" x14ac:dyDescent="0.25">
      <c r="D666" t="s">
        <v>180</v>
      </c>
      <c r="E666">
        <v>200</v>
      </c>
      <c r="F666">
        <v>200</v>
      </c>
      <c r="G666">
        <v>200</v>
      </c>
      <c r="H666">
        <v>200</v>
      </c>
      <c r="I666">
        <v>200</v>
      </c>
    </row>
    <row r="667" spans="3:9" x14ac:dyDescent="0.25">
      <c r="D667" t="s">
        <v>181</v>
      </c>
      <c r="E667">
        <v>0</v>
      </c>
      <c r="F667">
        <v>0</v>
      </c>
      <c r="G667">
        <v>0</v>
      </c>
      <c r="H667">
        <v>0</v>
      </c>
      <c r="I667">
        <v>0</v>
      </c>
    </row>
    <row r="668" spans="3:9" x14ac:dyDescent="0.25">
      <c r="D668" t="s">
        <v>182</v>
      </c>
      <c r="E668">
        <v>0</v>
      </c>
      <c r="F668">
        <v>0</v>
      </c>
      <c r="G668">
        <v>0</v>
      </c>
      <c r="H668">
        <v>0</v>
      </c>
      <c r="I668">
        <v>0</v>
      </c>
    </row>
    <row r="669" spans="3:9" x14ac:dyDescent="0.25">
      <c r="D669" t="s">
        <v>183</v>
      </c>
      <c r="E669" t="s">
        <v>184</v>
      </c>
      <c r="F669" t="s">
        <v>184</v>
      </c>
      <c r="G669" t="s">
        <v>184</v>
      </c>
      <c r="H669" t="s">
        <v>184</v>
      </c>
      <c r="I669" t="s">
        <v>184</v>
      </c>
    </row>
    <row r="670" spans="3:9" x14ac:dyDescent="0.25">
      <c r="D670" t="s">
        <v>271</v>
      </c>
    </row>
    <row r="672" spans="3:9" x14ac:dyDescent="0.25">
      <c r="D672" t="s">
        <v>158</v>
      </c>
    </row>
    <row r="673" spans="4:5" x14ac:dyDescent="0.25">
      <c r="D673" t="s">
        <v>159</v>
      </c>
    </row>
    <row r="674" spans="4:5" x14ac:dyDescent="0.25">
      <c r="D674" t="s">
        <v>160</v>
      </c>
      <c r="E674">
        <v>0</v>
      </c>
    </row>
    <row r="675" spans="4:5" x14ac:dyDescent="0.25">
      <c r="D675" t="s">
        <v>342</v>
      </c>
    </row>
    <row r="677" spans="4:5" x14ac:dyDescent="0.25">
      <c r="D677" t="s">
        <v>158</v>
      </c>
    </row>
    <row r="678" spans="4:5" x14ac:dyDescent="0.25">
      <c r="D678" t="s">
        <v>162</v>
      </c>
    </row>
    <row r="679" spans="4:5" x14ac:dyDescent="0.25">
      <c r="D679" t="s">
        <v>343</v>
      </c>
    </row>
    <row r="681" spans="4:5" x14ac:dyDescent="0.25">
      <c r="D681" t="s">
        <v>164</v>
      </c>
    </row>
    <row r="682" spans="4:5" x14ac:dyDescent="0.25">
      <c r="D682" t="s">
        <v>159</v>
      </c>
    </row>
    <row r="683" spans="4:5" x14ac:dyDescent="0.25">
      <c r="D683" t="s">
        <v>165</v>
      </c>
      <c r="E683">
        <v>350</v>
      </c>
    </row>
    <row r="684" spans="4:5" x14ac:dyDescent="0.25">
      <c r="D684" t="s">
        <v>160</v>
      </c>
      <c r="E684">
        <v>175</v>
      </c>
    </row>
    <row r="685" spans="4:5" x14ac:dyDescent="0.25">
      <c r="D685" t="s">
        <v>344</v>
      </c>
    </row>
    <row r="690" spans="2:5" x14ac:dyDescent="0.25">
      <c r="B690" t="s">
        <v>152</v>
      </c>
    </row>
    <row r="691" spans="2:5" x14ac:dyDescent="0.25">
      <c r="B691" t="s">
        <v>281</v>
      </c>
    </row>
    <row r="692" spans="2:5" x14ac:dyDescent="0.25">
      <c r="B692" t="s">
        <v>282</v>
      </c>
    </row>
    <row r="693" spans="2:5" x14ac:dyDescent="0.25">
      <c r="B693" t="s">
        <v>283</v>
      </c>
    </row>
    <row r="694" spans="2:5" x14ac:dyDescent="0.25">
      <c r="B694" t="s">
        <v>153</v>
      </c>
    </row>
    <row r="695" spans="2:5" x14ac:dyDescent="0.25">
      <c r="B695" t="s">
        <v>154</v>
      </c>
    </row>
    <row r="696" spans="2:5" x14ac:dyDescent="0.25">
      <c r="B696" t="s">
        <v>170</v>
      </c>
    </row>
    <row r="697" spans="2:5" x14ac:dyDescent="0.25">
      <c r="B697" t="s">
        <v>275</v>
      </c>
    </row>
    <row r="699" spans="2:5" x14ac:dyDescent="0.25">
      <c r="D699" t="s">
        <v>155</v>
      </c>
    </row>
    <row r="700" spans="2:5" x14ac:dyDescent="0.25">
      <c r="D700" t="s">
        <v>156</v>
      </c>
    </row>
    <row r="701" spans="2:5" x14ac:dyDescent="0.25">
      <c r="D701" t="s">
        <v>157</v>
      </c>
      <c r="E701" t="s">
        <v>284</v>
      </c>
    </row>
    <row r="702" spans="2:5" x14ac:dyDescent="0.25">
      <c r="D702" t="s">
        <v>276</v>
      </c>
    </row>
    <row r="703" spans="2:5" x14ac:dyDescent="0.25">
      <c r="C703" t="s">
        <v>151</v>
      </c>
    </row>
    <row r="705" spans="4:9" x14ac:dyDescent="0.25">
      <c r="D705" t="s">
        <v>173</v>
      </c>
    </row>
    <row r="706" spans="4:9" x14ac:dyDescent="0.25">
      <c r="D706" t="s">
        <v>174</v>
      </c>
    </row>
    <row r="707" spans="4:9" x14ac:dyDescent="0.25">
      <c r="D707" t="s">
        <v>175</v>
      </c>
      <c r="E707" t="s">
        <v>176</v>
      </c>
      <c r="F707" t="s">
        <v>176</v>
      </c>
      <c r="G707" t="s">
        <v>176</v>
      </c>
      <c r="H707" t="s">
        <v>176</v>
      </c>
      <c r="I707" t="s">
        <v>176</v>
      </c>
    </row>
    <row r="708" spans="4:9" x14ac:dyDescent="0.25">
      <c r="D708" t="s">
        <v>177</v>
      </c>
      <c r="E708">
        <v>1</v>
      </c>
      <c r="F708">
        <v>2</v>
      </c>
      <c r="G708">
        <v>3</v>
      </c>
      <c r="H708">
        <v>4</v>
      </c>
      <c r="I708">
        <v>5</v>
      </c>
    </row>
    <row r="709" spans="4:9" x14ac:dyDescent="0.25">
      <c r="D709" t="s">
        <v>178</v>
      </c>
      <c r="E709" t="s">
        <v>143</v>
      </c>
      <c r="F709" t="s">
        <v>144</v>
      </c>
      <c r="G709" t="s">
        <v>144</v>
      </c>
      <c r="H709" t="s">
        <v>144</v>
      </c>
      <c r="I709" t="s">
        <v>144</v>
      </c>
    </row>
    <row r="710" spans="4:9" x14ac:dyDescent="0.25">
      <c r="D710" t="s">
        <v>179</v>
      </c>
      <c r="E710">
        <v>1</v>
      </c>
      <c r="F710">
        <v>2</v>
      </c>
      <c r="G710">
        <v>3</v>
      </c>
      <c r="H710">
        <v>4</v>
      </c>
      <c r="I710">
        <v>5</v>
      </c>
    </row>
    <row r="711" spans="4:9" x14ac:dyDescent="0.25">
      <c r="D711" t="s">
        <v>180</v>
      </c>
      <c r="E711">
        <v>200</v>
      </c>
      <c r="F711">
        <v>200</v>
      </c>
      <c r="G711">
        <v>200</v>
      </c>
      <c r="H711">
        <v>200</v>
      </c>
      <c r="I711">
        <v>200</v>
      </c>
    </row>
    <row r="712" spans="4:9" x14ac:dyDescent="0.25">
      <c r="D712" t="s">
        <v>181</v>
      </c>
      <c r="E712">
        <v>0</v>
      </c>
      <c r="F712">
        <v>0</v>
      </c>
      <c r="G712">
        <v>0</v>
      </c>
      <c r="H712">
        <v>0</v>
      </c>
      <c r="I712">
        <v>0</v>
      </c>
    </row>
    <row r="713" spans="4:9" x14ac:dyDescent="0.25">
      <c r="D713" t="s">
        <v>182</v>
      </c>
      <c r="E713">
        <v>0</v>
      </c>
      <c r="F713">
        <v>0</v>
      </c>
      <c r="G713">
        <v>0</v>
      </c>
      <c r="H713">
        <v>0</v>
      </c>
      <c r="I713">
        <v>0</v>
      </c>
    </row>
    <row r="714" spans="4:9" x14ac:dyDescent="0.25">
      <c r="D714" t="s">
        <v>183</v>
      </c>
      <c r="E714" t="s">
        <v>184</v>
      </c>
      <c r="F714" t="s">
        <v>184</v>
      </c>
      <c r="G714" t="s">
        <v>184</v>
      </c>
      <c r="H714" t="s">
        <v>184</v>
      </c>
      <c r="I714" t="s">
        <v>184</v>
      </c>
    </row>
    <row r="715" spans="4:9" x14ac:dyDescent="0.25">
      <c r="D715" t="s">
        <v>277</v>
      </c>
    </row>
    <row r="717" spans="4:9" x14ac:dyDescent="0.25">
      <c r="D717" t="s">
        <v>158</v>
      </c>
    </row>
    <row r="718" spans="4:9" x14ac:dyDescent="0.25">
      <c r="D718" t="s">
        <v>159</v>
      </c>
    </row>
    <row r="719" spans="4:9" x14ac:dyDescent="0.25">
      <c r="D719" t="s">
        <v>160</v>
      </c>
      <c r="E719">
        <v>0</v>
      </c>
    </row>
    <row r="720" spans="4:9" x14ac:dyDescent="0.25">
      <c r="D720" t="s">
        <v>278</v>
      </c>
    </row>
    <row r="722" spans="2:5" x14ac:dyDescent="0.25">
      <c r="D722" t="s">
        <v>158</v>
      </c>
    </row>
    <row r="723" spans="2:5" x14ac:dyDescent="0.25">
      <c r="D723" t="s">
        <v>162</v>
      </c>
    </row>
    <row r="724" spans="2:5" x14ac:dyDescent="0.25">
      <c r="D724" t="s">
        <v>279</v>
      </c>
    </row>
    <row r="726" spans="2:5" x14ac:dyDescent="0.25">
      <c r="D726" t="s">
        <v>164</v>
      </c>
    </row>
    <row r="727" spans="2:5" x14ac:dyDescent="0.25">
      <c r="D727" t="s">
        <v>159</v>
      </c>
    </row>
    <row r="728" spans="2:5" x14ac:dyDescent="0.25">
      <c r="D728" t="s">
        <v>165</v>
      </c>
      <c r="E728">
        <v>350</v>
      </c>
    </row>
    <row r="729" spans="2:5" x14ac:dyDescent="0.25">
      <c r="D729" t="s">
        <v>160</v>
      </c>
      <c r="E729">
        <v>175</v>
      </c>
    </row>
    <row r="730" spans="2:5" x14ac:dyDescent="0.25">
      <c r="D730" t="s">
        <v>280</v>
      </c>
    </row>
    <row r="735" spans="2:5" x14ac:dyDescent="0.25">
      <c r="B735" t="s">
        <v>152</v>
      </c>
    </row>
    <row r="736" spans="2:5" x14ac:dyDescent="0.25">
      <c r="B736" t="s">
        <v>290</v>
      </c>
    </row>
    <row r="737" spans="2:9" x14ac:dyDescent="0.25">
      <c r="B737" t="s">
        <v>291</v>
      </c>
    </row>
    <row r="738" spans="2:9" x14ac:dyDescent="0.25">
      <c r="B738" t="s">
        <v>292</v>
      </c>
    </row>
    <row r="739" spans="2:9" x14ac:dyDescent="0.25">
      <c r="B739" t="s">
        <v>153</v>
      </c>
    </row>
    <row r="740" spans="2:9" x14ac:dyDescent="0.25">
      <c r="B740" t="s">
        <v>154</v>
      </c>
    </row>
    <row r="741" spans="2:9" x14ac:dyDescent="0.25">
      <c r="B741" t="s">
        <v>170</v>
      </c>
    </row>
    <row r="742" spans="2:9" x14ac:dyDescent="0.25">
      <c r="B742" t="s">
        <v>275</v>
      </c>
    </row>
    <row r="744" spans="2:9" x14ac:dyDescent="0.25">
      <c r="D744" t="s">
        <v>155</v>
      </c>
    </row>
    <row r="745" spans="2:9" x14ac:dyDescent="0.25">
      <c r="D745" t="s">
        <v>156</v>
      </c>
    </row>
    <row r="746" spans="2:9" x14ac:dyDescent="0.25">
      <c r="D746" t="s">
        <v>157</v>
      </c>
      <c r="E746" t="s">
        <v>293</v>
      </c>
    </row>
    <row r="747" spans="2:9" x14ac:dyDescent="0.25">
      <c r="D747" t="s">
        <v>285</v>
      </c>
    </row>
    <row r="748" spans="2:9" x14ac:dyDescent="0.25">
      <c r="C748" t="s">
        <v>151</v>
      </c>
    </row>
    <row r="750" spans="2:9" x14ac:dyDescent="0.25">
      <c r="D750" t="s">
        <v>173</v>
      </c>
    </row>
    <row r="751" spans="2:9" x14ac:dyDescent="0.25">
      <c r="D751" t="s">
        <v>174</v>
      </c>
    </row>
    <row r="752" spans="2:9" x14ac:dyDescent="0.25">
      <c r="D752" t="s">
        <v>175</v>
      </c>
      <c r="E752" t="s">
        <v>176</v>
      </c>
      <c r="F752" t="s">
        <v>176</v>
      </c>
      <c r="G752" t="s">
        <v>176</v>
      </c>
      <c r="H752" t="s">
        <v>176</v>
      </c>
      <c r="I752" t="s">
        <v>176</v>
      </c>
    </row>
    <row r="753" spans="4:9" x14ac:dyDescent="0.25">
      <c r="D753" t="s">
        <v>177</v>
      </c>
      <c r="E753">
        <v>1</v>
      </c>
      <c r="F753">
        <v>2</v>
      </c>
      <c r="G753">
        <v>3</v>
      </c>
      <c r="H753">
        <v>4</v>
      </c>
      <c r="I753">
        <v>5</v>
      </c>
    </row>
    <row r="754" spans="4:9" x14ac:dyDescent="0.25">
      <c r="D754" t="s">
        <v>178</v>
      </c>
      <c r="E754" t="s">
        <v>143</v>
      </c>
      <c r="F754" t="s">
        <v>144</v>
      </c>
      <c r="G754" t="s">
        <v>144</v>
      </c>
      <c r="H754" t="s">
        <v>144</v>
      </c>
      <c r="I754" t="s">
        <v>144</v>
      </c>
    </row>
    <row r="755" spans="4:9" x14ac:dyDescent="0.25">
      <c r="D755" t="s">
        <v>179</v>
      </c>
      <c r="E755">
        <v>1</v>
      </c>
      <c r="F755">
        <v>2</v>
      </c>
      <c r="G755">
        <v>3</v>
      </c>
      <c r="H755">
        <v>4</v>
      </c>
      <c r="I755">
        <v>5</v>
      </c>
    </row>
    <row r="756" spans="4:9" x14ac:dyDescent="0.25">
      <c r="D756" t="s">
        <v>180</v>
      </c>
      <c r="E756">
        <v>200</v>
      </c>
      <c r="F756">
        <v>200</v>
      </c>
      <c r="G756">
        <v>200</v>
      </c>
      <c r="H756">
        <v>200</v>
      </c>
      <c r="I756">
        <v>200</v>
      </c>
    </row>
    <row r="757" spans="4:9" x14ac:dyDescent="0.25">
      <c r="D757" t="s">
        <v>181</v>
      </c>
      <c r="E757">
        <v>0</v>
      </c>
      <c r="F757">
        <v>0</v>
      </c>
      <c r="G757">
        <v>0</v>
      </c>
      <c r="H757">
        <v>0</v>
      </c>
      <c r="I757">
        <v>0</v>
      </c>
    </row>
    <row r="758" spans="4:9" x14ac:dyDescent="0.25">
      <c r="D758" t="s">
        <v>182</v>
      </c>
      <c r="E758">
        <v>0</v>
      </c>
      <c r="F758">
        <v>0</v>
      </c>
      <c r="G758">
        <v>0</v>
      </c>
      <c r="H758">
        <v>0</v>
      </c>
      <c r="I758">
        <v>0</v>
      </c>
    </row>
    <row r="759" spans="4:9" x14ac:dyDescent="0.25">
      <c r="D759" t="s">
        <v>183</v>
      </c>
      <c r="E759" t="s">
        <v>184</v>
      </c>
      <c r="F759" t="s">
        <v>184</v>
      </c>
      <c r="G759" t="s">
        <v>184</v>
      </c>
      <c r="H759" t="s">
        <v>184</v>
      </c>
      <c r="I759" t="s">
        <v>184</v>
      </c>
    </row>
    <row r="760" spans="4:9" x14ac:dyDescent="0.25">
      <c r="D760" t="s">
        <v>286</v>
      </c>
    </row>
    <row r="762" spans="4:9" x14ac:dyDescent="0.25">
      <c r="D762" t="s">
        <v>158</v>
      </c>
    </row>
    <row r="763" spans="4:9" x14ac:dyDescent="0.25">
      <c r="D763" t="s">
        <v>159</v>
      </c>
    </row>
    <row r="764" spans="4:9" x14ac:dyDescent="0.25">
      <c r="D764" t="s">
        <v>160</v>
      </c>
      <c r="E764">
        <v>0</v>
      </c>
    </row>
    <row r="765" spans="4:9" x14ac:dyDescent="0.25">
      <c r="D765" t="s">
        <v>287</v>
      </c>
    </row>
    <row r="767" spans="4:9" x14ac:dyDescent="0.25">
      <c r="D767" t="s">
        <v>158</v>
      </c>
    </row>
    <row r="768" spans="4:9" x14ac:dyDescent="0.25">
      <c r="D768" t="s">
        <v>162</v>
      </c>
    </row>
    <row r="769" spans="2:5" x14ac:dyDescent="0.25">
      <c r="D769" t="s">
        <v>288</v>
      </c>
    </row>
    <row r="771" spans="2:5" x14ac:dyDescent="0.25">
      <c r="D771" t="s">
        <v>164</v>
      </c>
    </row>
    <row r="772" spans="2:5" x14ac:dyDescent="0.25">
      <c r="D772" t="s">
        <v>159</v>
      </c>
    </row>
    <row r="773" spans="2:5" x14ac:dyDescent="0.25">
      <c r="D773" t="s">
        <v>165</v>
      </c>
      <c r="E773">
        <v>350</v>
      </c>
    </row>
    <row r="774" spans="2:5" x14ac:dyDescent="0.25">
      <c r="D774" t="s">
        <v>160</v>
      </c>
      <c r="E774">
        <v>175</v>
      </c>
    </row>
    <row r="775" spans="2:5" x14ac:dyDescent="0.25">
      <c r="D775" t="s">
        <v>289</v>
      </c>
    </row>
    <row r="780" spans="2:5" x14ac:dyDescent="0.25">
      <c r="B780" t="s">
        <v>295</v>
      </c>
    </row>
    <row r="781" spans="2:5" x14ac:dyDescent="0.25">
      <c r="B781" t="s">
        <v>296</v>
      </c>
    </row>
    <row r="782" spans="2:5" x14ac:dyDescent="0.25">
      <c r="B782" t="s">
        <v>297</v>
      </c>
    </row>
    <row r="783" spans="2:5" x14ac:dyDescent="0.25">
      <c r="B783" t="s">
        <v>298</v>
      </c>
    </row>
    <row r="784" spans="2:5" x14ac:dyDescent="0.25">
      <c r="B784" t="s">
        <v>299</v>
      </c>
    </row>
    <row r="786" spans="2:5" x14ac:dyDescent="0.25">
      <c r="C786" t="s">
        <v>151</v>
      </c>
    </row>
    <row r="788" spans="2:5" x14ac:dyDescent="0.25">
      <c r="D788" t="s">
        <v>300</v>
      </c>
    </row>
    <row r="789" spans="2:5" x14ac:dyDescent="0.25">
      <c r="D789" t="s">
        <v>301</v>
      </c>
    </row>
    <row r="790" spans="2:5" x14ac:dyDescent="0.25">
      <c r="D790" t="s">
        <v>162</v>
      </c>
      <c r="E790" t="s">
        <v>39</v>
      </c>
    </row>
    <row r="791" spans="2:5" x14ac:dyDescent="0.25">
      <c r="D791" t="s">
        <v>302</v>
      </c>
      <c r="E791" t="s">
        <v>127</v>
      </c>
    </row>
    <row r="792" spans="2:5" x14ac:dyDescent="0.25">
      <c r="D792" t="s">
        <v>157</v>
      </c>
      <c r="E792" t="s">
        <v>128</v>
      </c>
    </row>
    <row r="793" spans="2:5" x14ac:dyDescent="0.25">
      <c r="D793" t="s">
        <v>294</v>
      </c>
    </row>
    <row r="798" spans="2:5" x14ac:dyDescent="0.25">
      <c r="B798" t="s">
        <v>303</v>
      </c>
    </row>
    <row r="799" spans="2:5" x14ac:dyDescent="0.25">
      <c r="B799" t="s">
        <v>304</v>
      </c>
    </row>
    <row r="801" spans="3:3" x14ac:dyDescent="0.25">
      <c r="C801" t="s">
        <v>305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6:J1081"/>
  <sheetViews>
    <sheetView workbookViewId="0">
      <selection activeCell="H30" sqref="H30"/>
    </sheetView>
  </sheetViews>
  <sheetFormatPr defaultRowHeight="15" x14ac:dyDescent="0.25"/>
  <sheetData>
    <row r="6" spans="2:3" x14ac:dyDescent="0.25">
      <c r="B6" t="s">
        <v>147</v>
      </c>
    </row>
    <row r="7" spans="2:3" x14ac:dyDescent="0.25">
      <c r="B7" t="s">
        <v>148</v>
      </c>
    </row>
    <row r="8" spans="2:3" x14ac:dyDescent="0.25">
      <c r="B8" t="s">
        <v>149</v>
      </c>
    </row>
    <row r="9" spans="2:3" x14ac:dyDescent="0.25">
      <c r="B9" t="s">
        <v>150</v>
      </c>
    </row>
    <row r="11" spans="2:3" x14ac:dyDescent="0.25">
      <c r="C11" t="s">
        <v>151</v>
      </c>
    </row>
    <row r="16" spans="2:3" x14ac:dyDescent="0.25">
      <c r="B16" t="s">
        <v>152</v>
      </c>
    </row>
    <row r="17" spans="2:5" x14ac:dyDescent="0.25">
      <c r="B17" t="s">
        <v>167</v>
      </c>
    </row>
    <row r="18" spans="2:5" x14ac:dyDescent="0.25">
      <c r="B18" t="s">
        <v>168</v>
      </c>
    </row>
    <row r="19" spans="2:5" x14ac:dyDescent="0.25">
      <c r="B19" t="s">
        <v>169</v>
      </c>
    </row>
    <row r="20" spans="2:5" x14ac:dyDescent="0.25">
      <c r="B20" t="s">
        <v>153</v>
      </c>
    </row>
    <row r="21" spans="2:5" x14ac:dyDescent="0.25">
      <c r="B21" t="s">
        <v>154</v>
      </c>
    </row>
    <row r="22" spans="2:5" x14ac:dyDescent="0.25">
      <c r="B22" t="s">
        <v>170</v>
      </c>
    </row>
    <row r="23" spans="2:5" x14ac:dyDescent="0.25">
      <c r="B23" t="s">
        <v>171</v>
      </c>
    </row>
    <row r="25" spans="2:5" x14ac:dyDescent="0.25">
      <c r="D25" t="s">
        <v>306</v>
      </c>
    </row>
    <row r="26" spans="2:5" x14ac:dyDescent="0.25">
      <c r="D26" t="s">
        <v>307</v>
      </c>
    </row>
    <row r="27" spans="2:5" x14ac:dyDescent="0.25">
      <c r="D27" t="s">
        <v>178</v>
      </c>
      <c r="E27" t="s">
        <v>308</v>
      </c>
    </row>
    <row r="28" spans="2:5" x14ac:dyDescent="0.25">
      <c r="D28" t="s">
        <v>175</v>
      </c>
      <c r="E28" t="s">
        <v>309</v>
      </c>
    </row>
    <row r="29" spans="2:5" x14ac:dyDescent="0.25">
      <c r="D29" t="s">
        <v>310</v>
      </c>
      <c r="E29">
        <v>85</v>
      </c>
    </row>
    <row r="30" spans="2:5" x14ac:dyDescent="0.25">
      <c r="D30" t="s">
        <v>311</v>
      </c>
      <c r="E30">
        <v>73</v>
      </c>
    </row>
    <row r="31" spans="2:5" x14ac:dyDescent="0.25">
      <c r="D31" t="s">
        <v>312</v>
      </c>
      <c r="E31">
        <v>10</v>
      </c>
    </row>
    <row r="32" spans="2:5" x14ac:dyDescent="0.25">
      <c r="D32" t="s">
        <v>313</v>
      </c>
      <c r="E32">
        <v>0</v>
      </c>
    </row>
    <row r="33" spans="3:5" x14ac:dyDescent="0.25">
      <c r="D33" t="s">
        <v>314</v>
      </c>
      <c r="E33">
        <v>0</v>
      </c>
    </row>
    <row r="34" spans="3:5" x14ac:dyDescent="0.25">
      <c r="D34" t="s">
        <v>315</v>
      </c>
    </row>
    <row r="36" spans="3:5" x14ac:dyDescent="0.25">
      <c r="D36" t="s">
        <v>306</v>
      </c>
    </row>
    <row r="37" spans="3:5" x14ac:dyDescent="0.25">
      <c r="D37" t="s">
        <v>307</v>
      </c>
    </row>
    <row r="38" spans="3:5" x14ac:dyDescent="0.25">
      <c r="D38" t="s">
        <v>178</v>
      </c>
      <c r="E38" t="s">
        <v>316</v>
      </c>
    </row>
    <row r="39" spans="3:5" x14ac:dyDescent="0.25">
      <c r="D39" t="s">
        <v>175</v>
      </c>
      <c r="E39" t="s">
        <v>317</v>
      </c>
    </row>
    <row r="40" spans="3:5" x14ac:dyDescent="0.25">
      <c r="D40" t="s">
        <v>310</v>
      </c>
      <c r="E40">
        <v>97</v>
      </c>
    </row>
    <row r="41" spans="3:5" x14ac:dyDescent="0.25">
      <c r="D41" t="s">
        <v>311</v>
      </c>
      <c r="E41">
        <v>89</v>
      </c>
    </row>
    <row r="42" spans="3:5" x14ac:dyDescent="0.25">
      <c r="D42" t="s">
        <v>312</v>
      </c>
      <c r="E42">
        <v>4</v>
      </c>
    </row>
    <row r="43" spans="3:5" x14ac:dyDescent="0.25">
      <c r="D43" t="s">
        <v>313</v>
      </c>
      <c r="E43">
        <v>1</v>
      </c>
    </row>
    <row r="44" spans="3:5" x14ac:dyDescent="0.25">
      <c r="D44" t="s">
        <v>314</v>
      </c>
      <c r="E44">
        <v>0</v>
      </c>
    </row>
    <row r="45" spans="3:5" x14ac:dyDescent="0.25">
      <c r="D45" t="s">
        <v>161</v>
      </c>
    </row>
    <row r="47" spans="3:5" x14ac:dyDescent="0.25">
      <c r="C47" t="s">
        <v>151</v>
      </c>
    </row>
    <row r="49" spans="4:10" x14ac:dyDescent="0.25">
      <c r="D49" t="s">
        <v>173</v>
      </c>
    </row>
    <row r="50" spans="4:10" x14ac:dyDescent="0.25">
      <c r="D50" t="s">
        <v>174</v>
      </c>
    </row>
    <row r="51" spans="4:10" x14ac:dyDescent="0.25">
      <c r="D51" t="s">
        <v>175</v>
      </c>
      <c r="E51" t="s">
        <v>176</v>
      </c>
      <c r="F51" t="s">
        <v>176</v>
      </c>
      <c r="G51" t="s">
        <v>176</v>
      </c>
      <c r="H51" t="s">
        <v>176</v>
      </c>
      <c r="I51" t="s">
        <v>176</v>
      </c>
      <c r="J51" t="s">
        <v>176</v>
      </c>
    </row>
    <row r="52" spans="4:10" x14ac:dyDescent="0.25">
      <c r="D52" t="s">
        <v>177</v>
      </c>
      <c r="E52">
        <v>7</v>
      </c>
      <c r="F52">
        <v>15</v>
      </c>
      <c r="G52">
        <v>23</v>
      </c>
      <c r="H52">
        <v>31</v>
      </c>
      <c r="I52">
        <v>94</v>
      </c>
      <c r="J52">
        <v>96</v>
      </c>
    </row>
    <row r="53" spans="4:10" x14ac:dyDescent="0.25">
      <c r="D53" t="s">
        <v>178</v>
      </c>
      <c r="E53" t="s">
        <v>345</v>
      </c>
      <c r="F53" t="s">
        <v>345</v>
      </c>
      <c r="G53" t="s">
        <v>345</v>
      </c>
      <c r="H53" t="s">
        <v>345</v>
      </c>
      <c r="I53" t="s">
        <v>345</v>
      </c>
      <c r="J53" t="s">
        <v>345</v>
      </c>
    </row>
    <row r="54" spans="4:10" x14ac:dyDescent="0.25">
      <c r="D54" t="s">
        <v>179</v>
      </c>
      <c r="E54">
        <v>7</v>
      </c>
      <c r="F54">
        <v>15</v>
      </c>
      <c r="G54">
        <v>23</v>
      </c>
      <c r="H54">
        <v>31</v>
      </c>
      <c r="I54">
        <v>94</v>
      </c>
      <c r="J54">
        <v>96</v>
      </c>
    </row>
    <row r="55" spans="4:10" x14ac:dyDescent="0.25">
      <c r="D55" t="s">
        <v>180</v>
      </c>
      <c r="E55">
        <v>600</v>
      </c>
      <c r="F55">
        <v>600</v>
      </c>
      <c r="G55">
        <v>600</v>
      </c>
      <c r="H55">
        <v>600</v>
      </c>
      <c r="I55">
        <v>600</v>
      </c>
      <c r="J55">
        <v>600</v>
      </c>
    </row>
    <row r="56" spans="4:10" x14ac:dyDescent="0.25">
      <c r="D56" t="s">
        <v>181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4:10" x14ac:dyDescent="0.25">
      <c r="D57" t="s">
        <v>182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4:10" x14ac:dyDescent="0.25">
      <c r="D58" t="s">
        <v>183</v>
      </c>
      <c r="E58" t="s">
        <v>184</v>
      </c>
      <c r="F58" t="s">
        <v>184</v>
      </c>
      <c r="G58" t="s">
        <v>184</v>
      </c>
      <c r="H58" t="s">
        <v>184</v>
      </c>
      <c r="I58" t="s">
        <v>184</v>
      </c>
      <c r="J58" t="s">
        <v>184</v>
      </c>
    </row>
    <row r="59" spans="4:10" x14ac:dyDescent="0.25">
      <c r="D59" t="s">
        <v>163</v>
      </c>
    </row>
    <row r="61" spans="4:10" x14ac:dyDescent="0.25">
      <c r="D61" t="s">
        <v>158</v>
      </c>
    </row>
    <row r="62" spans="4:10" x14ac:dyDescent="0.25">
      <c r="D62" t="s">
        <v>159</v>
      </c>
    </row>
    <row r="63" spans="4:10" x14ac:dyDescent="0.25">
      <c r="D63" t="s">
        <v>160</v>
      </c>
      <c r="E63">
        <v>0</v>
      </c>
    </row>
    <row r="64" spans="4:10" x14ac:dyDescent="0.25">
      <c r="D64" t="s">
        <v>166</v>
      </c>
    </row>
    <row r="66" spans="2:5" x14ac:dyDescent="0.25">
      <c r="D66" t="s">
        <v>158</v>
      </c>
    </row>
    <row r="67" spans="2:5" x14ac:dyDescent="0.25">
      <c r="D67" t="s">
        <v>162</v>
      </c>
    </row>
    <row r="68" spans="2:5" x14ac:dyDescent="0.25">
      <c r="D68" t="s">
        <v>318</v>
      </c>
    </row>
    <row r="70" spans="2:5" x14ac:dyDescent="0.25">
      <c r="D70" t="s">
        <v>164</v>
      </c>
    </row>
    <row r="71" spans="2:5" x14ac:dyDescent="0.25">
      <c r="D71" t="s">
        <v>159</v>
      </c>
    </row>
    <row r="72" spans="2:5" x14ac:dyDescent="0.25">
      <c r="D72" t="s">
        <v>165</v>
      </c>
      <c r="E72">
        <v>175</v>
      </c>
    </row>
    <row r="73" spans="2:5" x14ac:dyDescent="0.25">
      <c r="D73" t="s">
        <v>160</v>
      </c>
      <c r="E73">
        <v>525</v>
      </c>
    </row>
    <row r="74" spans="2:5" x14ac:dyDescent="0.25">
      <c r="D74" t="s">
        <v>346</v>
      </c>
    </row>
    <row r="79" spans="2:5" x14ac:dyDescent="0.25">
      <c r="B79" t="s">
        <v>152</v>
      </c>
    </row>
    <row r="80" spans="2:5" x14ac:dyDescent="0.25">
      <c r="B80" t="s">
        <v>189</v>
      </c>
    </row>
    <row r="81" spans="2:10" x14ac:dyDescent="0.25">
      <c r="B81" t="s">
        <v>190</v>
      </c>
    </row>
    <row r="82" spans="2:10" x14ac:dyDescent="0.25">
      <c r="B82" t="s">
        <v>191</v>
      </c>
    </row>
    <row r="83" spans="2:10" x14ac:dyDescent="0.25">
      <c r="B83" t="s">
        <v>153</v>
      </c>
    </row>
    <row r="84" spans="2:10" x14ac:dyDescent="0.25">
      <c r="B84" t="s">
        <v>154</v>
      </c>
    </row>
    <row r="85" spans="2:10" x14ac:dyDescent="0.25">
      <c r="B85" t="s">
        <v>170</v>
      </c>
    </row>
    <row r="86" spans="2:10" x14ac:dyDescent="0.25">
      <c r="B86" t="s">
        <v>171</v>
      </c>
    </row>
    <row r="88" spans="2:10" x14ac:dyDescent="0.25">
      <c r="D88" t="s">
        <v>155</v>
      </c>
    </row>
    <row r="89" spans="2:10" x14ac:dyDescent="0.25">
      <c r="D89" t="s">
        <v>156</v>
      </c>
    </row>
    <row r="90" spans="2:10" x14ac:dyDescent="0.25">
      <c r="D90" t="s">
        <v>157</v>
      </c>
      <c r="E90" t="s">
        <v>192</v>
      </c>
    </row>
    <row r="91" spans="2:10" x14ac:dyDescent="0.25">
      <c r="D91" t="s">
        <v>172</v>
      </c>
    </row>
    <row r="92" spans="2:10" x14ac:dyDescent="0.25">
      <c r="C92" t="s">
        <v>151</v>
      </c>
    </row>
    <row r="94" spans="2:10" x14ac:dyDescent="0.25">
      <c r="D94" t="s">
        <v>173</v>
      </c>
    </row>
    <row r="95" spans="2:10" x14ac:dyDescent="0.25">
      <c r="D95" t="s">
        <v>174</v>
      </c>
    </row>
    <row r="96" spans="2:10" x14ac:dyDescent="0.25">
      <c r="D96" t="s">
        <v>175</v>
      </c>
      <c r="E96" t="s">
        <v>176</v>
      </c>
      <c r="F96" t="s">
        <v>176</v>
      </c>
      <c r="G96" t="s">
        <v>176</v>
      </c>
      <c r="H96" t="s">
        <v>176</v>
      </c>
      <c r="I96" t="s">
        <v>176</v>
      </c>
      <c r="J96" t="s">
        <v>176</v>
      </c>
    </row>
    <row r="97" spans="4:10" x14ac:dyDescent="0.25">
      <c r="D97" t="s">
        <v>177</v>
      </c>
      <c r="E97">
        <v>7</v>
      </c>
      <c r="F97">
        <v>15</v>
      </c>
      <c r="G97">
        <v>23</v>
      </c>
      <c r="H97">
        <v>31</v>
      </c>
      <c r="I97">
        <v>94</v>
      </c>
      <c r="J97">
        <v>96</v>
      </c>
    </row>
    <row r="98" spans="4:10" x14ac:dyDescent="0.25">
      <c r="D98" t="s">
        <v>178</v>
      </c>
      <c r="E98" t="s">
        <v>345</v>
      </c>
      <c r="F98" t="s">
        <v>345</v>
      </c>
      <c r="G98" t="s">
        <v>345</v>
      </c>
      <c r="H98" t="s">
        <v>345</v>
      </c>
      <c r="I98" t="s">
        <v>345</v>
      </c>
      <c r="J98" t="s">
        <v>345</v>
      </c>
    </row>
    <row r="99" spans="4:10" x14ac:dyDescent="0.25">
      <c r="D99" t="s">
        <v>179</v>
      </c>
      <c r="E99">
        <v>7</v>
      </c>
      <c r="F99">
        <v>15</v>
      </c>
      <c r="G99">
        <v>23</v>
      </c>
      <c r="H99">
        <v>31</v>
      </c>
      <c r="I99">
        <v>94</v>
      </c>
      <c r="J99">
        <v>96</v>
      </c>
    </row>
    <row r="100" spans="4:10" x14ac:dyDescent="0.25">
      <c r="D100" t="s">
        <v>180</v>
      </c>
      <c r="E100">
        <v>600</v>
      </c>
      <c r="F100">
        <v>600</v>
      </c>
      <c r="G100">
        <v>600</v>
      </c>
      <c r="H100">
        <v>600</v>
      </c>
      <c r="I100">
        <v>600</v>
      </c>
      <c r="J100">
        <v>600</v>
      </c>
    </row>
    <row r="101" spans="4:10" x14ac:dyDescent="0.25">
      <c r="D101" t="s">
        <v>181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</row>
    <row r="102" spans="4:10" x14ac:dyDescent="0.25">
      <c r="D102" t="s">
        <v>182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</row>
    <row r="103" spans="4:10" x14ac:dyDescent="0.25">
      <c r="D103" t="s">
        <v>183</v>
      </c>
      <c r="E103" t="s">
        <v>184</v>
      </c>
      <c r="F103" t="s">
        <v>184</v>
      </c>
      <c r="G103" t="s">
        <v>184</v>
      </c>
      <c r="H103" t="s">
        <v>184</v>
      </c>
      <c r="I103" t="s">
        <v>184</v>
      </c>
      <c r="J103" t="s">
        <v>184</v>
      </c>
    </row>
    <row r="104" spans="4:10" x14ac:dyDescent="0.25">
      <c r="D104" t="s">
        <v>185</v>
      </c>
    </row>
    <row r="106" spans="4:10" x14ac:dyDescent="0.25">
      <c r="D106" t="s">
        <v>158</v>
      </c>
    </row>
    <row r="107" spans="4:10" x14ac:dyDescent="0.25">
      <c r="D107" t="s">
        <v>159</v>
      </c>
    </row>
    <row r="108" spans="4:10" x14ac:dyDescent="0.25">
      <c r="D108" t="s">
        <v>160</v>
      </c>
      <c r="E108">
        <v>0</v>
      </c>
    </row>
    <row r="109" spans="4:10" x14ac:dyDescent="0.25">
      <c r="D109" t="s">
        <v>186</v>
      </c>
    </row>
    <row r="111" spans="4:10" x14ac:dyDescent="0.25">
      <c r="D111" t="s">
        <v>158</v>
      </c>
    </row>
    <row r="112" spans="4:10" x14ac:dyDescent="0.25">
      <c r="D112" t="s">
        <v>162</v>
      </c>
    </row>
    <row r="113" spans="4:5" x14ac:dyDescent="0.25">
      <c r="D113" t="s">
        <v>187</v>
      </c>
    </row>
    <row r="115" spans="4:5" x14ac:dyDescent="0.25">
      <c r="D115" t="s">
        <v>164</v>
      </c>
    </row>
    <row r="116" spans="4:5" x14ac:dyDescent="0.25">
      <c r="D116" t="s">
        <v>159</v>
      </c>
    </row>
    <row r="117" spans="4:5" x14ac:dyDescent="0.25">
      <c r="D117" t="s">
        <v>165</v>
      </c>
      <c r="E117">
        <v>175</v>
      </c>
    </row>
    <row r="118" spans="4:5" x14ac:dyDescent="0.25">
      <c r="D118" t="s">
        <v>160</v>
      </c>
      <c r="E118">
        <v>525</v>
      </c>
    </row>
    <row r="119" spans="4:5" x14ac:dyDescent="0.25">
      <c r="D119" t="s">
        <v>188</v>
      </c>
    </row>
    <row r="121" spans="4:5" x14ac:dyDescent="0.25">
      <c r="D121" t="s">
        <v>306</v>
      </c>
    </row>
    <row r="122" spans="4:5" x14ac:dyDescent="0.25">
      <c r="D122" t="s">
        <v>307</v>
      </c>
    </row>
    <row r="123" spans="4:5" x14ac:dyDescent="0.25">
      <c r="D123" t="s">
        <v>178</v>
      </c>
      <c r="E123" t="s">
        <v>317</v>
      </c>
    </row>
    <row r="124" spans="4:5" x14ac:dyDescent="0.25">
      <c r="D124" t="s">
        <v>175</v>
      </c>
      <c r="E124" t="s">
        <v>316</v>
      </c>
    </row>
    <row r="125" spans="4:5" x14ac:dyDescent="0.25">
      <c r="D125" t="s">
        <v>310</v>
      </c>
      <c r="E125">
        <v>97</v>
      </c>
    </row>
    <row r="126" spans="4:5" x14ac:dyDescent="0.25">
      <c r="D126" t="s">
        <v>311</v>
      </c>
      <c r="E126">
        <v>89</v>
      </c>
    </row>
    <row r="127" spans="4:5" x14ac:dyDescent="0.25">
      <c r="D127" t="s">
        <v>312</v>
      </c>
      <c r="E127">
        <v>4</v>
      </c>
    </row>
    <row r="128" spans="4:5" x14ac:dyDescent="0.25">
      <c r="D128" t="s">
        <v>313</v>
      </c>
      <c r="E128">
        <v>0</v>
      </c>
    </row>
    <row r="129" spans="4:5" x14ac:dyDescent="0.25">
      <c r="D129" t="s">
        <v>314</v>
      </c>
      <c r="E129">
        <v>0</v>
      </c>
    </row>
    <row r="130" spans="4:5" x14ac:dyDescent="0.25">
      <c r="D130" t="s">
        <v>347</v>
      </c>
    </row>
    <row r="132" spans="4:5" x14ac:dyDescent="0.25">
      <c r="D132" t="s">
        <v>306</v>
      </c>
    </row>
    <row r="133" spans="4:5" x14ac:dyDescent="0.25">
      <c r="D133" t="s">
        <v>307</v>
      </c>
    </row>
    <row r="134" spans="4:5" x14ac:dyDescent="0.25">
      <c r="D134" t="s">
        <v>178</v>
      </c>
      <c r="E134" t="s">
        <v>309</v>
      </c>
    </row>
    <row r="135" spans="4:5" x14ac:dyDescent="0.25">
      <c r="D135" t="s">
        <v>175</v>
      </c>
      <c r="E135" t="s">
        <v>308</v>
      </c>
    </row>
    <row r="136" spans="4:5" x14ac:dyDescent="0.25">
      <c r="D136" t="s">
        <v>310</v>
      </c>
      <c r="E136">
        <v>85</v>
      </c>
    </row>
    <row r="137" spans="4:5" x14ac:dyDescent="0.25">
      <c r="D137" t="s">
        <v>311</v>
      </c>
      <c r="E137">
        <v>73</v>
      </c>
    </row>
    <row r="138" spans="4:5" x14ac:dyDescent="0.25">
      <c r="D138" t="s">
        <v>312</v>
      </c>
      <c r="E138">
        <v>10</v>
      </c>
    </row>
    <row r="139" spans="4:5" x14ac:dyDescent="0.25">
      <c r="D139" t="s">
        <v>313</v>
      </c>
      <c r="E139">
        <v>1</v>
      </c>
    </row>
    <row r="140" spans="4:5" x14ac:dyDescent="0.25">
      <c r="D140" t="s">
        <v>314</v>
      </c>
      <c r="E140">
        <v>1</v>
      </c>
    </row>
    <row r="141" spans="4:5" x14ac:dyDescent="0.25">
      <c r="D141" t="s">
        <v>348</v>
      </c>
    </row>
    <row r="146" spans="2:3" x14ac:dyDescent="0.25">
      <c r="B146" t="s">
        <v>147</v>
      </c>
    </row>
    <row r="147" spans="2:3" x14ac:dyDescent="0.25">
      <c r="B147" t="s">
        <v>193</v>
      </c>
    </row>
    <row r="148" spans="2:3" x14ac:dyDescent="0.25">
      <c r="B148" t="s">
        <v>194</v>
      </c>
    </row>
    <row r="149" spans="2:3" x14ac:dyDescent="0.25">
      <c r="B149" t="s">
        <v>150</v>
      </c>
    </row>
    <row r="151" spans="2:3" x14ac:dyDescent="0.25">
      <c r="C151" t="s">
        <v>151</v>
      </c>
    </row>
    <row r="156" spans="2:3" x14ac:dyDescent="0.25">
      <c r="B156" t="s">
        <v>152</v>
      </c>
    </row>
    <row r="157" spans="2:3" x14ac:dyDescent="0.25">
      <c r="B157" t="s">
        <v>195</v>
      </c>
    </row>
    <row r="158" spans="2:3" x14ac:dyDescent="0.25">
      <c r="B158" t="s">
        <v>196</v>
      </c>
    </row>
    <row r="159" spans="2:3" x14ac:dyDescent="0.25">
      <c r="B159" t="s">
        <v>197</v>
      </c>
    </row>
    <row r="160" spans="2:3" x14ac:dyDescent="0.25">
      <c r="B160" t="s">
        <v>153</v>
      </c>
    </row>
    <row r="161" spans="2:5" x14ac:dyDescent="0.25">
      <c r="B161" t="s">
        <v>154</v>
      </c>
    </row>
    <row r="162" spans="2:5" x14ac:dyDescent="0.25">
      <c r="B162" t="s">
        <v>170</v>
      </c>
    </row>
    <row r="163" spans="2:5" x14ac:dyDescent="0.25">
      <c r="B163" t="s">
        <v>198</v>
      </c>
    </row>
    <row r="165" spans="2:5" x14ac:dyDescent="0.25">
      <c r="D165" t="s">
        <v>306</v>
      </c>
    </row>
    <row r="166" spans="2:5" x14ac:dyDescent="0.25">
      <c r="D166" t="s">
        <v>307</v>
      </c>
    </row>
    <row r="167" spans="2:5" x14ac:dyDescent="0.25">
      <c r="D167" t="s">
        <v>178</v>
      </c>
      <c r="E167" t="s">
        <v>349</v>
      </c>
    </row>
    <row r="168" spans="2:5" x14ac:dyDescent="0.25">
      <c r="D168" t="s">
        <v>175</v>
      </c>
      <c r="E168" t="s">
        <v>309</v>
      </c>
    </row>
    <row r="169" spans="2:5" x14ac:dyDescent="0.25">
      <c r="D169" t="s">
        <v>310</v>
      </c>
      <c r="E169">
        <v>85</v>
      </c>
    </row>
    <row r="170" spans="2:5" x14ac:dyDescent="0.25">
      <c r="D170" t="s">
        <v>311</v>
      </c>
      <c r="E170">
        <v>73</v>
      </c>
    </row>
    <row r="171" spans="2:5" x14ac:dyDescent="0.25">
      <c r="D171" t="s">
        <v>312</v>
      </c>
      <c r="E171">
        <v>10</v>
      </c>
    </row>
    <row r="172" spans="2:5" x14ac:dyDescent="0.25">
      <c r="D172" t="s">
        <v>313</v>
      </c>
      <c r="E172">
        <v>0</v>
      </c>
    </row>
    <row r="173" spans="2:5" x14ac:dyDescent="0.25">
      <c r="D173" t="s">
        <v>314</v>
      </c>
      <c r="E173">
        <v>0</v>
      </c>
    </row>
    <row r="174" spans="2:5" x14ac:dyDescent="0.25">
      <c r="D174" t="s">
        <v>320</v>
      </c>
    </row>
    <row r="176" spans="2:5" x14ac:dyDescent="0.25">
      <c r="D176" t="s">
        <v>306</v>
      </c>
    </row>
    <row r="177" spans="3:10" x14ac:dyDescent="0.25">
      <c r="D177" t="s">
        <v>307</v>
      </c>
    </row>
    <row r="178" spans="3:10" x14ac:dyDescent="0.25">
      <c r="D178" t="s">
        <v>178</v>
      </c>
      <c r="E178" t="s">
        <v>316</v>
      </c>
    </row>
    <row r="179" spans="3:10" x14ac:dyDescent="0.25">
      <c r="D179" t="s">
        <v>175</v>
      </c>
      <c r="E179" t="s">
        <v>317</v>
      </c>
    </row>
    <row r="180" spans="3:10" x14ac:dyDescent="0.25">
      <c r="D180" t="s">
        <v>310</v>
      </c>
      <c r="E180">
        <v>97</v>
      </c>
    </row>
    <row r="181" spans="3:10" x14ac:dyDescent="0.25">
      <c r="D181" t="s">
        <v>311</v>
      </c>
      <c r="E181">
        <v>89</v>
      </c>
    </row>
    <row r="182" spans="3:10" x14ac:dyDescent="0.25">
      <c r="D182" t="s">
        <v>312</v>
      </c>
      <c r="E182">
        <v>4</v>
      </c>
    </row>
    <row r="183" spans="3:10" x14ac:dyDescent="0.25">
      <c r="D183" t="s">
        <v>313</v>
      </c>
      <c r="E183">
        <v>1</v>
      </c>
    </row>
    <row r="184" spans="3:10" x14ac:dyDescent="0.25">
      <c r="D184" t="s">
        <v>314</v>
      </c>
      <c r="E184">
        <v>0</v>
      </c>
    </row>
    <row r="185" spans="3:10" x14ac:dyDescent="0.25">
      <c r="D185" t="s">
        <v>321</v>
      </c>
    </row>
    <row r="187" spans="3:10" x14ac:dyDescent="0.25">
      <c r="C187" t="s">
        <v>151</v>
      </c>
    </row>
    <row r="189" spans="3:10" x14ac:dyDescent="0.25">
      <c r="D189" t="s">
        <v>173</v>
      </c>
    </row>
    <row r="190" spans="3:10" x14ac:dyDescent="0.25">
      <c r="D190" t="s">
        <v>174</v>
      </c>
    </row>
    <row r="191" spans="3:10" x14ac:dyDescent="0.25">
      <c r="D191" t="s">
        <v>175</v>
      </c>
      <c r="E191" t="s">
        <v>176</v>
      </c>
      <c r="F191" t="s">
        <v>176</v>
      </c>
      <c r="G191" t="s">
        <v>176</v>
      </c>
      <c r="H191" t="s">
        <v>176</v>
      </c>
      <c r="I191" t="s">
        <v>176</v>
      </c>
      <c r="J191" t="s">
        <v>176</v>
      </c>
    </row>
    <row r="192" spans="3:10" x14ac:dyDescent="0.25">
      <c r="D192" t="s">
        <v>177</v>
      </c>
      <c r="E192">
        <v>7</v>
      </c>
      <c r="F192">
        <v>15</v>
      </c>
      <c r="G192">
        <v>23</v>
      </c>
      <c r="H192">
        <v>31</v>
      </c>
      <c r="I192">
        <v>94</v>
      </c>
      <c r="J192">
        <v>96</v>
      </c>
    </row>
    <row r="193" spans="4:10" x14ac:dyDescent="0.25">
      <c r="D193" t="s">
        <v>178</v>
      </c>
      <c r="E193" t="s">
        <v>350</v>
      </c>
      <c r="F193" t="s">
        <v>350</v>
      </c>
      <c r="G193" t="s">
        <v>350</v>
      </c>
      <c r="H193" t="s">
        <v>350</v>
      </c>
      <c r="I193" t="s">
        <v>350</v>
      </c>
      <c r="J193" t="s">
        <v>350</v>
      </c>
    </row>
    <row r="194" spans="4:10" x14ac:dyDescent="0.25">
      <c r="D194" t="s">
        <v>179</v>
      </c>
      <c r="E194">
        <v>7</v>
      </c>
      <c r="F194">
        <v>15</v>
      </c>
      <c r="G194">
        <v>23</v>
      </c>
      <c r="H194">
        <v>31</v>
      </c>
      <c r="I194">
        <v>94</v>
      </c>
      <c r="J194">
        <v>96</v>
      </c>
    </row>
    <row r="195" spans="4:10" x14ac:dyDescent="0.25">
      <c r="D195" t="s">
        <v>180</v>
      </c>
      <c r="E195">
        <v>857</v>
      </c>
      <c r="F195">
        <v>588</v>
      </c>
      <c r="G195">
        <v>1000</v>
      </c>
      <c r="H195">
        <v>641</v>
      </c>
      <c r="I195">
        <v>588</v>
      </c>
      <c r="J195">
        <v>641</v>
      </c>
    </row>
    <row r="196" spans="4:10" x14ac:dyDescent="0.25">
      <c r="D196" t="s">
        <v>181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4:10" x14ac:dyDescent="0.25">
      <c r="D197" t="s">
        <v>182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4:10" x14ac:dyDescent="0.25">
      <c r="D198" t="s">
        <v>183</v>
      </c>
      <c r="E198" t="s">
        <v>184</v>
      </c>
      <c r="F198" t="s">
        <v>184</v>
      </c>
      <c r="G198" t="s">
        <v>184</v>
      </c>
      <c r="H198" t="s">
        <v>184</v>
      </c>
      <c r="I198" t="s">
        <v>184</v>
      </c>
      <c r="J198" t="s">
        <v>184</v>
      </c>
    </row>
    <row r="199" spans="4:10" x14ac:dyDescent="0.25">
      <c r="D199" t="s">
        <v>322</v>
      </c>
    </row>
    <row r="201" spans="4:10" x14ac:dyDescent="0.25">
      <c r="D201" t="s">
        <v>158</v>
      </c>
    </row>
    <row r="202" spans="4:10" x14ac:dyDescent="0.25">
      <c r="D202" t="s">
        <v>159</v>
      </c>
    </row>
    <row r="203" spans="4:10" x14ac:dyDescent="0.25">
      <c r="D203" t="s">
        <v>160</v>
      </c>
      <c r="E203">
        <v>0</v>
      </c>
    </row>
    <row r="204" spans="4:10" x14ac:dyDescent="0.25">
      <c r="D204" t="s">
        <v>323</v>
      </c>
    </row>
    <row r="206" spans="4:10" x14ac:dyDescent="0.25">
      <c r="D206" t="s">
        <v>158</v>
      </c>
    </row>
    <row r="207" spans="4:10" x14ac:dyDescent="0.25">
      <c r="D207" t="s">
        <v>162</v>
      </c>
    </row>
    <row r="208" spans="4:10" x14ac:dyDescent="0.25">
      <c r="D208" t="s">
        <v>351</v>
      </c>
    </row>
    <row r="210" spans="4:5" x14ac:dyDescent="0.25">
      <c r="D210" t="s">
        <v>164</v>
      </c>
    </row>
    <row r="211" spans="4:5" x14ac:dyDescent="0.25">
      <c r="D211" t="s">
        <v>159</v>
      </c>
    </row>
    <row r="212" spans="4:5" x14ac:dyDescent="0.25">
      <c r="D212" t="s">
        <v>165</v>
      </c>
      <c r="E212">
        <v>175</v>
      </c>
    </row>
    <row r="213" spans="4:5" x14ac:dyDescent="0.25">
      <c r="D213" t="s">
        <v>160</v>
      </c>
      <c r="E213">
        <v>874.99999999999898</v>
      </c>
    </row>
    <row r="214" spans="4:5" x14ac:dyDescent="0.25">
      <c r="D214" t="s">
        <v>352</v>
      </c>
    </row>
    <row r="216" spans="4:5" x14ac:dyDescent="0.25">
      <c r="D216" t="s">
        <v>306</v>
      </c>
    </row>
    <row r="217" spans="4:5" x14ac:dyDescent="0.25">
      <c r="D217" t="s">
        <v>307</v>
      </c>
    </row>
    <row r="218" spans="4:5" x14ac:dyDescent="0.25">
      <c r="D218" t="s">
        <v>178</v>
      </c>
      <c r="E218" t="s">
        <v>317</v>
      </c>
    </row>
    <row r="219" spans="4:5" x14ac:dyDescent="0.25">
      <c r="D219" t="s">
        <v>175</v>
      </c>
      <c r="E219" t="s">
        <v>316</v>
      </c>
    </row>
    <row r="220" spans="4:5" x14ac:dyDescent="0.25">
      <c r="D220" t="s">
        <v>310</v>
      </c>
      <c r="E220">
        <v>97</v>
      </c>
    </row>
    <row r="221" spans="4:5" x14ac:dyDescent="0.25">
      <c r="D221" t="s">
        <v>311</v>
      </c>
      <c r="E221">
        <v>89</v>
      </c>
    </row>
    <row r="222" spans="4:5" x14ac:dyDescent="0.25">
      <c r="D222" t="s">
        <v>312</v>
      </c>
      <c r="E222">
        <v>4</v>
      </c>
    </row>
    <row r="223" spans="4:5" x14ac:dyDescent="0.25">
      <c r="D223" t="s">
        <v>313</v>
      </c>
      <c r="E223">
        <v>0</v>
      </c>
    </row>
    <row r="224" spans="4:5" x14ac:dyDescent="0.25">
      <c r="D224" t="s">
        <v>314</v>
      </c>
      <c r="E224">
        <v>0</v>
      </c>
    </row>
    <row r="225" spans="4:5" x14ac:dyDescent="0.25">
      <c r="D225" t="s">
        <v>353</v>
      </c>
    </row>
    <row r="227" spans="4:5" x14ac:dyDescent="0.25">
      <c r="D227" t="s">
        <v>306</v>
      </c>
    </row>
    <row r="228" spans="4:5" x14ac:dyDescent="0.25">
      <c r="D228" t="s">
        <v>307</v>
      </c>
    </row>
    <row r="229" spans="4:5" x14ac:dyDescent="0.25">
      <c r="D229" t="s">
        <v>178</v>
      </c>
      <c r="E229" t="s">
        <v>309</v>
      </c>
    </row>
    <row r="230" spans="4:5" x14ac:dyDescent="0.25">
      <c r="D230" t="s">
        <v>175</v>
      </c>
      <c r="E230" t="s">
        <v>349</v>
      </c>
    </row>
    <row r="231" spans="4:5" x14ac:dyDescent="0.25">
      <c r="D231" t="s">
        <v>310</v>
      </c>
      <c r="E231">
        <v>85</v>
      </c>
    </row>
    <row r="232" spans="4:5" x14ac:dyDescent="0.25">
      <c r="D232" t="s">
        <v>311</v>
      </c>
      <c r="E232">
        <v>73</v>
      </c>
    </row>
    <row r="233" spans="4:5" x14ac:dyDescent="0.25">
      <c r="D233" t="s">
        <v>312</v>
      </c>
      <c r="E233">
        <v>10</v>
      </c>
    </row>
    <row r="234" spans="4:5" x14ac:dyDescent="0.25">
      <c r="D234" t="s">
        <v>313</v>
      </c>
      <c r="E234">
        <v>1</v>
      </c>
    </row>
    <row r="235" spans="4:5" x14ac:dyDescent="0.25">
      <c r="D235" t="s">
        <v>314</v>
      </c>
      <c r="E235">
        <v>1</v>
      </c>
    </row>
    <row r="236" spans="4:5" x14ac:dyDescent="0.25">
      <c r="D236" t="s">
        <v>354</v>
      </c>
    </row>
    <row r="241" spans="2:3" x14ac:dyDescent="0.25">
      <c r="B241" t="s">
        <v>147</v>
      </c>
    </row>
    <row r="242" spans="2:3" x14ac:dyDescent="0.25">
      <c r="B242" t="s">
        <v>199</v>
      </c>
    </row>
    <row r="243" spans="2:3" x14ac:dyDescent="0.25">
      <c r="B243" t="s">
        <v>200</v>
      </c>
    </row>
    <row r="244" spans="2:3" x14ac:dyDescent="0.25">
      <c r="B244" t="s">
        <v>150</v>
      </c>
    </row>
    <row r="246" spans="2:3" x14ac:dyDescent="0.25">
      <c r="C246" t="s">
        <v>151</v>
      </c>
    </row>
    <row r="251" spans="2:3" x14ac:dyDescent="0.25">
      <c r="B251" t="s">
        <v>152</v>
      </c>
    </row>
    <row r="252" spans="2:3" x14ac:dyDescent="0.25">
      <c r="B252" t="s">
        <v>201</v>
      </c>
    </row>
    <row r="253" spans="2:3" x14ac:dyDescent="0.25">
      <c r="B253" t="s">
        <v>202</v>
      </c>
    </row>
    <row r="254" spans="2:3" x14ac:dyDescent="0.25">
      <c r="B254" t="s">
        <v>203</v>
      </c>
    </row>
    <row r="255" spans="2:3" x14ac:dyDescent="0.25">
      <c r="B255" t="s">
        <v>153</v>
      </c>
    </row>
    <row r="256" spans="2:3" x14ac:dyDescent="0.25">
      <c r="B256" t="s">
        <v>154</v>
      </c>
    </row>
    <row r="257" spans="2:5" x14ac:dyDescent="0.25">
      <c r="B257" t="s">
        <v>170</v>
      </c>
    </row>
    <row r="258" spans="2:5" x14ac:dyDescent="0.25">
      <c r="B258" t="s">
        <v>198</v>
      </c>
    </row>
    <row r="260" spans="2:5" x14ac:dyDescent="0.25">
      <c r="D260" t="s">
        <v>306</v>
      </c>
    </row>
    <row r="261" spans="2:5" x14ac:dyDescent="0.25">
      <c r="D261" t="s">
        <v>307</v>
      </c>
    </row>
    <row r="262" spans="2:5" x14ac:dyDescent="0.25">
      <c r="D262" t="s">
        <v>178</v>
      </c>
      <c r="E262" t="s">
        <v>350</v>
      </c>
    </row>
    <row r="263" spans="2:5" x14ac:dyDescent="0.25">
      <c r="D263" t="s">
        <v>175</v>
      </c>
      <c r="E263" t="s">
        <v>309</v>
      </c>
    </row>
    <row r="264" spans="2:5" x14ac:dyDescent="0.25">
      <c r="D264" t="s">
        <v>310</v>
      </c>
      <c r="E264">
        <v>85</v>
      </c>
    </row>
    <row r="265" spans="2:5" x14ac:dyDescent="0.25">
      <c r="D265" t="s">
        <v>311</v>
      </c>
      <c r="E265">
        <v>73</v>
      </c>
    </row>
    <row r="266" spans="2:5" x14ac:dyDescent="0.25">
      <c r="D266" t="s">
        <v>312</v>
      </c>
      <c r="E266">
        <v>10</v>
      </c>
    </row>
    <row r="267" spans="2:5" x14ac:dyDescent="0.25">
      <c r="D267" t="s">
        <v>313</v>
      </c>
      <c r="E267">
        <v>0</v>
      </c>
    </row>
    <row r="268" spans="2:5" x14ac:dyDescent="0.25">
      <c r="D268" t="s">
        <v>314</v>
      </c>
      <c r="E268">
        <v>0</v>
      </c>
    </row>
    <row r="269" spans="2:5" x14ac:dyDescent="0.25">
      <c r="D269" t="s">
        <v>324</v>
      </c>
    </row>
    <row r="271" spans="2:5" x14ac:dyDescent="0.25">
      <c r="D271" t="s">
        <v>306</v>
      </c>
    </row>
    <row r="272" spans="2:5" x14ac:dyDescent="0.25">
      <c r="D272" t="s">
        <v>307</v>
      </c>
    </row>
    <row r="273" spans="3:10" x14ac:dyDescent="0.25">
      <c r="D273" t="s">
        <v>178</v>
      </c>
      <c r="E273" t="s">
        <v>316</v>
      </c>
    </row>
    <row r="274" spans="3:10" x14ac:dyDescent="0.25">
      <c r="D274" t="s">
        <v>175</v>
      </c>
      <c r="E274" t="s">
        <v>317</v>
      </c>
    </row>
    <row r="275" spans="3:10" x14ac:dyDescent="0.25">
      <c r="D275" t="s">
        <v>310</v>
      </c>
      <c r="E275">
        <v>97</v>
      </c>
    </row>
    <row r="276" spans="3:10" x14ac:dyDescent="0.25">
      <c r="D276" t="s">
        <v>311</v>
      </c>
      <c r="E276">
        <v>89</v>
      </c>
    </row>
    <row r="277" spans="3:10" x14ac:dyDescent="0.25">
      <c r="D277" t="s">
        <v>312</v>
      </c>
      <c r="E277">
        <v>4</v>
      </c>
    </row>
    <row r="278" spans="3:10" x14ac:dyDescent="0.25">
      <c r="D278" t="s">
        <v>313</v>
      </c>
      <c r="E278">
        <v>1</v>
      </c>
    </row>
    <row r="279" spans="3:10" x14ac:dyDescent="0.25">
      <c r="D279" t="s">
        <v>314</v>
      </c>
      <c r="E279">
        <v>0</v>
      </c>
    </row>
    <row r="280" spans="3:10" x14ac:dyDescent="0.25">
      <c r="D280" t="s">
        <v>325</v>
      </c>
    </row>
    <row r="282" spans="3:10" x14ac:dyDescent="0.25">
      <c r="C282" t="s">
        <v>151</v>
      </c>
    </row>
    <row r="284" spans="3:10" x14ac:dyDescent="0.25">
      <c r="D284" t="s">
        <v>173</v>
      </c>
    </row>
    <row r="285" spans="3:10" x14ac:dyDescent="0.25">
      <c r="D285" t="s">
        <v>174</v>
      </c>
    </row>
    <row r="286" spans="3:10" x14ac:dyDescent="0.25">
      <c r="D286" t="s">
        <v>175</v>
      </c>
      <c r="E286" t="s">
        <v>176</v>
      </c>
      <c r="F286" t="s">
        <v>176</v>
      </c>
      <c r="G286" t="s">
        <v>176</v>
      </c>
      <c r="H286" t="s">
        <v>176</v>
      </c>
      <c r="I286" t="s">
        <v>176</v>
      </c>
      <c r="J286" t="s">
        <v>176</v>
      </c>
    </row>
    <row r="287" spans="3:10" x14ac:dyDescent="0.25">
      <c r="D287" t="s">
        <v>177</v>
      </c>
      <c r="E287">
        <v>7</v>
      </c>
      <c r="F287">
        <v>15</v>
      </c>
      <c r="G287">
        <v>23</v>
      </c>
      <c r="H287">
        <v>31</v>
      </c>
      <c r="I287">
        <v>94</v>
      </c>
      <c r="J287">
        <v>96</v>
      </c>
    </row>
    <row r="288" spans="3:10" x14ac:dyDescent="0.25">
      <c r="D288" t="s">
        <v>178</v>
      </c>
      <c r="E288" t="s">
        <v>349</v>
      </c>
      <c r="F288" t="s">
        <v>349</v>
      </c>
      <c r="G288" t="s">
        <v>349</v>
      </c>
      <c r="H288" t="s">
        <v>349</v>
      </c>
      <c r="I288" t="s">
        <v>349</v>
      </c>
      <c r="J288" t="s">
        <v>349</v>
      </c>
    </row>
    <row r="289" spans="4:10" x14ac:dyDescent="0.25">
      <c r="D289" t="s">
        <v>179</v>
      </c>
      <c r="E289">
        <v>7</v>
      </c>
      <c r="F289">
        <v>15</v>
      </c>
      <c r="G289">
        <v>23</v>
      </c>
      <c r="H289">
        <v>31</v>
      </c>
      <c r="I289">
        <v>94</v>
      </c>
      <c r="J289">
        <v>96</v>
      </c>
    </row>
    <row r="290" spans="4:10" x14ac:dyDescent="0.25">
      <c r="D290" t="s">
        <v>180</v>
      </c>
      <c r="E290">
        <v>857</v>
      </c>
      <c r="F290">
        <v>588</v>
      </c>
      <c r="G290">
        <v>1000</v>
      </c>
      <c r="H290">
        <v>641</v>
      </c>
      <c r="I290">
        <v>588</v>
      </c>
      <c r="J290">
        <v>641</v>
      </c>
    </row>
    <row r="291" spans="4:10" x14ac:dyDescent="0.25">
      <c r="D291" t="s">
        <v>181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4:10" x14ac:dyDescent="0.25">
      <c r="D292" t="s">
        <v>182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4:10" x14ac:dyDescent="0.25">
      <c r="D293" t="s">
        <v>183</v>
      </c>
      <c r="E293" t="s">
        <v>184</v>
      </c>
      <c r="F293" t="s">
        <v>184</v>
      </c>
      <c r="G293" t="s">
        <v>184</v>
      </c>
      <c r="H293" t="s">
        <v>184</v>
      </c>
      <c r="I293" t="s">
        <v>184</v>
      </c>
      <c r="J293" t="s">
        <v>184</v>
      </c>
    </row>
    <row r="294" spans="4:10" x14ac:dyDescent="0.25">
      <c r="D294" t="s">
        <v>326</v>
      </c>
    </row>
    <row r="296" spans="4:10" x14ac:dyDescent="0.25">
      <c r="D296" t="s">
        <v>158</v>
      </c>
    </row>
    <row r="297" spans="4:10" x14ac:dyDescent="0.25">
      <c r="D297" t="s">
        <v>159</v>
      </c>
    </row>
    <row r="298" spans="4:10" x14ac:dyDescent="0.25">
      <c r="D298" t="s">
        <v>160</v>
      </c>
      <c r="E298">
        <v>0</v>
      </c>
    </row>
    <row r="299" spans="4:10" x14ac:dyDescent="0.25">
      <c r="D299" t="s">
        <v>327</v>
      </c>
    </row>
    <row r="301" spans="4:10" x14ac:dyDescent="0.25">
      <c r="D301" t="s">
        <v>158</v>
      </c>
    </row>
    <row r="302" spans="4:10" x14ac:dyDescent="0.25">
      <c r="D302" t="s">
        <v>162</v>
      </c>
    </row>
    <row r="303" spans="4:10" x14ac:dyDescent="0.25">
      <c r="D303" t="s">
        <v>355</v>
      </c>
    </row>
    <row r="305" spans="4:5" x14ac:dyDescent="0.25">
      <c r="D305" t="s">
        <v>164</v>
      </c>
    </row>
    <row r="306" spans="4:5" x14ac:dyDescent="0.25">
      <c r="D306" t="s">
        <v>159</v>
      </c>
    </row>
    <row r="307" spans="4:5" x14ac:dyDescent="0.25">
      <c r="D307" t="s">
        <v>165</v>
      </c>
      <c r="E307">
        <v>175</v>
      </c>
    </row>
    <row r="308" spans="4:5" x14ac:dyDescent="0.25">
      <c r="D308" t="s">
        <v>160</v>
      </c>
      <c r="E308">
        <v>874.99999999999898</v>
      </c>
    </row>
    <row r="309" spans="4:5" x14ac:dyDescent="0.25">
      <c r="D309" t="s">
        <v>356</v>
      </c>
    </row>
    <row r="311" spans="4:5" x14ac:dyDescent="0.25">
      <c r="D311" t="s">
        <v>306</v>
      </c>
    </row>
    <row r="312" spans="4:5" x14ac:dyDescent="0.25">
      <c r="D312" t="s">
        <v>307</v>
      </c>
    </row>
    <row r="313" spans="4:5" x14ac:dyDescent="0.25">
      <c r="D313" t="s">
        <v>178</v>
      </c>
      <c r="E313" t="s">
        <v>317</v>
      </c>
    </row>
    <row r="314" spans="4:5" x14ac:dyDescent="0.25">
      <c r="D314" t="s">
        <v>175</v>
      </c>
      <c r="E314" t="s">
        <v>316</v>
      </c>
    </row>
    <row r="315" spans="4:5" x14ac:dyDescent="0.25">
      <c r="D315" t="s">
        <v>310</v>
      </c>
      <c r="E315">
        <v>97</v>
      </c>
    </row>
    <row r="316" spans="4:5" x14ac:dyDescent="0.25">
      <c r="D316" t="s">
        <v>311</v>
      </c>
      <c r="E316">
        <v>89</v>
      </c>
    </row>
    <row r="317" spans="4:5" x14ac:dyDescent="0.25">
      <c r="D317" t="s">
        <v>312</v>
      </c>
      <c r="E317">
        <v>4</v>
      </c>
    </row>
    <row r="318" spans="4:5" x14ac:dyDescent="0.25">
      <c r="D318" t="s">
        <v>313</v>
      </c>
      <c r="E318">
        <v>0</v>
      </c>
    </row>
    <row r="319" spans="4:5" x14ac:dyDescent="0.25">
      <c r="D319" t="s">
        <v>314</v>
      </c>
      <c r="E319">
        <v>0</v>
      </c>
    </row>
    <row r="320" spans="4:5" x14ac:dyDescent="0.25">
      <c r="D320" t="s">
        <v>357</v>
      </c>
    </row>
    <row r="322" spans="2:5" x14ac:dyDescent="0.25">
      <c r="D322" t="s">
        <v>306</v>
      </c>
    </row>
    <row r="323" spans="2:5" x14ac:dyDescent="0.25">
      <c r="D323" t="s">
        <v>307</v>
      </c>
    </row>
    <row r="324" spans="2:5" x14ac:dyDescent="0.25">
      <c r="D324" t="s">
        <v>178</v>
      </c>
      <c r="E324" t="s">
        <v>309</v>
      </c>
    </row>
    <row r="325" spans="2:5" x14ac:dyDescent="0.25">
      <c r="D325" t="s">
        <v>175</v>
      </c>
      <c r="E325" t="s">
        <v>350</v>
      </c>
    </row>
    <row r="326" spans="2:5" x14ac:dyDescent="0.25">
      <c r="D326" t="s">
        <v>310</v>
      </c>
      <c r="E326">
        <v>85</v>
      </c>
    </row>
    <row r="327" spans="2:5" x14ac:dyDescent="0.25">
      <c r="D327" t="s">
        <v>311</v>
      </c>
      <c r="E327">
        <v>73</v>
      </c>
    </row>
    <row r="328" spans="2:5" x14ac:dyDescent="0.25">
      <c r="D328" t="s">
        <v>312</v>
      </c>
      <c r="E328">
        <v>10</v>
      </c>
    </row>
    <row r="329" spans="2:5" x14ac:dyDescent="0.25">
      <c r="D329" t="s">
        <v>313</v>
      </c>
      <c r="E329">
        <v>1</v>
      </c>
    </row>
    <row r="330" spans="2:5" x14ac:dyDescent="0.25">
      <c r="D330" t="s">
        <v>314</v>
      </c>
      <c r="E330">
        <v>1</v>
      </c>
    </row>
    <row r="331" spans="2:5" x14ac:dyDescent="0.25">
      <c r="D331" t="s">
        <v>358</v>
      </c>
    </row>
    <row r="336" spans="2:5" x14ac:dyDescent="0.25">
      <c r="B336" t="s">
        <v>147</v>
      </c>
    </row>
    <row r="337" spans="2:3" x14ac:dyDescent="0.25">
      <c r="B337" t="s">
        <v>204</v>
      </c>
    </row>
    <row r="338" spans="2:3" x14ac:dyDescent="0.25">
      <c r="B338" t="s">
        <v>194</v>
      </c>
    </row>
    <row r="339" spans="2:3" x14ac:dyDescent="0.25">
      <c r="B339" t="s">
        <v>150</v>
      </c>
    </row>
    <row r="341" spans="2:3" x14ac:dyDescent="0.25">
      <c r="C341" t="s">
        <v>151</v>
      </c>
    </row>
    <row r="346" spans="2:3" x14ac:dyDescent="0.25">
      <c r="B346" t="s">
        <v>152</v>
      </c>
    </row>
    <row r="347" spans="2:3" x14ac:dyDescent="0.25">
      <c r="B347" t="s">
        <v>205</v>
      </c>
    </row>
    <row r="348" spans="2:3" x14ac:dyDescent="0.25">
      <c r="B348" t="s">
        <v>196</v>
      </c>
    </row>
    <row r="349" spans="2:3" x14ac:dyDescent="0.25">
      <c r="B349" t="s">
        <v>206</v>
      </c>
    </row>
    <row r="350" spans="2:3" x14ac:dyDescent="0.25">
      <c r="B350" t="s">
        <v>153</v>
      </c>
    </row>
    <row r="351" spans="2:3" x14ac:dyDescent="0.25">
      <c r="B351" t="s">
        <v>154</v>
      </c>
    </row>
    <row r="352" spans="2:3" x14ac:dyDescent="0.25">
      <c r="B352" t="s">
        <v>170</v>
      </c>
    </row>
    <row r="353" spans="2:5" x14ac:dyDescent="0.25">
      <c r="B353" t="s">
        <v>198</v>
      </c>
    </row>
    <row r="355" spans="2:5" x14ac:dyDescent="0.25">
      <c r="D355" t="s">
        <v>306</v>
      </c>
    </row>
    <row r="356" spans="2:5" x14ac:dyDescent="0.25">
      <c r="D356" t="s">
        <v>307</v>
      </c>
    </row>
    <row r="357" spans="2:5" x14ac:dyDescent="0.25">
      <c r="D357" t="s">
        <v>178</v>
      </c>
      <c r="E357" t="s">
        <v>349</v>
      </c>
    </row>
    <row r="358" spans="2:5" x14ac:dyDescent="0.25">
      <c r="D358" t="s">
        <v>175</v>
      </c>
      <c r="E358" t="s">
        <v>309</v>
      </c>
    </row>
    <row r="359" spans="2:5" x14ac:dyDescent="0.25">
      <c r="D359" t="s">
        <v>310</v>
      </c>
      <c r="E359">
        <v>85</v>
      </c>
    </row>
    <row r="360" spans="2:5" x14ac:dyDescent="0.25">
      <c r="D360" t="s">
        <v>311</v>
      </c>
      <c r="E360">
        <v>73</v>
      </c>
    </row>
    <row r="361" spans="2:5" x14ac:dyDescent="0.25">
      <c r="D361" t="s">
        <v>312</v>
      </c>
      <c r="E361">
        <v>10</v>
      </c>
    </row>
    <row r="362" spans="2:5" x14ac:dyDescent="0.25">
      <c r="D362" t="s">
        <v>313</v>
      </c>
      <c r="E362">
        <v>0</v>
      </c>
    </row>
    <row r="363" spans="2:5" x14ac:dyDescent="0.25">
      <c r="D363" t="s">
        <v>314</v>
      </c>
      <c r="E363">
        <v>0</v>
      </c>
    </row>
    <row r="364" spans="2:5" x14ac:dyDescent="0.25">
      <c r="D364" t="s">
        <v>328</v>
      </c>
    </row>
    <row r="366" spans="2:5" x14ac:dyDescent="0.25">
      <c r="D366" t="s">
        <v>306</v>
      </c>
    </row>
    <row r="367" spans="2:5" x14ac:dyDescent="0.25">
      <c r="D367" t="s">
        <v>307</v>
      </c>
    </row>
    <row r="368" spans="2:5" x14ac:dyDescent="0.25">
      <c r="D368" t="s">
        <v>178</v>
      </c>
      <c r="E368" t="s">
        <v>316</v>
      </c>
    </row>
    <row r="369" spans="3:10" x14ac:dyDescent="0.25">
      <c r="D369" t="s">
        <v>175</v>
      </c>
      <c r="E369" t="s">
        <v>317</v>
      </c>
    </row>
    <row r="370" spans="3:10" x14ac:dyDescent="0.25">
      <c r="D370" t="s">
        <v>310</v>
      </c>
      <c r="E370">
        <v>97</v>
      </c>
    </row>
    <row r="371" spans="3:10" x14ac:dyDescent="0.25">
      <c r="D371" t="s">
        <v>311</v>
      </c>
      <c r="E371">
        <v>89</v>
      </c>
    </row>
    <row r="372" spans="3:10" x14ac:dyDescent="0.25">
      <c r="D372" t="s">
        <v>312</v>
      </c>
      <c r="E372">
        <v>4</v>
      </c>
    </row>
    <row r="373" spans="3:10" x14ac:dyDescent="0.25">
      <c r="D373" t="s">
        <v>313</v>
      </c>
      <c r="E373">
        <v>1</v>
      </c>
    </row>
    <row r="374" spans="3:10" x14ac:dyDescent="0.25">
      <c r="D374" t="s">
        <v>314</v>
      </c>
      <c r="E374">
        <v>0</v>
      </c>
    </row>
    <row r="375" spans="3:10" x14ac:dyDescent="0.25">
      <c r="D375" t="s">
        <v>329</v>
      </c>
    </row>
    <row r="377" spans="3:10" x14ac:dyDescent="0.25">
      <c r="C377" t="s">
        <v>151</v>
      </c>
    </row>
    <row r="379" spans="3:10" x14ac:dyDescent="0.25">
      <c r="D379" t="s">
        <v>173</v>
      </c>
    </row>
    <row r="380" spans="3:10" x14ac:dyDescent="0.25">
      <c r="D380" t="s">
        <v>174</v>
      </c>
    </row>
    <row r="381" spans="3:10" x14ac:dyDescent="0.25">
      <c r="D381" t="s">
        <v>175</v>
      </c>
      <c r="E381" t="s">
        <v>176</v>
      </c>
      <c r="F381" t="s">
        <v>176</v>
      </c>
      <c r="G381" t="s">
        <v>176</v>
      </c>
      <c r="H381" t="s">
        <v>176</v>
      </c>
      <c r="I381" t="s">
        <v>176</v>
      </c>
      <c r="J381" t="s">
        <v>176</v>
      </c>
    </row>
    <row r="382" spans="3:10" x14ac:dyDescent="0.25">
      <c r="D382" t="s">
        <v>177</v>
      </c>
      <c r="E382">
        <v>7</v>
      </c>
      <c r="F382">
        <v>15</v>
      </c>
      <c r="G382">
        <v>23</v>
      </c>
      <c r="H382">
        <v>31</v>
      </c>
      <c r="I382">
        <v>94</v>
      </c>
      <c r="J382">
        <v>96</v>
      </c>
    </row>
    <row r="383" spans="3:10" x14ac:dyDescent="0.25">
      <c r="D383" t="s">
        <v>178</v>
      </c>
      <c r="E383" t="s">
        <v>350</v>
      </c>
      <c r="F383" t="s">
        <v>350</v>
      </c>
      <c r="G383" t="s">
        <v>350</v>
      </c>
      <c r="H383" t="s">
        <v>350</v>
      </c>
      <c r="I383" t="s">
        <v>350</v>
      </c>
      <c r="J383" t="s">
        <v>350</v>
      </c>
    </row>
    <row r="384" spans="3:10" x14ac:dyDescent="0.25">
      <c r="D384" t="s">
        <v>179</v>
      </c>
      <c r="E384">
        <v>7</v>
      </c>
      <c r="F384">
        <v>15</v>
      </c>
      <c r="G384">
        <v>23</v>
      </c>
      <c r="H384">
        <v>31</v>
      </c>
      <c r="I384">
        <v>94</v>
      </c>
      <c r="J384">
        <v>96</v>
      </c>
    </row>
    <row r="385" spans="4:10" x14ac:dyDescent="0.25">
      <c r="D385" t="s">
        <v>180</v>
      </c>
      <c r="E385">
        <v>857</v>
      </c>
      <c r="F385">
        <v>588</v>
      </c>
      <c r="G385">
        <v>1000</v>
      </c>
      <c r="H385">
        <v>641</v>
      </c>
      <c r="I385">
        <v>588</v>
      </c>
      <c r="J385">
        <v>641</v>
      </c>
    </row>
    <row r="386" spans="4:10" x14ac:dyDescent="0.25">
      <c r="D386" t="s">
        <v>181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</row>
    <row r="387" spans="4:10" x14ac:dyDescent="0.25">
      <c r="D387" t="s">
        <v>182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</row>
    <row r="388" spans="4:10" x14ac:dyDescent="0.25">
      <c r="D388" t="s">
        <v>183</v>
      </c>
      <c r="E388" t="s">
        <v>184</v>
      </c>
      <c r="F388" t="s">
        <v>184</v>
      </c>
      <c r="G388" t="s">
        <v>184</v>
      </c>
      <c r="H388" t="s">
        <v>184</v>
      </c>
      <c r="I388" t="s">
        <v>184</v>
      </c>
      <c r="J388" t="s">
        <v>184</v>
      </c>
    </row>
    <row r="389" spans="4:10" x14ac:dyDescent="0.25">
      <c r="D389" t="s">
        <v>330</v>
      </c>
    </row>
    <row r="391" spans="4:10" x14ac:dyDescent="0.25">
      <c r="D391" t="s">
        <v>158</v>
      </c>
    </row>
    <row r="392" spans="4:10" x14ac:dyDescent="0.25">
      <c r="D392" t="s">
        <v>159</v>
      </c>
    </row>
    <row r="393" spans="4:10" x14ac:dyDescent="0.25">
      <c r="D393" t="s">
        <v>160</v>
      </c>
      <c r="E393">
        <v>0</v>
      </c>
    </row>
    <row r="394" spans="4:10" x14ac:dyDescent="0.25">
      <c r="D394" t="s">
        <v>331</v>
      </c>
    </row>
    <row r="396" spans="4:10" x14ac:dyDescent="0.25">
      <c r="D396" t="s">
        <v>158</v>
      </c>
    </row>
    <row r="397" spans="4:10" x14ac:dyDescent="0.25">
      <c r="D397" t="s">
        <v>162</v>
      </c>
    </row>
    <row r="398" spans="4:10" x14ac:dyDescent="0.25">
      <c r="D398" t="s">
        <v>359</v>
      </c>
    </row>
    <row r="400" spans="4:10" x14ac:dyDescent="0.25">
      <c r="D400" t="s">
        <v>164</v>
      </c>
    </row>
    <row r="401" spans="4:5" x14ac:dyDescent="0.25">
      <c r="D401" t="s">
        <v>159</v>
      </c>
    </row>
    <row r="402" spans="4:5" x14ac:dyDescent="0.25">
      <c r="D402" t="s">
        <v>165</v>
      </c>
      <c r="E402">
        <v>175</v>
      </c>
    </row>
    <row r="403" spans="4:5" x14ac:dyDescent="0.25">
      <c r="D403" t="s">
        <v>160</v>
      </c>
      <c r="E403">
        <v>874.99999999999898</v>
      </c>
    </row>
    <row r="404" spans="4:5" x14ac:dyDescent="0.25">
      <c r="D404" t="s">
        <v>360</v>
      </c>
    </row>
    <row r="406" spans="4:5" x14ac:dyDescent="0.25">
      <c r="D406" t="s">
        <v>306</v>
      </c>
    </row>
    <row r="407" spans="4:5" x14ac:dyDescent="0.25">
      <c r="D407" t="s">
        <v>307</v>
      </c>
    </row>
    <row r="408" spans="4:5" x14ac:dyDescent="0.25">
      <c r="D408" t="s">
        <v>178</v>
      </c>
      <c r="E408" t="s">
        <v>317</v>
      </c>
    </row>
    <row r="409" spans="4:5" x14ac:dyDescent="0.25">
      <c r="D409" t="s">
        <v>175</v>
      </c>
      <c r="E409" t="s">
        <v>316</v>
      </c>
    </row>
    <row r="410" spans="4:5" x14ac:dyDescent="0.25">
      <c r="D410" t="s">
        <v>310</v>
      </c>
      <c r="E410">
        <v>97</v>
      </c>
    </row>
    <row r="411" spans="4:5" x14ac:dyDescent="0.25">
      <c r="D411" t="s">
        <v>311</v>
      </c>
      <c r="E411">
        <v>89</v>
      </c>
    </row>
    <row r="412" spans="4:5" x14ac:dyDescent="0.25">
      <c r="D412" t="s">
        <v>312</v>
      </c>
      <c r="E412">
        <v>4</v>
      </c>
    </row>
    <row r="413" spans="4:5" x14ac:dyDescent="0.25">
      <c r="D413" t="s">
        <v>313</v>
      </c>
      <c r="E413">
        <v>0</v>
      </c>
    </row>
    <row r="414" spans="4:5" x14ac:dyDescent="0.25">
      <c r="D414" t="s">
        <v>314</v>
      </c>
      <c r="E414">
        <v>0</v>
      </c>
    </row>
    <row r="415" spans="4:5" x14ac:dyDescent="0.25">
      <c r="D415" t="s">
        <v>361</v>
      </c>
    </row>
    <row r="417" spans="2:5" x14ac:dyDescent="0.25">
      <c r="D417" t="s">
        <v>306</v>
      </c>
    </row>
    <row r="418" spans="2:5" x14ac:dyDescent="0.25">
      <c r="D418" t="s">
        <v>307</v>
      </c>
    </row>
    <row r="419" spans="2:5" x14ac:dyDescent="0.25">
      <c r="D419" t="s">
        <v>178</v>
      </c>
      <c r="E419" t="s">
        <v>309</v>
      </c>
    </row>
    <row r="420" spans="2:5" x14ac:dyDescent="0.25">
      <c r="D420" t="s">
        <v>175</v>
      </c>
      <c r="E420" t="s">
        <v>349</v>
      </c>
    </row>
    <row r="421" spans="2:5" x14ac:dyDescent="0.25">
      <c r="D421" t="s">
        <v>310</v>
      </c>
      <c r="E421">
        <v>85</v>
      </c>
    </row>
    <row r="422" spans="2:5" x14ac:dyDescent="0.25">
      <c r="D422" t="s">
        <v>311</v>
      </c>
      <c r="E422">
        <v>73</v>
      </c>
    </row>
    <row r="423" spans="2:5" x14ac:dyDescent="0.25">
      <c r="D423" t="s">
        <v>312</v>
      </c>
      <c r="E423">
        <v>10</v>
      </c>
    </row>
    <row r="424" spans="2:5" x14ac:dyDescent="0.25">
      <c r="D424" t="s">
        <v>313</v>
      </c>
      <c r="E424">
        <v>1</v>
      </c>
    </row>
    <row r="425" spans="2:5" x14ac:dyDescent="0.25">
      <c r="D425" t="s">
        <v>314</v>
      </c>
      <c r="E425">
        <v>1</v>
      </c>
    </row>
    <row r="426" spans="2:5" x14ac:dyDescent="0.25">
      <c r="D426" t="s">
        <v>362</v>
      </c>
    </row>
    <row r="431" spans="2:5" x14ac:dyDescent="0.25">
      <c r="B431" t="s">
        <v>147</v>
      </c>
    </row>
    <row r="432" spans="2:5" x14ac:dyDescent="0.25">
      <c r="B432" t="s">
        <v>207</v>
      </c>
    </row>
    <row r="433" spans="2:3" x14ac:dyDescent="0.25">
      <c r="B433" t="s">
        <v>200</v>
      </c>
    </row>
    <row r="434" spans="2:3" x14ac:dyDescent="0.25">
      <c r="B434" t="s">
        <v>150</v>
      </c>
    </row>
    <row r="436" spans="2:3" x14ac:dyDescent="0.25">
      <c r="C436" t="s">
        <v>151</v>
      </c>
    </row>
    <row r="441" spans="2:3" x14ac:dyDescent="0.25">
      <c r="B441" t="s">
        <v>152</v>
      </c>
    </row>
    <row r="442" spans="2:3" x14ac:dyDescent="0.25">
      <c r="B442" t="s">
        <v>208</v>
      </c>
    </row>
    <row r="443" spans="2:3" x14ac:dyDescent="0.25">
      <c r="B443" t="s">
        <v>202</v>
      </c>
    </row>
    <row r="444" spans="2:3" x14ac:dyDescent="0.25">
      <c r="B444" t="s">
        <v>209</v>
      </c>
    </row>
    <row r="445" spans="2:3" x14ac:dyDescent="0.25">
      <c r="B445" t="s">
        <v>153</v>
      </c>
    </row>
    <row r="446" spans="2:3" x14ac:dyDescent="0.25">
      <c r="B446" t="s">
        <v>154</v>
      </c>
    </row>
    <row r="447" spans="2:3" x14ac:dyDescent="0.25">
      <c r="B447" t="s">
        <v>170</v>
      </c>
    </row>
    <row r="448" spans="2:3" x14ac:dyDescent="0.25">
      <c r="B448" t="s">
        <v>198</v>
      </c>
    </row>
    <row r="450" spans="4:5" x14ac:dyDescent="0.25">
      <c r="D450" t="s">
        <v>306</v>
      </c>
    </row>
    <row r="451" spans="4:5" x14ac:dyDescent="0.25">
      <c r="D451" t="s">
        <v>307</v>
      </c>
    </row>
    <row r="452" spans="4:5" x14ac:dyDescent="0.25">
      <c r="D452" t="s">
        <v>178</v>
      </c>
      <c r="E452" t="s">
        <v>350</v>
      </c>
    </row>
    <row r="453" spans="4:5" x14ac:dyDescent="0.25">
      <c r="D453" t="s">
        <v>175</v>
      </c>
      <c r="E453" t="s">
        <v>309</v>
      </c>
    </row>
    <row r="454" spans="4:5" x14ac:dyDescent="0.25">
      <c r="D454" t="s">
        <v>310</v>
      </c>
      <c r="E454">
        <v>85</v>
      </c>
    </row>
    <row r="455" spans="4:5" x14ac:dyDescent="0.25">
      <c r="D455" t="s">
        <v>311</v>
      </c>
      <c r="E455">
        <v>73</v>
      </c>
    </row>
    <row r="456" spans="4:5" x14ac:dyDescent="0.25">
      <c r="D456" t="s">
        <v>312</v>
      </c>
      <c r="E456">
        <v>10</v>
      </c>
    </row>
    <row r="457" spans="4:5" x14ac:dyDescent="0.25">
      <c r="D457" t="s">
        <v>313</v>
      </c>
      <c r="E457">
        <v>0</v>
      </c>
    </row>
    <row r="458" spans="4:5" x14ac:dyDescent="0.25">
      <c r="D458" t="s">
        <v>314</v>
      </c>
      <c r="E458">
        <v>0</v>
      </c>
    </row>
    <row r="459" spans="4:5" x14ac:dyDescent="0.25">
      <c r="D459" t="s">
        <v>332</v>
      </c>
    </row>
    <row r="461" spans="4:5" x14ac:dyDescent="0.25">
      <c r="D461" t="s">
        <v>306</v>
      </c>
    </row>
    <row r="462" spans="4:5" x14ac:dyDescent="0.25">
      <c r="D462" t="s">
        <v>307</v>
      </c>
    </row>
    <row r="463" spans="4:5" x14ac:dyDescent="0.25">
      <c r="D463" t="s">
        <v>178</v>
      </c>
      <c r="E463" t="s">
        <v>316</v>
      </c>
    </row>
    <row r="464" spans="4:5" x14ac:dyDescent="0.25">
      <c r="D464" t="s">
        <v>175</v>
      </c>
      <c r="E464" t="s">
        <v>317</v>
      </c>
    </row>
    <row r="465" spans="3:10" x14ac:dyDescent="0.25">
      <c r="D465" t="s">
        <v>310</v>
      </c>
      <c r="E465">
        <v>97</v>
      </c>
    </row>
    <row r="466" spans="3:10" x14ac:dyDescent="0.25">
      <c r="D466" t="s">
        <v>311</v>
      </c>
      <c r="E466">
        <v>89</v>
      </c>
    </row>
    <row r="467" spans="3:10" x14ac:dyDescent="0.25">
      <c r="D467" t="s">
        <v>312</v>
      </c>
      <c r="E467">
        <v>4</v>
      </c>
    </row>
    <row r="468" spans="3:10" x14ac:dyDescent="0.25">
      <c r="D468" t="s">
        <v>313</v>
      </c>
      <c r="E468">
        <v>1</v>
      </c>
    </row>
    <row r="469" spans="3:10" x14ac:dyDescent="0.25">
      <c r="D469" t="s">
        <v>314</v>
      </c>
      <c r="E469">
        <v>0</v>
      </c>
    </row>
    <row r="470" spans="3:10" x14ac:dyDescent="0.25">
      <c r="D470" t="s">
        <v>333</v>
      </c>
    </row>
    <row r="472" spans="3:10" x14ac:dyDescent="0.25">
      <c r="C472" t="s">
        <v>151</v>
      </c>
    </row>
    <row r="474" spans="3:10" x14ac:dyDescent="0.25">
      <c r="D474" t="s">
        <v>173</v>
      </c>
    </row>
    <row r="475" spans="3:10" x14ac:dyDescent="0.25">
      <c r="D475" t="s">
        <v>174</v>
      </c>
    </row>
    <row r="476" spans="3:10" x14ac:dyDescent="0.25">
      <c r="D476" t="s">
        <v>175</v>
      </c>
      <c r="E476" t="s">
        <v>176</v>
      </c>
      <c r="F476" t="s">
        <v>176</v>
      </c>
      <c r="G476" t="s">
        <v>176</v>
      </c>
      <c r="H476" t="s">
        <v>176</v>
      </c>
      <c r="I476" t="s">
        <v>176</v>
      </c>
      <c r="J476" t="s">
        <v>176</v>
      </c>
    </row>
    <row r="477" spans="3:10" x14ac:dyDescent="0.25">
      <c r="D477" t="s">
        <v>177</v>
      </c>
      <c r="E477">
        <v>7</v>
      </c>
      <c r="F477">
        <v>15</v>
      </c>
      <c r="G477">
        <v>23</v>
      </c>
      <c r="H477">
        <v>31</v>
      </c>
      <c r="I477">
        <v>94</v>
      </c>
      <c r="J477">
        <v>96</v>
      </c>
    </row>
    <row r="478" spans="3:10" x14ac:dyDescent="0.25">
      <c r="D478" t="s">
        <v>178</v>
      </c>
      <c r="E478" t="s">
        <v>349</v>
      </c>
      <c r="F478" t="s">
        <v>349</v>
      </c>
      <c r="G478" t="s">
        <v>349</v>
      </c>
      <c r="H478" t="s">
        <v>349</v>
      </c>
      <c r="I478" t="s">
        <v>349</v>
      </c>
      <c r="J478" t="s">
        <v>349</v>
      </c>
    </row>
    <row r="479" spans="3:10" x14ac:dyDescent="0.25">
      <c r="D479" t="s">
        <v>179</v>
      </c>
      <c r="E479">
        <v>7</v>
      </c>
      <c r="F479">
        <v>15</v>
      </c>
      <c r="G479">
        <v>23</v>
      </c>
      <c r="H479">
        <v>31</v>
      </c>
      <c r="I479">
        <v>94</v>
      </c>
      <c r="J479">
        <v>96</v>
      </c>
    </row>
    <row r="480" spans="3:10" x14ac:dyDescent="0.25">
      <c r="D480" t="s">
        <v>180</v>
      </c>
      <c r="E480">
        <v>857</v>
      </c>
      <c r="F480">
        <v>588</v>
      </c>
      <c r="G480">
        <v>1000</v>
      </c>
      <c r="H480">
        <v>641</v>
      </c>
      <c r="I480">
        <v>588</v>
      </c>
      <c r="J480">
        <v>641</v>
      </c>
    </row>
    <row r="481" spans="4:10" x14ac:dyDescent="0.25">
      <c r="D481" t="s">
        <v>181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</row>
    <row r="482" spans="4:10" x14ac:dyDescent="0.25">
      <c r="D482" t="s">
        <v>182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</row>
    <row r="483" spans="4:10" x14ac:dyDescent="0.25">
      <c r="D483" t="s">
        <v>183</v>
      </c>
      <c r="E483" t="s">
        <v>184</v>
      </c>
      <c r="F483" t="s">
        <v>184</v>
      </c>
      <c r="G483" t="s">
        <v>184</v>
      </c>
      <c r="H483" t="s">
        <v>184</v>
      </c>
      <c r="I483" t="s">
        <v>184</v>
      </c>
      <c r="J483" t="s">
        <v>184</v>
      </c>
    </row>
    <row r="484" spans="4:10" x14ac:dyDescent="0.25">
      <c r="D484" t="s">
        <v>334</v>
      </c>
    </row>
    <row r="486" spans="4:10" x14ac:dyDescent="0.25">
      <c r="D486" t="s">
        <v>158</v>
      </c>
    </row>
    <row r="487" spans="4:10" x14ac:dyDescent="0.25">
      <c r="D487" t="s">
        <v>159</v>
      </c>
    </row>
    <row r="488" spans="4:10" x14ac:dyDescent="0.25">
      <c r="D488" t="s">
        <v>160</v>
      </c>
      <c r="E488">
        <v>0</v>
      </c>
    </row>
    <row r="489" spans="4:10" x14ac:dyDescent="0.25">
      <c r="D489" t="s">
        <v>335</v>
      </c>
    </row>
    <row r="491" spans="4:10" x14ac:dyDescent="0.25">
      <c r="D491" t="s">
        <v>158</v>
      </c>
    </row>
    <row r="492" spans="4:10" x14ac:dyDescent="0.25">
      <c r="D492" t="s">
        <v>162</v>
      </c>
    </row>
    <row r="493" spans="4:10" x14ac:dyDescent="0.25">
      <c r="D493" t="s">
        <v>363</v>
      </c>
    </row>
    <row r="495" spans="4:10" x14ac:dyDescent="0.25">
      <c r="D495" t="s">
        <v>164</v>
      </c>
    </row>
    <row r="496" spans="4:10" x14ac:dyDescent="0.25">
      <c r="D496" t="s">
        <v>159</v>
      </c>
    </row>
    <row r="497" spans="4:5" x14ac:dyDescent="0.25">
      <c r="D497" t="s">
        <v>165</v>
      </c>
      <c r="E497">
        <v>175</v>
      </c>
    </row>
    <row r="498" spans="4:5" x14ac:dyDescent="0.25">
      <c r="D498" t="s">
        <v>160</v>
      </c>
      <c r="E498">
        <v>874.99999999999898</v>
      </c>
    </row>
    <row r="499" spans="4:5" x14ac:dyDescent="0.25">
      <c r="D499" t="s">
        <v>364</v>
      </c>
    </row>
    <row r="501" spans="4:5" x14ac:dyDescent="0.25">
      <c r="D501" t="s">
        <v>306</v>
      </c>
    </row>
    <row r="502" spans="4:5" x14ac:dyDescent="0.25">
      <c r="D502" t="s">
        <v>307</v>
      </c>
    </row>
    <row r="503" spans="4:5" x14ac:dyDescent="0.25">
      <c r="D503" t="s">
        <v>178</v>
      </c>
      <c r="E503" t="s">
        <v>317</v>
      </c>
    </row>
    <row r="504" spans="4:5" x14ac:dyDescent="0.25">
      <c r="D504" t="s">
        <v>175</v>
      </c>
      <c r="E504" t="s">
        <v>316</v>
      </c>
    </row>
    <row r="505" spans="4:5" x14ac:dyDescent="0.25">
      <c r="D505" t="s">
        <v>310</v>
      </c>
      <c r="E505">
        <v>97</v>
      </c>
    </row>
    <row r="506" spans="4:5" x14ac:dyDescent="0.25">
      <c r="D506" t="s">
        <v>311</v>
      </c>
      <c r="E506">
        <v>89</v>
      </c>
    </row>
    <row r="507" spans="4:5" x14ac:dyDescent="0.25">
      <c r="D507" t="s">
        <v>312</v>
      </c>
      <c r="E507">
        <v>4</v>
      </c>
    </row>
    <row r="508" spans="4:5" x14ac:dyDescent="0.25">
      <c r="D508" t="s">
        <v>313</v>
      </c>
      <c r="E508">
        <v>0</v>
      </c>
    </row>
    <row r="509" spans="4:5" x14ac:dyDescent="0.25">
      <c r="D509" t="s">
        <v>314</v>
      </c>
      <c r="E509">
        <v>0</v>
      </c>
    </row>
    <row r="510" spans="4:5" x14ac:dyDescent="0.25">
      <c r="D510" t="s">
        <v>365</v>
      </c>
    </row>
    <row r="512" spans="4:5" x14ac:dyDescent="0.25">
      <c r="D512" t="s">
        <v>306</v>
      </c>
    </row>
    <row r="513" spans="2:5" x14ac:dyDescent="0.25">
      <c r="D513" t="s">
        <v>307</v>
      </c>
    </row>
    <row r="514" spans="2:5" x14ac:dyDescent="0.25">
      <c r="D514" t="s">
        <v>178</v>
      </c>
      <c r="E514" t="s">
        <v>309</v>
      </c>
    </row>
    <row r="515" spans="2:5" x14ac:dyDescent="0.25">
      <c r="D515" t="s">
        <v>175</v>
      </c>
      <c r="E515" t="s">
        <v>350</v>
      </c>
    </row>
    <row r="516" spans="2:5" x14ac:dyDescent="0.25">
      <c r="D516" t="s">
        <v>310</v>
      </c>
      <c r="E516">
        <v>85</v>
      </c>
    </row>
    <row r="517" spans="2:5" x14ac:dyDescent="0.25">
      <c r="D517" t="s">
        <v>311</v>
      </c>
      <c r="E517">
        <v>73</v>
      </c>
    </row>
    <row r="518" spans="2:5" x14ac:dyDescent="0.25">
      <c r="D518" t="s">
        <v>312</v>
      </c>
      <c r="E518">
        <v>10</v>
      </c>
    </row>
    <row r="519" spans="2:5" x14ac:dyDescent="0.25">
      <c r="D519" t="s">
        <v>313</v>
      </c>
      <c r="E519">
        <v>1</v>
      </c>
    </row>
    <row r="520" spans="2:5" x14ac:dyDescent="0.25">
      <c r="D520" t="s">
        <v>314</v>
      </c>
      <c r="E520">
        <v>1</v>
      </c>
    </row>
    <row r="521" spans="2:5" x14ac:dyDescent="0.25">
      <c r="D521" t="s">
        <v>366</v>
      </c>
    </row>
    <row r="526" spans="2:5" x14ac:dyDescent="0.25">
      <c r="B526" t="s">
        <v>147</v>
      </c>
    </row>
    <row r="527" spans="2:5" x14ac:dyDescent="0.25">
      <c r="B527" t="s">
        <v>210</v>
      </c>
    </row>
    <row r="528" spans="2:5" x14ac:dyDescent="0.25">
      <c r="B528" t="s">
        <v>211</v>
      </c>
    </row>
    <row r="529" spans="2:3" x14ac:dyDescent="0.25">
      <c r="B529" t="s">
        <v>150</v>
      </c>
    </row>
    <row r="531" spans="2:3" x14ac:dyDescent="0.25">
      <c r="C531" t="s">
        <v>151</v>
      </c>
    </row>
    <row r="536" spans="2:3" x14ac:dyDescent="0.25">
      <c r="B536" t="s">
        <v>152</v>
      </c>
    </row>
    <row r="537" spans="2:3" x14ac:dyDescent="0.25">
      <c r="B537" t="s">
        <v>212</v>
      </c>
    </row>
    <row r="538" spans="2:3" x14ac:dyDescent="0.25">
      <c r="B538" t="s">
        <v>213</v>
      </c>
    </row>
    <row r="539" spans="2:3" x14ac:dyDescent="0.25">
      <c r="B539" t="s">
        <v>214</v>
      </c>
    </row>
    <row r="540" spans="2:3" x14ac:dyDescent="0.25">
      <c r="B540" t="s">
        <v>153</v>
      </c>
    </row>
    <row r="541" spans="2:3" x14ac:dyDescent="0.25">
      <c r="B541" t="s">
        <v>154</v>
      </c>
    </row>
    <row r="542" spans="2:3" x14ac:dyDescent="0.25">
      <c r="B542" t="s">
        <v>170</v>
      </c>
    </row>
    <row r="543" spans="2:3" x14ac:dyDescent="0.25">
      <c r="B543" t="s">
        <v>215</v>
      </c>
    </row>
    <row r="545" spans="4:5" x14ac:dyDescent="0.25">
      <c r="D545" t="s">
        <v>306</v>
      </c>
    </row>
    <row r="546" spans="4:5" x14ac:dyDescent="0.25">
      <c r="D546" t="s">
        <v>307</v>
      </c>
    </row>
    <row r="547" spans="4:5" x14ac:dyDescent="0.25">
      <c r="D547" t="s">
        <v>178</v>
      </c>
      <c r="E547" t="s">
        <v>367</v>
      </c>
    </row>
    <row r="548" spans="4:5" x14ac:dyDescent="0.25">
      <c r="D548" t="s">
        <v>175</v>
      </c>
      <c r="E548" t="s">
        <v>309</v>
      </c>
    </row>
    <row r="549" spans="4:5" x14ac:dyDescent="0.25">
      <c r="D549" t="s">
        <v>310</v>
      </c>
      <c r="E549">
        <v>85</v>
      </c>
    </row>
    <row r="550" spans="4:5" x14ac:dyDescent="0.25">
      <c r="D550" t="s">
        <v>311</v>
      </c>
      <c r="E550">
        <v>73</v>
      </c>
    </row>
    <row r="551" spans="4:5" x14ac:dyDescent="0.25">
      <c r="D551" t="s">
        <v>312</v>
      </c>
      <c r="E551">
        <v>10</v>
      </c>
    </row>
    <row r="552" spans="4:5" x14ac:dyDescent="0.25">
      <c r="D552" t="s">
        <v>313</v>
      </c>
      <c r="E552">
        <v>0</v>
      </c>
    </row>
    <row r="553" spans="4:5" x14ac:dyDescent="0.25">
      <c r="D553" t="s">
        <v>314</v>
      </c>
      <c r="E553">
        <v>0</v>
      </c>
    </row>
    <row r="554" spans="4:5" x14ac:dyDescent="0.25">
      <c r="D554" t="s">
        <v>336</v>
      </c>
    </row>
    <row r="556" spans="4:5" x14ac:dyDescent="0.25">
      <c r="D556" t="s">
        <v>306</v>
      </c>
    </row>
    <row r="557" spans="4:5" x14ac:dyDescent="0.25">
      <c r="D557" t="s">
        <v>307</v>
      </c>
    </row>
    <row r="558" spans="4:5" x14ac:dyDescent="0.25">
      <c r="D558" t="s">
        <v>178</v>
      </c>
      <c r="E558" t="s">
        <v>316</v>
      </c>
    </row>
    <row r="559" spans="4:5" x14ac:dyDescent="0.25">
      <c r="D559" t="s">
        <v>175</v>
      </c>
      <c r="E559" t="s">
        <v>317</v>
      </c>
    </row>
    <row r="560" spans="4:5" x14ac:dyDescent="0.25">
      <c r="D560" t="s">
        <v>310</v>
      </c>
      <c r="E560">
        <v>97</v>
      </c>
    </row>
    <row r="561" spans="3:8" x14ac:dyDescent="0.25">
      <c r="D561" t="s">
        <v>311</v>
      </c>
      <c r="E561">
        <v>89</v>
      </c>
    </row>
    <row r="562" spans="3:8" x14ac:dyDescent="0.25">
      <c r="D562" t="s">
        <v>312</v>
      </c>
      <c r="E562">
        <v>4</v>
      </c>
    </row>
    <row r="563" spans="3:8" x14ac:dyDescent="0.25">
      <c r="D563" t="s">
        <v>313</v>
      </c>
      <c r="E563">
        <v>1</v>
      </c>
    </row>
    <row r="564" spans="3:8" x14ac:dyDescent="0.25">
      <c r="D564" t="s">
        <v>314</v>
      </c>
      <c r="E564">
        <v>0</v>
      </c>
    </row>
    <row r="565" spans="3:8" x14ac:dyDescent="0.25">
      <c r="D565" t="s">
        <v>337</v>
      </c>
    </row>
    <row r="567" spans="3:8" x14ac:dyDescent="0.25">
      <c r="C567" t="s">
        <v>151</v>
      </c>
    </row>
    <row r="569" spans="3:8" x14ac:dyDescent="0.25">
      <c r="D569" t="s">
        <v>173</v>
      </c>
    </row>
    <row r="570" spans="3:8" x14ac:dyDescent="0.25">
      <c r="D570" t="s">
        <v>174</v>
      </c>
    </row>
    <row r="571" spans="3:8" x14ac:dyDescent="0.25">
      <c r="D571" t="s">
        <v>175</v>
      </c>
      <c r="E571" t="s">
        <v>176</v>
      </c>
      <c r="F571" t="s">
        <v>176</v>
      </c>
      <c r="G571" t="s">
        <v>176</v>
      </c>
      <c r="H571" t="s">
        <v>176</v>
      </c>
    </row>
    <row r="572" spans="3:8" x14ac:dyDescent="0.25">
      <c r="D572" t="s">
        <v>177</v>
      </c>
      <c r="E572">
        <v>7</v>
      </c>
      <c r="F572">
        <v>15</v>
      </c>
      <c r="G572">
        <v>23</v>
      </c>
      <c r="H572">
        <v>31</v>
      </c>
    </row>
    <row r="573" spans="3:8" x14ac:dyDescent="0.25">
      <c r="D573" t="s">
        <v>178</v>
      </c>
      <c r="E573" t="s">
        <v>345</v>
      </c>
      <c r="F573" t="s">
        <v>345</v>
      </c>
      <c r="G573" t="s">
        <v>345</v>
      </c>
      <c r="H573" t="s">
        <v>345</v>
      </c>
    </row>
    <row r="574" spans="3:8" x14ac:dyDescent="0.25">
      <c r="D574" t="s">
        <v>179</v>
      </c>
      <c r="E574">
        <v>7</v>
      </c>
      <c r="F574">
        <v>15</v>
      </c>
      <c r="G574">
        <v>23</v>
      </c>
      <c r="H574">
        <v>31</v>
      </c>
    </row>
    <row r="575" spans="3:8" x14ac:dyDescent="0.25">
      <c r="D575" t="s">
        <v>180</v>
      </c>
      <c r="E575">
        <v>150</v>
      </c>
      <c r="F575">
        <v>150</v>
      </c>
      <c r="G575">
        <v>150</v>
      </c>
      <c r="H575">
        <v>150</v>
      </c>
    </row>
    <row r="576" spans="3:8" x14ac:dyDescent="0.25">
      <c r="D576" t="s">
        <v>181</v>
      </c>
      <c r="E576">
        <v>0</v>
      </c>
      <c r="F576">
        <v>0</v>
      </c>
      <c r="G576">
        <v>0</v>
      </c>
      <c r="H576">
        <v>0</v>
      </c>
    </row>
    <row r="577" spans="4:8" x14ac:dyDescent="0.25">
      <c r="D577" t="s">
        <v>182</v>
      </c>
      <c r="E577">
        <v>0</v>
      </c>
      <c r="F577">
        <v>0</v>
      </c>
      <c r="G577">
        <v>0</v>
      </c>
      <c r="H577">
        <v>0</v>
      </c>
    </row>
    <row r="578" spans="4:8" x14ac:dyDescent="0.25">
      <c r="D578" t="s">
        <v>183</v>
      </c>
      <c r="E578" t="s">
        <v>184</v>
      </c>
      <c r="F578" t="s">
        <v>184</v>
      </c>
      <c r="G578" t="s">
        <v>184</v>
      </c>
      <c r="H578" t="s">
        <v>184</v>
      </c>
    </row>
    <row r="579" spans="4:8" x14ac:dyDescent="0.25">
      <c r="D579" t="s">
        <v>338</v>
      </c>
    </row>
    <row r="581" spans="4:8" x14ac:dyDescent="0.25">
      <c r="D581" t="s">
        <v>158</v>
      </c>
    </row>
    <row r="582" spans="4:8" x14ac:dyDescent="0.25">
      <c r="D582" t="s">
        <v>159</v>
      </c>
    </row>
    <row r="583" spans="4:8" x14ac:dyDescent="0.25">
      <c r="D583" t="s">
        <v>160</v>
      </c>
      <c r="E583">
        <v>0</v>
      </c>
    </row>
    <row r="584" spans="4:8" x14ac:dyDescent="0.25">
      <c r="D584" t="s">
        <v>339</v>
      </c>
    </row>
    <row r="586" spans="4:8" x14ac:dyDescent="0.25">
      <c r="D586" t="s">
        <v>158</v>
      </c>
    </row>
    <row r="587" spans="4:8" x14ac:dyDescent="0.25">
      <c r="D587" t="s">
        <v>162</v>
      </c>
    </row>
    <row r="588" spans="4:8" x14ac:dyDescent="0.25">
      <c r="D588" t="s">
        <v>368</v>
      </c>
    </row>
    <row r="590" spans="4:8" x14ac:dyDescent="0.25">
      <c r="D590" t="s">
        <v>164</v>
      </c>
    </row>
    <row r="591" spans="4:8" x14ac:dyDescent="0.25">
      <c r="D591" t="s">
        <v>159</v>
      </c>
    </row>
    <row r="592" spans="4:8" x14ac:dyDescent="0.25">
      <c r="D592" t="s">
        <v>165</v>
      </c>
      <c r="E592">
        <v>175</v>
      </c>
    </row>
    <row r="593" spans="2:5" x14ac:dyDescent="0.25">
      <c r="D593" t="s">
        <v>160</v>
      </c>
      <c r="E593">
        <v>131.25</v>
      </c>
    </row>
    <row r="594" spans="2:5" x14ac:dyDescent="0.25">
      <c r="D594" t="s">
        <v>369</v>
      </c>
    </row>
    <row r="599" spans="2:5" x14ac:dyDescent="0.25">
      <c r="B599" t="s">
        <v>152</v>
      </c>
    </row>
    <row r="600" spans="2:5" x14ac:dyDescent="0.25">
      <c r="B600" t="s">
        <v>221</v>
      </c>
    </row>
    <row r="601" spans="2:5" x14ac:dyDescent="0.25">
      <c r="B601" t="s">
        <v>222</v>
      </c>
    </row>
    <row r="602" spans="2:5" x14ac:dyDescent="0.25">
      <c r="B602" t="s">
        <v>223</v>
      </c>
    </row>
    <row r="603" spans="2:5" x14ac:dyDescent="0.25">
      <c r="B603" t="s">
        <v>153</v>
      </c>
    </row>
    <row r="604" spans="2:5" x14ac:dyDescent="0.25">
      <c r="B604" t="s">
        <v>154</v>
      </c>
    </row>
    <row r="605" spans="2:5" x14ac:dyDescent="0.25">
      <c r="B605" t="s">
        <v>170</v>
      </c>
    </row>
    <row r="606" spans="2:5" x14ac:dyDescent="0.25">
      <c r="B606" t="s">
        <v>215</v>
      </c>
    </row>
    <row r="608" spans="2:5" x14ac:dyDescent="0.25">
      <c r="D608" t="s">
        <v>155</v>
      </c>
    </row>
    <row r="609" spans="3:8" x14ac:dyDescent="0.25">
      <c r="D609" t="s">
        <v>156</v>
      </c>
    </row>
    <row r="610" spans="3:8" x14ac:dyDescent="0.25">
      <c r="D610" t="s">
        <v>157</v>
      </c>
      <c r="E610" t="s">
        <v>224</v>
      </c>
    </row>
    <row r="611" spans="3:8" x14ac:dyDescent="0.25">
      <c r="D611" t="s">
        <v>216</v>
      </c>
    </row>
    <row r="612" spans="3:8" x14ac:dyDescent="0.25">
      <c r="C612" t="s">
        <v>151</v>
      </c>
    </row>
    <row r="614" spans="3:8" x14ac:dyDescent="0.25">
      <c r="D614" t="s">
        <v>173</v>
      </c>
    </row>
    <row r="615" spans="3:8" x14ac:dyDescent="0.25">
      <c r="D615" t="s">
        <v>174</v>
      </c>
    </row>
    <row r="616" spans="3:8" x14ac:dyDescent="0.25">
      <c r="D616" t="s">
        <v>175</v>
      </c>
      <c r="E616" t="s">
        <v>176</v>
      </c>
      <c r="F616" t="s">
        <v>176</v>
      </c>
      <c r="G616" t="s">
        <v>176</v>
      </c>
      <c r="H616" t="s">
        <v>176</v>
      </c>
    </row>
    <row r="617" spans="3:8" x14ac:dyDescent="0.25">
      <c r="D617" t="s">
        <v>177</v>
      </c>
      <c r="E617">
        <v>7</v>
      </c>
      <c r="F617">
        <v>15</v>
      </c>
      <c r="G617">
        <v>23</v>
      </c>
      <c r="H617">
        <v>31</v>
      </c>
    </row>
    <row r="618" spans="3:8" x14ac:dyDescent="0.25">
      <c r="D618" t="s">
        <v>178</v>
      </c>
      <c r="E618" t="s">
        <v>370</v>
      </c>
      <c r="F618" t="s">
        <v>370</v>
      </c>
      <c r="G618" t="s">
        <v>370</v>
      </c>
      <c r="H618" t="s">
        <v>370</v>
      </c>
    </row>
    <row r="619" spans="3:8" x14ac:dyDescent="0.25">
      <c r="D619" t="s">
        <v>179</v>
      </c>
      <c r="E619">
        <v>7</v>
      </c>
      <c r="F619">
        <v>15</v>
      </c>
      <c r="G619">
        <v>23</v>
      </c>
      <c r="H619">
        <v>31</v>
      </c>
    </row>
    <row r="620" spans="3:8" x14ac:dyDescent="0.25">
      <c r="D620" t="s">
        <v>180</v>
      </c>
      <c r="E620">
        <v>150</v>
      </c>
      <c r="F620">
        <v>150</v>
      </c>
      <c r="G620">
        <v>150</v>
      </c>
      <c r="H620">
        <v>150</v>
      </c>
    </row>
    <row r="621" spans="3:8" x14ac:dyDescent="0.25">
      <c r="D621" t="s">
        <v>181</v>
      </c>
      <c r="E621">
        <v>0</v>
      </c>
      <c r="F621">
        <v>0</v>
      </c>
      <c r="G621">
        <v>0</v>
      </c>
      <c r="H621">
        <v>0</v>
      </c>
    </row>
    <row r="622" spans="3:8" x14ac:dyDescent="0.25">
      <c r="D622" t="s">
        <v>182</v>
      </c>
      <c r="E622">
        <v>0</v>
      </c>
      <c r="F622">
        <v>0</v>
      </c>
      <c r="G622">
        <v>0</v>
      </c>
      <c r="H622">
        <v>0</v>
      </c>
    </row>
    <row r="623" spans="3:8" x14ac:dyDescent="0.25">
      <c r="D623" t="s">
        <v>183</v>
      </c>
      <c r="E623" t="s">
        <v>184</v>
      </c>
      <c r="F623" t="s">
        <v>184</v>
      </c>
      <c r="G623" t="s">
        <v>184</v>
      </c>
      <c r="H623" t="s">
        <v>184</v>
      </c>
    </row>
    <row r="624" spans="3:8" x14ac:dyDescent="0.25">
      <c r="D624" t="s">
        <v>217</v>
      </c>
    </row>
    <row r="626" spans="4:5" x14ac:dyDescent="0.25">
      <c r="D626" t="s">
        <v>158</v>
      </c>
    </row>
    <row r="627" spans="4:5" x14ac:dyDescent="0.25">
      <c r="D627" t="s">
        <v>159</v>
      </c>
    </row>
    <row r="628" spans="4:5" x14ac:dyDescent="0.25">
      <c r="D628" t="s">
        <v>160</v>
      </c>
      <c r="E628">
        <v>0</v>
      </c>
    </row>
    <row r="629" spans="4:5" x14ac:dyDescent="0.25">
      <c r="D629" t="s">
        <v>218</v>
      </c>
    </row>
    <row r="631" spans="4:5" x14ac:dyDescent="0.25">
      <c r="D631" t="s">
        <v>158</v>
      </c>
    </row>
    <row r="632" spans="4:5" x14ac:dyDescent="0.25">
      <c r="D632" t="s">
        <v>162</v>
      </c>
    </row>
    <row r="633" spans="4:5" x14ac:dyDescent="0.25">
      <c r="D633" t="s">
        <v>219</v>
      </c>
    </row>
    <row r="635" spans="4:5" x14ac:dyDescent="0.25">
      <c r="D635" t="s">
        <v>164</v>
      </c>
    </row>
    <row r="636" spans="4:5" x14ac:dyDescent="0.25">
      <c r="D636" t="s">
        <v>159</v>
      </c>
    </row>
    <row r="637" spans="4:5" x14ac:dyDescent="0.25">
      <c r="D637" t="s">
        <v>165</v>
      </c>
      <c r="E637">
        <v>175</v>
      </c>
    </row>
    <row r="638" spans="4:5" x14ac:dyDescent="0.25">
      <c r="D638" t="s">
        <v>160</v>
      </c>
      <c r="E638">
        <v>131.25</v>
      </c>
    </row>
    <row r="639" spans="4:5" x14ac:dyDescent="0.25">
      <c r="D639" t="s">
        <v>220</v>
      </c>
    </row>
    <row r="644" spans="2:5" x14ac:dyDescent="0.25">
      <c r="B644" t="s">
        <v>152</v>
      </c>
    </row>
    <row r="645" spans="2:5" x14ac:dyDescent="0.25">
      <c r="B645" t="s">
        <v>230</v>
      </c>
    </row>
    <row r="646" spans="2:5" x14ac:dyDescent="0.25">
      <c r="B646" t="s">
        <v>231</v>
      </c>
    </row>
    <row r="647" spans="2:5" x14ac:dyDescent="0.25">
      <c r="B647" t="s">
        <v>232</v>
      </c>
    </row>
    <row r="648" spans="2:5" x14ac:dyDescent="0.25">
      <c r="B648" t="s">
        <v>153</v>
      </c>
    </row>
    <row r="649" spans="2:5" x14ac:dyDescent="0.25">
      <c r="B649" t="s">
        <v>154</v>
      </c>
    </row>
    <row r="650" spans="2:5" x14ac:dyDescent="0.25">
      <c r="B650" t="s">
        <v>170</v>
      </c>
    </row>
    <row r="651" spans="2:5" x14ac:dyDescent="0.25">
      <c r="B651" t="s">
        <v>215</v>
      </c>
    </row>
    <row r="653" spans="2:5" x14ac:dyDescent="0.25">
      <c r="D653" t="s">
        <v>155</v>
      </c>
    </row>
    <row r="654" spans="2:5" x14ac:dyDescent="0.25">
      <c r="D654" t="s">
        <v>156</v>
      </c>
    </row>
    <row r="655" spans="2:5" x14ac:dyDescent="0.25">
      <c r="D655" t="s">
        <v>157</v>
      </c>
      <c r="E655" t="s">
        <v>233</v>
      </c>
    </row>
    <row r="656" spans="2:5" x14ac:dyDescent="0.25">
      <c r="D656" t="s">
        <v>225</v>
      </c>
    </row>
    <row r="657" spans="3:8" x14ac:dyDescent="0.25">
      <c r="C657" t="s">
        <v>151</v>
      </c>
    </row>
    <row r="659" spans="3:8" x14ac:dyDescent="0.25">
      <c r="D659" t="s">
        <v>173</v>
      </c>
    </row>
    <row r="660" spans="3:8" x14ac:dyDescent="0.25">
      <c r="D660" t="s">
        <v>174</v>
      </c>
    </row>
    <row r="661" spans="3:8" x14ac:dyDescent="0.25">
      <c r="D661" t="s">
        <v>175</v>
      </c>
      <c r="E661" t="s">
        <v>176</v>
      </c>
      <c r="F661" t="s">
        <v>176</v>
      </c>
      <c r="G661" t="s">
        <v>176</v>
      </c>
      <c r="H661" t="s">
        <v>176</v>
      </c>
    </row>
    <row r="662" spans="3:8" x14ac:dyDescent="0.25">
      <c r="D662" t="s">
        <v>177</v>
      </c>
      <c r="E662">
        <v>7</v>
      </c>
      <c r="F662">
        <v>15</v>
      </c>
      <c r="G662">
        <v>23</v>
      </c>
      <c r="H662">
        <v>31</v>
      </c>
    </row>
    <row r="663" spans="3:8" x14ac:dyDescent="0.25">
      <c r="D663" t="s">
        <v>178</v>
      </c>
      <c r="E663" t="s">
        <v>370</v>
      </c>
      <c r="F663" t="s">
        <v>370</v>
      </c>
      <c r="G663" t="s">
        <v>370</v>
      </c>
      <c r="H663" t="s">
        <v>370</v>
      </c>
    </row>
    <row r="664" spans="3:8" x14ac:dyDescent="0.25">
      <c r="D664" t="s">
        <v>179</v>
      </c>
      <c r="E664">
        <v>7</v>
      </c>
      <c r="F664">
        <v>15</v>
      </c>
      <c r="G664">
        <v>23</v>
      </c>
      <c r="H664">
        <v>31</v>
      </c>
    </row>
    <row r="665" spans="3:8" x14ac:dyDescent="0.25">
      <c r="D665" t="s">
        <v>180</v>
      </c>
      <c r="E665">
        <v>150</v>
      </c>
      <c r="F665">
        <v>150</v>
      </c>
      <c r="G665">
        <v>150</v>
      </c>
      <c r="H665">
        <v>150</v>
      </c>
    </row>
    <row r="666" spans="3:8" x14ac:dyDescent="0.25">
      <c r="D666" t="s">
        <v>181</v>
      </c>
      <c r="E666">
        <v>0</v>
      </c>
      <c r="F666">
        <v>0</v>
      </c>
      <c r="G666">
        <v>0</v>
      </c>
      <c r="H666">
        <v>0</v>
      </c>
    </row>
    <row r="667" spans="3:8" x14ac:dyDescent="0.25">
      <c r="D667" t="s">
        <v>182</v>
      </c>
      <c r="E667">
        <v>0</v>
      </c>
      <c r="F667">
        <v>0</v>
      </c>
      <c r="G667">
        <v>0</v>
      </c>
      <c r="H667">
        <v>0</v>
      </c>
    </row>
    <row r="668" spans="3:8" x14ac:dyDescent="0.25">
      <c r="D668" t="s">
        <v>183</v>
      </c>
      <c r="E668" t="s">
        <v>184</v>
      </c>
      <c r="F668" t="s">
        <v>184</v>
      </c>
      <c r="G668" t="s">
        <v>184</v>
      </c>
      <c r="H668" t="s">
        <v>184</v>
      </c>
    </row>
    <row r="669" spans="3:8" x14ac:dyDescent="0.25">
      <c r="D669" t="s">
        <v>226</v>
      </c>
    </row>
    <row r="671" spans="3:8" x14ac:dyDescent="0.25">
      <c r="D671" t="s">
        <v>158</v>
      </c>
    </row>
    <row r="672" spans="3:8" x14ac:dyDescent="0.25">
      <c r="D672" t="s">
        <v>159</v>
      </c>
    </row>
    <row r="673" spans="4:5" x14ac:dyDescent="0.25">
      <c r="D673" t="s">
        <v>160</v>
      </c>
      <c r="E673">
        <v>0</v>
      </c>
    </row>
    <row r="674" spans="4:5" x14ac:dyDescent="0.25">
      <c r="D674" t="s">
        <v>227</v>
      </c>
    </row>
    <row r="676" spans="4:5" x14ac:dyDescent="0.25">
      <c r="D676" t="s">
        <v>158</v>
      </c>
    </row>
    <row r="677" spans="4:5" x14ac:dyDescent="0.25">
      <c r="D677" t="s">
        <v>162</v>
      </c>
    </row>
    <row r="678" spans="4:5" x14ac:dyDescent="0.25">
      <c r="D678" t="s">
        <v>228</v>
      </c>
    </row>
    <row r="680" spans="4:5" x14ac:dyDescent="0.25">
      <c r="D680" t="s">
        <v>164</v>
      </c>
    </row>
    <row r="681" spans="4:5" x14ac:dyDescent="0.25">
      <c r="D681" t="s">
        <v>159</v>
      </c>
    </row>
    <row r="682" spans="4:5" x14ac:dyDescent="0.25">
      <c r="D682" t="s">
        <v>165</v>
      </c>
      <c r="E682">
        <v>175</v>
      </c>
    </row>
    <row r="683" spans="4:5" x14ac:dyDescent="0.25">
      <c r="D683" t="s">
        <v>160</v>
      </c>
      <c r="E683">
        <v>131.25</v>
      </c>
    </row>
    <row r="684" spans="4:5" x14ac:dyDescent="0.25">
      <c r="D684" t="s">
        <v>229</v>
      </c>
    </row>
    <row r="689" spans="2:5" x14ac:dyDescent="0.25">
      <c r="B689" t="s">
        <v>152</v>
      </c>
    </row>
    <row r="690" spans="2:5" x14ac:dyDescent="0.25">
      <c r="B690" t="s">
        <v>239</v>
      </c>
    </row>
    <row r="691" spans="2:5" x14ac:dyDescent="0.25">
      <c r="B691" t="s">
        <v>240</v>
      </c>
    </row>
    <row r="692" spans="2:5" x14ac:dyDescent="0.25">
      <c r="B692" t="s">
        <v>241</v>
      </c>
    </row>
    <row r="693" spans="2:5" x14ac:dyDescent="0.25">
      <c r="B693" t="s">
        <v>153</v>
      </c>
    </row>
    <row r="694" spans="2:5" x14ac:dyDescent="0.25">
      <c r="B694" t="s">
        <v>154</v>
      </c>
    </row>
    <row r="695" spans="2:5" x14ac:dyDescent="0.25">
      <c r="B695" t="s">
        <v>170</v>
      </c>
    </row>
    <row r="696" spans="2:5" x14ac:dyDescent="0.25">
      <c r="B696" t="s">
        <v>215</v>
      </c>
    </row>
    <row r="698" spans="2:5" x14ac:dyDescent="0.25">
      <c r="D698" t="s">
        <v>155</v>
      </c>
    </row>
    <row r="699" spans="2:5" x14ac:dyDescent="0.25">
      <c r="D699" t="s">
        <v>156</v>
      </c>
    </row>
    <row r="700" spans="2:5" x14ac:dyDescent="0.25">
      <c r="D700" t="s">
        <v>157</v>
      </c>
      <c r="E700" t="s">
        <v>242</v>
      </c>
    </row>
    <row r="701" spans="2:5" x14ac:dyDescent="0.25">
      <c r="D701" t="s">
        <v>234</v>
      </c>
    </row>
    <row r="702" spans="2:5" x14ac:dyDescent="0.25">
      <c r="C702" t="s">
        <v>151</v>
      </c>
    </row>
    <row r="704" spans="2:5" x14ac:dyDescent="0.25">
      <c r="D704" t="s">
        <v>173</v>
      </c>
    </row>
    <row r="705" spans="4:8" x14ac:dyDescent="0.25">
      <c r="D705" t="s">
        <v>174</v>
      </c>
    </row>
    <row r="706" spans="4:8" x14ac:dyDescent="0.25">
      <c r="D706" t="s">
        <v>175</v>
      </c>
      <c r="E706" t="s">
        <v>176</v>
      </c>
      <c r="F706" t="s">
        <v>176</v>
      </c>
      <c r="G706" t="s">
        <v>176</v>
      </c>
      <c r="H706" t="s">
        <v>176</v>
      </c>
    </row>
    <row r="707" spans="4:8" x14ac:dyDescent="0.25">
      <c r="D707" t="s">
        <v>177</v>
      </c>
      <c r="E707">
        <v>7</v>
      </c>
      <c r="F707">
        <v>15</v>
      </c>
      <c r="G707">
        <v>23</v>
      </c>
      <c r="H707">
        <v>31</v>
      </c>
    </row>
    <row r="708" spans="4:8" x14ac:dyDescent="0.25">
      <c r="D708" t="s">
        <v>178</v>
      </c>
      <c r="E708" t="s">
        <v>371</v>
      </c>
      <c r="F708" t="s">
        <v>371</v>
      </c>
      <c r="G708" t="s">
        <v>371</v>
      </c>
      <c r="H708" t="s">
        <v>371</v>
      </c>
    </row>
    <row r="709" spans="4:8" x14ac:dyDescent="0.25">
      <c r="D709" t="s">
        <v>179</v>
      </c>
      <c r="E709">
        <v>7</v>
      </c>
      <c r="F709">
        <v>15</v>
      </c>
      <c r="G709">
        <v>23</v>
      </c>
      <c r="H709">
        <v>31</v>
      </c>
    </row>
    <row r="710" spans="4:8" x14ac:dyDescent="0.25">
      <c r="D710" t="s">
        <v>180</v>
      </c>
      <c r="E710">
        <v>150</v>
      </c>
      <c r="F710">
        <v>150</v>
      </c>
      <c r="G710">
        <v>150</v>
      </c>
      <c r="H710">
        <v>150</v>
      </c>
    </row>
    <row r="711" spans="4:8" x14ac:dyDescent="0.25">
      <c r="D711" t="s">
        <v>181</v>
      </c>
      <c r="E711">
        <v>0</v>
      </c>
      <c r="F711">
        <v>0</v>
      </c>
      <c r="G711">
        <v>0</v>
      </c>
      <c r="H711">
        <v>0</v>
      </c>
    </row>
    <row r="712" spans="4:8" x14ac:dyDescent="0.25">
      <c r="D712" t="s">
        <v>182</v>
      </c>
      <c r="E712">
        <v>0</v>
      </c>
      <c r="F712">
        <v>0</v>
      </c>
      <c r="G712">
        <v>0</v>
      </c>
      <c r="H712">
        <v>0</v>
      </c>
    </row>
    <row r="713" spans="4:8" x14ac:dyDescent="0.25">
      <c r="D713" t="s">
        <v>183</v>
      </c>
      <c r="E713" t="s">
        <v>184</v>
      </c>
      <c r="F713" t="s">
        <v>184</v>
      </c>
      <c r="G713" t="s">
        <v>184</v>
      </c>
      <c r="H713" t="s">
        <v>184</v>
      </c>
    </row>
    <row r="714" spans="4:8" x14ac:dyDescent="0.25">
      <c r="D714" t="s">
        <v>235</v>
      </c>
    </row>
    <row r="716" spans="4:8" x14ac:dyDescent="0.25">
      <c r="D716" t="s">
        <v>158</v>
      </c>
    </row>
    <row r="717" spans="4:8" x14ac:dyDescent="0.25">
      <c r="D717" t="s">
        <v>159</v>
      </c>
    </row>
    <row r="718" spans="4:8" x14ac:dyDescent="0.25">
      <c r="D718" t="s">
        <v>160</v>
      </c>
      <c r="E718">
        <v>0</v>
      </c>
    </row>
    <row r="719" spans="4:8" x14ac:dyDescent="0.25">
      <c r="D719" t="s">
        <v>236</v>
      </c>
    </row>
    <row r="721" spans="2:5" x14ac:dyDescent="0.25">
      <c r="D721" t="s">
        <v>158</v>
      </c>
    </row>
    <row r="722" spans="2:5" x14ac:dyDescent="0.25">
      <c r="D722" t="s">
        <v>162</v>
      </c>
    </row>
    <row r="723" spans="2:5" x14ac:dyDescent="0.25">
      <c r="D723" t="s">
        <v>237</v>
      </c>
    </row>
    <row r="725" spans="2:5" x14ac:dyDescent="0.25">
      <c r="D725" t="s">
        <v>164</v>
      </c>
    </row>
    <row r="726" spans="2:5" x14ac:dyDescent="0.25">
      <c r="D726" t="s">
        <v>159</v>
      </c>
    </row>
    <row r="727" spans="2:5" x14ac:dyDescent="0.25">
      <c r="D727" t="s">
        <v>165</v>
      </c>
      <c r="E727">
        <v>175</v>
      </c>
    </row>
    <row r="728" spans="2:5" x14ac:dyDescent="0.25">
      <c r="D728" t="s">
        <v>160</v>
      </c>
      <c r="E728">
        <v>131.25</v>
      </c>
    </row>
    <row r="729" spans="2:5" x14ac:dyDescent="0.25">
      <c r="D729" t="s">
        <v>238</v>
      </c>
    </row>
    <row r="734" spans="2:5" x14ac:dyDescent="0.25">
      <c r="B734" t="s">
        <v>152</v>
      </c>
    </row>
    <row r="735" spans="2:5" x14ac:dyDescent="0.25">
      <c r="B735" t="s">
        <v>248</v>
      </c>
    </row>
    <row r="736" spans="2:5" x14ac:dyDescent="0.25">
      <c r="B736" t="s">
        <v>249</v>
      </c>
    </row>
    <row r="737" spans="2:8" x14ac:dyDescent="0.25">
      <c r="B737" t="s">
        <v>250</v>
      </c>
    </row>
    <row r="738" spans="2:8" x14ac:dyDescent="0.25">
      <c r="B738" t="s">
        <v>153</v>
      </c>
    </row>
    <row r="739" spans="2:8" x14ac:dyDescent="0.25">
      <c r="B739" t="s">
        <v>154</v>
      </c>
    </row>
    <row r="740" spans="2:8" x14ac:dyDescent="0.25">
      <c r="B740" t="s">
        <v>170</v>
      </c>
    </row>
    <row r="741" spans="2:8" x14ac:dyDescent="0.25">
      <c r="B741" t="s">
        <v>215</v>
      </c>
    </row>
    <row r="743" spans="2:8" x14ac:dyDescent="0.25">
      <c r="D743" t="s">
        <v>155</v>
      </c>
    </row>
    <row r="744" spans="2:8" x14ac:dyDescent="0.25">
      <c r="D744" t="s">
        <v>156</v>
      </c>
    </row>
    <row r="745" spans="2:8" x14ac:dyDescent="0.25">
      <c r="D745" t="s">
        <v>157</v>
      </c>
      <c r="E745" t="s">
        <v>251</v>
      </c>
    </row>
    <row r="746" spans="2:8" x14ac:dyDescent="0.25">
      <c r="D746" t="s">
        <v>243</v>
      </c>
    </row>
    <row r="747" spans="2:8" x14ac:dyDescent="0.25">
      <c r="C747" t="s">
        <v>151</v>
      </c>
    </row>
    <row r="749" spans="2:8" x14ac:dyDescent="0.25">
      <c r="D749" t="s">
        <v>173</v>
      </c>
    </row>
    <row r="750" spans="2:8" x14ac:dyDescent="0.25">
      <c r="D750" t="s">
        <v>174</v>
      </c>
    </row>
    <row r="751" spans="2:8" x14ac:dyDescent="0.25">
      <c r="D751" t="s">
        <v>175</v>
      </c>
      <c r="E751" t="s">
        <v>176</v>
      </c>
      <c r="F751" t="s">
        <v>176</v>
      </c>
      <c r="G751" t="s">
        <v>176</v>
      </c>
      <c r="H751" t="s">
        <v>176</v>
      </c>
    </row>
    <row r="752" spans="2:8" x14ac:dyDescent="0.25">
      <c r="D752" t="s">
        <v>177</v>
      </c>
      <c r="E752">
        <v>7</v>
      </c>
      <c r="F752">
        <v>15</v>
      </c>
      <c r="G752">
        <v>23</v>
      </c>
      <c r="H752">
        <v>31</v>
      </c>
    </row>
    <row r="753" spans="4:8" x14ac:dyDescent="0.25">
      <c r="D753" t="s">
        <v>178</v>
      </c>
      <c r="E753" t="s">
        <v>371</v>
      </c>
      <c r="F753" t="s">
        <v>371</v>
      </c>
      <c r="G753" t="s">
        <v>371</v>
      </c>
      <c r="H753" t="s">
        <v>371</v>
      </c>
    </row>
    <row r="754" spans="4:8" x14ac:dyDescent="0.25">
      <c r="D754" t="s">
        <v>179</v>
      </c>
      <c r="E754">
        <v>7</v>
      </c>
      <c r="F754">
        <v>15</v>
      </c>
      <c r="G754">
        <v>23</v>
      </c>
      <c r="H754">
        <v>31</v>
      </c>
    </row>
    <row r="755" spans="4:8" x14ac:dyDescent="0.25">
      <c r="D755" t="s">
        <v>180</v>
      </c>
      <c r="E755">
        <v>150</v>
      </c>
      <c r="F755">
        <v>150</v>
      </c>
      <c r="G755">
        <v>150</v>
      </c>
      <c r="H755">
        <v>150</v>
      </c>
    </row>
    <row r="756" spans="4:8" x14ac:dyDescent="0.25">
      <c r="D756" t="s">
        <v>181</v>
      </c>
      <c r="E756">
        <v>0</v>
      </c>
      <c r="F756">
        <v>0</v>
      </c>
      <c r="G756">
        <v>0</v>
      </c>
      <c r="H756">
        <v>0</v>
      </c>
    </row>
    <row r="757" spans="4:8" x14ac:dyDescent="0.25">
      <c r="D757" t="s">
        <v>182</v>
      </c>
      <c r="E757">
        <v>0</v>
      </c>
      <c r="F757">
        <v>0</v>
      </c>
      <c r="G757">
        <v>0</v>
      </c>
      <c r="H757">
        <v>0</v>
      </c>
    </row>
    <row r="758" spans="4:8" x14ac:dyDescent="0.25">
      <c r="D758" t="s">
        <v>183</v>
      </c>
      <c r="E758" t="s">
        <v>184</v>
      </c>
      <c r="F758" t="s">
        <v>184</v>
      </c>
      <c r="G758" t="s">
        <v>184</v>
      </c>
      <c r="H758" t="s">
        <v>184</v>
      </c>
    </row>
    <row r="759" spans="4:8" x14ac:dyDescent="0.25">
      <c r="D759" t="s">
        <v>244</v>
      </c>
    </row>
    <row r="761" spans="4:8" x14ac:dyDescent="0.25">
      <c r="D761" t="s">
        <v>158</v>
      </c>
    </row>
    <row r="762" spans="4:8" x14ac:dyDescent="0.25">
      <c r="D762" t="s">
        <v>159</v>
      </c>
    </row>
    <row r="763" spans="4:8" x14ac:dyDescent="0.25">
      <c r="D763" t="s">
        <v>160</v>
      </c>
      <c r="E763">
        <v>0</v>
      </c>
    </row>
    <row r="764" spans="4:8" x14ac:dyDescent="0.25">
      <c r="D764" t="s">
        <v>245</v>
      </c>
    </row>
    <row r="766" spans="4:8" x14ac:dyDescent="0.25">
      <c r="D766" t="s">
        <v>158</v>
      </c>
    </row>
    <row r="767" spans="4:8" x14ac:dyDescent="0.25">
      <c r="D767" t="s">
        <v>162</v>
      </c>
    </row>
    <row r="768" spans="4:8" x14ac:dyDescent="0.25">
      <c r="D768" t="s">
        <v>246</v>
      </c>
    </row>
    <row r="770" spans="2:5" x14ac:dyDescent="0.25">
      <c r="D770" t="s">
        <v>164</v>
      </c>
    </row>
    <row r="771" spans="2:5" x14ac:dyDescent="0.25">
      <c r="D771" t="s">
        <v>159</v>
      </c>
    </row>
    <row r="772" spans="2:5" x14ac:dyDescent="0.25">
      <c r="D772" t="s">
        <v>165</v>
      </c>
      <c r="E772">
        <v>175</v>
      </c>
    </row>
    <row r="773" spans="2:5" x14ac:dyDescent="0.25">
      <c r="D773" t="s">
        <v>160</v>
      </c>
      <c r="E773">
        <v>131.25</v>
      </c>
    </row>
    <row r="774" spans="2:5" x14ac:dyDescent="0.25">
      <c r="D774" t="s">
        <v>247</v>
      </c>
    </row>
    <row r="779" spans="2:5" x14ac:dyDescent="0.25">
      <c r="B779" t="s">
        <v>152</v>
      </c>
    </row>
    <row r="780" spans="2:5" x14ac:dyDescent="0.25">
      <c r="B780" t="s">
        <v>257</v>
      </c>
    </row>
    <row r="781" spans="2:5" x14ac:dyDescent="0.25">
      <c r="B781" t="s">
        <v>258</v>
      </c>
    </row>
    <row r="782" spans="2:5" x14ac:dyDescent="0.25">
      <c r="B782" t="s">
        <v>259</v>
      </c>
    </row>
    <row r="783" spans="2:5" x14ac:dyDescent="0.25">
      <c r="B783" t="s">
        <v>153</v>
      </c>
    </row>
    <row r="784" spans="2:5" x14ac:dyDescent="0.25">
      <c r="B784" t="s">
        <v>154</v>
      </c>
    </row>
    <row r="785" spans="2:8" x14ac:dyDescent="0.25">
      <c r="B785" t="s">
        <v>170</v>
      </c>
    </row>
    <row r="786" spans="2:8" x14ac:dyDescent="0.25">
      <c r="B786" t="s">
        <v>215</v>
      </c>
    </row>
    <row r="788" spans="2:8" x14ac:dyDescent="0.25">
      <c r="D788" t="s">
        <v>155</v>
      </c>
    </row>
    <row r="789" spans="2:8" x14ac:dyDescent="0.25">
      <c r="D789" t="s">
        <v>156</v>
      </c>
    </row>
    <row r="790" spans="2:8" x14ac:dyDescent="0.25">
      <c r="D790" t="s">
        <v>157</v>
      </c>
      <c r="E790" t="s">
        <v>260</v>
      </c>
    </row>
    <row r="791" spans="2:8" x14ac:dyDescent="0.25">
      <c r="D791" t="s">
        <v>252</v>
      </c>
    </row>
    <row r="792" spans="2:8" x14ac:dyDescent="0.25">
      <c r="C792" t="s">
        <v>151</v>
      </c>
    </row>
    <row r="794" spans="2:8" x14ac:dyDescent="0.25">
      <c r="D794" t="s">
        <v>173</v>
      </c>
    </row>
    <row r="795" spans="2:8" x14ac:dyDescent="0.25">
      <c r="D795" t="s">
        <v>174</v>
      </c>
    </row>
    <row r="796" spans="2:8" x14ac:dyDescent="0.25">
      <c r="D796" t="s">
        <v>175</v>
      </c>
      <c r="E796" t="s">
        <v>176</v>
      </c>
      <c r="F796" t="s">
        <v>176</v>
      </c>
      <c r="G796" t="s">
        <v>176</v>
      </c>
      <c r="H796" t="s">
        <v>176</v>
      </c>
    </row>
    <row r="797" spans="2:8" x14ac:dyDescent="0.25">
      <c r="D797" t="s">
        <v>177</v>
      </c>
      <c r="E797">
        <v>7</v>
      </c>
      <c r="F797">
        <v>15</v>
      </c>
      <c r="G797">
        <v>23</v>
      </c>
      <c r="H797">
        <v>31</v>
      </c>
    </row>
    <row r="798" spans="2:8" x14ac:dyDescent="0.25">
      <c r="D798" t="s">
        <v>178</v>
      </c>
      <c r="E798" t="s">
        <v>371</v>
      </c>
      <c r="F798" t="s">
        <v>371</v>
      </c>
      <c r="G798" t="s">
        <v>371</v>
      </c>
      <c r="H798" t="s">
        <v>371</v>
      </c>
    </row>
    <row r="799" spans="2:8" x14ac:dyDescent="0.25">
      <c r="D799" t="s">
        <v>179</v>
      </c>
      <c r="E799">
        <v>7</v>
      </c>
      <c r="F799">
        <v>15</v>
      </c>
      <c r="G799">
        <v>23</v>
      </c>
      <c r="H799">
        <v>31</v>
      </c>
    </row>
    <row r="800" spans="2:8" x14ac:dyDescent="0.25">
      <c r="D800" t="s">
        <v>180</v>
      </c>
      <c r="E800">
        <v>150</v>
      </c>
      <c r="F800">
        <v>150</v>
      </c>
      <c r="G800">
        <v>150</v>
      </c>
      <c r="H800">
        <v>150</v>
      </c>
    </row>
    <row r="801" spans="4:8" x14ac:dyDescent="0.25">
      <c r="D801" t="s">
        <v>181</v>
      </c>
      <c r="E801">
        <v>0</v>
      </c>
      <c r="F801">
        <v>0</v>
      </c>
      <c r="G801">
        <v>0</v>
      </c>
      <c r="H801">
        <v>0</v>
      </c>
    </row>
    <row r="802" spans="4:8" x14ac:dyDescent="0.25">
      <c r="D802" t="s">
        <v>182</v>
      </c>
      <c r="E802">
        <v>0</v>
      </c>
      <c r="F802">
        <v>0</v>
      </c>
      <c r="G802">
        <v>0</v>
      </c>
      <c r="H802">
        <v>0</v>
      </c>
    </row>
    <row r="803" spans="4:8" x14ac:dyDescent="0.25">
      <c r="D803" t="s">
        <v>183</v>
      </c>
      <c r="E803" t="s">
        <v>184</v>
      </c>
      <c r="F803" t="s">
        <v>184</v>
      </c>
      <c r="G803" t="s">
        <v>184</v>
      </c>
      <c r="H803" t="s">
        <v>184</v>
      </c>
    </row>
    <row r="804" spans="4:8" x14ac:dyDescent="0.25">
      <c r="D804" t="s">
        <v>253</v>
      </c>
    </row>
    <row r="806" spans="4:8" x14ac:dyDescent="0.25">
      <c r="D806" t="s">
        <v>158</v>
      </c>
    </row>
    <row r="807" spans="4:8" x14ac:dyDescent="0.25">
      <c r="D807" t="s">
        <v>159</v>
      </c>
    </row>
    <row r="808" spans="4:8" x14ac:dyDescent="0.25">
      <c r="D808" t="s">
        <v>160</v>
      </c>
      <c r="E808">
        <v>0</v>
      </c>
    </row>
    <row r="809" spans="4:8" x14ac:dyDescent="0.25">
      <c r="D809" t="s">
        <v>254</v>
      </c>
    </row>
    <row r="811" spans="4:8" x14ac:dyDescent="0.25">
      <c r="D811" t="s">
        <v>158</v>
      </c>
    </row>
    <row r="812" spans="4:8" x14ac:dyDescent="0.25">
      <c r="D812" t="s">
        <v>162</v>
      </c>
    </row>
    <row r="813" spans="4:8" x14ac:dyDescent="0.25">
      <c r="D813" t="s">
        <v>255</v>
      </c>
    </row>
    <row r="815" spans="4:8" x14ac:dyDescent="0.25">
      <c r="D815" t="s">
        <v>164</v>
      </c>
    </row>
    <row r="816" spans="4:8" x14ac:dyDescent="0.25">
      <c r="D816" t="s">
        <v>159</v>
      </c>
    </row>
    <row r="817" spans="4:5" x14ac:dyDescent="0.25">
      <c r="D817" t="s">
        <v>165</v>
      </c>
      <c r="E817">
        <v>175</v>
      </c>
    </row>
    <row r="818" spans="4:5" x14ac:dyDescent="0.25">
      <c r="D818" t="s">
        <v>160</v>
      </c>
      <c r="E818">
        <v>131.25</v>
      </c>
    </row>
    <row r="819" spans="4:5" x14ac:dyDescent="0.25">
      <c r="D819" t="s">
        <v>256</v>
      </c>
    </row>
    <row r="821" spans="4:5" x14ac:dyDescent="0.25">
      <c r="D821" t="s">
        <v>306</v>
      </c>
    </row>
    <row r="822" spans="4:5" x14ac:dyDescent="0.25">
      <c r="D822" t="s">
        <v>307</v>
      </c>
    </row>
    <row r="823" spans="4:5" x14ac:dyDescent="0.25">
      <c r="D823" t="s">
        <v>178</v>
      </c>
      <c r="E823" t="s">
        <v>317</v>
      </c>
    </row>
    <row r="824" spans="4:5" x14ac:dyDescent="0.25">
      <c r="D824" t="s">
        <v>175</v>
      </c>
      <c r="E824" t="s">
        <v>316</v>
      </c>
    </row>
    <row r="825" spans="4:5" x14ac:dyDescent="0.25">
      <c r="D825" t="s">
        <v>310</v>
      </c>
      <c r="E825">
        <v>97</v>
      </c>
    </row>
    <row r="826" spans="4:5" x14ac:dyDescent="0.25">
      <c r="D826" t="s">
        <v>311</v>
      </c>
      <c r="E826">
        <v>89</v>
      </c>
    </row>
    <row r="827" spans="4:5" x14ac:dyDescent="0.25">
      <c r="D827" t="s">
        <v>312</v>
      </c>
      <c r="E827">
        <v>4</v>
      </c>
    </row>
    <row r="828" spans="4:5" x14ac:dyDescent="0.25">
      <c r="D828" t="s">
        <v>313</v>
      </c>
      <c r="E828">
        <v>0</v>
      </c>
    </row>
    <row r="829" spans="4:5" x14ac:dyDescent="0.25">
      <c r="D829" t="s">
        <v>314</v>
      </c>
      <c r="E829">
        <v>0</v>
      </c>
    </row>
    <row r="830" spans="4:5" x14ac:dyDescent="0.25">
      <c r="D830" t="s">
        <v>372</v>
      </c>
    </row>
    <row r="832" spans="4:5" x14ac:dyDescent="0.25">
      <c r="D832" t="s">
        <v>306</v>
      </c>
    </row>
    <row r="833" spans="2:5" x14ac:dyDescent="0.25">
      <c r="D833" t="s">
        <v>307</v>
      </c>
    </row>
    <row r="834" spans="2:5" x14ac:dyDescent="0.25">
      <c r="D834" t="s">
        <v>178</v>
      </c>
      <c r="E834" t="s">
        <v>309</v>
      </c>
    </row>
    <row r="835" spans="2:5" x14ac:dyDescent="0.25">
      <c r="D835" t="s">
        <v>175</v>
      </c>
      <c r="E835" t="s">
        <v>367</v>
      </c>
    </row>
    <row r="836" spans="2:5" x14ac:dyDescent="0.25">
      <c r="D836" t="s">
        <v>310</v>
      </c>
      <c r="E836">
        <v>85</v>
      </c>
    </row>
    <row r="837" spans="2:5" x14ac:dyDescent="0.25">
      <c r="D837" t="s">
        <v>311</v>
      </c>
      <c r="E837">
        <v>73</v>
      </c>
    </row>
    <row r="838" spans="2:5" x14ac:dyDescent="0.25">
      <c r="D838" t="s">
        <v>312</v>
      </c>
      <c r="E838">
        <v>10</v>
      </c>
    </row>
    <row r="839" spans="2:5" x14ac:dyDescent="0.25">
      <c r="D839" t="s">
        <v>313</v>
      </c>
      <c r="E839">
        <v>1</v>
      </c>
    </row>
    <row r="840" spans="2:5" x14ac:dyDescent="0.25">
      <c r="D840" t="s">
        <v>314</v>
      </c>
      <c r="E840">
        <v>1</v>
      </c>
    </row>
    <row r="841" spans="2:5" x14ac:dyDescent="0.25">
      <c r="D841" t="s">
        <v>373</v>
      </c>
    </row>
    <row r="846" spans="2:5" x14ac:dyDescent="0.25">
      <c r="B846" t="s">
        <v>147</v>
      </c>
    </row>
    <row r="847" spans="2:5" x14ac:dyDescent="0.25">
      <c r="B847" t="s">
        <v>261</v>
      </c>
    </row>
    <row r="848" spans="2:5" x14ac:dyDescent="0.25">
      <c r="B848" t="s">
        <v>262</v>
      </c>
    </row>
    <row r="849" spans="2:4" x14ac:dyDescent="0.25">
      <c r="B849" t="s">
        <v>150</v>
      </c>
    </row>
    <row r="851" spans="2:4" x14ac:dyDescent="0.25">
      <c r="C851" t="s">
        <v>151</v>
      </c>
    </row>
    <row r="856" spans="2:4" x14ac:dyDescent="0.25">
      <c r="B856" t="s">
        <v>263</v>
      </c>
    </row>
    <row r="857" spans="2:4" x14ac:dyDescent="0.25">
      <c r="B857" t="s">
        <v>264</v>
      </c>
    </row>
    <row r="858" spans="2:4" x14ac:dyDescent="0.25">
      <c r="B858" t="s">
        <v>265</v>
      </c>
    </row>
    <row r="859" spans="2:4" x14ac:dyDescent="0.25">
      <c r="B859" t="s">
        <v>266</v>
      </c>
    </row>
    <row r="860" spans="2:4" x14ac:dyDescent="0.25">
      <c r="B860" t="s">
        <v>267</v>
      </c>
    </row>
    <row r="861" spans="2:4" x14ac:dyDescent="0.25">
      <c r="B861" t="s">
        <v>268</v>
      </c>
    </row>
    <row r="862" spans="2:4" x14ac:dyDescent="0.25">
      <c r="B862" t="s">
        <v>269</v>
      </c>
    </row>
    <row r="864" spans="2:4" x14ac:dyDescent="0.25">
      <c r="D864" t="s">
        <v>155</v>
      </c>
    </row>
    <row r="865" spans="3:8" x14ac:dyDescent="0.25">
      <c r="D865" t="s">
        <v>156</v>
      </c>
    </row>
    <row r="866" spans="3:8" x14ac:dyDescent="0.25">
      <c r="D866" t="s">
        <v>157</v>
      </c>
      <c r="E866" t="s">
        <v>270</v>
      </c>
    </row>
    <row r="867" spans="3:8" x14ac:dyDescent="0.25">
      <c r="D867" t="s">
        <v>340</v>
      </c>
    </row>
    <row r="868" spans="3:8" x14ac:dyDescent="0.25">
      <c r="C868" t="s">
        <v>151</v>
      </c>
    </row>
    <row r="870" spans="3:8" x14ac:dyDescent="0.25">
      <c r="D870" t="s">
        <v>173</v>
      </c>
    </row>
    <row r="871" spans="3:8" x14ac:dyDescent="0.25">
      <c r="D871" t="s">
        <v>174</v>
      </c>
    </row>
    <row r="872" spans="3:8" x14ac:dyDescent="0.25">
      <c r="D872" t="s">
        <v>175</v>
      </c>
      <c r="E872" t="s">
        <v>374</v>
      </c>
      <c r="F872" t="s">
        <v>374</v>
      </c>
      <c r="G872" t="s">
        <v>374</v>
      </c>
      <c r="H872" t="s">
        <v>374</v>
      </c>
    </row>
    <row r="873" spans="3:8" x14ac:dyDescent="0.25">
      <c r="D873" t="s">
        <v>177</v>
      </c>
      <c r="E873">
        <v>7</v>
      </c>
      <c r="F873">
        <v>15</v>
      </c>
      <c r="G873">
        <v>23</v>
      </c>
      <c r="H873">
        <v>31</v>
      </c>
    </row>
    <row r="874" spans="3:8" x14ac:dyDescent="0.25">
      <c r="D874" t="s">
        <v>178</v>
      </c>
      <c r="E874" t="s">
        <v>375</v>
      </c>
      <c r="F874" t="s">
        <v>376</v>
      </c>
      <c r="G874" t="s">
        <v>377</v>
      </c>
      <c r="H874" t="s">
        <v>376</v>
      </c>
    </row>
    <row r="875" spans="3:8" x14ac:dyDescent="0.25">
      <c r="D875" t="s">
        <v>179</v>
      </c>
      <c r="E875">
        <v>7</v>
      </c>
      <c r="F875">
        <v>15</v>
      </c>
      <c r="G875">
        <v>23</v>
      </c>
      <c r="H875">
        <v>31</v>
      </c>
    </row>
    <row r="876" spans="3:8" x14ac:dyDescent="0.25">
      <c r="D876" t="s">
        <v>180</v>
      </c>
      <c r="E876">
        <v>21.6</v>
      </c>
      <c r="F876">
        <v>6</v>
      </c>
      <c r="G876">
        <v>8.4</v>
      </c>
      <c r="H876">
        <v>6</v>
      </c>
    </row>
    <row r="877" spans="3:8" x14ac:dyDescent="0.25">
      <c r="D877" t="s">
        <v>181</v>
      </c>
      <c r="E877">
        <v>0.01</v>
      </c>
      <c r="F877">
        <v>0.01</v>
      </c>
      <c r="G877">
        <v>0.01</v>
      </c>
      <c r="H877">
        <v>0.01</v>
      </c>
    </row>
    <row r="878" spans="3:8" x14ac:dyDescent="0.25">
      <c r="D878" t="s">
        <v>182</v>
      </c>
      <c r="E878">
        <v>0</v>
      </c>
      <c r="F878">
        <v>0</v>
      </c>
      <c r="G878">
        <v>0</v>
      </c>
      <c r="H878">
        <v>0</v>
      </c>
    </row>
    <row r="879" spans="3:8" x14ac:dyDescent="0.25">
      <c r="D879" t="s">
        <v>183</v>
      </c>
      <c r="E879" t="s">
        <v>40</v>
      </c>
      <c r="F879" t="s">
        <v>40</v>
      </c>
      <c r="G879" t="s">
        <v>40</v>
      </c>
      <c r="H879" t="s">
        <v>40</v>
      </c>
    </row>
    <row r="880" spans="3:8" x14ac:dyDescent="0.25">
      <c r="D880" t="s">
        <v>341</v>
      </c>
    </row>
    <row r="885" spans="2:5" x14ac:dyDescent="0.25">
      <c r="B885" t="s">
        <v>152</v>
      </c>
    </row>
    <row r="886" spans="2:5" x14ac:dyDescent="0.25">
      <c r="B886" t="s">
        <v>272</v>
      </c>
    </row>
    <row r="887" spans="2:5" x14ac:dyDescent="0.25">
      <c r="B887" t="s">
        <v>273</v>
      </c>
    </row>
    <row r="888" spans="2:5" x14ac:dyDescent="0.25">
      <c r="B888" t="s">
        <v>274</v>
      </c>
    </row>
    <row r="889" spans="2:5" x14ac:dyDescent="0.25">
      <c r="B889" t="s">
        <v>153</v>
      </c>
    </row>
    <row r="890" spans="2:5" x14ac:dyDescent="0.25">
      <c r="B890" t="s">
        <v>154</v>
      </c>
    </row>
    <row r="891" spans="2:5" x14ac:dyDescent="0.25">
      <c r="B891" t="s">
        <v>170</v>
      </c>
    </row>
    <row r="892" spans="2:5" x14ac:dyDescent="0.25">
      <c r="B892" t="s">
        <v>275</v>
      </c>
    </row>
    <row r="894" spans="2:5" x14ac:dyDescent="0.25">
      <c r="D894" t="s">
        <v>306</v>
      </c>
    </row>
    <row r="895" spans="2:5" x14ac:dyDescent="0.25">
      <c r="D895" t="s">
        <v>307</v>
      </c>
    </row>
    <row r="896" spans="2:5" x14ac:dyDescent="0.25">
      <c r="D896" t="s">
        <v>178</v>
      </c>
      <c r="E896" t="s">
        <v>374</v>
      </c>
    </row>
    <row r="897" spans="4:5" x14ac:dyDescent="0.25">
      <c r="D897" t="s">
        <v>175</v>
      </c>
      <c r="E897" t="s">
        <v>309</v>
      </c>
    </row>
    <row r="898" spans="4:5" x14ac:dyDescent="0.25">
      <c r="D898" t="s">
        <v>310</v>
      </c>
      <c r="E898">
        <v>85</v>
      </c>
    </row>
    <row r="899" spans="4:5" x14ac:dyDescent="0.25">
      <c r="D899" t="s">
        <v>311</v>
      </c>
      <c r="E899">
        <v>73</v>
      </c>
    </row>
    <row r="900" spans="4:5" x14ac:dyDescent="0.25">
      <c r="D900" t="s">
        <v>312</v>
      </c>
      <c r="E900">
        <v>10</v>
      </c>
    </row>
    <row r="901" spans="4:5" x14ac:dyDescent="0.25">
      <c r="D901" t="s">
        <v>313</v>
      </c>
      <c r="E901">
        <v>0</v>
      </c>
    </row>
    <row r="902" spans="4:5" x14ac:dyDescent="0.25">
      <c r="D902" t="s">
        <v>314</v>
      </c>
      <c r="E902">
        <v>0</v>
      </c>
    </row>
    <row r="903" spans="4:5" x14ac:dyDescent="0.25">
      <c r="D903" t="s">
        <v>271</v>
      </c>
    </row>
    <row r="905" spans="4:5" x14ac:dyDescent="0.25">
      <c r="D905" t="s">
        <v>306</v>
      </c>
    </row>
    <row r="906" spans="4:5" x14ac:dyDescent="0.25">
      <c r="D906" t="s">
        <v>307</v>
      </c>
    </row>
    <row r="907" spans="4:5" x14ac:dyDescent="0.25">
      <c r="D907" t="s">
        <v>178</v>
      </c>
      <c r="E907" t="s">
        <v>316</v>
      </c>
    </row>
    <row r="908" spans="4:5" x14ac:dyDescent="0.25">
      <c r="D908" t="s">
        <v>175</v>
      </c>
      <c r="E908" t="s">
        <v>317</v>
      </c>
    </row>
    <row r="909" spans="4:5" x14ac:dyDescent="0.25">
      <c r="D909" t="s">
        <v>310</v>
      </c>
      <c r="E909">
        <v>97</v>
      </c>
    </row>
    <row r="910" spans="4:5" x14ac:dyDescent="0.25">
      <c r="D910" t="s">
        <v>311</v>
      </c>
      <c r="E910">
        <v>89</v>
      </c>
    </row>
    <row r="911" spans="4:5" x14ac:dyDescent="0.25">
      <c r="D911" t="s">
        <v>312</v>
      </c>
      <c r="E911">
        <v>4</v>
      </c>
    </row>
    <row r="912" spans="4:5" x14ac:dyDescent="0.25">
      <c r="D912" t="s">
        <v>313</v>
      </c>
      <c r="E912">
        <v>1</v>
      </c>
    </row>
    <row r="913" spans="3:8" x14ac:dyDescent="0.25">
      <c r="D913" t="s">
        <v>314</v>
      </c>
      <c r="E913">
        <v>0</v>
      </c>
    </row>
    <row r="914" spans="3:8" x14ac:dyDescent="0.25">
      <c r="D914" t="s">
        <v>342</v>
      </c>
    </row>
    <row r="916" spans="3:8" x14ac:dyDescent="0.25">
      <c r="C916" t="s">
        <v>151</v>
      </c>
    </row>
    <row r="918" spans="3:8" x14ac:dyDescent="0.25">
      <c r="D918" t="s">
        <v>173</v>
      </c>
    </row>
    <row r="919" spans="3:8" x14ac:dyDescent="0.25">
      <c r="D919" t="s">
        <v>174</v>
      </c>
    </row>
    <row r="920" spans="3:8" x14ac:dyDescent="0.25">
      <c r="D920" t="s">
        <v>175</v>
      </c>
      <c r="E920" t="s">
        <v>176</v>
      </c>
      <c r="F920" t="s">
        <v>176</v>
      </c>
      <c r="G920" t="s">
        <v>176</v>
      </c>
      <c r="H920" t="s">
        <v>176</v>
      </c>
    </row>
    <row r="921" spans="3:8" x14ac:dyDescent="0.25">
      <c r="D921" t="s">
        <v>177</v>
      </c>
      <c r="E921">
        <v>7</v>
      </c>
      <c r="F921">
        <v>15</v>
      </c>
      <c r="G921">
        <v>23</v>
      </c>
      <c r="H921">
        <v>31</v>
      </c>
    </row>
    <row r="922" spans="3:8" x14ac:dyDescent="0.25">
      <c r="D922" t="s">
        <v>178</v>
      </c>
      <c r="E922" t="s">
        <v>378</v>
      </c>
      <c r="F922" t="s">
        <v>379</v>
      </c>
      <c r="G922" t="s">
        <v>379</v>
      </c>
      <c r="H922" t="s">
        <v>379</v>
      </c>
    </row>
    <row r="923" spans="3:8" x14ac:dyDescent="0.25">
      <c r="D923" t="s">
        <v>179</v>
      </c>
      <c r="E923">
        <v>7</v>
      </c>
      <c r="F923">
        <v>15</v>
      </c>
      <c r="G923">
        <v>23</v>
      </c>
      <c r="H923">
        <v>31</v>
      </c>
    </row>
    <row r="924" spans="3:8" x14ac:dyDescent="0.25">
      <c r="D924" t="s">
        <v>180</v>
      </c>
      <c r="E924">
        <v>200</v>
      </c>
      <c r="F924">
        <v>150</v>
      </c>
      <c r="G924">
        <v>150</v>
      </c>
      <c r="H924">
        <v>150</v>
      </c>
    </row>
    <row r="925" spans="3:8" x14ac:dyDescent="0.25">
      <c r="D925" t="s">
        <v>181</v>
      </c>
      <c r="E925">
        <v>0</v>
      </c>
      <c r="F925">
        <v>0</v>
      </c>
      <c r="G925">
        <v>0</v>
      </c>
      <c r="H925">
        <v>0</v>
      </c>
    </row>
    <row r="926" spans="3:8" x14ac:dyDescent="0.25">
      <c r="D926" t="s">
        <v>182</v>
      </c>
      <c r="E926">
        <v>0</v>
      </c>
      <c r="F926">
        <v>0</v>
      </c>
      <c r="G926">
        <v>0</v>
      </c>
      <c r="H926">
        <v>0</v>
      </c>
    </row>
    <row r="927" spans="3:8" x14ac:dyDescent="0.25">
      <c r="D927" t="s">
        <v>183</v>
      </c>
      <c r="E927" t="s">
        <v>184</v>
      </c>
      <c r="F927" t="s">
        <v>184</v>
      </c>
      <c r="G927" t="s">
        <v>184</v>
      </c>
      <c r="H927" t="s">
        <v>184</v>
      </c>
    </row>
    <row r="928" spans="3:8" x14ac:dyDescent="0.25">
      <c r="D928" t="s">
        <v>343</v>
      </c>
    </row>
    <row r="930" spans="4:5" x14ac:dyDescent="0.25">
      <c r="D930" t="s">
        <v>158</v>
      </c>
    </row>
    <row r="931" spans="4:5" x14ac:dyDescent="0.25">
      <c r="D931" t="s">
        <v>159</v>
      </c>
    </row>
    <row r="932" spans="4:5" x14ac:dyDescent="0.25">
      <c r="D932" t="s">
        <v>160</v>
      </c>
      <c r="E932">
        <v>0</v>
      </c>
    </row>
    <row r="933" spans="4:5" x14ac:dyDescent="0.25">
      <c r="D933" t="s">
        <v>344</v>
      </c>
    </row>
    <row r="935" spans="4:5" x14ac:dyDescent="0.25">
      <c r="D935" t="s">
        <v>158</v>
      </c>
    </row>
    <row r="936" spans="4:5" x14ac:dyDescent="0.25">
      <c r="D936" t="s">
        <v>162</v>
      </c>
    </row>
    <row r="937" spans="4:5" x14ac:dyDescent="0.25">
      <c r="D937" t="s">
        <v>380</v>
      </c>
    </row>
    <row r="939" spans="4:5" x14ac:dyDescent="0.25">
      <c r="D939" t="s">
        <v>164</v>
      </c>
    </row>
    <row r="940" spans="4:5" x14ac:dyDescent="0.25">
      <c r="D940" t="s">
        <v>159</v>
      </c>
    </row>
    <row r="941" spans="4:5" x14ac:dyDescent="0.25">
      <c r="D941" t="s">
        <v>165</v>
      </c>
      <c r="E941">
        <v>175</v>
      </c>
    </row>
    <row r="942" spans="4:5" x14ac:dyDescent="0.25">
      <c r="D942" t="s">
        <v>160</v>
      </c>
      <c r="E942">
        <v>175</v>
      </c>
    </row>
    <row r="943" spans="4:5" x14ac:dyDescent="0.25">
      <c r="D943" t="s">
        <v>381</v>
      </c>
    </row>
    <row r="948" spans="2:5" x14ac:dyDescent="0.25">
      <c r="B948" t="s">
        <v>152</v>
      </c>
    </row>
    <row r="949" spans="2:5" x14ac:dyDescent="0.25">
      <c r="B949" t="s">
        <v>281</v>
      </c>
    </row>
    <row r="950" spans="2:5" x14ac:dyDescent="0.25">
      <c r="B950" t="s">
        <v>282</v>
      </c>
    </row>
    <row r="951" spans="2:5" x14ac:dyDescent="0.25">
      <c r="B951" t="s">
        <v>283</v>
      </c>
    </row>
    <row r="952" spans="2:5" x14ac:dyDescent="0.25">
      <c r="B952" t="s">
        <v>153</v>
      </c>
    </row>
    <row r="953" spans="2:5" x14ac:dyDescent="0.25">
      <c r="B953" t="s">
        <v>154</v>
      </c>
    </row>
    <row r="954" spans="2:5" x14ac:dyDescent="0.25">
      <c r="B954" t="s">
        <v>170</v>
      </c>
    </row>
    <row r="955" spans="2:5" x14ac:dyDescent="0.25">
      <c r="B955" t="s">
        <v>275</v>
      </c>
    </row>
    <row r="957" spans="2:5" x14ac:dyDescent="0.25">
      <c r="D957" t="s">
        <v>155</v>
      </c>
    </row>
    <row r="958" spans="2:5" x14ac:dyDescent="0.25">
      <c r="D958" t="s">
        <v>156</v>
      </c>
    </row>
    <row r="959" spans="2:5" x14ac:dyDescent="0.25">
      <c r="D959" t="s">
        <v>157</v>
      </c>
      <c r="E959" t="s">
        <v>284</v>
      </c>
    </row>
    <row r="960" spans="2:5" x14ac:dyDescent="0.25">
      <c r="D960" t="s">
        <v>276</v>
      </c>
    </row>
    <row r="961" spans="3:8" x14ac:dyDescent="0.25">
      <c r="C961" t="s">
        <v>151</v>
      </c>
    </row>
    <row r="963" spans="3:8" x14ac:dyDescent="0.25">
      <c r="D963" t="s">
        <v>173</v>
      </c>
    </row>
    <row r="964" spans="3:8" x14ac:dyDescent="0.25">
      <c r="D964" t="s">
        <v>174</v>
      </c>
    </row>
    <row r="965" spans="3:8" x14ac:dyDescent="0.25">
      <c r="D965" t="s">
        <v>175</v>
      </c>
      <c r="E965" t="s">
        <v>176</v>
      </c>
      <c r="F965" t="s">
        <v>176</v>
      </c>
      <c r="G965" t="s">
        <v>176</v>
      </c>
      <c r="H965" t="s">
        <v>176</v>
      </c>
    </row>
    <row r="966" spans="3:8" x14ac:dyDescent="0.25">
      <c r="D966" t="s">
        <v>177</v>
      </c>
      <c r="E966">
        <v>7</v>
      </c>
      <c r="F966">
        <v>15</v>
      </c>
      <c r="G966">
        <v>23</v>
      </c>
      <c r="H966">
        <v>31</v>
      </c>
    </row>
    <row r="967" spans="3:8" x14ac:dyDescent="0.25">
      <c r="D967" t="s">
        <v>178</v>
      </c>
      <c r="E967" t="s">
        <v>378</v>
      </c>
      <c r="F967" t="s">
        <v>379</v>
      </c>
      <c r="G967" t="s">
        <v>379</v>
      </c>
      <c r="H967" t="s">
        <v>379</v>
      </c>
    </row>
    <row r="968" spans="3:8" x14ac:dyDescent="0.25">
      <c r="D968" t="s">
        <v>179</v>
      </c>
      <c r="E968">
        <v>7</v>
      </c>
      <c r="F968">
        <v>15</v>
      </c>
      <c r="G968">
        <v>23</v>
      </c>
      <c r="H968">
        <v>31</v>
      </c>
    </row>
    <row r="969" spans="3:8" x14ac:dyDescent="0.25">
      <c r="D969" t="s">
        <v>180</v>
      </c>
      <c r="E969">
        <v>200</v>
      </c>
      <c r="F969">
        <v>150</v>
      </c>
      <c r="G969">
        <v>150</v>
      </c>
      <c r="H969">
        <v>150</v>
      </c>
    </row>
    <row r="970" spans="3:8" x14ac:dyDescent="0.25">
      <c r="D970" t="s">
        <v>181</v>
      </c>
      <c r="E970">
        <v>0</v>
      </c>
      <c r="F970">
        <v>0</v>
      </c>
      <c r="G970">
        <v>0</v>
      </c>
      <c r="H970">
        <v>0</v>
      </c>
    </row>
    <row r="971" spans="3:8" x14ac:dyDescent="0.25">
      <c r="D971" t="s">
        <v>182</v>
      </c>
      <c r="E971">
        <v>0</v>
      </c>
      <c r="F971">
        <v>0</v>
      </c>
      <c r="G971">
        <v>0</v>
      </c>
      <c r="H971">
        <v>0</v>
      </c>
    </row>
    <row r="972" spans="3:8" x14ac:dyDescent="0.25">
      <c r="D972" t="s">
        <v>183</v>
      </c>
      <c r="E972" t="s">
        <v>184</v>
      </c>
      <c r="F972" t="s">
        <v>184</v>
      </c>
      <c r="G972" t="s">
        <v>184</v>
      </c>
      <c r="H972" t="s">
        <v>184</v>
      </c>
    </row>
    <row r="973" spans="3:8" x14ac:dyDescent="0.25">
      <c r="D973" t="s">
        <v>277</v>
      </c>
    </row>
    <row r="975" spans="3:8" x14ac:dyDescent="0.25">
      <c r="D975" t="s">
        <v>158</v>
      </c>
    </row>
    <row r="976" spans="3:8" x14ac:dyDescent="0.25">
      <c r="D976" t="s">
        <v>159</v>
      </c>
    </row>
    <row r="977" spans="4:5" x14ac:dyDescent="0.25">
      <c r="D977" t="s">
        <v>160</v>
      </c>
      <c r="E977">
        <v>0</v>
      </c>
    </row>
    <row r="978" spans="4:5" x14ac:dyDescent="0.25">
      <c r="D978" t="s">
        <v>278</v>
      </c>
    </row>
    <row r="980" spans="4:5" x14ac:dyDescent="0.25">
      <c r="D980" t="s">
        <v>158</v>
      </c>
    </row>
    <row r="981" spans="4:5" x14ac:dyDescent="0.25">
      <c r="D981" t="s">
        <v>162</v>
      </c>
    </row>
    <row r="982" spans="4:5" x14ac:dyDescent="0.25">
      <c r="D982" t="s">
        <v>279</v>
      </c>
    </row>
    <row r="984" spans="4:5" x14ac:dyDescent="0.25">
      <c r="D984" t="s">
        <v>164</v>
      </c>
    </row>
    <row r="985" spans="4:5" x14ac:dyDescent="0.25">
      <c r="D985" t="s">
        <v>159</v>
      </c>
    </row>
    <row r="986" spans="4:5" x14ac:dyDescent="0.25">
      <c r="D986" t="s">
        <v>165</v>
      </c>
      <c r="E986">
        <v>175</v>
      </c>
    </row>
    <row r="987" spans="4:5" x14ac:dyDescent="0.25">
      <c r="D987" t="s">
        <v>160</v>
      </c>
      <c r="E987">
        <v>175</v>
      </c>
    </row>
    <row r="988" spans="4:5" x14ac:dyDescent="0.25">
      <c r="D988" t="s">
        <v>280</v>
      </c>
    </row>
    <row r="993" spans="2:5" x14ac:dyDescent="0.25">
      <c r="B993" t="s">
        <v>152</v>
      </c>
    </row>
    <row r="994" spans="2:5" x14ac:dyDescent="0.25">
      <c r="B994" t="s">
        <v>290</v>
      </c>
    </row>
    <row r="995" spans="2:5" x14ac:dyDescent="0.25">
      <c r="B995" t="s">
        <v>291</v>
      </c>
    </row>
    <row r="996" spans="2:5" x14ac:dyDescent="0.25">
      <c r="B996" t="s">
        <v>292</v>
      </c>
    </row>
    <row r="997" spans="2:5" x14ac:dyDescent="0.25">
      <c r="B997" t="s">
        <v>153</v>
      </c>
    </row>
    <row r="998" spans="2:5" x14ac:dyDescent="0.25">
      <c r="B998" t="s">
        <v>154</v>
      </c>
    </row>
    <row r="999" spans="2:5" x14ac:dyDescent="0.25">
      <c r="B999" t="s">
        <v>170</v>
      </c>
    </row>
    <row r="1000" spans="2:5" x14ac:dyDescent="0.25">
      <c r="B1000" t="s">
        <v>275</v>
      </c>
    </row>
    <row r="1002" spans="2:5" x14ac:dyDescent="0.25">
      <c r="D1002" t="s">
        <v>155</v>
      </c>
    </row>
    <row r="1003" spans="2:5" x14ac:dyDescent="0.25">
      <c r="D1003" t="s">
        <v>156</v>
      </c>
    </row>
    <row r="1004" spans="2:5" x14ac:dyDescent="0.25">
      <c r="D1004" t="s">
        <v>157</v>
      </c>
      <c r="E1004" t="s">
        <v>293</v>
      </c>
    </row>
    <row r="1005" spans="2:5" x14ac:dyDescent="0.25">
      <c r="D1005" t="s">
        <v>285</v>
      </c>
    </row>
    <row r="1006" spans="2:5" x14ac:dyDescent="0.25">
      <c r="C1006" t="s">
        <v>151</v>
      </c>
    </row>
    <row r="1008" spans="2:5" x14ac:dyDescent="0.25">
      <c r="D1008" t="s">
        <v>173</v>
      </c>
    </row>
    <row r="1009" spans="4:8" x14ac:dyDescent="0.25">
      <c r="D1009" t="s">
        <v>174</v>
      </c>
    </row>
    <row r="1010" spans="4:8" x14ac:dyDescent="0.25">
      <c r="D1010" t="s">
        <v>175</v>
      </c>
      <c r="E1010" t="s">
        <v>176</v>
      </c>
      <c r="F1010" t="s">
        <v>176</v>
      </c>
      <c r="G1010" t="s">
        <v>176</v>
      </c>
      <c r="H1010" t="s">
        <v>176</v>
      </c>
    </row>
    <row r="1011" spans="4:8" x14ac:dyDescent="0.25">
      <c r="D1011" t="s">
        <v>177</v>
      </c>
      <c r="E1011">
        <v>7</v>
      </c>
      <c r="F1011">
        <v>15</v>
      </c>
      <c r="G1011">
        <v>23</v>
      </c>
      <c r="H1011">
        <v>31</v>
      </c>
    </row>
    <row r="1012" spans="4:8" x14ac:dyDescent="0.25">
      <c r="D1012" t="s">
        <v>178</v>
      </c>
      <c r="E1012" t="s">
        <v>378</v>
      </c>
      <c r="F1012" t="s">
        <v>379</v>
      </c>
      <c r="G1012" t="s">
        <v>379</v>
      </c>
      <c r="H1012" t="s">
        <v>379</v>
      </c>
    </row>
    <row r="1013" spans="4:8" x14ac:dyDescent="0.25">
      <c r="D1013" t="s">
        <v>179</v>
      </c>
      <c r="E1013">
        <v>7</v>
      </c>
      <c r="F1013">
        <v>15</v>
      </c>
      <c r="G1013">
        <v>23</v>
      </c>
      <c r="H1013">
        <v>31</v>
      </c>
    </row>
    <row r="1014" spans="4:8" x14ac:dyDescent="0.25">
      <c r="D1014" t="s">
        <v>180</v>
      </c>
      <c r="E1014">
        <v>200</v>
      </c>
      <c r="F1014">
        <v>150</v>
      </c>
      <c r="G1014">
        <v>150</v>
      </c>
      <c r="H1014">
        <v>150</v>
      </c>
    </row>
    <row r="1015" spans="4:8" x14ac:dyDescent="0.25">
      <c r="D1015" t="s">
        <v>181</v>
      </c>
      <c r="E1015">
        <v>0</v>
      </c>
      <c r="F1015">
        <v>0</v>
      </c>
      <c r="G1015">
        <v>0</v>
      </c>
      <c r="H1015">
        <v>0</v>
      </c>
    </row>
    <row r="1016" spans="4:8" x14ac:dyDescent="0.25">
      <c r="D1016" t="s">
        <v>182</v>
      </c>
      <c r="E1016">
        <v>0</v>
      </c>
      <c r="F1016">
        <v>0</v>
      </c>
      <c r="G1016">
        <v>0</v>
      </c>
      <c r="H1016">
        <v>0</v>
      </c>
    </row>
    <row r="1017" spans="4:8" x14ac:dyDescent="0.25">
      <c r="D1017" t="s">
        <v>183</v>
      </c>
      <c r="E1017" t="s">
        <v>184</v>
      </c>
      <c r="F1017" t="s">
        <v>184</v>
      </c>
      <c r="G1017" t="s">
        <v>184</v>
      </c>
      <c r="H1017" t="s">
        <v>184</v>
      </c>
    </row>
    <row r="1018" spans="4:8" x14ac:dyDescent="0.25">
      <c r="D1018" t="s">
        <v>286</v>
      </c>
    </row>
    <row r="1020" spans="4:8" x14ac:dyDescent="0.25">
      <c r="D1020" t="s">
        <v>158</v>
      </c>
    </row>
    <row r="1021" spans="4:8" x14ac:dyDescent="0.25">
      <c r="D1021" t="s">
        <v>159</v>
      </c>
    </row>
    <row r="1022" spans="4:8" x14ac:dyDescent="0.25">
      <c r="D1022" t="s">
        <v>160</v>
      </c>
      <c r="E1022">
        <v>0</v>
      </c>
    </row>
    <row r="1023" spans="4:8" x14ac:dyDescent="0.25">
      <c r="D1023" t="s">
        <v>287</v>
      </c>
    </row>
    <row r="1025" spans="4:5" x14ac:dyDescent="0.25">
      <c r="D1025" t="s">
        <v>158</v>
      </c>
    </row>
    <row r="1026" spans="4:5" x14ac:dyDescent="0.25">
      <c r="D1026" t="s">
        <v>162</v>
      </c>
    </row>
    <row r="1027" spans="4:5" x14ac:dyDescent="0.25">
      <c r="D1027" t="s">
        <v>288</v>
      </c>
    </row>
    <row r="1029" spans="4:5" x14ac:dyDescent="0.25">
      <c r="D1029" t="s">
        <v>164</v>
      </c>
    </row>
    <row r="1030" spans="4:5" x14ac:dyDescent="0.25">
      <c r="D1030" t="s">
        <v>159</v>
      </c>
    </row>
    <row r="1031" spans="4:5" x14ac:dyDescent="0.25">
      <c r="D1031" t="s">
        <v>165</v>
      </c>
      <c r="E1031">
        <v>175</v>
      </c>
    </row>
    <row r="1032" spans="4:5" x14ac:dyDescent="0.25">
      <c r="D1032" t="s">
        <v>160</v>
      </c>
      <c r="E1032">
        <v>175</v>
      </c>
    </row>
    <row r="1033" spans="4:5" x14ac:dyDescent="0.25">
      <c r="D1033" t="s">
        <v>289</v>
      </c>
    </row>
    <row r="1035" spans="4:5" x14ac:dyDescent="0.25">
      <c r="D1035" t="s">
        <v>306</v>
      </c>
    </row>
    <row r="1036" spans="4:5" x14ac:dyDescent="0.25">
      <c r="D1036" t="s">
        <v>307</v>
      </c>
    </row>
    <row r="1037" spans="4:5" x14ac:dyDescent="0.25">
      <c r="D1037" t="s">
        <v>178</v>
      </c>
      <c r="E1037" t="s">
        <v>317</v>
      </c>
    </row>
    <row r="1038" spans="4:5" x14ac:dyDescent="0.25">
      <c r="D1038" t="s">
        <v>175</v>
      </c>
      <c r="E1038" t="s">
        <v>316</v>
      </c>
    </row>
    <row r="1039" spans="4:5" x14ac:dyDescent="0.25">
      <c r="D1039" t="s">
        <v>310</v>
      </c>
      <c r="E1039">
        <v>97</v>
      </c>
    </row>
    <row r="1040" spans="4:5" x14ac:dyDescent="0.25">
      <c r="D1040" t="s">
        <v>311</v>
      </c>
      <c r="E1040">
        <v>89</v>
      </c>
    </row>
    <row r="1041" spans="4:5" x14ac:dyDescent="0.25">
      <c r="D1041" t="s">
        <v>312</v>
      </c>
      <c r="E1041">
        <v>4</v>
      </c>
    </row>
    <row r="1042" spans="4:5" x14ac:dyDescent="0.25">
      <c r="D1042" t="s">
        <v>313</v>
      </c>
      <c r="E1042">
        <v>0</v>
      </c>
    </row>
    <row r="1043" spans="4:5" x14ac:dyDescent="0.25">
      <c r="D1043" t="s">
        <v>314</v>
      </c>
      <c r="E1043">
        <v>0</v>
      </c>
    </row>
    <row r="1044" spans="4:5" x14ac:dyDescent="0.25">
      <c r="D1044" t="s">
        <v>382</v>
      </c>
    </row>
    <row r="1046" spans="4:5" x14ac:dyDescent="0.25">
      <c r="D1046" t="s">
        <v>306</v>
      </c>
    </row>
    <row r="1047" spans="4:5" x14ac:dyDescent="0.25">
      <c r="D1047" t="s">
        <v>307</v>
      </c>
    </row>
    <row r="1048" spans="4:5" x14ac:dyDescent="0.25">
      <c r="D1048" t="s">
        <v>178</v>
      </c>
      <c r="E1048" t="s">
        <v>309</v>
      </c>
    </row>
    <row r="1049" spans="4:5" x14ac:dyDescent="0.25">
      <c r="D1049" t="s">
        <v>175</v>
      </c>
      <c r="E1049" t="s">
        <v>374</v>
      </c>
    </row>
    <row r="1050" spans="4:5" x14ac:dyDescent="0.25">
      <c r="D1050" t="s">
        <v>310</v>
      </c>
      <c r="E1050">
        <v>85</v>
      </c>
    </row>
    <row r="1051" spans="4:5" x14ac:dyDescent="0.25">
      <c r="D1051" t="s">
        <v>311</v>
      </c>
      <c r="E1051">
        <v>73</v>
      </c>
    </row>
    <row r="1052" spans="4:5" x14ac:dyDescent="0.25">
      <c r="D1052" t="s">
        <v>312</v>
      </c>
      <c r="E1052">
        <v>10</v>
      </c>
    </row>
    <row r="1053" spans="4:5" x14ac:dyDescent="0.25">
      <c r="D1053" t="s">
        <v>313</v>
      </c>
      <c r="E1053">
        <v>1</v>
      </c>
    </row>
    <row r="1054" spans="4:5" x14ac:dyDescent="0.25">
      <c r="D1054" t="s">
        <v>314</v>
      </c>
      <c r="E1054">
        <v>1</v>
      </c>
    </row>
    <row r="1055" spans="4:5" x14ac:dyDescent="0.25">
      <c r="D1055" t="s">
        <v>383</v>
      </c>
    </row>
    <row r="1060" spans="2:5" x14ac:dyDescent="0.25">
      <c r="B1060" t="s">
        <v>295</v>
      </c>
    </row>
    <row r="1061" spans="2:5" x14ac:dyDescent="0.25">
      <c r="B1061" t="s">
        <v>296</v>
      </c>
    </row>
    <row r="1062" spans="2:5" x14ac:dyDescent="0.25">
      <c r="B1062" t="s">
        <v>297</v>
      </c>
    </row>
    <row r="1063" spans="2:5" x14ac:dyDescent="0.25">
      <c r="B1063" t="s">
        <v>298</v>
      </c>
    </row>
    <row r="1064" spans="2:5" x14ac:dyDescent="0.25">
      <c r="B1064" t="s">
        <v>299</v>
      </c>
    </row>
    <row r="1066" spans="2:5" x14ac:dyDescent="0.25">
      <c r="C1066" t="s">
        <v>151</v>
      </c>
    </row>
    <row r="1068" spans="2:5" x14ac:dyDescent="0.25">
      <c r="D1068" t="s">
        <v>300</v>
      </c>
    </row>
    <row r="1069" spans="2:5" x14ac:dyDescent="0.25">
      <c r="D1069" t="s">
        <v>301</v>
      </c>
    </row>
    <row r="1070" spans="2:5" x14ac:dyDescent="0.25">
      <c r="D1070" t="s">
        <v>162</v>
      </c>
      <c r="E1070" t="s">
        <v>39</v>
      </c>
    </row>
    <row r="1071" spans="2:5" x14ac:dyDescent="0.25">
      <c r="D1071" t="s">
        <v>302</v>
      </c>
      <c r="E1071" t="s">
        <v>127</v>
      </c>
    </row>
    <row r="1072" spans="2:5" x14ac:dyDescent="0.25">
      <c r="D1072" t="s">
        <v>157</v>
      </c>
      <c r="E1072" t="s">
        <v>128</v>
      </c>
    </row>
    <row r="1073" spans="2:4" x14ac:dyDescent="0.25">
      <c r="D1073" t="s">
        <v>294</v>
      </c>
    </row>
    <row r="1078" spans="2:4" x14ac:dyDescent="0.25">
      <c r="B1078" t="s">
        <v>303</v>
      </c>
    </row>
    <row r="1079" spans="2:4" x14ac:dyDescent="0.25">
      <c r="B1079" t="s">
        <v>304</v>
      </c>
    </row>
    <row r="1081" spans="2:4" x14ac:dyDescent="0.25">
      <c r="C1081" t="s">
        <v>305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4c8e7f9b-eac5-4ae2-b2ae-e40caed85104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___Dropdown values</vt:lpstr>
      <vt:lpstr>Building Blocks</vt:lpstr>
      <vt:lpstr>Method</vt:lpstr>
      <vt:lpstr>Worklist</vt:lpstr>
      <vt:lpstr>PrepList</vt:lpstr>
      <vt:lpstr>TestLog</vt:lpstr>
      <vt:lpstr>RunLog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2021-12-01T16:08:45Z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